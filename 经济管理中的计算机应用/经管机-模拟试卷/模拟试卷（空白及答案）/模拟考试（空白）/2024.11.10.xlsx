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hidePivotFieldList="1" defaultThemeVersion="124226"/>
  <mc:AlternateContent xmlns:mc="http://schemas.openxmlformats.org/markup-compatibility/2006">
    <mc:Choice Requires="x15">
      <x15ac:absPath xmlns:x15ac="http://schemas.microsoft.com/office/spreadsheetml/2010/11/ac" url="C:\Users\端木辰\Desktop\经管机\经管机-模拟试卷\模拟试卷（空白及答案）\模拟考试（空白）\"/>
    </mc:Choice>
  </mc:AlternateContent>
  <xr:revisionPtr revIDLastSave="0" documentId="13_ncr:1_{C749940C-1D7F-4F1B-8721-072B0FE632BD}" xr6:coauthVersionLast="47" xr6:coauthVersionMax="47" xr10:uidLastSave="{00000000-0000-0000-0000-000000000000}"/>
  <bookViews>
    <workbookView xWindow="2472" yWindow="420" windowWidth="12072" windowHeight="11820" activeTab="3" xr2:uid="{00000000-000D-0000-FFFF-FFFF00000000}"/>
  </bookViews>
  <sheets>
    <sheet name="第1题" sheetId="13" r:id="rId1"/>
    <sheet name="第2题" sheetId="29" r:id="rId2"/>
    <sheet name="第3题" sheetId="24" r:id="rId3"/>
    <sheet name="第4题" sheetId="35" r:id="rId4"/>
    <sheet name="第5题" sheetId="23" r:id="rId5"/>
    <sheet name="第6题" sheetId="28" r:id="rId6"/>
    <sheet name="第7题" sheetId="27" r:id="rId7"/>
    <sheet name="第8题" sheetId="32" r:id="rId8"/>
    <sheet name="第9题" sheetId="3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jin01" localSheetId="1">#REF!</definedName>
    <definedName name="_____jin01">#REF!</definedName>
    <definedName name="_____sj1" localSheetId="1">[1]第1套!$A$1:$C$73</definedName>
    <definedName name="_____sj1">[2]第1套!$A$1:$C$73</definedName>
    <definedName name="_____sj2" localSheetId="1">[3]第2题解答!$A$1:$D$251</definedName>
    <definedName name="_____sj2">[4]第2题解答!$A$1:$D$251</definedName>
    <definedName name="____jin01">#REF!</definedName>
    <definedName name="____sj1" localSheetId="1">[1]第1套!$A$1:$C$73</definedName>
    <definedName name="____sj1">[2]第1套!$A$1:$C$73</definedName>
    <definedName name="____sj2" localSheetId="1">[3]第2题解答!$A$1:$D$251</definedName>
    <definedName name="____sj2">[4]第2题解答!$A$1:$D$251</definedName>
    <definedName name="____sj3" localSheetId="1">[5]第2题!$A$1:$D$198</definedName>
    <definedName name="____sj3">[6]第2题!$A$1:$D$198</definedName>
    <definedName name="____sj5" localSheetId="1">[7]第1套!$A$1:$C$73</definedName>
    <definedName name="____sj5">[8]第1套!$A$1:$C$73</definedName>
    <definedName name="___jin01">#REF!</definedName>
    <definedName name="___sj1" localSheetId="1">[1]第1套!$A$1:$C$73</definedName>
    <definedName name="___sj1">[2]第1套!$A$1:$C$73</definedName>
    <definedName name="___sj2" localSheetId="1">[3]第2题解答!$A$1:$D$251</definedName>
    <definedName name="___sj2">[4]第2题解答!$A$1:$D$251</definedName>
    <definedName name="___sj3" localSheetId="1">[5]第2题!$A$1:$D$198</definedName>
    <definedName name="___sj3">[6]第2题!$A$1:$D$198</definedName>
    <definedName name="___sj5" localSheetId="1">[7]第1套!$A$1:$C$73</definedName>
    <definedName name="___sj5">[8]第1套!$A$1:$C$73</definedName>
    <definedName name="__jin01">#REF!</definedName>
    <definedName name="__sj1" localSheetId="1">[1]第1套!$A$1:$C$73</definedName>
    <definedName name="__sj1">[2]第1套!$A$1:$C$73</definedName>
    <definedName name="__sj2" localSheetId="1">[3]第2题解答!$A$1:$D$251</definedName>
    <definedName name="__sj2">[4]第2题解答!$A$1:$D$251</definedName>
    <definedName name="__sj3" localSheetId="1">[5]第2题!$A$1:$D$198</definedName>
    <definedName name="__sj3">[6]第2题!$A$1:$D$198</definedName>
    <definedName name="__sj5" localSheetId="1">[7]第1套!$A$1:$C$73</definedName>
    <definedName name="__sj5">[8]第1套!$A$1:$C$73</definedName>
    <definedName name="_xlnm._FilterDatabase" localSheetId="1" hidden="1">第2题!$B:$B</definedName>
    <definedName name="_jin01" localSheetId="1">#REF!</definedName>
    <definedName name="_jin01">#REF!</definedName>
    <definedName name="_sj1" localSheetId="1">[9]第1套!$A$1:$C$73</definedName>
    <definedName name="_sj1">[10]第1套!$A$1:$C$73</definedName>
    <definedName name="_sj2" localSheetId="1">[9]第2套!$A$1:$D$251</definedName>
    <definedName name="_sj2">[10]第2套!$A$1:$D$251</definedName>
    <definedName name="_sj3" localSheetId="1">[5]第2题!$A$1:$D$198</definedName>
    <definedName name="_sj3">[6]第2题!$A$1:$D$198</definedName>
    <definedName name="_sj5" localSheetId="1">[7]第1套!$A$1:$C$73</definedName>
    <definedName name="_sj5">[8]第1套!$A$1:$C$73</definedName>
    <definedName name="aaa" localSheetId="1">OFFSET([11]第4题!#REF!,0,-1,3,1)</definedName>
    <definedName name="aaa">OFFSET([12]第4题!#REF!,0,-1,3,1)</definedName>
    <definedName name="ahzixingche" localSheetId="1">#REF!</definedName>
    <definedName name="ahzixingche">#REF!</definedName>
    <definedName name="Average" localSheetId="1">'[13]Simulation (2)'!$K$3:$N$3</definedName>
    <definedName name="Average">'[14]Simulation (2)'!$K$3:$N$3</definedName>
    <definedName name="Biao1" localSheetId="1">#REF!</definedName>
    <definedName name="Biao1">#REF!</definedName>
    <definedName name="Biao2">#REF!</definedName>
    <definedName name="Biao3">#REF!</definedName>
    <definedName name="Biao4">#REF!</definedName>
    <definedName name="BudgetTab">#REF!</definedName>
    <definedName name="data">#REF!</definedName>
    <definedName name="dd">#REF!</definedName>
    <definedName name="kk">#REF!</definedName>
    <definedName name="MaintTable" localSheetId="1">[15]第3题!#REF!</definedName>
    <definedName name="MaintTable" localSheetId="2">[16]第3题!#REF!</definedName>
    <definedName name="MaintTable">[17]第3题!#REF!</definedName>
    <definedName name="OrderQuantity" localSheetId="1">'[13]Simulation (2)'!$D$3</definedName>
    <definedName name="OrderQuantity">'[14]Simulation (2)'!$D$3</definedName>
    <definedName name="sj" localSheetId="1">[18]第7题解答!$A$1:$E$65536</definedName>
    <definedName name="sj">[19]第7题解答!$A$1:$E$65536</definedName>
    <definedName name="solver_eng" localSheetId="2" hidden="1">1</definedName>
    <definedName name="solver_eng" localSheetId="7" hidden="1">1</definedName>
    <definedName name="solver_neg" localSheetId="2" hidden="1">1</definedName>
    <definedName name="solver_neg" localSheetId="7" hidden="1">1</definedName>
    <definedName name="solver_num" localSheetId="2" hidden="1">0</definedName>
    <definedName name="solver_num" localSheetId="7" hidden="1">0</definedName>
    <definedName name="solver_opt" localSheetId="2" hidden="1">第3题!$G$4</definedName>
    <definedName name="solver_opt" localSheetId="7" hidden="1">第8题!$E$21</definedName>
    <definedName name="solver_typ" localSheetId="2" hidden="1">1</definedName>
    <definedName name="solver_typ" localSheetId="7" hidden="1">1</definedName>
    <definedName name="solver_val" localSheetId="2" hidden="1">0</definedName>
    <definedName name="solver_val" localSheetId="7" hidden="1">0</definedName>
    <definedName name="solver_ver" localSheetId="2" hidden="1">3</definedName>
    <definedName name="solver_ver" localSheetId="7" hidden="1">3</definedName>
    <definedName name="Table" localSheetId="1">[18]第8题解答!$K$3:$L$21</definedName>
    <definedName name="Table">[19]第8题解答!$K$3:$L$21</definedName>
    <definedName name="yssj" localSheetId="1">[20]D函数2!$A$1:$D$671</definedName>
    <definedName name="yssj">[21]D函数2!$A$1:$D$671</definedName>
    <definedName name="查询来自_stud" localSheetId="1">第2题!#REF!</definedName>
    <definedName name="查询数据" localSheetId="1">[22]第2题!#REF!</definedName>
    <definedName name="查询数据">[23]第2题!#REF!</definedName>
    <definedName name="陈元忠" localSheetId="1">[24]第1题!$D$3:$D$11</definedName>
    <definedName name="陈元忠">[25]第1题!$D$3:$D$11</definedName>
    <definedName name="第1季度不规则值" localSheetId="1">[26]季节指数计算模型!$E$2,[26]季节指数计算模型!$E$7,[26]季节指数计算模型!$E$12,[26]季节指数计算模型!$E$17</definedName>
    <definedName name="第1季度不规则值">[27]季节指数计算模型!$E$2,[27]季节指数计算模型!$E$7,[27]季节指数计算模型!$E$12,[27]季节指数计算模型!$E$17</definedName>
    <definedName name="第2季度不规则值" localSheetId="1">[26]季节指数计算模型!$E$3,[26]季节指数计算模型!$E$8,[26]季节指数计算模型!$E$13,[26]季节指数计算模型!$E$18</definedName>
    <definedName name="第2季度不规则值">[27]季节指数计算模型!$E$3,[27]季节指数计算模型!$E$8,[27]季节指数计算模型!$E$13,[27]季节指数计算模型!$E$18</definedName>
    <definedName name="第3季度不规则值" localSheetId="1">[26]季节指数计算模型!$E$5,[26]季节指数计算模型!$E$10,[26]季节指数计算模型!$E$15</definedName>
    <definedName name="第3季度不规则值">[27]季节指数计算模型!$E$5,[27]季节指数计算模型!$E$10,[27]季节指数计算模型!$E$15</definedName>
    <definedName name="第4季度不规则值" localSheetId="1">[26]季节指数计算模型!$E$6,[26]季节指数计算模型!$E$11,[26]季节指数计算模型!$E$16,[26]季节指数计算模型!$E$21</definedName>
    <definedName name="第4季度不规则值">[27]季节指数计算模型!$E$6,[27]季节指数计算模型!$E$11,[27]季节指数计算模型!$E$16,[27]季节指数计算模型!$E$21</definedName>
    <definedName name="基行" localSheetId="2">#REF!</definedName>
    <definedName name="基行">#REF!</definedName>
    <definedName name="蒋传海" localSheetId="1">[24]第1题!$C$3:$C$11</definedName>
    <definedName name="蒋传海">[25]第1题!$C$3:$C$11</definedName>
    <definedName name="_xlnm.Extract" localSheetId="1">第2题!$I$1</definedName>
    <definedName name="原始数据" localSheetId="1">#REF!</definedName>
    <definedName name="原始数据">#REF!</definedName>
    <definedName name="张雪凤" localSheetId="1">[24]第1题!$F$3:$F$11</definedName>
    <definedName name="张雪凤">[25]第1题!$F$3:$F$11</definedName>
    <definedName name="周新燕" localSheetId="1">[24]第1题!$E$3:$E$11</definedName>
    <definedName name="周新燕">[25]第1题!$E$3:$E$11</definedName>
  </definedNames>
  <calcPr calcId="191029"/>
  <pivotCaches>
    <pivotCache cacheId="4" r:id="rId3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35" l="1"/>
  <c r="G17" i="35"/>
  <c r="G16" i="35"/>
  <c r="C14" i="35" s="1"/>
  <c r="G15" i="35"/>
  <c r="D3" i="35"/>
  <c r="D4" i="35"/>
  <c r="D5" i="35"/>
  <c r="D6" i="35"/>
  <c r="D7" i="35"/>
  <c r="D8" i="35"/>
  <c r="D9" i="35"/>
  <c r="D10" i="35"/>
  <c r="D2" i="35"/>
  <c r="C13" i="35" l="1"/>
  <c r="G18" i="35" s="1"/>
  <c r="C19" i="35"/>
  <c r="C21" i="35"/>
  <c r="C20" i="35"/>
  <c r="C18" i="35"/>
  <c r="C17" i="35"/>
  <c r="C16" i="35"/>
  <c r="C15" i="35"/>
  <c r="D24" i="24" l="1"/>
  <c r="G8" i="24" s="1"/>
  <c r="G7" i="24"/>
  <c r="G6" i="24" s="1"/>
  <c r="D3" i="24"/>
  <c r="D4" i="24"/>
  <c r="D5" i="24"/>
  <c r="D6" i="24"/>
  <c r="D7" i="24"/>
  <c r="D8" i="24"/>
  <c r="D9" i="24"/>
  <c r="D10" i="24"/>
  <c r="D11" i="24"/>
  <c r="D12" i="24"/>
  <c r="D13" i="24"/>
  <c r="D14" i="24"/>
  <c r="D15" i="24"/>
  <c r="D16" i="24"/>
  <c r="D17" i="24"/>
  <c r="D18" i="24"/>
  <c r="D19" i="24"/>
  <c r="D20" i="24"/>
  <c r="D21" i="24"/>
  <c r="D22" i="24"/>
  <c r="D23" i="24"/>
  <c r="D2" i="24"/>
  <c r="N3" i="29"/>
  <c r="N4" i="29"/>
  <c r="N5" i="29"/>
  <c r="N6" i="29"/>
  <c r="N7" i="29"/>
  <c r="N8" i="29"/>
  <c r="N2" i="29"/>
  <c r="M3" i="29"/>
  <c r="M4" i="29"/>
  <c r="M5" i="29"/>
  <c r="M6" i="29"/>
  <c r="M7" i="29"/>
  <c r="M8" i="29"/>
  <c r="M2" i="29"/>
  <c r="R2" i="29" a="1"/>
  <c r="R2" i="29" s="1"/>
  <c r="Q2" i="29" a="1"/>
  <c r="Q2" i="29" s="1"/>
  <c r="R2" i="34"/>
  <c r="G10" i="24" l="1"/>
  <c r="G4" i="24" s="1"/>
  <c r="L1" i="29"/>
  <c r="B3300" i="29"/>
  <c r="B3299" i="29"/>
  <c r="B3298" i="29"/>
  <c r="B3297" i="29"/>
  <c r="B3296" i="29"/>
  <c r="B3295" i="29"/>
  <c r="B3294" i="29"/>
  <c r="B3293" i="29"/>
  <c r="B3292" i="29"/>
  <c r="B3291" i="29"/>
  <c r="B3290" i="29"/>
  <c r="B3289" i="29"/>
  <c r="B3288" i="29"/>
  <c r="B3287" i="29"/>
  <c r="B3286" i="29"/>
  <c r="B3285" i="29"/>
  <c r="B3284" i="29"/>
  <c r="B3283" i="29"/>
  <c r="B3282" i="29"/>
  <c r="B3281" i="29"/>
  <c r="B3280" i="29"/>
  <c r="B3279" i="29"/>
  <c r="B3278" i="29"/>
  <c r="B3277" i="29"/>
  <c r="B3276" i="29"/>
  <c r="B3275" i="29"/>
  <c r="B3274" i="29"/>
  <c r="B3273" i="29"/>
  <c r="B3272" i="29"/>
  <c r="B3271" i="29"/>
  <c r="B3270" i="29"/>
  <c r="B3269" i="29"/>
  <c r="B3268" i="29"/>
  <c r="B3267" i="29"/>
  <c r="B3266" i="29"/>
  <c r="B3265" i="29"/>
  <c r="B3264" i="29"/>
  <c r="B3263" i="29"/>
  <c r="B3262" i="29"/>
  <c r="B3261" i="29"/>
  <c r="B3260" i="29"/>
  <c r="B3259" i="29"/>
  <c r="B3258" i="29"/>
  <c r="B3257" i="29"/>
  <c r="B3256" i="29"/>
  <c r="B3255" i="29"/>
  <c r="B3254" i="29"/>
  <c r="B3253" i="29"/>
  <c r="B3252" i="29"/>
  <c r="B3251" i="29"/>
  <c r="B3250" i="29"/>
  <c r="B3249" i="29"/>
  <c r="B3248" i="29"/>
  <c r="B3247" i="29"/>
  <c r="B3246" i="29"/>
  <c r="B3245" i="29"/>
  <c r="B3244" i="29"/>
  <c r="B3243" i="29"/>
  <c r="B3242" i="29"/>
  <c r="B3241" i="29"/>
  <c r="B3240" i="29"/>
  <c r="B3239" i="29"/>
  <c r="B3238" i="29"/>
  <c r="B3237" i="29"/>
  <c r="B3236" i="29"/>
  <c r="B3235" i="29"/>
  <c r="B3234" i="29"/>
  <c r="B3233" i="29"/>
  <c r="B3232" i="29"/>
  <c r="B3231" i="29"/>
  <c r="B3230" i="29"/>
  <c r="B3229" i="29"/>
  <c r="B3228" i="29"/>
  <c r="B3227" i="29"/>
  <c r="B3226" i="29"/>
  <c r="B3225" i="29"/>
  <c r="B3224" i="29"/>
  <c r="B3223" i="29"/>
  <c r="B3222" i="29"/>
  <c r="B3221" i="29"/>
  <c r="B3220" i="29"/>
  <c r="B3219" i="29"/>
  <c r="B3218" i="29"/>
  <c r="B3217" i="29"/>
  <c r="B3216" i="29"/>
  <c r="B3215" i="29"/>
  <c r="B3214" i="29"/>
  <c r="B3213" i="29"/>
  <c r="B3212" i="29"/>
  <c r="B3211" i="29"/>
  <c r="B3210" i="29"/>
  <c r="B3209" i="29"/>
  <c r="B3208" i="29"/>
  <c r="B3207" i="29"/>
  <c r="B3206" i="29"/>
  <c r="B3205" i="29"/>
  <c r="B3204" i="29"/>
  <c r="B3203" i="29"/>
  <c r="B3202" i="29"/>
  <c r="B3201" i="29"/>
  <c r="B3200" i="29"/>
  <c r="B3199" i="29"/>
  <c r="B3198" i="29"/>
  <c r="B3197" i="29"/>
  <c r="B3196" i="29"/>
  <c r="B3195" i="29"/>
  <c r="B3194" i="29"/>
  <c r="B3193" i="29"/>
  <c r="B3192" i="29"/>
  <c r="B3191" i="29"/>
  <c r="B3190" i="29"/>
  <c r="B3189" i="29"/>
  <c r="B3188" i="29"/>
  <c r="B3187" i="29"/>
  <c r="B3186" i="29"/>
  <c r="B3185" i="29"/>
  <c r="B3184" i="29"/>
  <c r="B3183" i="29"/>
  <c r="B3182" i="29"/>
  <c r="B3181" i="29"/>
  <c r="B3180" i="29"/>
  <c r="B3179" i="29"/>
  <c r="B3178" i="29"/>
  <c r="B3177" i="29"/>
  <c r="B3176" i="29"/>
  <c r="B3175" i="29"/>
  <c r="B3174" i="29"/>
  <c r="B3173" i="29"/>
  <c r="B3172" i="29"/>
  <c r="B3171" i="29"/>
  <c r="B3170" i="29"/>
  <c r="B3169" i="29"/>
  <c r="B3168" i="29"/>
  <c r="B3167" i="29"/>
  <c r="B3166" i="29"/>
  <c r="B3165" i="29"/>
  <c r="B3164" i="29"/>
  <c r="B3163" i="29"/>
  <c r="B3162" i="29"/>
  <c r="B3161" i="29"/>
  <c r="B3160" i="29"/>
  <c r="B3159" i="29"/>
  <c r="B3158" i="29"/>
  <c r="B3157" i="29"/>
  <c r="B3156" i="29"/>
  <c r="B3155" i="29"/>
  <c r="B3154" i="29"/>
  <c r="B3153" i="29"/>
  <c r="B3152" i="29"/>
  <c r="B3151" i="29"/>
  <c r="B3150" i="29"/>
  <c r="B3149" i="29"/>
  <c r="B3148" i="29"/>
  <c r="B3147" i="29"/>
  <c r="B3146" i="29"/>
  <c r="B3145" i="29"/>
  <c r="B3144" i="29"/>
  <c r="B3143" i="29"/>
  <c r="B3142" i="29"/>
  <c r="B3141" i="29"/>
  <c r="B3140" i="29"/>
  <c r="B3139" i="29"/>
  <c r="B3138" i="29"/>
  <c r="B3137" i="29"/>
  <c r="B3136" i="29"/>
  <c r="B3135" i="29"/>
  <c r="B3134" i="29"/>
  <c r="B3133" i="29"/>
  <c r="B3132" i="29"/>
  <c r="B3131" i="29"/>
  <c r="B3130" i="29"/>
  <c r="B3129" i="29"/>
  <c r="B3128" i="29"/>
  <c r="B3127" i="29"/>
  <c r="B3126" i="29"/>
  <c r="B3125" i="29"/>
  <c r="B3124" i="29"/>
  <c r="B3123" i="29"/>
  <c r="B3122" i="29"/>
  <c r="B3121" i="29"/>
  <c r="B3120" i="29"/>
  <c r="B3119" i="29"/>
  <c r="B3118" i="29"/>
  <c r="B3117" i="29"/>
  <c r="B3116" i="29"/>
  <c r="B3115" i="29"/>
  <c r="B3114" i="29"/>
  <c r="B3113" i="29"/>
  <c r="B3112" i="29"/>
  <c r="B3111" i="29"/>
  <c r="B3110" i="29"/>
  <c r="B3109" i="29"/>
  <c r="B3108" i="29"/>
  <c r="B3107" i="29"/>
  <c r="B3106" i="29"/>
  <c r="B3105" i="29"/>
  <c r="B3104" i="29"/>
  <c r="B3103" i="29"/>
  <c r="B3102" i="29"/>
  <c r="B3101" i="29"/>
  <c r="B3100" i="29"/>
  <c r="B3099" i="29"/>
  <c r="B3098" i="29"/>
  <c r="B3097" i="29"/>
  <c r="B3096" i="29"/>
  <c r="B3095" i="29"/>
  <c r="B3094" i="29"/>
  <c r="B3093" i="29"/>
  <c r="B3092" i="29"/>
  <c r="B3091" i="29"/>
  <c r="B3090" i="29"/>
  <c r="B3089" i="29"/>
  <c r="B3088" i="29"/>
  <c r="B3087" i="29"/>
  <c r="B3086" i="29"/>
  <c r="B3085" i="29"/>
  <c r="B3084" i="29"/>
  <c r="B3083" i="29"/>
  <c r="B3082" i="29"/>
  <c r="B3081" i="29"/>
  <c r="B3080" i="29"/>
  <c r="B3079" i="29"/>
  <c r="B3078" i="29"/>
  <c r="B3077" i="29"/>
  <c r="B3076" i="29"/>
  <c r="B3075" i="29"/>
  <c r="B3074" i="29"/>
  <c r="B3073" i="29"/>
  <c r="B3072" i="29"/>
  <c r="B3071" i="29"/>
  <c r="B3070" i="29"/>
  <c r="B3069" i="29"/>
  <c r="B3068" i="29"/>
  <c r="B3067" i="29"/>
  <c r="B3066" i="29"/>
  <c r="B3065" i="29"/>
  <c r="B3064" i="29"/>
  <c r="B3063" i="29"/>
  <c r="B3062" i="29"/>
  <c r="B3061" i="29"/>
  <c r="B3060" i="29"/>
  <c r="B3059" i="29"/>
  <c r="B3058" i="29"/>
  <c r="B3057" i="29"/>
  <c r="B3056" i="29"/>
  <c r="B3055" i="29"/>
  <c r="B3054" i="29"/>
  <c r="B3053" i="29"/>
  <c r="B3052" i="29"/>
  <c r="B3051" i="29"/>
  <c r="B3050" i="29"/>
  <c r="B3049" i="29"/>
  <c r="B3048" i="29"/>
  <c r="B3047" i="29"/>
  <c r="B3046" i="29"/>
  <c r="B3045" i="29"/>
  <c r="B3044" i="29"/>
  <c r="B3043" i="29"/>
  <c r="B3042" i="29"/>
  <c r="B3041" i="29"/>
  <c r="B3040" i="29"/>
  <c r="B3039" i="29"/>
  <c r="B3038" i="29"/>
  <c r="B3037" i="29"/>
  <c r="B3036" i="29"/>
  <c r="B3035" i="29"/>
  <c r="B3034" i="29"/>
  <c r="B3033" i="29"/>
  <c r="B3032" i="29"/>
  <c r="B3031" i="29"/>
  <c r="B3030" i="29"/>
  <c r="B3029" i="29"/>
  <c r="B3028" i="29"/>
  <c r="B3027" i="29"/>
  <c r="B3026" i="29"/>
  <c r="B3025" i="29"/>
  <c r="B3024" i="29"/>
  <c r="B3023" i="29"/>
  <c r="B3022" i="29"/>
  <c r="B3021" i="29"/>
  <c r="B3020" i="29"/>
  <c r="B3019" i="29"/>
  <c r="B3018" i="29"/>
  <c r="B3017" i="29"/>
  <c r="B3016" i="29"/>
  <c r="B3015" i="29"/>
  <c r="B3014" i="29"/>
  <c r="B3013" i="29"/>
  <c r="B3012" i="29"/>
  <c r="B3011" i="29"/>
  <c r="B3010" i="29"/>
  <c r="B3009" i="29"/>
  <c r="B3008" i="29"/>
  <c r="B3007" i="29"/>
  <c r="B3006" i="29"/>
  <c r="B3005" i="29"/>
  <c r="B3004" i="29"/>
  <c r="B3003" i="29"/>
  <c r="B3002" i="29"/>
  <c r="B3001" i="29"/>
  <c r="B3000" i="29"/>
  <c r="B2999" i="29"/>
  <c r="B2998" i="29"/>
  <c r="B2997" i="29"/>
  <c r="B2996" i="29"/>
  <c r="B2995" i="29"/>
  <c r="B2994" i="29"/>
  <c r="B2993" i="29"/>
  <c r="B2992" i="29"/>
  <c r="B2991" i="29"/>
  <c r="B2990" i="29"/>
  <c r="B2989" i="29"/>
  <c r="B2988" i="29"/>
  <c r="B2987" i="29"/>
  <c r="B2986" i="29"/>
  <c r="B2985" i="29"/>
  <c r="B2984" i="29"/>
  <c r="B2983" i="29"/>
  <c r="B2982" i="29"/>
  <c r="B2981" i="29"/>
  <c r="B2980" i="29"/>
  <c r="B2979" i="29"/>
  <c r="B2978" i="29"/>
  <c r="B2977" i="29"/>
  <c r="B2976" i="29"/>
  <c r="B2975" i="29"/>
  <c r="B2974" i="29"/>
  <c r="B2973" i="29"/>
  <c r="B2972" i="29"/>
  <c r="B2971" i="29"/>
  <c r="B2970" i="29"/>
  <c r="B2969" i="29"/>
  <c r="B2968" i="29"/>
  <c r="B2967" i="29"/>
  <c r="B2966" i="29"/>
  <c r="B2965" i="29"/>
  <c r="B2964" i="29"/>
  <c r="B2963" i="29"/>
  <c r="B2962" i="29"/>
  <c r="B2961" i="29"/>
  <c r="B2960" i="29"/>
  <c r="B2959" i="29"/>
  <c r="B2958" i="29"/>
  <c r="B2957" i="29"/>
  <c r="B2956" i="29"/>
  <c r="B2955" i="29"/>
  <c r="B2954" i="29"/>
  <c r="B2953" i="29"/>
  <c r="B2952" i="29"/>
  <c r="B2951" i="29"/>
  <c r="B2950" i="29"/>
  <c r="B2949" i="29"/>
  <c r="B2948" i="29"/>
  <c r="B2947" i="29"/>
  <c r="B2946" i="29"/>
  <c r="B2945" i="29"/>
  <c r="B2944" i="29"/>
  <c r="B2943" i="29"/>
  <c r="B2942" i="29"/>
  <c r="B2941" i="29"/>
  <c r="B2940" i="29"/>
  <c r="B2939" i="29"/>
  <c r="B2938" i="29"/>
  <c r="B2937" i="29"/>
  <c r="B2936" i="29"/>
  <c r="B2935" i="29"/>
  <c r="B2934" i="29"/>
  <c r="B2933" i="29"/>
  <c r="B2932" i="29"/>
  <c r="B2931" i="29"/>
  <c r="B2930" i="29"/>
  <c r="B2929" i="29"/>
  <c r="B2928" i="29"/>
  <c r="B2927" i="29"/>
  <c r="B2926" i="29"/>
  <c r="B2925" i="29"/>
  <c r="B2924" i="29"/>
  <c r="B2923" i="29"/>
  <c r="B2922" i="29"/>
  <c r="B2921" i="29"/>
  <c r="B2920" i="29"/>
  <c r="B2919" i="29"/>
  <c r="B2918" i="29"/>
  <c r="B2917" i="29"/>
  <c r="B2916" i="29"/>
  <c r="B2915" i="29"/>
  <c r="B2914" i="29"/>
  <c r="B2913" i="29"/>
  <c r="B2912" i="29"/>
  <c r="B2911" i="29"/>
  <c r="B2910" i="29"/>
  <c r="B2909" i="29"/>
  <c r="B2908" i="29"/>
  <c r="B2907" i="29"/>
  <c r="B2906" i="29"/>
  <c r="B2905" i="29"/>
  <c r="B2904" i="29"/>
  <c r="B2903" i="29"/>
  <c r="B2902" i="29"/>
  <c r="B2901" i="29"/>
  <c r="B2900" i="29"/>
  <c r="B2899" i="29"/>
  <c r="B2898" i="29"/>
  <c r="B2897" i="29"/>
  <c r="B2896" i="29"/>
  <c r="B2895" i="29"/>
  <c r="B2894" i="29"/>
  <c r="B2893" i="29"/>
  <c r="B2892" i="29"/>
  <c r="B2891" i="29"/>
  <c r="B2890" i="29"/>
  <c r="B2889" i="29"/>
  <c r="B2888" i="29"/>
  <c r="B2887" i="29"/>
  <c r="B2886" i="29"/>
  <c r="B2885" i="29"/>
  <c r="B2884" i="29"/>
  <c r="B2883" i="29"/>
  <c r="B2882" i="29"/>
  <c r="B2881" i="29"/>
  <c r="B2880" i="29"/>
  <c r="B2879" i="29"/>
  <c r="B2878" i="29"/>
  <c r="B2877" i="29"/>
  <c r="B2876" i="29"/>
  <c r="B2875" i="29"/>
  <c r="B2874" i="29"/>
  <c r="B2873" i="29"/>
  <c r="B2872" i="29"/>
  <c r="B2871" i="29"/>
  <c r="B2870" i="29"/>
  <c r="B2869" i="29"/>
  <c r="B2868" i="29"/>
  <c r="B2867" i="29"/>
  <c r="B2866" i="29"/>
  <c r="B2865" i="29"/>
  <c r="B2864" i="29"/>
  <c r="B2863" i="29"/>
  <c r="B2862" i="29"/>
  <c r="B2861" i="29"/>
  <c r="B2860" i="29"/>
  <c r="B2859" i="29"/>
  <c r="B2858" i="29"/>
  <c r="B2857" i="29"/>
  <c r="B2856" i="29"/>
  <c r="B2855" i="29"/>
  <c r="B2854" i="29"/>
  <c r="B2853" i="29"/>
  <c r="B2852" i="29"/>
  <c r="B2851" i="29"/>
  <c r="B2850" i="29"/>
  <c r="B2849" i="29"/>
  <c r="B2848" i="29"/>
  <c r="B2847" i="29"/>
  <c r="B2846" i="29"/>
  <c r="B2845" i="29"/>
  <c r="B2844" i="29"/>
  <c r="B2843" i="29"/>
  <c r="B2842" i="29"/>
  <c r="B2841" i="29"/>
  <c r="B2840" i="29"/>
  <c r="B2839" i="29"/>
  <c r="B2838" i="29"/>
  <c r="B2837" i="29"/>
  <c r="B2836" i="29"/>
  <c r="B2835" i="29"/>
  <c r="B2834" i="29"/>
  <c r="B2833" i="29"/>
  <c r="B2832" i="29"/>
  <c r="B2831" i="29"/>
  <c r="B2830" i="29"/>
  <c r="B2829" i="29"/>
  <c r="B2828" i="29"/>
  <c r="B2827" i="29"/>
  <c r="B2826" i="29"/>
  <c r="B2825" i="29"/>
  <c r="B2824" i="29"/>
  <c r="B2823" i="29"/>
  <c r="B2822" i="29"/>
  <c r="B2821" i="29"/>
  <c r="B2820" i="29"/>
  <c r="B2819" i="29"/>
  <c r="B2818" i="29"/>
  <c r="B2817" i="29"/>
  <c r="B2816" i="29"/>
  <c r="B2815" i="29"/>
  <c r="B2814" i="29"/>
  <c r="B2813" i="29"/>
  <c r="B2812" i="29"/>
  <c r="B2811" i="29"/>
  <c r="B2810" i="29"/>
  <c r="B2809" i="29"/>
  <c r="B2808" i="29"/>
  <c r="B2807" i="29"/>
  <c r="B2806" i="29"/>
  <c r="B2805" i="29"/>
  <c r="B2804" i="29"/>
  <c r="B2803" i="29"/>
  <c r="B2802" i="29"/>
  <c r="B2801" i="29"/>
  <c r="B2800" i="29"/>
  <c r="B2799" i="29"/>
  <c r="B2798" i="29"/>
  <c r="B2797" i="29"/>
  <c r="B2796" i="29"/>
  <c r="B2795" i="29"/>
  <c r="B2794" i="29"/>
  <c r="B2793" i="29"/>
  <c r="B2792" i="29"/>
  <c r="B2791" i="29"/>
  <c r="B2790" i="29"/>
  <c r="B2789" i="29"/>
  <c r="B2788" i="29"/>
  <c r="B2787" i="29"/>
  <c r="B2786" i="29"/>
  <c r="B2785" i="29"/>
  <c r="B2784" i="29"/>
  <c r="B2783" i="29"/>
  <c r="B2782" i="29"/>
  <c r="B2781" i="29"/>
  <c r="B2780" i="29"/>
  <c r="B2779" i="29"/>
  <c r="B2778" i="29"/>
  <c r="B2777" i="29"/>
  <c r="B2776" i="29"/>
  <c r="B2775" i="29"/>
  <c r="B2774" i="29"/>
  <c r="B2773" i="29"/>
  <c r="B2772" i="29"/>
  <c r="B2771" i="29"/>
  <c r="B2770" i="29"/>
  <c r="B2769" i="29"/>
  <c r="B2768" i="29"/>
  <c r="B2767" i="29"/>
  <c r="B2766" i="29"/>
  <c r="B2765" i="29"/>
  <c r="B2764" i="29"/>
  <c r="B2763" i="29"/>
  <c r="B2762" i="29"/>
  <c r="B2761" i="29"/>
  <c r="B2760" i="29"/>
  <c r="B2759" i="29"/>
  <c r="B2758" i="29"/>
  <c r="B2757" i="29"/>
  <c r="B2756" i="29"/>
  <c r="B2755" i="29"/>
  <c r="B2754" i="29"/>
  <c r="B2753" i="29"/>
  <c r="B2752" i="29"/>
  <c r="B2751" i="29"/>
  <c r="B2750" i="29"/>
  <c r="B2749" i="29"/>
  <c r="B2748" i="29"/>
  <c r="B2747" i="29"/>
  <c r="B2746" i="29"/>
  <c r="B2745" i="29"/>
  <c r="B2744" i="29"/>
  <c r="B2743" i="29"/>
  <c r="B2742" i="29"/>
  <c r="B2741" i="29"/>
  <c r="B2740" i="29"/>
  <c r="B2739" i="29"/>
  <c r="B2738" i="29"/>
  <c r="B2737" i="29"/>
  <c r="B2736" i="29"/>
  <c r="B2735" i="29"/>
  <c r="B2734" i="29"/>
  <c r="B2733" i="29"/>
  <c r="B2732" i="29"/>
  <c r="B2731" i="29"/>
  <c r="B2730" i="29"/>
  <c r="B2729" i="29"/>
  <c r="B2728" i="29"/>
  <c r="B2727" i="29"/>
  <c r="B2726" i="29"/>
  <c r="B2725" i="29"/>
  <c r="B2724" i="29"/>
  <c r="B2723" i="29"/>
  <c r="B2722" i="29"/>
  <c r="B2721" i="29"/>
  <c r="B2720" i="29"/>
  <c r="B2719" i="29"/>
  <c r="B2718" i="29"/>
  <c r="B2717" i="29"/>
  <c r="B2716" i="29"/>
  <c r="B2715" i="29"/>
  <c r="B2714" i="29"/>
  <c r="B2713" i="29"/>
  <c r="B2712" i="29"/>
  <c r="B2711" i="29"/>
  <c r="B2710" i="29"/>
  <c r="B2709" i="29"/>
  <c r="B2708" i="29"/>
  <c r="B2707" i="29"/>
  <c r="B2706" i="29"/>
  <c r="B2705" i="29"/>
  <c r="B2704" i="29"/>
  <c r="B2703" i="29"/>
  <c r="B2702" i="29"/>
  <c r="B2701" i="29"/>
  <c r="B2700" i="29"/>
  <c r="B2699" i="29"/>
  <c r="B2698" i="29"/>
  <c r="B2697" i="29"/>
  <c r="B2696" i="29"/>
  <c r="B2695" i="29"/>
  <c r="B2694" i="29"/>
  <c r="B2693" i="29"/>
  <c r="B2692" i="29"/>
  <c r="B2691" i="29"/>
  <c r="B2690" i="29"/>
  <c r="B2689" i="29"/>
  <c r="B2688" i="29"/>
  <c r="B2687" i="29"/>
  <c r="B2686" i="29"/>
  <c r="B2685" i="29"/>
  <c r="B2684" i="29"/>
  <c r="B2683" i="29"/>
  <c r="B2682" i="29"/>
  <c r="B2681" i="29"/>
  <c r="B2680" i="29"/>
  <c r="B2679" i="29"/>
  <c r="B2678" i="29"/>
  <c r="B2677" i="29"/>
  <c r="B2676" i="29"/>
  <c r="B2675" i="29"/>
  <c r="B2674" i="29"/>
  <c r="B2673" i="29"/>
  <c r="B2672" i="29"/>
  <c r="B2671" i="29"/>
  <c r="B2670" i="29"/>
  <c r="B2669" i="29"/>
  <c r="B2668" i="29"/>
  <c r="B2667" i="29"/>
  <c r="B2666" i="29"/>
  <c r="B2665" i="29"/>
  <c r="B2664" i="29"/>
  <c r="B2663" i="29"/>
  <c r="B2662" i="29"/>
  <c r="B2661" i="29"/>
  <c r="B2660" i="29"/>
  <c r="B2659" i="29"/>
  <c r="B2658" i="29"/>
  <c r="B2657" i="29"/>
  <c r="B2656" i="29"/>
  <c r="B2655" i="29"/>
  <c r="B2654" i="29"/>
  <c r="B2653" i="29"/>
  <c r="B2652" i="29"/>
  <c r="B2651" i="29"/>
  <c r="B2650" i="29"/>
  <c r="B2649" i="29"/>
  <c r="B2648" i="29"/>
  <c r="B2647" i="29"/>
  <c r="B2646" i="29"/>
  <c r="B2645" i="29"/>
  <c r="B2644" i="29"/>
  <c r="B2643" i="29"/>
  <c r="B2642" i="29"/>
  <c r="B2641" i="29"/>
  <c r="B2640" i="29"/>
  <c r="B2639" i="29"/>
  <c r="B2638" i="29"/>
  <c r="B2637" i="29"/>
  <c r="B2636" i="29"/>
  <c r="B2635" i="29"/>
  <c r="B2634" i="29"/>
  <c r="B2633" i="29"/>
  <c r="B2632" i="29"/>
  <c r="B2631" i="29"/>
  <c r="B2630" i="29"/>
  <c r="B2629" i="29"/>
  <c r="B2628" i="29"/>
  <c r="B2627" i="29"/>
  <c r="B2626" i="29"/>
  <c r="B2625" i="29"/>
  <c r="B2624" i="29"/>
  <c r="B2623" i="29"/>
  <c r="B2622" i="29"/>
  <c r="B2621" i="29"/>
  <c r="B2620" i="29"/>
  <c r="B2619" i="29"/>
  <c r="B2618" i="29"/>
  <c r="B2617" i="29"/>
  <c r="B2616" i="29"/>
  <c r="B2615" i="29"/>
  <c r="B2614" i="29"/>
  <c r="B2613" i="29"/>
  <c r="B2612" i="29"/>
  <c r="B2611" i="29"/>
  <c r="B2610" i="29"/>
  <c r="B2609" i="29"/>
  <c r="B2608" i="29"/>
  <c r="B2607" i="29"/>
  <c r="B2606" i="29"/>
  <c r="B2605" i="29"/>
  <c r="B2604" i="29"/>
  <c r="B2603" i="29"/>
  <c r="B2602" i="29"/>
  <c r="B2601" i="29"/>
  <c r="B2600" i="29"/>
  <c r="B2599" i="29"/>
  <c r="B2598" i="29"/>
  <c r="B2597" i="29"/>
  <c r="B2596" i="29"/>
  <c r="B2595" i="29"/>
  <c r="B2594" i="29"/>
  <c r="B2593" i="29"/>
  <c r="B2592" i="29"/>
  <c r="B2591" i="29"/>
  <c r="B2590" i="29"/>
  <c r="B2589" i="29"/>
  <c r="B2588" i="29"/>
  <c r="B2587" i="29"/>
  <c r="B2586" i="29"/>
  <c r="B2585" i="29"/>
  <c r="B2584" i="29"/>
  <c r="B2583" i="29"/>
  <c r="B2582" i="29"/>
  <c r="B2581" i="29"/>
  <c r="B2580" i="29"/>
  <c r="B2579" i="29"/>
  <c r="B2578" i="29"/>
  <c r="B2577" i="29"/>
  <c r="B2576" i="29"/>
  <c r="B2575" i="29"/>
  <c r="B2574" i="29"/>
  <c r="B2573" i="29"/>
  <c r="B2572" i="29"/>
  <c r="B2571" i="29"/>
  <c r="B2570" i="29"/>
  <c r="B2569" i="29"/>
  <c r="B2568" i="29"/>
  <c r="B2567" i="29"/>
  <c r="B2566" i="29"/>
  <c r="B2565" i="29"/>
  <c r="B2564" i="29"/>
  <c r="B2563" i="29"/>
  <c r="B2562" i="29"/>
  <c r="B2561" i="29"/>
  <c r="B2560" i="29"/>
  <c r="B2559" i="29"/>
  <c r="B2558" i="29"/>
  <c r="B2557" i="29"/>
  <c r="B2556" i="29"/>
  <c r="B2555" i="29"/>
  <c r="B2554" i="29"/>
  <c r="B2553" i="29"/>
  <c r="B2552" i="29"/>
  <c r="B2551" i="29"/>
  <c r="B2550" i="29"/>
  <c r="B2549" i="29"/>
  <c r="B2548" i="29"/>
  <c r="B2547" i="29"/>
  <c r="B2546" i="29"/>
  <c r="B2545" i="29"/>
  <c r="B2544" i="29"/>
  <c r="B2543" i="29"/>
  <c r="B2542" i="29"/>
  <c r="B2541" i="29"/>
  <c r="B2540" i="29"/>
  <c r="B2539" i="29"/>
  <c r="B2538" i="29"/>
  <c r="B2537" i="29"/>
  <c r="B2536" i="29"/>
  <c r="B2535" i="29"/>
  <c r="B2534" i="29"/>
  <c r="B2533" i="29"/>
  <c r="B2532" i="29"/>
  <c r="B2531" i="29"/>
  <c r="B2530" i="29"/>
  <c r="B2529" i="29"/>
  <c r="B2528" i="29"/>
  <c r="B2527" i="29"/>
  <c r="B2526" i="29"/>
  <c r="B2525" i="29"/>
  <c r="B2524" i="29"/>
  <c r="B2523" i="29"/>
  <c r="B2522" i="29"/>
  <c r="B2521" i="29"/>
  <c r="B2520" i="29"/>
  <c r="B2519" i="29"/>
  <c r="B2518" i="29"/>
  <c r="B2517" i="29"/>
  <c r="B2516" i="29"/>
  <c r="B2515" i="29"/>
  <c r="B2514" i="29"/>
  <c r="B2513" i="29"/>
  <c r="B2512" i="29"/>
  <c r="B2511" i="29"/>
  <c r="B2510" i="29"/>
  <c r="B2509" i="29"/>
  <c r="B2508" i="29"/>
  <c r="B2507" i="29"/>
  <c r="B2506" i="29"/>
  <c r="B2505" i="29"/>
  <c r="B2504" i="29"/>
  <c r="B2503" i="29"/>
  <c r="B2502" i="29"/>
  <c r="B2501" i="29"/>
  <c r="B2500" i="29"/>
  <c r="B2499" i="29"/>
  <c r="B2498" i="29"/>
  <c r="B2497" i="29"/>
  <c r="B2496" i="29"/>
  <c r="B2495" i="29"/>
  <c r="B2494" i="29"/>
  <c r="B2493" i="29"/>
  <c r="B2492" i="29"/>
  <c r="B2491" i="29"/>
  <c r="B2490" i="29"/>
  <c r="B2489" i="29"/>
  <c r="B2488" i="29"/>
  <c r="B2487" i="29"/>
  <c r="B2486" i="29"/>
  <c r="B2485" i="29"/>
  <c r="B2484" i="29"/>
  <c r="B2483" i="29"/>
  <c r="B2482" i="29"/>
  <c r="B2481" i="29"/>
  <c r="B2480" i="29"/>
  <c r="B2479" i="29"/>
  <c r="B2478" i="29"/>
  <c r="B2477" i="29"/>
  <c r="B2476" i="29"/>
  <c r="B2475" i="29"/>
  <c r="B2474" i="29"/>
  <c r="B2473" i="29"/>
  <c r="B2472" i="29"/>
  <c r="B2471" i="29"/>
  <c r="B2470" i="29"/>
  <c r="B2469" i="29"/>
  <c r="B2468" i="29"/>
  <c r="B2467" i="29"/>
  <c r="B2466" i="29"/>
  <c r="B2465" i="29"/>
  <c r="B2464" i="29"/>
  <c r="B2463" i="29"/>
  <c r="B2462" i="29"/>
  <c r="B2461" i="29"/>
  <c r="B2460" i="29"/>
  <c r="B2459" i="29"/>
  <c r="B2458" i="29"/>
  <c r="B2457" i="29"/>
  <c r="B2456" i="29"/>
  <c r="B2455" i="29"/>
  <c r="B2454" i="29"/>
  <c r="B2453" i="29"/>
  <c r="B2452" i="29"/>
  <c r="B2451" i="29"/>
  <c r="B2450" i="29"/>
  <c r="B2449" i="29"/>
  <c r="B2448" i="29"/>
  <c r="B2447" i="29"/>
  <c r="B2446" i="29"/>
  <c r="B2445" i="29"/>
  <c r="B2444" i="29"/>
  <c r="B2443" i="29"/>
  <c r="B2442" i="29"/>
  <c r="B2441" i="29"/>
  <c r="B2440" i="29"/>
  <c r="B2439" i="29"/>
  <c r="B2438" i="29"/>
  <c r="B2437" i="29"/>
  <c r="B2436" i="29"/>
  <c r="B2435" i="29"/>
  <c r="B2434" i="29"/>
  <c r="B2433" i="29"/>
  <c r="B2432" i="29"/>
  <c r="B2431" i="29"/>
  <c r="B2430" i="29"/>
  <c r="B2429" i="29"/>
  <c r="B2428" i="29"/>
  <c r="B2427" i="29"/>
  <c r="B2426" i="29"/>
  <c r="B2425" i="29"/>
  <c r="B2424" i="29"/>
  <c r="B2423" i="29"/>
  <c r="B2422" i="29"/>
  <c r="B2421" i="29"/>
  <c r="B2420" i="29"/>
  <c r="B2419" i="29"/>
  <c r="B2418" i="29"/>
  <c r="B2417" i="29"/>
  <c r="B2416" i="29"/>
  <c r="B2415" i="29"/>
  <c r="B2414" i="29"/>
  <c r="B2413" i="29"/>
  <c r="B2412" i="29"/>
  <c r="B2411" i="29"/>
  <c r="B2410" i="29"/>
  <c r="B2409" i="29"/>
  <c r="B2408" i="29"/>
  <c r="B2407" i="29"/>
  <c r="B2406" i="29"/>
  <c r="B2405" i="29"/>
  <c r="B2404" i="29"/>
  <c r="B2403" i="29"/>
  <c r="B2402" i="29"/>
  <c r="B2401" i="29"/>
  <c r="B2400" i="29"/>
  <c r="B2399" i="29"/>
  <c r="B2398" i="29"/>
  <c r="B2397" i="29"/>
  <c r="B2396" i="29"/>
  <c r="B2395" i="29"/>
  <c r="B2394" i="29"/>
  <c r="B2393" i="29"/>
  <c r="B2392" i="29"/>
  <c r="B2391" i="29"/>
  <c r="B2390" i="29"/>
  <c r="B2389" i="29"/>
  <c r="B2388" i="29"/>
  <c r="B2387" i="29"/>
  <c r="B2386" i="29"/>
  <c r="B2385" i="29"/>
  <c r="B2384" i="29"/>
  <c r="B2383" i="29"/>
  <c r="B2382" i="29"/>
  <c r="B2381" i="29"/>
  <c r="B2380" i="29"/>
  <c r="B2379" i="29"/>
  <c r="B2378" i="29"/>
  <c r="B2377" i="29"/>
  <c r="B2376" i="29"/>
  <c r="B2375" i="29"/>
  <c r="B2374" i="29"/>
  <c r="B2373" i="29"/>
  <c r="B2372" i="29"/>
  <c r="B2371" i="29"/>
  <c r="B2370" i="29"/>
  <c r="B2369" i="29"/>
  <c r="B2368" i="29"/>
  <c r="B2367" i="29"/>
  <c r="B2366" i="29"/>
  <c r="B2365" i="29"/>
  <c r="B2364" i="29"/>
  <c r="B2363" i="29"/>
  <c r="B2362" i="29"/>
  <c r="B2361" i="29"/>
  <c r="B2360" i="29"/>
  <c r="B2359" i="29"/>
  <c r="B2358" i="29"/>
  <c r="B2357" i="29"/>
  <c r="B2356" i="29"/>
  <c r="B2355" i="29"/>
  <c r="B2354" i="29"/>
  <c r="B2353" i="29"/>
  <c r="B2352" i="29"/>
  <c r="B2351" i="29"/>
  <c r="B2350" i="29"/>
  <c r="B2349" i="29"/>
  <c r="B2348" i="29"/>
  <c r="B2347" i="29"/>
  <c r="B2346" i="29"/>
  <c r="B2345" i="29"/>
  <c r="B2344" i="29"/>
  <c r="B2343" i="29"/>
  <c r="B2342" i="29"/>
  <c r="B2341" i="29"/>
  <c r="B2340" i="29"/>
  <c r="B2339" i="29"/>
  <c r="B2338" i="29"/>
  <c r="B2337" i="29"/>
  <c r="B2336" i="29"/>
  <c r="B2335" i="29"/>
  <c r="B2334" i="29"/>
  <c r="B2333" i="29"/>
  <c r="B2332" i="29"/>
  <c r="B2331" i="29"/>
  <c r="B2330" i="29"/>
  <c r="B2329" i="29"/>
  <c r="B2328" i="29"/>
  <c r="B2327" i="29"/>
  <c r="B2326" i="29"/>
  <c r="B2325" i="29"/>
  <c r="B2324" i="29"/>
  <c r="B2323" i="29"/>
  <c r="B2322" i="29"/>
  <c r="B2321" i="29"/>
  <c r="B2320" i="29"/>
  <c r="B2319" i="29"/>
  <c r="B2318" i="29"/>
  <c r="B2317" i="29"/>
  <c r="B2316" i="29"/>
  <c r="B2315" i="29"/>
  <c r="B2314" i="29"/>
  <c r="B2313" i="29"/>
  <c r="B2312" i="29"/>
  <c r="B2311" i="29"/>
  <c r="B2310" i="29"/>
  <c r="B2309" i="29"/>
  <c r="B2308" i="29"/>
  <c r="B2307" i="29"/>
  <c r="B2306" i="29"/>
  <c r="B2305" i="29"/>
  <c r="B2304" i="29"/>
  <c r="B2303" i="29"/>
  <c r="B2302" i="29"/>
  <c r="B2301" i="29"/>
  <c r="B2300" i="29"/>
  <c r="B2299" i="29"/>
  <c r="B2298" i="29"/>
  <c r="B2297" i="29"/>
  <c r="B2296" i="29"/>
  <c r="B2295" i="29"/>
  <c r="B2294" i="29"/>
  <c r="B2293" i="29"/>
  <c r="B2292" i="29"/>
  <c r="B2291" i="29"/>
  <c r="B2290" i="29"/>
  <c r="B2289" i="29"/>
  <c r="B2288" i="29"/>
  <c r="B2287" i="29"/>
  <c r="B2286" i="29"/>
  <c r="B2285" i="29"/>
  <c r="B2284" i="29"/>
  <c r="B2283" i="29"/>
  <c r="B2282" i="29"/>
  <c r="B2281" i="29"/>
  <c r="B2280" i="29"/>
  <c r="B2279" i="29"/>
  <c r="B2278" i="29"/>
  <c r="B2277" i="29"/>
  <c r="B2276" i="29"/>
  <c r="B2275" i="29"/>
  <c r="B2274" i="29"/>
  <c r="B2273" i="29"/>
  <c r="B2272" i="29"/>
  <c r="B2271" i="29"/>
  <c r="B2270" i="29"/>
  <c r="B2269" i="29"/>
  <c r="B2268" i="29"/>
  <c r="B2267" i="29"/>
  <c r="B2266" i="29"/>
  <c r="B2265" i="29"/>
  <c r="B2264" i="29"/>
  <c r="B2263" i="29"/>
  <c r="B2262" i="29"/>
  <c r="B2261" i="29"/>
  <c r="B2260" i="29"/>
  <c r="B2259" i="29"/>
  <c r="B2258" i="29"/>
  <c r="B2257" i="29"/>
  <c r="B2256" i="29"/>
  <c r="B2255" i="29"/>
  <c r="B2254" i="29"/>
  <c r="B2253" i="29"/>
  <c r="B2252" i="29"/>
  <c r="B2251" i="29"/>
  <c r="B2250" i="29"/>
  <c r="B2249" i="29"/>
  <c r="B2248" i="29"/>
  <c r="B2247" i="29"/>
  <c r="B2246" i="29"/>
  <c r="B2245" i="29"/>
  <c r="B2244" i="29"/>
  <c r="B2243" i="29"/>
  <c r="B2242" i="29"/>
  <c r="B2241" i="29"/>
  <c r="B2240" i="29"/>
  <c r="B2239" i="29"/>
  <c r="B2238" i="29"/>
  <c r="B2237" i="29"/>
  <c r="B2236" i="29"/>
  <c r="B2235" i="29"/>
  <c r="B2234" i="29"/>
  <c r="B2233" i="29"/>
  <c r="B2232" i="29"/>
  <c r="B2231" i="29"/>
  <c r="B2230" i="29"/>
  <c r="B2229" i="29"/>
  <c r="B2228" i="29"/>
  <c r="B2227" i="29"/>
  <c r="B2226" i="29"/>
  <c r="B2225" i="29"/>
  <c r="B2224" i="29"/>
  <c r="B2223" i="29"/>
  <c r="B2222" i="29"/>
  <c r="B2221" i="29"/>
  <c r="B2220" i="29"/>
  <c r="B2219" i="29"/>
  <c r="B2218" i="29"/>
  <c r="B2217" i="29"/>
  <c r="B2216" i="29"/>
  <c r="B2215" i="29"/>
  <c r="B2214" i="29"/>
  <c r="B2213" i="29"/>
  <c r="B2212" i="29"/>
  <c r="B2211" i="29"/>
  <c r="B2210" i="29"/>
  <c r="B2209" i="29"/>
  <c r="B2208" i="29"/>
  <c r="B2207" i="29"/>
  <c r="B2206" i="29"/>
  <c r="B2205" i="29"/>
  <c r="B2204" i="29"/>
  <c r="B2203" i="29"/>
  <c r="B2202" i="29"/>
  <c r="B2201" i="29"/>
  <c r="B2200" i="29"/>
  <c r="B2199" i="29"/>
  <c r="B2198" i="29"/>
  <c r="B2197" i="29"/>
  <c r="B2196" i="29"/>
  <c r="B2195" i="29"/>
  <c r="B2194" i="29"/>
  <c r="B2193" i="29"/>
  <c r="B2192" i="29"/>
  <c r="B2191" i="29"/>
  <c r="B2190" i="29"/>
  <c r="B2189" i="29"/>
  <c r="B2188" i="29"/>
  <c r="B2187" i="29"/>
  <c r="B2186" i="29"/>
  <c r="B2185" i="29"/>
  <c r="B2184" i="29"/>
  <c r="B2183" i="29"/>
  <c r="B2182" i="29"/>
  <c r="B2181" i="29"/>
  <c r="B2180" i="29"/>
  <c r="B2179" i="29"/>
  <c r="B2178" i="29"/>
  <c r="B2177" i="29"/>
  <c r="B2176" i="29"/>
  <c r="B2175" i="29"/>
  <c r="B2174" i="29"/>
  <c r="B2173" i="29"/>
  <c r="B2172" i="29"/>
  <c r="B2171" i="29"/>
  <c r="B2170" i="29"/>
  <c r="B2169" i="29"/>
  <c r="B2168" i="29"/>
  <c r="B2167" i="29"/>
  <c r="B2166" i="29"/>
  <c r="B2165" i="29"/>
  <c r="B2164" i="29"/>
  <c r="B2163" i="29"/>
  <c r="B2162" i="29"/>
  <c r="B2161" i="29"/>
  <c r="B2160" i="29"/>
  <c r="B2159" i="29"/>
  <c r="B2158" i="29"/>
  <c r="B2157" i="29"/>
  <c r="B2156" i="29"/>
  <c r="B2155" i="29"/>
  <c r="B2154" i="29"/>
  <c r="B2153" i="29"/>
  <c r="B2152" i="29"/>
  <c r="B2151" i="29"/>
  <c r="B2150" i="29"/>
  <c r="B2149" i="29"/>
  <c r="B2148" i="29"/>
  <c r="B2147" i="29"/>
  <c r="B2146" i="29"/>
  <c r="B2145" i="29"/>
  <c r="B2144" i="29"/>
  <c r="B2143" i="29"/>
  <c r="B2142" i="29"/>
  <c r="B2141" i="29"/>
  <c r="B2140" i="29"/>
  <c r="B2139" i="29"/>
  <c r="B2138" i="29"/>
  <c r="B2137" i="29"/>
  <c r="B2136" i="29"/>
  <c r="B2135" i="29"/>
  <c r="B2134" i="29"/>
  <c r="B2133" i="29"/>
  <c r="B2132" i="29"/>
  <c r="B2131" i="29"/>
  <c r="B2130" i="29"/>
  <c r="B2129" i="29"/>
  <c r="B2128" i="29"/>
  <c r="B2127" i="29"/>
  <c r="B2126" i="29"/>
  <c r="B2125" i="29"/>
  <c r="B2124" i="29"/>
  <c r="B2123" i="29"/>
  <c r="B2122" i="29"/>
  <c r="B2121" i="29"/>
  <c r="B2120" i="29"/>
  <c r="B2119" i="29"/>
  <c r="B2118" i="29"/>
  <c r="B2117" i="29"/>
  <c r="B2116" i="29"/>
  <c r="B2115" i="29"/>
  <c r="B2114" i="29"/>
  <c r="B2113" i="29"/>
  <c r="B2112" i="29"/>
  <c r="B2111" i="29"/>
  <c r="B2110" i="29"/>
  <c r="B2109" i="29"/>
  <c r="B2108" i="29"/>
  <c r="B2107" i="29"/>
  <c r="B2106" i="29"/>
  <c r="B2105" i="29"/>
  <c r="B2104" i="29"/>
  <c r="B2103" i="29"/>
  <c r="B2102" i="29"/>
  <c r="B2101" i="29"/>
  <c r="B2100" i="29"/>
  <c r="B2099" i="29"/>
  <c r="B2098" i="29"/>
  <c r="B2097" i="29"/>
  <c r="B2096" i="29"/>
  <c r="B2095" i="29"/>
  <c r="B2094" i="29"/>
  <c r="B2093" i="29"/>
  <c r="B2092" i="29"/>
  <c r="B2091" i="29"/>
  <c r="B2090" i="29"/>
  <c r="B2089" i="29"/>
  <c r="B2088" i="29"/>
  <c r="B2087" i="29"/>
  <c r="B2086" i="29"/>
  <c r="B2085" i="29"/>
  <c r="B2084" i="29"/>
  <c r="B2083" i="29"/>
  <c r="B2082" i="29"/>
  <c r="B2081" i="29"/>
  <c r="B2080" i="29"/>
  <c r="B2079" i="29"/>
  <c r="B2078" i="29"/>
  <c r="B2077" i="29"/>
  <c r="B2076" i="29"/>
  <c r="B2075" i="29"/>
  <c r="B2074" i="29"/>
  <c r="B2073" i="29"/>
  <c r="B2072" i="29"/>
  <c r="B2071" i="29"/>
  <c r="B2070" i="29"/>
  <c r="B2069" i="29"/>
  <c r="B2068" i="29"/>
  <c r="B2067" i="29"/>
  <c r="B2066" i="29"/>
  <c r="B2065" i="29"/>
  <c r="B2064" i="29"/>
  <c r="B2063" i="29"/>
  <c r="B2062" i="29"/>
  <c r="B2061" i="29"/>
  <c r="B2060" i="29"/>
  <c r="B2059" i="29"/>
  <c r="B2058" i="29"/>
  <c r="B2057" i="29"/>
  <c r="B2056" i="29"/>
  <c r="B2055" i="29"/>
  <c r="B2054" i="29"/>
  <c r="B2053" i="29"/>
  <c r="B2052" i="29"/>
  <c r="B2051" i="29"/>
  <c r="B2050" i="29"/>
  <c r="B2049" i="29"/>
  <c r="B2048" i="29"/>
  <c r="B2047" i="29"/>
  <c r="B2046" i="29"/>
  <c r="B2045" i="29"/>
  <c r="B2044" i="29"/>
  <c r="B2043" i="29"/>
  <c r="B2042" i="29"/>
  <c r="B2041" i="29"/>
  <c r="B2040" i="29"/>
  <c r="B2039" i="29"/>
  <c r="B2038" i="29"/>
  <c r="B2037" i="29"/>
  <c r="B2036" i="29"/>
  <c r="B2035" i="29"/>
  <c r="B2034" i="29"/>
  <c r="B2033" i="29"/>
  <c r="B2032" i="29"/>
  <c r="B2031" i="29"/>
  <c r="B2030" i="29"/>
  <c r="B2029" i="29"/>
  <c r="B2028" i="29"/>
  <c r="B2027" i="29"/>
  <c r="B2026" i="29"/>
  <c r="B2025" i="29"/>
  <c r="B2024" i="29"/>
  <c r="B2023" i="29"/>
  <c r="B2022" i="29"/>
  <c r="B2021" i="29"/>
  <c r="B2020" i="29"/>
  <c r="B2019" i="29"/>
  <c r="B2018" i="29"/>
  <c r="B2017" i="29"/>
  <c r="B2016" i="29"/>
  <c r="B2015" i="29"/>
  <c r="B2014" i="29"/>
  <c r="B2013" i="29"/>
  <c r="B2012" i="29"/>
  <c r="B2011" i="29"/>
  <c r="B2010" i="29"/>
  <c r="B2009" i="29"/>
  <c r="B2008" i="29"/>
  <c r="B2007" i="29"/>
  <c r="B2006" i="29"/>
  <c r="B2005" i="29"/>
  <c r="B2004" i="29"/>
  <c r="B2003" i="29"/>
  <c r="B2002" i="29"/>
  <c r="B2001" i="29"/>
  <c r="B2000" i="29"/>
  <c r="B1999" i="29"/>
  <c r="B1998" i="29"/>
  <c r="B1997" i="29"/>
  <c r="B1996" i="29"/>
  <c r="B1995" i="29"/>
  <c r="B1994" i="29"/>
  <c r="B1993" i="29"/>
  <c r="B1992" i="29"/>
  <c r="B1991" i="29"/>
  <c r="B1990" i="29"/>
  <c r="B1989" i="29"/>
  <c r="B1988" i="29"/>
  <c r="B1987" i="29"/>
  <c r="B1986" i="29"/>
  <c r="B1985" i="29"/>
  <c r="B1984" i="29"/>
  <c r="B1983" i="29"/>
  <c r="B1982" i="29"/>
  <c r="B1981" i="29"/>
  <c r="B1980" i="29"/>
  <c r="B1979" i="29"/>
  <c r="B1978" i="29"/>
  <c r="B1977" i="29"/>
  <c r="B1976" i="29"/>
  <c r="B1975" i="29"/>
  <c r="B1974" i="29"/>
  <c r="B1973" i="29"/>
  <c r="B1972" i="29"/>
  <c r="B1971" i="29"/>
  <c r="B1970" i="29"/>
  <c r="B1969" i="29"/>
  <c r="B1968" i="29"/>
  <c r="B1967" i="29"/>
  <c r="B1966" i="29"/>
  <c r="B1965" i="29"/>
  <c r="B1964" i="29"/>
  <c r="B1963" i="29"/>
  <c r="B1962" i="29"/>
  <c r="B1961" i="29"/>
  <c r="B1960" i="29"/>
  <c r="B1959" i="29"/>
  <c r="B1958" i="29"/>
  <c r="B1957" i="29"/>
  <c r="B1956" i="29"/>
  <c r="B1955" i="29"/>
  <c r="B1954" i="29"/>
  <c r="B1953" i="29"/>
  <c r="B1952" i="29"/>
  <c r="B1951" i="29"/>
  <c r="B1950" i="29"/>
  <c r="B1949" i="29"/>
  <c r="B1948" i="29"/>
  <c r="B1947" i="29"/>
  <c r="B1946" i="29"/>
  <c r="B1945" i="29"/>
  <c r="B1944" i="29"/>
  <c r="B1943" i="29"/>
  <c r="B1942" i="29"/>
  <c r="B1941" i="29"/>
  <c r="B1940" i="29"/>
  <c r="B1939" i="29"/>
  <c r="B1938" i="29"/>
  <c r="B1937" i="29"/>
  <c r="B1936" i="29"/>
  <c r="B1935" i="29"/>
  <c r="B1934" i="29"/>
  <c r="B1933" i="29"/>
  <c r="B1932" i="29"/>
  <c r="B1931" i="29"/>
  <c r="B1930" i="29"/>
  <c r="B1929" i="29"/>
  <c r="B1928" i="29"/>
  <c r="B1927" i="29"/>
  <c r="B1926" i="29"/>
  <c r="B1925" i="29"/>
  <c r="B1924" i="29"/>
  <c r="B1923" i="29"/>
  <c r="B1922" i="29"/>
  <c r="B1921" i="29"/>
  <c r="B1920" i="29"/>
  <c r="B1919" i="29"/>
  <c r="B1918" i="29"/>
  <c r="B1917" i="29"/>
  <c r="B1916" i="29"/>
  <c r="B1915" i="29"/>
  <c r="B1914" i="29"/>
  <c r="B1913" i="29"/>
  <c r="B1912" i="29"/>
  <c r="B1911" i="29"/>
  <c r="B1910" i="29"/>
  <c r="B1909" i="29"/>
  <c r="B1908" i="29"/>
  <c r="B1907" i="29"/>
  <c r="B1906" i="29"/>
  <c r="B1905" i="29"/>
  <c r="B1904" i="29"/>
  <c r="B1903" i="29"/>
  <c r="B1902" i="29"/>
  <c r="B1901" i="29"/>
  <c r="B1900" i="29"/>
  <c r="B1899" i="29"/>
  <c r="B1898" i="29"/>
  <c r="B1897" i="29"/>
  <c r="B1896" i="29"/>
  <c r="B1895" i="29"/>
  <c r="B1894" i="29"/>
  <c r="B1893" i="29"/>
  <c r="B1892" i="29"/>
  <c r="B1891" i="29"/>
  <c r="B1890" i="29"/>
  <c r="B1889" i="29"/>
  <c r="B1888" i="29"/>
  <c r="B1887" i="29"/>
  <c r="B1886" i="29"/>
  <c r="B1885" i="29"/>
  <c r="B1884" i="29"/>
  <c r="B1883" i="29"/>
  <c r="B1882" i="29"/>
  <c r="B1881" i="29"/>
  <c r="B1880" i="29"/>
  <c r="B1879" i="29"/>
  <c r="B1878" i="29"/>
  <c r="B1877" i="29"/>
  <c r="B1876" i="29"/>
  <c r="B1875" i="29"/>
  <c r="B1874" i="29"/>
  <c r="B1873" i="29"/>
  <c r="B1872" i="29"/>
  <c r="B1871" i="29"/>
  <c r="B1870" i="29"/>
  <c r="B1869" i="29"/>
  <c r="B1868" i="29"/>
  <c r="B1867" i="29"/>
  <c r="B1866" i="29"/>
  <c r="B1865" i="29"/>
  <c r="B1864" i="29"/>
  <c r="B1863" i="29"/>
  <c r="B1862" i="29"/>
  <c r="B1861" i="29"/>
  <c r="B1860" i="29"/>
  <c r="B1859" i="29"/>
  <c r="B1858" i="29"/>
  <c r="B1857" i="29"/>
  <c r="B1856" i="29"/>
  <c r="B1855" i="29"/>
  <c r="B1854" i="29"/>
  <c r="B1853" i="29"/>
  <c r="B1852" i="29"/>
  <c r="B1851" i="29"/>
  <c r="B1850" i="29"/>
  <c r="B1849" i="29"/>
  <c r="B1848" i="29"/>
  <c r="B1847" i="29"/>
  <c r="B1846" i="29"/>
  <c r="B1845" i="29"/>
  <c r="B1844" i="29"/>
  <c r="B1843" i="29"/>
  <c r="B1842" i="29"/>
  <c r="B1841" i="29"/>
  <c r="B1840" i="29"/>
  <c r="B1839" i="29"/>
  <c r="B1838" i="29"/>
  <c r="B1837" i="29"/>
  <c r="B1836" i="29"/>
  <c r="B1835" i="29"/>
  <c r="B1834" i="29"/>
  <c r="B1833" i="29"/>
  <c r="B1832" i="29"/>
  <c r="B1831" i="29"/>
  <c r="B1830" i="29"/>
  <c r="B1829" i="29"/>
  <c r="B1828" i="29"/>
  <c r="B1827" i="29"/>
  <c r="B1826" i="29"/>
  <c r="B1825" i="29"/>
  <c r="B1824" i="29"/>
  <c r="B1823" i="29"/>
  <c r="B1822" i="29"/>
  <c r="B1821" i="29"/>
  <c r="B1820" i="29"/>
  <c r="B1819" i="29"/>
  <c r="B1818" i="29"/>
  <c r="B1817" i="29"/>
  <c r="B1816" i="29"/>
  <c r="B1815" i="29"/>
  <c r="B1814" i="29"/>
  <c r="B1813" i="29"/>
  <c r="B1812" i="29"/>
  <c r="B1811" i="29"/>
  <c r="B1810" i="29"/>
  <c r="B1809" i="29"/>
  <c r="B1808" i="29"/>
  <c r="B1807" i="29"/>
  <c r="B1806" i="29"/>
  <c r="B1805" i="29"/>
  <c r="B1804" i="29"/>
  <c r="B1803" i="29"/>
  <c r="B1802" i="29"/>
  <c r="B1801" i="29"/>
  <c r="B1800" i="29"/>
  <c r="B1799" i="29"/>
  <c r="B1798" i="29"/>
  <c r="B1797" i="29"/>
  <c r="B1796" i="29"/>
  <c r="B1795" i="29"/>
  <c r="B1794" i="29"/>
  <c r="B1793" i="29"/>
  <c r="B1792" i="29"/>
  <c r="B1791" i="29"/>
  <c r="B1790" i="29"/>
  <c r="B1789" i="29"/>
  <c r="B1788" i="29"/>
  <c r="B1787" i="29"/>
  <c r="B1786" i="29"/>
  <c r="B1785" i="29"/>
  <c r="B1784" i="29"/>
  <c r="B1783" i="29"/>
  <c r="B1782" i="29"/>
  <c r="B1781" i="29"/>
  <c r="B1780" i="29"/>
  <c r="B1779" i="29"/>
  <c r="B1778" i="29"/>
  <c r="B1777" i="29"/>
  <c r="B1776" i="29"/>
  <c r="B1775" i="29"/>
  <c r="B1774" i="29"/>
  <c r="B1773" i="29"/>
  <c r="B1772" i="29"/>
  <c r="B1771" i="29"/>
  <c r="B1770" i="29"/>
  <c r="B1769" i="29"/>
  <c r="B1768" i="29"/>
  <c r="B1767" i="29"/>
  <c r="B1766" i="29"/>
  <c r="B1765" i="29"/>
  <c r="B1764" i="29"/>
  <c r="B1763" i="29"/>
  <c r="B1762" i="29"/>
  <c r="B1761" i="29"/>
  <c r="B1760" i="29"/>
  <c r="B1759" i="29"/>
  <c r="B1758" i="29"/>
  <c r="B1757" i="29"/>
  <c r="B1756" i="29"/>
  <c r="B1755" i="29"/>
  <c r="B1754" i="29"/>
  <c r="B1753" i="29"/>
  <c r="B1752" i="29"/>
  <c r="B1751" i="29"/>
  <c r="B1750" i="29"/>
  <c r="B1749" i="29"/>
  <c r="B1748" i="29"/>
  <c r="B1747" i="29"/>
  <c r="B1746" i="29"/>
  <c r="B1745" i="29"/>
  <c r="B1744" i="29"/>
  <c r="B1743" i="29"/>
  <c r="B1742" i="29"/>
  <c r="B1741" i="29"/>
  <c r="B1740" i="29"/>
  <c r="B1739" i="29"/>
  <c r="B1738" i="29"/>
  <c r="B1737" i="29"/>
  <c r="B1736" i="29"/>
  <c r="B1735" i="29"/>
  <c r="B1734" i="29"/>
  <c r="B1733" i="29"/>
  <c r="B1732" i="29"/>
  <c r="B1731" i="29"/>
  <c r="B1730" i="29"/>
  <c r="B1729" i="29"/>
  <c r="B1728" i="29"/>
  <c r="B1727" i="29"/>
  <c r="B1726" i="29"/>
  <c r="B1725" i="29"/>
  <c r="B1724" i="29"/>
  <c r="B1723" i="29"/>
  <c r="B1722" i="29"/>
  <c r="B1721" i="29"/>
  <c r="B1720" i="29"/>
  <c r="B1719" i="29"/>
  <c r="B1718" i="29"/>
  <c r="B1717" i="29"/>
  <c r="B1716" i="29"/>
  <c r="B1715" i="29"/>
  <c r="B1714" i="29"/>
  <c r="B1713" i="29"/>
  <c r="B1712" i="29"/>
  <c r="B1711" i="29"/>
  <c r="B1710" i="29"/>
  <c r="B1709" i="29"/>
  <c r="B1708" i="29"/>
  <c r="B1707" i="29"/>
  <c r="B1706" i="29"/>
  <c r="B1705" i="29"/>
  <c r="B1704" i="29"/>
  <c r="B1703" i="29"/>
  <c r="B1702" i="29"/>
  <c r="B1701" i="29"/>
  <c r="B1700" i="29"/>
  <c r="B1699" i="29"/>
  <c r="B1698" i="29"/>
  <c r="B1697" i="29"/>
  <c r="B1696" i="29"/>
  <c r="B1695" i="29"/>
  <c r="B1694" i="29"/>
  <c r="B1693" i="29"/>
  <c r="B1692" i="29"/>
  <c r="B1691" i="29"/>
  <c r="B1690" i="29"/>
  <c r="B1689" i="29"/>
  <c r="B1688" i="29"/>
  <c r="B1687" i="29"/>
  <c r="B1686" i="29"/>
  <c r="B1685" i="29"/>
  <c r="B1684" i="29"/>
  <c r="B1683" i="29"/>
  <c r="B1682" i="29"/>
  <c r="B1681" i="29"/>
  <c r="B1680" i="29"/>
  <c r="B1679" i="29"/>
  <c r="B1678" i="29"/>
  <c r="B1677" i="29"/>
  <c r="B1676" i="29"/>
  <c r="B1675" i="29"/>
  <c r="B1674" i="29"/>
  <c r="B1673" i="29"/>
  <c r="B1672" i="29"/>
  <c r="B1671" i="29"/>
  <c r="B1670" i="29"/>
  <c r="B1669" i="29"/>
  <c r="B1668" i="29"/>
  <c r="B1667" i="29"/>
  <c r="B1666" i="29"/>
  <c r="B1665" i="29"/>
  <c r="B1664" i="29"/>
  <c r="B1663" i="29"/>
  <c r="B1662" i="29"/>
  <c r="B1661" i="29"/>
  <c r="B1660" i="29"/>
  <c r="B1659" i="29"/>
  <c r="B1658" i="29"/>
  <c r="B1657" i="29"/>
  <c r="B1656" i="29"/>
  <c r="B1655" i="29"/>
  <c r="B1654" i="29"/>
  <c r="B1653" i="29"/>
  <c r="B1652" i="29"/>
  <c r="B1651" i="29"/>
  <c r="B1650" i="29"/>
  <c r="B1649" i="29"/>
  <c r="B1648" i="29"/>
  <c r="B1647" i="29"/>
  <c r="B1646" i="29"/>
  <c r="B1645" i="29"/>
  <c r="B1644" i="29"/>
  <c r="B1643" i="29"/>
  <c r="B1642" i="29"/>
  <c r="B1641" i="29"/>
  <c r="B1640" i="29"/>
  <c r="B1639" i="29"/>
  <c r="B1638" i="29"/>
  <c r="B1637" i="29"/>
  <c r="B1636" i="29"/>
  <c r="B1635" i="29"/>
  <c r="B1634" i="29"/>
  <c r="B1633" i="29"/>
  <c r="B1632" i="29"/>
  <c r="B1631" i="29"/>
  <c r="B1630" i="29"/>
  <c r="B1629" i="29"/>
  <c r="B1628" i="29"/>
  <c r="B1627" i="29"/>
  <c r="B1626" i="29"/>
  <c r="B1625" i="29"/>
  <c r="B1624" i="29"/>
  <c r="B1623" i="29"/>
  <c r="B1622" i="29"/>
  <c r="B1621" i="29"/>
  <c r="B1620" i="29"/>
  <c r="B1619" i="29"/>
  <c r="B1618" i="29"/>
  <c r="B1617" i="29"/>
  <c r="B1616" i="29"/>
  <c r="B1615" i="29"/>
  <c r="B1614" i="29"/>
  <c r="B1613" i="29"/>
  <c r="B1612" i="29"/>
  <c r="B1611" i="29"/>
  <c r="B1610" i="29"/>
  <c r="B1609" i="29"/>
  <c r="B1608" i="29"/>
  <c r="B1607" i="29"/>
  <c r="B1606" i="29"/>
  <c r="B1605" i="29"/>
  <c r="B1604" i="29"/>
  <c r="B1603" i="29"/>
  <c r="B1602" i="29"/>
  <c r="B1601" i="29"/>
  <c r="B1600" i="29"/>
  <c r="B1599" i="29"/>
  <c r="B1598" i="29"/>
  <c r="B1597" i="29"/>
  <c r="B1596" i="29"/>
  <c r="B1595" i="29"/>
  <c r="B1594" i="29"/>
  <c r="B1593" i="29"/>
  <c r="B1592" i="29"/>
  <c r="B1591" i="29"/>
  <c r="B1590" i="29"/>
  <c r="B1589" i="29"/>
  <c r="B1588" i="29"/>
  <c r="B1587" i="29"/>
  <c r="B1586" i="29"/>
  <c r="B1585" i="29"/>
  <c r="B1584" i="29"/>
  <c r="B1583" i="29"/>
  <c r="B1582" i="29"/>
  <c r="B1581" i="29"/>
  <c r="B1580" i="29"/>
  <c r="B1579" i="29"/>
  <c r="B1578" i="29"/>
  <c r="B1577" i="29"/>
  <c r="B1576" i="29"/>
  <c r="B1575" i="29"/>
  <c r="B1574" i="29"/>
  <c r="B1573" i="29"/>
  <c r="B1572" i="29"/>
  <c r="B1571" i="29"/>
  <c r="B1570" i="29"/>
  <c r="B1569" i="29"/>
  <c r="B1568" i="29"/>
  <c r="B1567" i="29"/>
  <c r="B1566" i="29"/>
  <c r="B1565" i="29"/>
  <c r="B1564" i="29"/>
  <c r="B1563" i="29"/>
  <c r="B1562" i="29"/>
  <c r="B1561" i="29"/>
  <c r="B1560" i="29"/>
  <c r="B1559" i="29"/>
  <c r="B1558" i="29"/>
  <c r="B1557" i="29"/>
  <c r="B1556" i="29"/>
  <c r="B1555" i="29"/>
  <c r="B1554" i="29"/>
  <c r="B1553" i="29"/>
  <c r="B1552" i="29"/>
  <c r="B1551" i="29"/>
  <c r="B1550" i="29"/>
  <c r="B1549" i="29"/>
  <c r="B1548" i="29"/>
  <c r="B1547" i="29"/>
  <c r="B1546" i="29"/>
  <c r="B1545" i="29"/>
  <c r="B1544" i="29"/>
  <c r="B1543" i="29"/>
  <c r="B1542" i="29"/>
  <c r="B1541" i="29"/>
  <c r="B1540" i="29"/>
  <c r="B1539" i="29"/>
  <c r="B1538" i="29"/>
  <c r="B1537" i="29"/>
  <c r="B1536" i="29"/>
  <c r="B1535" i="29"/>
  <c r="B1534" i="29"/>
  <c r="B1533" i="29"/>
  <c r="B1532" i="29"/>
  <c r="B1531" i="29"/>
  <c r="B1530" i="29"/>
  <c r="B1529" i="29"/>
  <c r="B1528" i="29"/>
  <c r="B1527" i="29"/>
  <c r="B1526" i="29"/>
  <c r="B1525" i="29"/>
  <c r="B1524" i="29"/>
  <c r="B1523" i="29"/>
  <c r="B1522" i="29"/>
  <c r="B1521" i="29"/>
  <c r="B1520" i="29"/>
  <c r="B1519" i="29"/>
  <c r="B1518" i="29"/>
  <c r="B1517" i="29"/>
  <c r="B1516" i="29"/>
  <c r="B1515" i="29"/>
  <c r="B1514" i="29"/>
  <c r="B1513" i="29"/>
  <c r="B1512" i="29"/>
  <c r="B1511" i="29"/>
  <c r="B1510" i="29"/>
  <c r="B1509" i="29"/>
  <c r="B1508" i="29"/>
  <c r="B1507" i="29"/>
  <c r="B1506" i="29"/>
  <c r="B1505" i="29"/>
  <c r="B1504" i="29"/>
  <c r="B1503" i="29"/>
  <c r="B1502" i="29"/>
  <c r="B1501" i="29"/>
  <c r="B1500" i="29"/>
  <c r="B1499" i="29"/>
  <c r="B1498" i="29"/>
  <c r="B1497" i="29"/>
  <c r="B1496" i="29"/>
  <c r="B1495" i="29"/>
  <c r="B1494" i="29"/>
  <c r="B1493" i="29"/>
  <c r="B1492" i="29"/>
  <c r="B1491" i="29"/>
  <c r="B1490" i="29"/>
  <c r="B1489" i="29"/>
  <c r="B1488" i="29"/>
  <c r="B1487" i="29"/>
  <c r="B1486" i="29"/>
  <c r="B1485" i="29"/>
  <c r="B1484" i="29"/>
  <c r="B1483" i="29"/>
  <c r="B1482" i="29"/>
  <c r="B1481" i="29"/>
  <c r="B1480" i="29"/>
  <c r="B1479" i="29"/>
  <c r="B1478" i="29"/>
  <c r="B1477" i="29"/>
  <c r="B1476" i="29"/>
  <c r="B1475" i="29"/>
  <c r="B1474" i="29"/>
  <c r="B1473" i="29"/>
  <c r="B1472" i="29"/>
  <c r="B1471" i="29"/>
  <c r="B1470" i="29"/>
  <c r="B1469" i="29"/>
  <c r="B1468" i="29"/>
  <c r="B1467" i="29"/>
  <c r="B1466" i="29"/>
  <c r="B1465" i="29"/>
  <c r="B1464" i="29"/>
  <c r="B1463" i="29"/>
  <c r="B1462" i="29"/>
  <c r="B1461" i="29"/>
  <c r="B1460" i="29"/>
  <c r="B1459" i="29"/>
  <c r="B1458" i="29"/>
  <c r="B1457" i="29"/>
  <c r="B1456" i="29"/>
  <c r="B1455" i="29"/>
  <c r="B1454" i="29"/>
  <c r="B1453" i="29"/>
  <c r="B1452" i="29"/>
  <c r="B1451" i="29"/>
  <c r="B1450" i="29"/>
  <c r="B1449" i="29"/>
  <c r="B1448" i="29"/>
  <c r="B1447" i="29"/>
  <c r="B1446" i="29"/>
  <c r="B1445" i="29"/>
  <c r="B1444" i="29"/>
  <c r="B1443" i="29"/>
  <c r="B1442" i="29"/>
  <c r="B1441" i="29"/>
  <c r="B1440" i="29"/>
  <c r="B1439" i="29"/>
  <c r="B1438" i="29"/>
  <c r="B1437" i="29"/>
  <c r="B1436" i="29"/>
  <c r="B1435" i="29"/>
  <c r="B1434" i="29"/>
  <c r="B1433" i="29"/>
  <c r="B1432" i="29"/>
  <c r="B1431" i="29"/>
  <c r="B1430" i="29"/>
  <c r="B1429" i="29"/>
  <c r="B1428" i="29"/>
  <c r="B1427" i="29"/>
  <c r="B1426" i="29"/>
  <c r="B1425" i="29"/>
  <c r="B1424" i="29"/>
  <c r="B1423" i="29"/>
  <c r="B1422" i="29"/>
  <c r="B1421" i="29"/>
  <c r="B1420" i="29"/>
  <c r="B1419" i="29"/>
  <c r="B1418" i="29"/>
  <c r="B1417" i="29"/>
  <c r="B1416" i="29"/>
  <c r="B1415" i="29"/>
  <c r="B1414" i="29"/>
  <c r="B1413" i="29"/>
  <c r="B1412" i="29"/>
  <c r="B1411" i="29"/>
  <c r="B1410" i="29"/>
  <c r="B1409" i="29"/>
  <c r="B1408" i="29"/>
  <c r="B1407" i="29"/>
  <c r="B1406" i="29"/>
  <c r="B1405" i="29"/>
  <c r="B1404" i="29"/>
  <c r="B1403" i="29"/>
  <c r="B1402" i="29"/>
  <c r="B1401" i="29"/>
  <c r="B1400" i="29"/>
  <c r="B1399" i="29"/>
  <c r="B1398" i="29"/>
  <c r="B1397" i="29"/>
  <c r="B1396" i="29"/>
  <c r="B1395" i="29"/>
  <c r="B1394" i="29"/>
  <c r="B1393" i="29"/>
  <c r="B1392" i="29"/>
  <c r="B1391" i="29"/>
  <c r="B1390" i="29"/>
  <c r="B1389" i="29"/>
  <c r="B1388" i="29"/>
  <c r="B1387" i="29"/>
  <c r="B1386" i="29"/>
  <c r="B1385" i="29"/>
  <c r="B1384" i="29"/>
  <c r="B1383" i="29"/>
  <c r="B1382" i="29"/>
  <c r="B1381" i="29"/>
  <c r="B1380" i="29"/>
  <c r="B1379" i="29"/>
  <c r="B1378" i="29"/>
  <c r="B1377" i="29"/>
  <c r="B1376" i="29"/>
  <c r="B1375" i="29"/>
  <c r="B1374" i="29"/>
  <c r="B1373" i="29"/>
  <c r="B1372" i="29"/>
  <c r="B1371" i="29"/>
  <c r="B1370" i="29"/>
  <c r="B1369" i="29"/>
  <c r="B1368" i="29"/>
  <c r="B1367" i="29"/>
  <c r="B1366" i="29"/>
  <c r="B1365" i="29"/>
  <c r="B1364" i="29"/>
  <c r="B1363" i="29"/>
  <c r="B1362" i="29"/>
  <c r="B1361" i="29"/>
  <c r="B1360" i="29"/>
  <c r="B1359" i="29"/>
  <c r="B1358" i="29"/>
  <c r="B1357" i="29"/>
  <c r="B1356" i="29"/>
  <c r="B1355" i="29"/>
  <c r="B1354" i="29"/>
  <c r="B1353" i="29"/>
  <c r="B1352" i="29"/>
  <c r="B1351" i="29"/>
  <c r="B1350" i="29"/>
  <c r="B1349" i="29"/>
  <c r="B1348" i="29"/>
  <c r="B1347" i="29"/>
  <c r="B1346" i="29"/>
  <c r="B1345" i="29"/>
  <c r="B1344" i="29"/>
  <c r="B1343" i="29"/>
  <c r="B1342" i="29"/>
  <c r="B1341" i="29"/>
  <c r="B1340" i="29"/>
  <c r="B1339" i="29"/>
  <c r="B1338" i="29"/>
  <c r="B1337" i="29"/>
  <c r="B1336" i="29"/>
  <c r="B1335" i="29"/>
  <c r="B1334" i="29"/>
  <c r="B1333" i="29"/>
  <c r="B1332" i="29"/>
  <c r="B1331" i="29"/>
  <c r="B1330" i="29"/>
  <c r="B1329" i="29"/>
  <c r="B1328" i="29"/>
  <c r="B1327" i="29"/>
  <c r="B1326" i="29"/>
  <c r="B1325" i="29"/>
  <c r="B1324" i="29"/>
  <c r="B1323" i="29"/>
  <c r="B1322" i="29"/>
  <c r="B1321" i="29"/>
  <c r="B1320" i="29"/>
  <c r="B1319" i="29"/>
  <c r="B1318" i="29"/>
  <c r="B1317" i="29"/>
  <c r="B1316" i="29"/>
  <c r="B1315" i="29"/>
  <c r="B1314" i="29"/>
  <c r="B1313" i="29"/>
  <c r="B1312" i="29"/>
  <c r="B1311" i="29"/>
  <c r="B1310" i="29"/>
  <c r="B1309" i="29"/>
  <c r="B1308" i="29"/>
  <c r="B1307" i="29"/>
  <c r="B1306" i="29"/>
  <c r="B1305" i="29"/>
  <c r="B1304" i="29"/>
  <c r="B1303" i="29"/>
  <c r="B1302" i="29"/>
  <c r="B1301" i="29"/>
  <c r="B1300" i="29"/>
  <c r="B1299" i="29"/>
  <c r="B1298" i="29"/>
  <c r="B1297" i="29"/>
  <c r="B1296" i="29"/>
  <c r="B1295" i="29"/>
  <c r="B1294" i="29"/>
  <c r="B1293" i="29"/>
  <c r="B1292" i="29"/>
  <c r="B1291" i="29"/>
  <c r="B1290" i="29"/>
  <c r="B1289" i="29"/>
  <c r="B1288" i="29"/>
  <c r="B1287" i="29"/>
  <c r="B1286" i="29"/>
  <c r="B1285" i="29"/>
  <c r="B1284" i="29"/>
  <c r="B1283" i="29"/>
  <c r="B1282" i="29"/>
  <c r="B1281" i="29"/>
  <c r="B1280" i="29"/>
  <c r="B1279" i="29"/>
  <c r="B1278" i="29"/>
  <c r="B1277" i="29"/>
  <c r="B1276" i="29"/>
  <c r="B1275" i="29"/>
  <c r="B1274" i="29"/>
  <c r="B1273" i="29"/>
  <c r="B1272" i="29"/>
  <c r="B1271" i="29"/>
  <c r="B1270" i="29"/>
  <c r="B1269" i="29"/>
  <c r="B1268" i="29"/>
  <c r="B1267" i="29"/>
  <c r="B1266" i="29"/>
  <c r="B1265" i="29"/>
  <c r="B1264" i="29"/>
  <c r="B1263" i="29"/>
  <c r="B1262" i="29"/>
  <c r="B1261" i="29"/>
  <c r="B1260" i="29"/>
  <c r="B1259" i="29"/>
  <c r="B1258" i="29"/>
  <c r="B1257" i="29"/>
  <c r="B1256" i="29"/>
  <c r="B1255" i="29"/>
  <c r="B1254" i="29"/>
  <c r="B1253" i="29"/>
  <c r="B1252" i="29"/>
  <c r="B1251" i="29"/>
  <c r="B1250" i="29"/>
  <c r="B1249" i="29"/>
  <c r="B1248" i="29"/>
  <c r="B1247" i="29"/>
  <c r="B1246" i="29"/>
  <c r="B1245" i="29"/>
  <c r="B1244" i="29"/>
  <c r="B1243" i="29"/>
  <c r="B1242" i="29"/>
  <c r="B1241" i="29"/>
  <c r="B1240" i="29"/>
  <c r="B1239" i="29"/>
  <c r="B1238" i="29"/>
  <c r="B1237" i="29"/>
  <c r="B1236" i="29"/>
  <c r="B1235" i="29"/>
  <c r="B1234" i="29"/>
  <c r="B1233" i="29"/>
  <c r="B1232" i="29"/>
  <c r="B1231" i="29"/>
  <c r="B1230" i="29"/>
  <c r="B1229" i="29"/>
  <c r="B1228" i="29"/>
  <c r="B1227" i="29"/>
  <c r="B1226" i="29"/>
  <c r="B1225" i="29"/>
  <c r="B1224" i="29"/>
  <c r="B1223" i="29"/>
  <c r="B1222" i="29"/>
  <c r="B1221" i="29"/>
  <c r="B1220" i="29"/>
  <c r="B1219" i="29"/>
  <c r="B1218" i="29"/>
  <c r="B1217" i="29"/>
  <c r="B1216" i="29"/>
  <c r="B1215" i="29"/>
  <c r="B1214" i="29"/>
  <c r="B1213" i="29"/>
  <c r="B1212" i="29"/>
  <c r="B1211" i="29"/>
  <c r="B1210" i="29"/>
  <c r="B1209" i="29"/>
  <c r="B1208" i="29"/>
  <c r="B1207" i="29"/>
  <c r="B1206" i="29"/>
  <c r="B1205" i="29"/>
  <c r="B1204" i="29"/>
  <c r="B1203" i="29"/>
  <c r="B1202" i="29"/>
  <c r="B1201" i="29"/>
  <c r="B1200" i="29"/>
  <c r="B1199" i="29"/>
  <c r="B1198" i="29"/>
  <c r="B1197" i="29"/>
  <c r="B1196" i="29"/>
  <c r="B1195" i="29"/>
  <c r="B1194" i="29"/>
  <c r="B1193" i="29"/>
  <c r="B1192" i="29"/>
  <c r="B1191" i="29"/>
  <c r="B1190" i="29"/>
  <c r="B1189" i="29"/>
  <c r="B1188" i="29"/>
  <c r="B1187" i="29"/>
  <c r="B1186" i="29"/>
  <c r="B1185" i="29"/>
  <c r="B1184" i="29"/>
  <c r="B1183" i="29"/>
  <c r="B1182" i="29"/>
  <c r="B1181" i="29"/>
  <c r="B1180" i="29"/>
  <c r="B1179" i="29"/>
  <c r="B1178" i="29"/>
  <c r="B1177" i="29"/>
  <c r="B1176" i="29"/>
  <c r="B1175" i="29"/>
  <c r="B1174" i="29"/>
  <c r="B1173" i="29"/>
  <c r="B1172" i="29"/>
  <c r="B1171" i="29"/>
  <c r="B1170" i="29"/>
  <c r="B1169" i="29"/>
  <c r="B1168" i="29"/>
  <c r="B1167" i="29"/>
  <c r="B1166" i="29"/>
  <c r="B1165" i="29"/>
  <c r="B1164" i="29"/>
  <c r="B1163" i="29"/>
  <c r="B1162" i="29"/>
  <c r="B1161" i="29"/>
  <c r="B1160" i="29"/>
  <c r="B1159" i="29"/>
  <c r="B1158" i="29"/>
  <c r="B1157" i="29"/>
  <c r="B1156" i="29"/>
  <c r="B1155" i="29"/>
  <c r="B1154" i="29"/>
  <c r="B1153" i="29"/>
  <c r="B1152" i="29"/>
  <c r="B1151" i="29"/>
  <c r="B1150" i="29"/>
  <c r="B1149" i="29"/>
  <c r="B1148" i="29"/>
  <c r="B1147" i="29"/>
  <c r="B1146" i="29"/>
  <c r="B1145" i="29"/>
  <c r="B1144" i="29"/>
  <c r="B1143" i="29"/>
  <c r="B1142" i="29"/>
  <c r="B1141" i="29"/>
  <c r="B1140" i="29"/>
  <c r="B1139" i="29"/>
  <c r="B1138" i="29"/>
  <c r="B1137" i="29"/>
  <c r="B1136" i="29"/>
  <c r="B1135" i="29"/>
  <c r="B1134" i="29"/>
  <c r="B1133" i="29"/>
  <c r="B1132" i="29"/>
  <c r="B1131" i="29"/>
  <c r="B1130" i="29"/>
  <c r="B1129" i="29"/>
  <c r="B1128" i="29"/>
  <c r="B1127" i="29"/>
  <c r="B1126" i="29"/>
  <c r="B1125" i="29"/>
  <c r="B1124" i="29"/>
  <c r="B1123" i="29"/>
  <c r="B1122" i="29"/>
  <c r="B1121" i="29"/>
  <c r="B1120" i="29"/>
  <c r="B1119" i="29"/>
  <c r="B1118" i="29"/>
  <c r="B1117" i="29"/>
  <c r="B1116" i="29"/>
  <c r="B1115" i="29"/>
  <c r="B1114" i="29"/>
  <c r="B1113" i="29"/>
  <c r="B1112" i="29"/>
  <c r="B1111" i="29"/>
  <c r="B1110" i="29"/>
  <c r="B1109" i="29"/>
  <c r="B1108" i="29"/>
  <c r="B1107" i="29"/>
  <c r="B1106" i="29"/>
  <c r="B1105" i="29"/>
  <c r="B1104" i="29"/>
  <c r="B1103" i="29"/>
  <c r="B1102" i="29"/>
  <c r="B1101" i="29"/>
  <c r="B1100" i="29"/>
  <c r="B1099" i="29"/>
  <c r="B1098" i="29"/>
  <c r="B1097" i="29"/>
  <c r="B1096" i="29"/>
  <c r="B1095" i="29"/>
  <c r="B1094" i="29"/>
  <c r="B1093" i="29"/>
  <c r="B1092" i="29"/>
  <c r="B1091" i="29"/>
  <c r="B1090" i="29"/>
  <c r="B1089" i="29"/>
  <c r="B1088" i="29"/>
  <c r="B1087" i="29"/>
  <c r="B1086" i="29"/>
  <c r="B1085" i="29"/>
  <c r="B1084" i="29"/>
  <c r="B1083" i="29"/>
  <c r="B1082" i="29"/>
  <c r="B1081" i="29"/>
  <c r="B1080" i="29"/>
  <c r="B1079" i="29"/>
  <c r="B1078" i="29"/>
  <c r="B1077" i="29"/>
  <c r="B1076" i="29"/>
  <c r="B1075" i="29"/>
  <c r="B1074" i="29"/>
  <c r="B1073" i="29"/>
  <c r="B1072" i="29"/>
  <c r="B1071" i="29"/>
  <c r="B1070" i="29"/>
  <c r="B1069" i="29"/>
  <c r="B1068" i="29"/>
  <c r="B1067" i="29"/>
  <c r="B1066" i="29"/>
  <c r="B1065" i="29"/>
  <c r="B1064" i="29"/>
  <c r="B1063" i="29"/>
  <c r="B1062" i="29"/>
  <c r="B1061" i="29"/>
  <c r="B1060" i="29"/>
  <c r="B1059" i="29"/>
  <c r="B1058" i="29"/>
  <c r="B1057" i="29"/>
  <c r="B1056" i="29"/>
  <c r="B1055" i="29"/>
  <c r="B1054" i="29"/>
  <c r="B1053" i="29"/>
  <c r="B1052" i="29"/>
  <c r="B1051" i="29"/>
  <c r="B1050" i="29"/>
  <c r="B1049" i="29"/>
  <c r="B1048" i="29"/>
  <c r="B1047" i="29"/>
  <c r="B1046" i="29"/>
  <c r="B1045" i="29"/>
  <c r="B1044" i="29"/>
  <c r="B1043" i="29"/>
  <c r="B1042" i="29"/>
  <c r="B1041" i="29"/>
  <c r="B1040" i="29"/>
  <c r="B1039" i="29"/>
  <c r="B1038" i="29"/>
  <c r="B1037" i="29"/>
  <c r="B1036" i="29"/>
  <c r="B1035" i="29"/>
  <c r="B1034" i="29"/>
  <c r="B1033" i="29"/>
  <c r="B1032" i="29"/>
  <c r="B1031" i="29"/>
  <c r="B1030" i="29"/>
  <c r="B1029" i="29"/>
  <c r="B1028" i="29"/>
  <c r="B1027" i="29"/>
  <c r="B1026" i="29"/>
  <c r="B1025" i="29"/>
  <c r="B1024" i="29"/>
  <c r="B1023" i="29"/>
  <c r="B1022" i="29"/>
  <c r="B1021" i="29"/>
  <c r="B1020" i="29"/>
  <c r="B1019" i="29"/>
  <c r="B1018" i="29"/>
  <c r="B1017" i="29"/>
  <c r="B1016" i="29"/>
  <c r="B1015" i="29"/>
  <c r="B1014" i="29"/>
  <c r="B1013" i="29"/>
  <c r="B1012" i="29"/>
  <c r="B1011" i="29"/>
  <c r="B1010" i="29"/>
  <c r="B1009" i="29"/>
  <c r="B1008" i="29"/>
  <c r="B1007" i="29"/>
  <c r="B1006" i="29"/>
  <c r="B1005" i="29"/>
  <c r="B1004" i="29"/>
  <c r="B1003" i="29"/>
  <c r="B1002" i="29"/>
  <c r="B1001" i="29"/>
  <c r="B1000" i="29"/>
  <c r="B999" i="29"/>
  <c r="B998" i="29"/>
  <c r="B997" i="29"/>
  <c r="B996" i="29"/>
  <c r="B995" i="29"/>
  <c r="B994" i="29"/>
  <c r="B993" i="29"/>
  <c r="B992" i="29"/>
  <c r="B991" i="29"/>
  <c r="B990" i="29"/>
  <c r="B989" i="29"/>
  <c r="B988" i="29"/>
  <c r="B987" i="29"/>
  <c r="B986" i="29"/>
  <c r="B985" i="29"/>
  <c r="B984" i="29"/>
  <c r="B983" i="29"/>
  <c r="B982" i="29"/>
  <c r="B981" i="29"/>
  <c r="B980" i="29"/>
  <c r="B979" i="29"/>
  <c r="B978" i="29"/>
  <c r="B977" i="29"/>
  <c r="B976" i="29"/>
  <c r="B975" i="29"/>
  <c r="B974" i="29"/>
  <c r="B973" i="29"/>
  <c r="B972" i="29"/>
  <c r="B971" i="29"/>
  <c r="B970" i="29"/>
  <c r="B969" i="29"/>
  <c r="B968" i="29"/>
  <c r="B967" i="29"/>
  <c r="B966" i="29"/>
  <c r="B965" i="29"/>
  <c r="B964" i="29"/>
  <c r="B963" i="29"/>
  <c r="B962" i="29"/>
  <c r="B961" i="29"/>
  <c r="B960" i="29"/>
  <c r="B959" i="29"/>
  <c r="B958" i="29"/>
  <c r="B957" i="29"/>
  <c r="B956" i="29"/>
  <c r="B955" i="29"/>
  <c r="B954" i="29"/>
  <c r="B953" i="29"/>
  <c r="B952" i="29"/>
  <c r="B951" i="29"/>
  <c r="B950" i="29"/>
  <c r="B949" i="29"/>
  <c r="B948" i="29"/>
  <c r="B947" i="29"/>
  <c r="B946" i="29"/>
  <c r="B945" i="29"/>
  <c r="B944" i="29"/>
  <c r="B943" i="29"/>
  <c r="B942" i="29"/>
  <c r="B941" i="29"/>
  <c r="B940" i="29"/>
  <c r="B939" i="29"/>
  <c r="B938" i="29"/>
  <c r="B937" i="29"/>
  <c r="B936" i="29"/>
  <c r="B935" i="29"/>
  <c r="B934" i="29"/>
  <c r="B933" i="29"/>
  <c r="B932" i="29"/>
  <c r="B931" i="29"/>
  <c r="B930" i="29"/>
  <c r="B929" i="29"/>
  <c r="B928" i="29"/>
  <c r="B927" i="29"/>
  <c r="B926" i="29"/>
  <c r="B925" i="29"/>
  <c r="B924" i="29"/>
  <c r="B923" i="29"/>
  <c r="B922" i="29"/>
  <c r="B921" i="29"/>
  <c r="B920" i="29"/>
  <c r="B919" i="29"/>
  <c r="B918" i="29"/>
  <c r="B917" i="29"/>
  <c r="B916" i="29"/>
  <c r="B915" i="29"/>
  <c r="B914" i="29"/>
  <c r="B913" i="29"/>
  <c r="B912" i="29"/>
  <c r="B911" i="29"/>
  <c r="B910" i="29"/>
  <c r="B909" i="29"/>
  <c r="B908" i="29"/>
  <c r="B907" i="29"/>
  <c r="B906" i="29"/>
  <c r="B905" i="29"/>
  <c r="B904" i="29"/>
  <c r="B903" i="29"/>
  <c r="B902" i="29"/>
  <c r="B901" i="29"/>
  <c r="B900" i="29"/>
  <c r="B899" i="29"/>
  <c r="B898" i="29"/>
  <c r="B897" i="29"/>
  <c r="B896" i="29"/>
  <c r="B895" i="29"/>
  <c r="B894" i="29"/>
  <c r="B893" i="29"/>
  <c r="B892" i="29"/>
  <c r="B891" i="29"/>
  <c r="B890" i="29"/>
  <c r="B889" i="29"/>
  <c r="B888" i="29"/>
  <c r="B887" i="29"/>
  <c r="B886" i="29"/>
  <c r="B885" i="29"/>
  <c r="B884" i="29"/>
  <c r="B883" i="29"/>
  <c r="B882" i="29"/>
  <c r="B881" i="29"/>
  <c r="B880" i="29"/>
  <c r="B879" i="29"/>
  <c r="B878" i="29"/>
  <c r="B877" i="29"/>
  <c r="B876" i="29"/>
  <c r="B875" i="29"/>
  <c r="B874" i="29"/>
  <c r="B873" i="29"/>
  <c r="B872" i="29"/>
  <c r="B871" i="29"/>
  <c r="B870" i="29"/>
  <c r="B869" i="29"/>
  <c r="B868" i="29"/>
  <c r="B867" i="29"/>
  <c r="B866" i="29"/>
  <c r="B865" i="29"/>
  <c r="B864" i="29"/>
  <c r="B863" i="29"/>
  <c r="B862" i="29"/>
  <c r="B861" i="29"/>
  <c r="B860" i="29"/>
  <c r="B859" i="29"/>
  <c r="B858" i="29"/>
  <c r="B857" i="29"/>
  <c r="B856" i="29"/>
  <c r="B855" i="29"/>
  <c r="B854" i="29"/>
  <c r="B853" i="29"/>
  <c r="B852" i="29"/>
  <c r="B851" i="29"/>
  <c r="B850" i="29"/>
  <c r="B849" i="29"/>
  <c r="B848" i="29"/>
  <c r="B847" i="29"/>
  <c r="B846" i="29"/>
  <c r="B845" i="29"/>
  <c r="B844" i="29"/>
  <c r="B843" i="29"/>
  <c r="B842" i="29"/>
  <c r="B841" i="29"/>
  <c r="B840" i="29"/>
  <c r="B839" i="29"/>
  <c r="B838" i="29"/>
  <c r="B837" i="29"/>
  <c r="B836" i="29"/>
  <c r="B835" i="29"/>
  <c r="B834" i="29"/>
  <c r="B833" i="29"/>
  <c r="B832" i="29"/>
  <c r="B831" i="29"/>
  <c r="B830" i="29"/>
  <c r="B829" i="29"/>
  <c r="B828" i="29"/>
  <c r="B827" i="29"/>
  <c r="B826" i="29"/>
  <c r="B825" i="29"/>
  <c r="B824" i="29"/>
  <c r="B823" i="29"/>
  <c r="B822" i="29"/>
  <c r="B821" i="29"/>
  <c r="B820" i="29"/>
  <c r="B819" i="29"/>
  <c r="B818" i="29"/>
  <c r="B817" i="29"/>
  <c r="B816" i="29"/>
  <c r="B815" i="29"/>
  <c r="B814" i="29"/>
  <c r="B813" i="29"/>
  <c r="B812" i="29"/>
  <c r="B811" i="29"/>
  <c r="B810" i="29"/>
  <c r="B809" i="29"/>
  <c r="B808" i="29"/>
  <c r="B807" i="29"/>
  <c r="B806" i="29"/>
  <c r="B805" i="29"/>
  <c r="B804" i="29"/>
  <c r="B803" i="29"/>
  <c r="B802" i="29"/>
  <c r="B801" i="29"/>
  <c r="B800" i="29"/>
  <c r="B799" i="29"/>
  <c r="B798" i="29"/>
  <c r="B797" i="29"/>
  <c r="B796" i="29"/>
  <c r="B795" i="29"/>
  <c r="B794" i="29"/>
  <c r="B793" i="29"/>
  <c r="B792" i="29"/>
  <c r="B791" i="29"/>
  <c r="B790" i="29"/>
  <c r="B789" i="29"/>
  <c r="B788" i="29"/>
  <c r="B787" i="29"/>
  <c r="B786" i="29"/>
  <c r="B785" i="29"/>
  <c r="B784" i="29"/>
  <c r="B783" i="29"/>
  <c r="B782" i="29"/>
  <c r="B781" i="29"/>
  <c r="B780" i="29"/>
  <c r="B779" i="29"/>
  <c r="B778" i="29"/>
  <c r="B777" i="29"/>
  <c r="B776" i="29"/>
  <c r="B775" i="29"/>
  <c r="B774" i="29"/>
  <c r="B773" i="29"/>
  <c r="B772" i="29"/>
  <c r="B771" i="29"/>
  <c r="B770" i="29"/>
  <c r="B769" i="29"/>
  <c r="B768" i="29"/>
  <c r="B767" i="29"/>
  <c r="B766" i="29"/>
  <c r="B765" i="29"/>
  <c r="B764" i="29"/>
  <c r="B763" i="29"/>
  <c r="B762" i="29"/>
  <c r="B761" i="29"/>
  <c r="B760" i="29"/>
  <c r="B759" i="29"/>
  <c r="B758" i="29"/>
  <c r="B757" i="29"/>
  <c r="B756" i="29"/>
  <c r="B755" i="29"/>
  <c r="B754" i="29"/>
  <c r="B753" i="29"/>
  <c r="B752" i="29"/>
  <c r="B751" i="29"/>
  <c r="B750" i="29"/>
  <c r="B749" i="29"/>
  <c r="B748" i="29"/>
  <c r="B747" i="29"/>
  <c r="B746" i="29"/>
  <c r="B745" i="29"/>
  <c r="B744" i="29"/>
  <c r="B743" i="29"/>
  <c r="B742" i="29"/>
  <c r="B741" i="29"/>
  <c r="B740" i="29"/>
  <c r="B739" i="29"/>
  <c r="B738" i="29"/>
  <c r="B737" i="29"/>
  <c r="B736" i="29"/>
  <c r="B735" i="29"/>
  <c r="B734" i="29"/>
  <c r="B733" i="29"/>
  <c r="B732" i="29"/>
  <c r="B731" i="29"/>
  <c r="B730" i="29"/>
  <c r="B729" i="29"/>
  <c r="B728" i="29"/>
  <c r="B727" i="29"/>
  <c r="B726" i="29"/>
  <c r="B725" i="29"/>
  <c r="B724" i="29"/>
  <c r="B723" i="29"/>
  <c r="B722" i="29"/>
  <c r="B721" i="29"/>
  <c r="B720" i="29"/>
  <c r="B719" i="29"/>
  <c r="B718" i="29"/>
  <c r="B717" i="29"/>
  <c r="B716" i="29"/>
  <c r="B715" i="29"/>
  <c r="B714" i="29"/>
  <c r="B713" i="29"/>
  <c r="B712" i="29"/>
  <c r="B711" i="29"/>
  <c r="B710" i="29"/>
  <c r="B709" i="29"/>
  <c r="B708" i="29"/>
  <c r="B707" i="29"/>
  <c r="B706" i="29"/>
  <c r="B705" i="29"/>
  <c r="B704" i="29"/>
  <c r="B703" i="29"/>
  <c r="B702" i="29"/>
  <c r="B701" i="29"/>
  <c r="B700" i="29"/>
  <c r="B699" i="29"/>
  <c r="B698" i="29"/>
  <c r="B697" i="29"/>
  <c r="B696" i="29"/>
  <c r="B695" i="29"/>
  <c r="B694" i="29"/>
  <c r="B693" i="29"/>
  <c r="B692" i="29"/>
  <c r="B691" i="29"/>
  <c r="B690" i="29"/>
  <c r="B689" i="29"/>
  <c r="B688" i="29"/>
  <c r="B687" i="29"/>
  <c r="B686" i="29"/>
  <c r="B685" i="29"/>
  <c r="B684" i="29"/>
  <c r="B683" i="29"/>
  <c r="B682" i="29"/>
  <c r="B681" i="29"/>
  <c r="B680" i="29"/>
  <c r="B679" i="29"/>
  <c r="B678" i="29"/>
  <c r="B677" i="29"/>
  <c r="B676" i="29"/>
  <c r="B675" i="29"/>
  <c r="B674" i="29"/>
  <c r="B673" i="29"/>
  <c r="B672" i="29"/>
  <c r="B671" i="29"/>
  <c r="B670" i="29"/>
  <c r="B669" i="29"/>
  <c r="B668" i="29"/>
  <c r="B667" i="29"/>
  <c r="B666" i="29"/>
  <c r="B665" i="29"/>
  <c r="B664" i="29"/>
  <c r="B663" i="29"/>
  <c r="B662" i="29"/>
  <c r="B661" i="29"/>
  <c r="B660" i="29"/>
  <c r="B659" i="29"/>
  <c r="B658" i="29"/>
  <c r="B657" i="29"/>
  <c r="B656" i="29"/>
  <c r="B655" i="29"/>
  <c r="B654" i="29"/>
  <c r="B653" i="29"/>
  <c r="B652" i="29"/>
  <c r="B651" i="29"/>
  <c r="B650" i="29"/>
  <c r="B649" i="29"/>
  <c r="B648" i="29"/>
  <c r="B647" i="29"/>
  <c r="B646" i="29"/>
  <c r="B645" i="29"/>
  <c r="B644" i="29"/>
  <c r="B643" i="29"/>
  <c r="B642" i="29"/>
  <c r="B641" i="29"/>
  <c r="B640" i="29"/>
  <c r="B639" i="29"/>
  <c r="B638" i="29"/>
  <c r="B637" i="29"/>
  <c r="B636" i="29"/>
  <c r="B635" i="29"/>
  <c r="B634" i="29"/>
  <c r="B633" i="29"/>
  <c r="B632" i="29"/>
  <c r="B631" i="29"/>
  <c r="B630" i="29"/>
  <c r="B629" i="29"/>
  <c r="B628" i="29"/>
  <c r="B627" i="29"/>
  <c r="B626" i="29"/>
  <c r="B625" i="29"/>
  <c r="B624" i="29"/>
  <c r="B623" i="29"/>
  <c r="B622" i="29"/>
  <c r="B621" i="29"/>
  <c r="B620" i="29"/>
  <c r="B619" i="29"/>
  <c r="B618" i="29"/>
  <c r="B617" i="29"/>
  <c r="B616" i="29"/>
  <c r="B615" i="29"/>
  <c r="B614" i="29"/>
  <c r="B613" i="29"/>
  <c r="B612" i="29"/>
  <c r="B611" i="29"/>
  <c r="B610" i="29"/>
  <c r="B609" i="29"/>
  <c r="B608" i="29"/>
  <c r="B607" i="29"/>
  <c r="B606" i="29"/>
  <c r="B605" i="29"/>
  <c r="B604" i="29"/>
  <c r="B603" i="29"/>
  <c r="B602" i="29"/>
  <c r="B601" i="29"/>
  <c r="B600" i="29"/>
  <c r="B599" i="29"/>
  <c r="B598" i="29"/>
  <c r="B597" i="29"/>
  <c r="B596" i="29"/>
  <c r="B595" i="29"/>
  <c r="B594" i="29"/>
  <c r="B593" i="29"/>
  <c r="B592" i="29"/>
  <c r="B591" i="29"/>
  <c r="B590" i="29"/>
  <c r="B589" i="29"/>
  <c r="B588" i="29"/>
  <c r="B587" i="29"/>
  <c r="B586" i="29"/>
  <c r="B585" i="29"/>
  <c r="B584" i="29"/>
  <c r="B583" i="29"/>
  <c r="B582" i="29"/>
  <c r="B581" i="29"/>
  <c r="B580" i="29"/>
  <c r="B579" i="29"/>
  <c r="B578" i="29"/>
  <c r="B577" i="29"/>
  <c r="B576" i="29"/>
  <c r="B575" i="29"/>
  <c r="B574" i="29"/>
  <c r="B573" i="29"/>
  <c r="B572" i="29"/>
  <c r="B571" i="29"/>
  <c r="B570" i="29"/>
  <c r="B569" i="29"/>
  <c r="B568" i="29"/>
  <c r="B567" i="29"/>
  <c r="B566" i="29"/>
  <c r="B565" i="29"/>
  <c r="B564" i="29"/>
  <c r="B563" i="29"/>
  <c r="B562" i="29"/>
  <c r="B561" i="29"/>
  <c r="B560" i="29"/>
  <c r="B559" i="29"/>
  <c r="B558" i="29"/>
  <c r="B557" i="29"/>
  <c r="B556" i="29"/>
  <c r="B555" i="29"/>
  <c r="B554" i="29"/>
  <c r="B553" i="29"/>
  <c r="B552" i="29"/>
  <c r="B551" i="29"/>
  <c r="B550" i="29"/>
  <c r="B549" i="29"/>
  <c r="B548" i="29"/>
  <c r="B547" i="29"/>
  <c r="B546" i="29"/>
  <c r="B545" i="29"/>
  <c r="B544" i="29"/>
  <c r="B543" i="29"/>
  <c r="B542" i="29"/>
  <c r="B541" i="29"/>
  <c r="B540" i="29"/>
  <c r="B539" i="29"/>
  <c r="B538" i="29"/>
  <c r="B537" i="29"/>
  <c r="B536" i="29"/>
  <c r="B535" i="29"/>
  <c r="B534" i="29"/>
  <c r="B533" i="29"/>
  <c r="B532" i="29"/>
  <c r="B531" i="29"/>
  <c r="B530" i="29"/>
  <c r="B529" i="29"/>
  <c r="B528" i="29"/>
  <c r="B527" i="29"/>
  <c r="B526" i="29"/>
  <c r="B525" i="29"/>
  <c r="B524" i="29"/>
  <c r="B523" i="29"/>
  <c r="B522" i="29"/>
  <c r="B521" i="29"/>
  <c r="B520" i="29"/>
  <c r="B519" i="29"/>
  <c r="B518" i="29"/>
  <c r="B517" i="29"/>
  <c r="B516" i="29"/>
  <c r="B515" i="29"/>
  <c r="B514" i="29"/>
  <c r="B513" i="29"/>
  <c r="B512" i="29"/>
  <c r="B511" i="29"/>
  <c r="B510" i="29"/>
  <c r="B509" i="29"/>
  <c r="B508" i="29"/>
  <c r="B507" i="29"/>
  <c r="B506" i="29"/>
  <c r="B505" i="29"/>
  <c r="B504" i="29"/>
  <c r="B503" i="29"/>
  <c r="B502" i="29"/>
  <c r="B501" i="29"/>
  <c r="B500" i="29"/>
  <c r="B499" i="29"/>
  <c r="B498" i="29"/>
  <c r="B497" i="29"/>
  <c r="B496" i="29"/>
  <c r="B495" i="29"/>
  <c r="B494" i="29"/>
  <c r="B493" i="29"/>
  <c r="B492" i="29"/>
  <c r="B491" i="29"/>
  <c r="B490" i="29"/>
  <c r="B489" i="29"/>
  <c r="B488" i="29"/>
  <c r="B487" i="29"/>
  <c r="B486" i="29"/>
  <c r="B485" i="29"/>
  <c r="B484" i="29"/>
  <c r="B483" i="29"/>
  <c r="B482" i="29"/>
  <c r="B481" i="29"/>
  <c r="B480" i="29"/>
  <c r="B479" i="29"/>
  <c r="B478" i="29"/>
  <c r="B477" i="29"/>
  <c r="B476" i="29"/>
  <c r="B475" i="29"/>
  <c r="B474" i="29"/>
  <c r="B473" i="29"/>
  <c r="B472" i="29"/>
  <c r="B471" i="29"/>
  <c r="B470" i="29"/>
  <c r="B469" i="29"/>
  <c r="B468" i="29"/>
  <c r="B467" i="29"/>
  <c r="B466" i="29"/>
  <c r="B465" i="29"/>
  <c r="B464" i="29"/>
  <c r="B463" i="29"/>
  <c r="B462" i="29"/>
  <c r="B461" i="29"/>
  <c r="B460" i="29"/>
  <c r="B459" i="29"/>
  <c r="B458" i="29"/>
  <c r="B457" i="29"/>
  <c r="B456" i="29"/>
  <c r="B455" i="29"/>
  <c r="B454" i="29"/>
  <c r="B453" i="29"/>
  <c r="B452" i="29"/>
  <c r="B451" i="29"/>
  <c r="B450" i="29"/>
  <c r="B449" i="29"/>
  <c r="B448" i="29"/>
  <c r="B447" i="29"/>
  <c r="B446" i="29"/>
  <c r="B445" i="29"/>
  <c r="B444" i="29"/>
  <c r="B443" i="29"/>
  <c r="B442" i="29"/>
  <c r="B441" i="29"/>
  <c r="B440" i="29"/>
  <c r="B439" i="29"/>
  <c r="B438" i="29"/>
  <c r="B437" i="29"/>
  <c r="B436" i="29"/>
  <c r="B435" i="29"/>
  <c r="B434" i="29"/>
  <c r="B433" i="29"/>
  <c r="B432" i="29"/>
  <c r="B431" i="29"/>
  <c r="B430" i="29"/>
  <c r="B429" i="29"/>
  <c r="B428" i="29"/>
  <c r="B427" i="29"/>
  <c r="B426" i="29"/>
  <c r="B425" i="29"/>
  <c r="B424" i="29"/>
  <c r="B423" i="29"/>
  <c r="B422" i="29"/>
  <c r="B421" i="29"/>
  <c r="B420" i="29"/>
  <c r="B419" i="29"/>
  <c r="B418" i="29"/>
  <c r="B417" i="29"/>
  <c r="B416" i="29"/>
  <c r="B415" i="29"/>
  <c r="B414" i="29"/>
  <c r="B413" i="29"/>
  <c r="B412" i="29"/>
  <c r="B411" i="29"/>
  <c r="B410" i="29"/>
  <c r="B409" i="29"/>
  <c r="B408" i="29"/>
  <c r="B407" i="29"/>
  <c r="B406" i="29"/>
  <c r="B405" i="29"/>
  <c r="B404" i="29"/>
  <c r="B403" i="29"/>
  <c r="B402" i="29"/>
  <c r="B401" i="29"/>
  <c r="B400" i="29"/>
  <c r="B399" i="29"/>
  <c r="B398" i="29"/>
  <c r="B397" i="29"/>
  <c r="B396" i="29"/>
  <c r="B395" i="29"/>
  <c r="B394" i="29"/>
  <c r="B393" i="29"/>
  <c r="B392" i="29"/>
  <c r="B391" i="29"/>
  <c r="B390" i="29"/>
  <c r="B389" i="29"/>
  <c r="B388" i="29"/>
  <c r="B387" i="29"/>
  <c r="B386" i="29"/>
  <c r="B385" i="29"/>
  <c r="B384" i="29"/>
  <c r="B383" i="29"/>
  <c r="B382" i="29"/>
  <c r="B381" i="29"/>
  <c r="B380" i="29"/>
  <c r="B379" i="29"/>
  <c r="B378" i="29"/>
  <c r="B377" i="29"/>
  <c r="B376" i="29"/>
  <c r="B375" i="29"/>
  <c r="B374" i="29"/>
  <c r="B373" i="29"/>
  <c r="B372" i="29"/>
  <c r="B371" i="29"/>
  <c r="B370" i="29"/>
  <c r="B369" i="29"/>
  <c r="B368" i="29"/>
  <c r="B367" i="29"/>
  <c r="B366" i="29"/>
  <c r="B365" i="29"/>
  <c r="B364" i="29"/>
  <c r="B363" i="29"/>
  <c r="B362" i="29"/>
  <c r="B361" i="29"/>
  <c r="B360" i="29"/>
  <c r="B359" i="29"/>
  <c r="B358" i="29"/>
  <c r="B357" i="29"/>
  <c r="B356" i="29"/>
  <c r="B355" i="29"/>
  <c r="B354" i="29"/>
  <c r="B353" i="29"/>
  <c r="B352" i="29"/>
  <c r="B351" i="29"/>
  <c r="B350" i="29"/>
  <c r="B349" i="29"/>
  <c r="B348" i="29"/>
  <c r="B347" i="29"/>
  <c r="B346" i="29"/>
  <c r="B345" i="29"/>
  <c r="B344" i="29"/>
  <c r="B343" i="29"/>
  <c r="B342" i="29"/>
  <c r="B341" i="29"/>
  <c r="B340" i="29"/>
  <c r="B339" i="29"/>
  <c r="B338" i="29"/>
  <c r="B337" i="29"/>
  <c r="B336" i="29"/>
  <c r="B335" i="29"/>
  <c r="B334" i="29"/>
  <c r="B333" i="29"/>
  <c r="B332" i="29"/>
  <c r="B331" i="29"/>
  <c r="B330" i="29"/>
  <c r="B329" i="29"/>
  <c r="B328" i="29"/>
  <c r="B327" i="29"/>
  <c r="B326" i="29"/>
  <c r="B325" i="29"/>
  <c r="B324" i="29"/>
  <c r="B323" i="29"/>
  <c r="B322" i="29"/>
  <c r="B321" i="29"/>
  <c r="B320" i="29"/>
  <c r="B319" i="29"/>
  <c r="B318" i="29"/>
  <c r="B317" i="29"/>
  <c r="B316" i="29"/>
  <c r="B315" i="29"/>
  <c r="B314" i="29"/>
  <c r="B313" i="29"/>
  <c r="B312" i="29"/>
  <c r="B311" i="29"/>
  <c r="B310" i="29"/>
  <c r="B309" i="29"/>
  <c r="B308" i="29"/>
  <c r="B307" i="29"/>
  <c r="B306" i="29"/>
  <c r="B305" i="29"/>
  <c r="B304" i="29"/>
  <c r="B303" i="29"/>
  <c r="B302" i="29"/>
  <c r="B301" i="29"/>
  <c r="B300" i="29"/>
  <c r="B299" i="29"/>
  <c r="B298" i="29"/>
  <c r="B297" i="29"/>
  <c r="B296" i="29"/>
  <c r="B295" i="29"/>
  <c r="B294" i="29"/>
  <c r="B293" i="29"/>
  <c r="B292" i="29"/>
  <c r="B291" i="29"/>
  <c r="B290" i="29"/>
  <c r="B289" i="29"/>
  <c r="B288" i="29"/>
  <c r="B287" i="29"/>
  <c r="B286" i="29"/>
  <c r="B285" i="29"/>
  <c r="B284" i="29"/>
  <c r="B283" i="29"/>
  <c r="B282" i="29"/>
  <c r="B281" i="29"/>
  <c r="B280" i="29"/>
  <c r="B279" i="29"/>
  <c r="B278" i="29"/>
  <c r="B277" i="29"/>
  <c r="B276" i="29"/>
  <c r="B275" i="29"/>
  <c r="B274" i="29"/>
  <c r="B273" i="29"/>
  <c r="B272" i="29"/>
  <c r="B271" i="29"/>
  <c r="B270" i="29"/>
  <c r="B269" i="29"/>
  <c r="B268" i="29"/>
  <c r="B267" i="29"/>
  <c r="B266" i="29"/>
  <c r="B265" i="29"/>
  <c r="B264" i="29"/>
  <c r="B263" i="29"/>
  <c r="B262" i="29"/>
  <c r="B261" i="29"/>
  <c r="B260" i="29"/>
  <c r="B259" i="29"/>
  <c r="B258" i="29"/>
  <c r="B257" i="29"/>
  <c r="B256" i="29"/>
  <c r="B255" i="29"/>
  <c r="B254" i="29"/>
  <c r="B253" i="29"/>
  <c r="B252" i="29"/>
  <c r="B251" i="29"/>
  <c r="B250" i="29"/>
  <c r="B249" i="29"/>
  <c r="B248" i="29"/>
  <c r="B247" i="29"/>
  <c r="B246" i="29"/>
  <c r="B245" i="29"/>
  <c r="B244" i="29"/>
  <c r="B243" i="29"/>
  <c r="B242" i="29"/>
  <c r="B241" i="29"/>
  <c r="B240" i="29"/>
  <c r="B239" i="29"/>
  <c r="B238" i="29"/>
  <c r="B237" i="29"/>
  <c r="B236" i="29"/>
  <c r="B235" i="29"/>
  <c r="B234" i="29"/>
  <c r="B233" i="29"/>
  <c r="B232" i="29"/>
  <c r="B231" i="29"/>
  <c r="B230" i="29"/>
  <c r="B229" i="29"/>
  <c r="B228" i="29"/>
  <c r="B227" i="29"/>
  <c r="B226" i="29"/>
  <c r="B225" i="29"/>
  <c r="B224" i="29"/>
  <c r="B223" i="29"/>
  <c r="B222" i="29"/>
  <c r="B221" i="29"/>
  <c r="B220" i="29"/>
  <c r="B219" i="29"/>
  <c r="B218" i="29"/>
  <c r="B217" i="29"/>
  <c r="B216"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5"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73" i="29"/>
  <c r="B72" i="29"/>
  <c r="B71" i="29"/>
  <c r="B70" i="29"/>
  <c r="B69" i="29"/>
  <c r="B68" i="29"/>
  <c r="B67" i="29"/>
  <c r="B66" i="29"/>
  <c r="B65" i="29"/>
  <c r="B64" i="29"/>
  <c r="B63"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B11" i="29"/>
  <c r="B10" i="29"/>
  <c r="B9" i="29"/>
  <c r="B8" i="29"/>
  <c r="B7" i="29"/>
  <c r="B6" i="29"/>
  <c r="B5" i="29"/>
  <c r="B4" i="29"/>
  <c r="B3" i="29"/>
  <c r="B2" i="29"/>
  <c r="P3" i="28" l="1"/>
  <c r="P4" i="28"/>
  <c r="Q3" i="28" l="1"/>
  <c r="Q2" i="2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23E203-8218-46E3-8684-A99DC3E20852}" name="查询来自 northwind" type="1" refreshedVersion="7" background="1">
    <dbPr connection="DBQ=C:\USERS\端木辰\Desktop\经管机\习题数据源\习题二数据源\习2-3_Northwind.accdb;DefaultDir=C:\USERS\端木辰\Desktop\经管机\习题数据源\习题二数据源;Driver={Microsoft Access Driver (*.mdb, *.accdb)};DriverId=25;FIL=MS Access;MaxBufferSize=2048;MaxScanRows=8;PageTimeout=5;SafeTransactions=0;Threads=3;UserCommitSync=Yes;" command="SELECT 订单.订购日期, 类别.类别名称, 订单明细.单价*订单明细.数量*(1-折扣) AS '销售额'_x000d__x000a_FROM 产品 产品, 订单 订单, 订单明细 订单明细, 类别 类别_x000d__x000a_WHERE 订单明细.产品ID = 产品.产品ID AND 订单.订单ID = 订单明细.订单ID AND 类别.类别ID = 产品.类别I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<sst xmlns="http://schemas.openxmlformats.org/spreadsheetml/2006/main" count="6765" uniqueCount="153">
  <si>
    <t>年需求量</t>
    <phoneticPr fontId="3" type="noConversion"/>
  </si>
  <si>
    <t>每次订货联系成本</t>
    <phoneticPr fontId="3" type="noConversion"/>
  </si>
  <si>
    <t>订货量</t>
    <phoneticPr fontId="3" type="noConversion"/>
  </si>
  <si>
    <t>年订货运输成本</t>
    <phoneticPr fontId="3" type="noConversion"/>
  </si>
  <si>
    <t>年储存成本</t>
    <phoneticPr fontId="3" type="noConversion"/>
  </si>
  <si>
    <t>年总成本</t>
    <phoneticPr fontId="3" type="noConversion"/>
  </si>
  <si>
    <t>经济订货量</t>
    <phoneticPr fontId="3" type="noConversion"/>
  </si>
  <si>
    <t>EOQ时的年订货联系成本</t>
    <phoneticPr fontId="3" type="noConversion"/>
  </si>
  <si>
    <t>EOQ时的年订货运输成本</t>
    <phoneticPr fontId="3" type="noConversion"/>
  </si>
  <si>
    <t>EOQ时的年储存成本</t>
    <phoneticPr fontId="3" type="noConversion"/>
  </si>
  <si>
    <t>年总成本最小值</t>
    <phoneticPr fontId="3" type="noConversion"/>
  </si>
  <si>
    <t>年贴现率</t>
    <phoneticPr fontId="3" type="noConversion"/>
  </si>
  <si>
    <t>期限</t>
    <phoneticPr fontId="3" type="noConversion"/>
  </si>
  <si>
    <t>项目A</t>
    <phoneticPr fontId="3" type="noConversion"/>
  </si>
  <si>
    <t>项目B</t>
    <phoneticPr fontId="3" type="noConversion"/>
  </si>
  <si>
    <r>
      <t>第</t>
    </r>
    <r>
      <rPr>
        <sz val="11"/>
        <rFont val="Times New Roman"/>
        <family val="1"/>
      </rPr>
      <t>0</t>
    </r>
    <r>
      <rPr>
        <sz val="11"/>
        <rFont val="宋体"/>
        <family val="3"/>
        <charset val="134"/>
      </rPr>
      <t>年初始投资额</t>
    </r>
    <r>
      <rPr>
        <sz val="11"/>
        <rFont val="Times New Roman"/>
        <family val="1"/>
      </rPr>
      <t/>
    </r>
    <phoneticPr fontId="3" type="noConversion"/>
  </si>
  <si>
    <t>利润增长期限（年）</t>
    <phoneticPr fontId="3" type="noConversion"/>
  </si>
  <si>
    <t>第10年末出售股权现金收入</t>
    <phoneticPr fontId="3" type="noConversion"/>
  </si>
  <si>
    <t>净现值</t>
    <phoneticPr fontId="3" type="noConversion"/>
  </si>
  <si>
    <t>内部报酬率</t>
    <phoneticPr fontId="3" type="noConversion"/>
  </si>
  <si>
    <t>使用附表插值法计算相对的内部报酬率（两个项目净现值相等时的贴现率）</t>
    <phoneticPr fontId="3" type="noConversion"/>
  </si>
  <si>
    <t>使用附表插值法计算相对的内部报酬率（两个项目净现值相等时的贴现率）时的净现值</t>
    <phoneticPr fontId="3" type="noConversion"/>
  </si>
  <si>
    <t>使用公式表示实现最大净现值的方案</t>
    <phoneticPr fontId="3" type="noConversion"/>
  </si>
  <si>
    <t>日期</t>
  </si>
  <si>
    <t>省份</t>
  </si>
  <si>
    <t>类别</t>
  </si>
  <si>
    <t>净销售额</t>
  </si>
  <si>
    <t>山东</t>
  </si>
  <si>
    <t>艺术品</t>
  </si>
  <si>
    <t>自行车</t>
  </si>
  <si>
    <t>服装</t>
  </si>
  <si>
    <t>食品</t>
  </si>
  <si>
    <t>安徽</t>
  </si>
  <si>
    <t>儿童用品</t>
  </si>
  <si>
    <t>江西</t>
  </si>
  <si>
    <t>江苏</t>
  </si>
  <si>
    <t>体育用品</t>
  </si>
  <si>
    <t>广东</t>
  </si>
  <si>
    <t>瓷器</t>
  </si>
  <si>
    <t>福建</t>
  </si>
  <si>
    <t>浙江</t>
  </si>
  <si>
    <r>
      <t>安全边际</t>
    </r>
    <r>
      <rPr>
        <sz val="10"/>
        <color theme="1"/>
        <rFont val="Arial"/>
        <family val="2"/>
      </rPr>
      <t>(S)</t>
    </r>
    <phoneticPr fontId="3" type="noConversion"/>
  </si>
  <si>
    <t>目标销量</t>
    <phoneticPr fontId="3" type="noConversion"/>
  </si>
  <si>
    <r>
      <t>目标利润</t>
    </r>
    <r>
      <rPr>
        <sz val="10"/>
        <rFont val="Times New Roman"/>
        <family val="1"/>
      </rPr>
      <t/>
    </r>
    <phoneticPr fontId="3" type="noConversion"/>
  </si>
  <si>
    <t>盈亏平衡销量</t>
    <phoneticPr fontId="3" type="noConversion"/>
  </si>
  <si>
    <t>利润</t>
    <phoneticPr fontId="3" type="noConversion"/>
  </si>
  <si>
    <t>销售收益</t>
    <phoneticPr fontId="3" type="noConversion"/>
  </si>
  <si>
    <t>总成本</t>
    <phoneticPr fontId="3" type="noConversion"/>
  </si>
  <si>
    <t>单位可变成本</t>
    <phoneticPr fontId="3" type="noConversion"/>
  </si>
  <si>
    <t>销量</t>
    <phoneticPr fontId="3" type="noConversion"/>
  </si>
  <si>
    <t>销售价格</t>
    <phoneticPr fontId="3" type="noConversion"/>
  </si>
  <si>
    <t>单位原材料成本</t>
    <phoneticPr fontId="3" type="noConversion"/>
  </si>
  <si>
    <t>单位用电量成本</t>
    <phoneticPr fontId="3" type="noConversion"/>
  </si>
  <si>
    <t>单位工时成本</t>
    <phoneticPr fontId="3" type="noConversion"/>
  </si>
  <si>
    <t>原材料（公斤）</t>
    <phoneticPr fontId="3" type="noConversion"/>
  </si>
  <si>
    <t>用电量（千瓦）</t>
    <phoneticPr fontId="3" type="noConversion"/>
  </si>
  <si>
    <t>工时（小时）</t>
    <phoneticPr fontId="3" type="noConversion"/>
  </si>
  <si>
    <t>固定成本</t>
    <phoneticPr fontId="3" type="noConversion"/>
  </si>
  <si>
    <r>
      <t>2018</t>
    </r>
    <r>
      <rPr>
        <sz val="10"/>
        <rFont val="宋体"/>
        <family val="3"/>
        <charset val="134"/>
      </rPr>
      <t>年</t>
    </r>
    <r>
      <rPr>
        <sz val="10"/>
        <rFont val="Times New Roman"/>
        <family val="1"/>
      </rPr>
      <t>6</t>
    </r>
    <r>
      <rPr>
        <sz val="10"/>
        <rFont val="宋体"/>
        <family val="3"/>
        <charset val="134"/>
      </rPr>
      <t>月的销售额预测值</t>
    </r>
    <phoneticPr fontId="3" type="noConversion"/>
  </si>
  <si>
    <r>
      <t>MSE</t>
    </r>
    <r>
      <rPr>
        <sz val="10"/>
        <rFont val="宋体"/>
        <family val="3"/>
        <charset val="134"/>
      </rPr>
      <t>极小值</t>
    </r>
    <phoneticPr fontId="3" type="noConversion"/>
  </si>
  <si>
    <t>最优移动平均跨度</t>
    <phoneticPr fontId="3" type="noConversion"/>
  </si>
  <si>
    <t>MSE</t>
    <phoneticPr fontId="3" type="noConversion"/>
  </si>
  <si>
    <t>移动平均跨度</t>
    <phoneticPr fontId="3" type="noConversion"/>
  </si>
  <si>
    <t>销售额估计值</t>
    <phoneticPr fontId="6" type="noConversion"/>
  </si>
  <si>
    <t>销售额</t>
    <phoneticPr fontId="3" type="noConversion"/>
  </si>
  <si>
    <t>订购年月</t>
    <phoneticPr fontId="3" type="noConversion"/>
  </si>
  <si>
    <t>序号</t>
    <phoneticPr fontId="3" type="noConversion"/>
  </si>
  <si>
    <t>最大的净现值对应的项目</t>
    <phoneticPr fontId="3" type="noConversion"/>
  </si>
  <si>
    <t>最大的净现值</t>
    <phoneticPr fontId="3" type="noConversion"/>
  </si>
  <si>
    <t>项目A利润增长期限时的每月利润增长率（月）</t>
    <phoneticPr fontId="3" type="noConversion"/>
  </si>
  <si>
    <t>项目B每年利润</t>
    <phoneticPr fontId="3" type="noConversion"/>
  </si>
  <si>
    <t>年订货联系成本</t>
    <phoneticPr fontId="3" type="noConversion"/>
  </si>
  <si>
    <t>单位年储存成本</t>
    <phoneticPr fontId="3" type="noConversion"/>
  </si>
  <si>
    <t>每次订货运输成本</t>
    <phoneticPr fontId="3" type="noConversion"/>
  </si>
  <si>
    <t>年份</t>
    <phoneticPr fontId="3" type="noConversion"/>
  </si>
  <si>
    <t>价格</t>
    <phoneticPr fontId="18" type="noConversion"/>
  </si>
  <si>
    <t>供应商1</t>
    <phoneticPr fontId="18" type="noConversion"/>
  </si>
  <si>
    <t>供应商2</t>
  </si>
  <si>
    <t>供应商3</t>
  </si>
  <si>
    <t>需要量</t>
    <phoneticPr fontId="18" type="noConversion"/>
  </si>
  <si>
    <t>部件1</t>
    <phoneticPr fontId="18" type="noConversion"/>
  </si>
  <si>
    <t>部件1</t>
    <phoneticPr fontId="18" type="noConversion"/>
  </si>
  <si>
    <t>部件2</t>
  </si>
  <si>
    <t>部件3</t>
  </si>
  <si>
    <t>部件4</t>
  </si>
  <si>
    <t>供应商1</t>
    <phoneticPr fontId="18" type="noConversion"/>
  </si>
  <si>
    <t>生产能力</t>
    <phoneticPr fontId="18" type="noConversion"/>
  </si>
  <si>
    <t>初始
库存</t>
    <phoneticPr fontId="3" type="noConversion"/>
  </si>
  <si>
    <t>交货
天数</t>
    <phoneticPr fontId="3" type="noConversion"/>
  </si>
  <si>
    <t>日储存
成本</t>
    <phoneticPr fontId="3" type="noConversion"/>
  </si>
  <si>
    <t>模拟
订货成本</t>
    <phoneticPr fontId="3" type="noConversion"/>
  </si>
  <si>
    <t>模拟
储存成本</t>
    <phoneticPr fontId="3" type="noConversion"/>
  </si>
  <si>
    <t>模拟
总成本</t>
    <phoneticPr fontId="3" type="noConversion"/>
  </si>
  <si>
    <t>年需求量(D)</t>
    <phoneticPr fontId="3" type="noConversion"/>
  </si>
  <si>
    <t>1-2</t>
    <phoneticPr fontId="3" type="noConversion"/>
  </si>
  <si>
    <t>一次订货的订货成本(k)</t>
    <phoneticPr fontId="3" type="noConversion"/>
  </si>
  <si>
    <t>天</t>
    <phoneticPr fontId="3" type="noConversion"/>
  </si>
  <si>
    <t>日期初
库存量</t>
    <phoneticPr fontId="3" type="noConversion"/>
  </si>
  <si>
    <t>日到
货量</t>
    <phoneticPr fontId="3" type="noConversion"/>
  </si>
  <si>
    <t>日需
求量</t>
    <phoneticPr fontId="3" type="noConversion"/>
  </si>
  <si>
    <t>日期末
库存量</t>
    <phoneticPr fontId="3" type="noConversion"/>
  </si>
  <si>
    <t>订货
标记</t>
    <phoneticPr fontId="3" type="noConversion"/>
  </si>
  <si>
    <t>交货期
（天）</t>
    <phoneticPr fontId="3" type="noConversion"/>
  </si>
  <si>
    <t>订货成本</t>
    <phoneticPr fontId="3" type="noConversion"/>
  </si>
  <si>
    <t>储存成本</t>
    <phoneticPr fontId="3" type="noConversion"/>
  </si>
  <si>
    <t>总成本</t>
    <phoneticPr fontId="3" type="noConversion"/>
  </si>
  <si>
    <t>单位年储存成本(h)</t>
    <phoneticPr fontId="3" type="noConversion"/>
  </si>
  <si>
    <t>订货量(Q)</t>
    <phoneticPr fontId="3" type="noConversion"/>
  </si>
  <si>
    <t>年订货成本</t>
    <phoneticPr fontId="3" type="noConversion"/>
  </si>
  <si>
    <t>年储存成本</t>
    <phoneticPr fontId="3" type="noConversion"/>
  </si>
  <si>
    <t>年总成本</t>
    <phoneticPr fontId="3" type="noConversion"/>
  </si>
  <si>
    <t>经济订货量(EOQ)</t>
    <phoneticPr fontId="3" type="noConversion"/>
  </si>
  <si>
    <t>EOQ下的年订货成本</t>
    <phoneticPr fontId="3" type="noConversion"/>
  </si>
  <si>
    <t>EOQ下的年储存成本</t>
    <phoneticPr fontId="3" type="noConversion"/>
  </si>
  <si>
    <t>EOQ下的年总成本</t>
    <phoneticPr fontId="3" type="noConversion"/>
  </si>
  <si>
    <t>日需求量</t>
    <phoneticPr fontId="3" type="noConversion"/>
  </si>
  <si>
    <t>概率</t>
    <phoneticPr fontId="3" type="noConversion"/>
  </si>
  <si>
    <t>序号</t>
  </si>
  <si>
    <t>销售额x</t>
  </si>
  <si>
    <t>流通费率y</t>
  </si>
  <si>
    <t>第1年第1个月利润</t>
    <phoneticPr fontId="3" type="noConversion"/>
  </si>
  <si>
    <t>行标签</t>
  </si>
  <si>
    <t>点心</t>
  </si>
  <si>
    <t>调味品</t>
  </si>
  <si>
    <t>谷类/麦片</t>
  </si>
  <si>
    <t>海鲜</t>
  </si>
  <si>
    <t>日用品</t>
  </si>
  <si>
    <t>肉/家禽</t>
  </si>
  <si>
    <t>特制品</t>
  </si>
  <si>
    <t>饮料</t>
  </si>
  <si>
    <t>总计</t>
  </si>
  <si>
    <t>1998年</t>
  </si>
  <si>
    <t>年</t>
  </si>
  <si>
    <t>畅销商品</t>
  </si>
  <si>
    <t>普通商品</t>
  </si>
  <si>
    <t>销售额总计</t>
  </si>
  <si>
    <t>销售额平均值</t>
  </si>
  <si>
    <t>年份</t>
    <phoneticPr fontId="7" type="noConversion"/>
  </si>
  <si>
    <t>类别</t>
    <phoneticPr fontId="7" type="noConversion"/>
  </si>
  <si>
    <t>全部</t>
    <phoneticPr fontId="7" type="noConversion"/>
  </si>
  <si>
    <t>省份</t>
    <phoneticPr fontId="7" type="noConversion"/>
  </si>
  <si>
    <t>lny</t>
  </si>
  <si>
    <t>lny</t>
    <phoneticPr fontId="7" type="noConversion"/>
  </si>
  <si>
    <t>x</t>
    <phoneticPr fontId="7" type="noConversion"/>
  </si>
  <si>
    <t>lna</t>
  </si>
  <si>
    <t>lnb</t>
  </si>
  <si>
    <t>a</t>
    <phoneticPr fontId="7" type="noConversion"/>
  </si>
  <si>
    <t>b</t>
    <phoneticPr fontId="7" type="noConversion"/>
  </si>
  <si>
    <t>R²</t>
    <phoneticPr fontId="7" type="noConversion"/>
  </si>
  <si>
    <t>MSE</t>
    <phoneticPr fontId="7" type="noConversion"/>
  </si>
  <si>
    <t>y</t>
    <phoneticPr fontId="7" type="noConversion"/>
  </si>
  <si>
    <t>y'</t>
    <phoneticPr fontId="7" type="noConversion"/>
  </si>
  <si>
    <t>方程1预测值</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</si>
</sst>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yy&quot;年&quot;m&quot;月&quot;"/>
    <numFmt numFmtId="178" formatCode="0.0000"/>
    <numFmt numFmtId="179" formatCode="0_ "/>
    <numFmt numFmtId="180" formatCode="0.00_ "/>
    <numFmt numFmtId="181" formatCode="#,##0.00_ ;[Red]\-#,##0.00\ "/>
  </numFmts>
  <fonts count="27" x14ac:knownFonts="1">
    <font>
      <sz val="11"/>
      <color theme="1"/>
      <name val="宋体"/>
      <family val="3"/>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2"/>
      <name val="宋体"/>
      <family val="3"/>
      <charset val="134"/>
    </font>
    <font>
      <b/>
      <sz val="12"/>
      <name val="宋体"/>
      <family val="3"/>
      <charset val="134"/>
    </font>
    <font>
      <sz val="11"/>
      <name val="宋体"/>
      <family val="3"/>
      <charset val="134"/>
    </font>
    <font>
      <sz val="9"/>
      <name val="宋体"/>
      <family val="3"/>
      <charset val="134"/>
      <scheme val="minor"/>
    </font>
    <font>
      <sz val="10"/>
      <name val="Arial"/>
      <family val="2"/>
    </font>
    <font>
      <sz val="10"/>
      <name val="宋体"/>
      <family val="3"/>
      <charset val="134"/>
    </font>
    <font>
      <sz val="10"/>
      <name val="Times New Roman"/>
      <family val="1"/>
    </font>
    <font>
      <sz val="11"/>
      <name val="Times New Roman"/>
      <family val="1"/>
    </font>
    <font>
      <sz val="11"/>
      <color theme="1"/>
      <name val="宋体"/>
      <family val="2"/>
      <scheme val="minor"/>
    </font>
    <font>
      <sz val="10"/>
      <color theme="1"/>
      <name val="Arial"/>
      <family val="2"/>
    </font>
    <font>
      <sz val="11"/>
      <color theme="0"/>
      <name val="宋体"/>
      <family val="3"/>
      <charset val="134"/>
    </font>
    <font>
      <b/>
      <sz val="11"/>
      <color rgb="FFFF0000"/>
      <name val="宋体"/>
      <family val="3"/>
      <charset val="134"/>
      <scheme val="minor"/>
    </font>
    <font>
      <sz val="10"/>
      <color rgb="FFFF0000"/>
      <name val="Arial"/>
      <family val="2"/>
    </font>
    <font>
      <sz val="10"/>
      <color theme="1"/>
      <name val="宋体"/>
      <family val="3"/>
      <charset val="134"/>
    </font>
    <font>
      <sz val="9"/>
      <name val="宋体"/>
      <family val="2"/>
      <charset val="134"/>
      <scheme val="minor"/>
    </font>
    <font>
      <sz val="12"/>
      <color theme="0"/>
      <name val="宋体"/>
      <family val="2"/>
      <charset val="134"/>
      <scheme val="minor"/>
    </font>
    <font>
      <sz val="12"/>
      <color theme="1"/>
      <name val="宋体"/>
      <family val="2"/>
      <charset val="134"/>
      <scheme val="minor"/>
    </font>
    <font>
      <sz val="12"/>
      <color theme="1"/>
      <name val="宋体"/>
      <family val="3"/>
      <charset val="134"/>
      <scheme val="minor"/>
    </font>
    <font>
      <b/>
      <sz val="11"/>
      <name val="宋体"/>
      <family val="3"/>
      <charset val="134"/>
    </font>
    <font>
      <sz val="11"/>
      <color indexed="9"/>
      <name val="宋体"/>
      <family val="3"/>
      <charset val="134"/>
    </font>
    <font>
      <sz val="11"/>
      <color indexed="10"/>
      <name val="宋体"/>
      <family val="3"/>
      <charset val="134"/>
    </font>
    <font>
      <sz val="11"/>
      <color theme="1"/>
      <name val="宋体"/>
      <family val="3"/>
      <charset val="134"/>
      <scheme val="minor"/>
    </font>
    <font>
      <b/>
      <sz val="11"/>
      <color theme="1"/>
      <name val="宋体"/>
      <family val="3"/>
      <charset val="134"/>
      <scheme val="minor"/>
    </font>
  </fonts>
  <fills count="14">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31"/>
        <bgColor indexed="64"/>
      </patternFill>
    </fill>
    <fill>
      <patternFill patternType="solid">
        <fgColor theme="0" tint="-0.14999847407452621"/>
        <bgColor indexed="64"/>
      </patternFill>
    </fill>
    <fill>
      <patternFill patternType="lightDown"/>
    </fill>
    <fill>
      <patternFill patternType="solid">
        <fgColor rgb="FFFFFF00"/>
        <bgColor indexed="64"/>
      </patternFill>
    </fill>
    <fill>
      <patternFill patternType="solid">
        <fgColor rgb="FF99FF66"/>
        <bgColor indexed="64"/>
      </patternFill>
    </fill>
    <fill>
      <patternFill patternType="solid">
        <fgColor rgb="FF99FF99"/>
        <bgColor indexed="64"/>
      </patternFill>
    </fill>
    <fill>
      <patternFill patternType="solid">
        <fgColor rgb="FFFFFF99"/>
        <bgColor indexed="64"/>
      </patternFill>
    </fill>
    <fill>
      <patternFill patternType="solid">
        <fgColor rgb="FF0070C0"/>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thin">
        <color indexed="64"/>
      </right>
      <top style="thin">
        <color indexed="64"/>
      </top>
      <bottom style="thin">
        <color indexed="64"/>
      </bottom>
      <diagonal/>
    </border>
  </borders>
  <cellStyleXfs count="13">
    <xf numFmtId="0" fontId="0" fillId="0" borderId="0">
      <alignment vertical="center"/>
    </xf>
    <xf numFmtId="9" fontId="4" fillId="0" borderId="0" applyFont="0" applyFill="0" applyBorder="0" applyAlignment="0" applyProtection="0">
      <alignment vertical="center"/>
    </xf>
    <xf numFmtId="0" fontId="4" fillId="0" borderId="0"/>
    <xf numFmtId="0" fontId="4" fillId="0" borderId="0">
      <alignment vertical="center"/>
    </xf>
    <xf numFmtId="0" fontId="8" fillId="0" borderId="0"/>
    <xf numFmtId="0" fontId="12" fillId="0" borderId="0"/>
    <xf numFmtId="0" fontId="4" fillId="0" borderId="0"/>
    <xf numFmtId="0" fontId="4" fillId="0" borderId="0"/>
    <xf numFmtId="0" fontId="2" fillId="0" borderId="0">
      <alignment vertical="center"/>
    </xf>
    <xf numFmtId="9" fontId="2" fillId="0" borderId="0" applyFont="0" applyFill="0" applyBorder="0" applyAlignment="0" applyProtection="0">
      <alignment vertical="center"/>
    </xf>
    <xf numFmtId="0" fontId="1" fillId="0" borderId="0">
      <alignment vertical="center"/>
    </xf>
    <xf numFmtId="0" fontId="4" fillId="0" borderId="0"/>
    <xf numFmtId="0" fontId="25" fillId="0" borderId="0">
      <alignment vertical="center"/>
    </xf>
  </cellStyleXfs>
  <cellXfs count="123">
    <xf numFmtId="0" fontId="0" fillId="0" borderId="0" xfId="0">
      <alignment vertical="center"/>
    </xf>
    <xf numFmtId="0" fontId="4" fillId="0" borderId="0" xfId="3">
      <alignment vertical="center"/>
    </xf>
    <xf numFmtId="0" fontId="9" fillId="2" borderId="3" xfId="4" applyFont="1" applyFill="1" applyBorder="1" applyAlignment="1">
      <alignment horizontal="center"/>
    </xf>
    <xf numFmtId="177" fontId="9" fillId="2" borderId="1" xfId="4" applyNumberFormat="1" applyFont="1" applyFill="1" applyBorder="1" applyAlignment="1">
      <alignment horizontal="center"/>
    </xf>
    <xf numFmtId="0" fontId="9" fillId="2" borderId="1" xfId="4" applyFont="1" applyFill="1" applyBorder="1" applyAlignment="1">
      <alignment horizontal="center"/>
    </xf>
    <xf numFmtId="0" fontId="8" fillId="0" borderId="0" xfId="4"/>
    <xf numFmtId="0" fontId="8" fillId="0" borderId="0" xfId="4" applyBorder="1"/>
    <xf numFmtId="2" fontId="8" fillId="4" borderId="0" xfId="4" applyNumberFormat="1" applyFont="1" applyFill="1" applyBorder="1"/>
    <xf numFmtId="178" fontId="8" fillId="3" borderId="3" xfId="4" applyNumberFormat="1" applyFill="1" applyBorder="1"/>
    <xf numFmtId="0" fontId="9" fillId="5" borderId="1" xfId="4" applyFont="1" applyFill="1" applyBorder="1"/>
    <xf numFmtId="0" fontId="8" fillId="4" borderId="1" xfId="4" applyFill="1" applyBorder="1"/>
    <xf numFmtId="0" fontId="8" fillId="5" borderId="1" xfId="4" applyFill="1" applyBorder="1"/>
    <xf numFmtId="0" fontId="8" fillId="3" borderId="1" xfId="4" applyFill="1" applyBorder="1"/>
    <xf numFmtId="0" fontId="8" fillId="3" borderId="1" xfId="4" applyFill="1" applyBorder="1" applyAlignment="1">
      <alignment horizontal="center"/>
    </xf>
    <xf numFmtId="0" fontId="10" fillId="5" borderId="1" xfId="4" applyFont="1" applyFill="1" applyBorder="1"/>
    <xf numFmtId="176" fontId="8" fillId="3" borderId="1" xfId="4" applyNumberFormat="1" applyFill="1" applyBorder="1"/>
    <xf numFmtId="2" fontId="8" fillId="4" borderId="5" xfId="4" applyNumberFormat="1" applyFont="1" applyFill="1" applyBorder="1"/>
    <xf numFmtId="1" fontId="8" fillId="4" borderId="0" xfId="4" applyNumberFormat="1" applyFont="1" applyFill="1" applyBorder="1"/>
    <xf numFmtId="1" fontId="8" fillId="4" borderId="5" xfId="4" applyNumberFormat="1" applyFont="1" applyFill="1" applyBorder="1"/>
    <xf numFmtId="14" fontId="8" fillId="4" borderId="3" xfId="4" applyNumberFormat="1" applyFont="1" applyFill="1" applyBorder="1"/>
    <xf numFmtId="14" fontId="8" fillId="4" borderId="2" xfId="4" applyNumberFormat="1" applyFont="1" applyFill="1" applyBorder="1"/>
    <xf numFmtId="14" fontId="8" fillId="4" borderId="4" xfId="4" applyNumberFormat="1" applyFont="1" applyFill="1" applyBorder="1"/>
    <xf numFmtId="0" fontId="12" fillId="0" borderId="0" xfId="5" applyAlignment="1">
      <alignment vertical="center"/>
    </xf>
    <xf numFmtId="0" fontId="6" fillId="0" borderId="0" xfId="7" applyFont="1" applyFill="1" applyBorder="1"/>
    <xf numFmtId="179" fontId="6" fillId="0" borderId="0" xfId="7" applyNumberFormat="1" applyFont="1" applyFill="1" applyBorder="1"/>
    <xf numFmtId="0" fontId="5" fillId="0" borderId="1" xfId="0" applyFont="1" applyBorder="1">
      <alignment vertical="center"/>
    </xf>
    <xf numFmtId="14" fontId="0" fillId="0" borderId="1" xfId="0" applyNumberFormat="1" applyBorder="1">
      <alignment vertical="center"/>
    </xf>
    <xf numFmtId="0" fontId="0" fillId="0" borderId="1" xfId="0" applyBorder="1">
      <alignment vertical="center"/>
    </xf>
    <xf numFmtId="0" fontId="12" fillId="0" borderId="0" xfId="5"/>
    <xf numFmtId="0" fontId="15" fillId="0" borderId="0" xfId="5" applyFont="1"/>
    <xf numFmtId="0" fontId="13" fillId="10" borderId="1" xfId="5" applyNumberFormat="1" applyFont="1" applyFill="1" applyBorder="1"/>
    <xf numFmtId="0" fontId="17" fillId="2" borderId="1" xfId="5" applyFont="1" applyFill="1" applyBorder="1" applyAlignment="1">
      <alignment horizontal="left"/>
    </xf>
    <xf numFmtId="2" fontId="13" fillId="10" borderId="1" xfId="5" applyNumberFormat="1" applyFont="1" applyFill="1" applyBorder="1"/>
    <xf numFmtId="0" fontId="13" fillId="0" borderId="1" xfId="5" applyFont="1" applyBorder="1"/>
    <xf numFmtId="0" fontId="12" fillId="3" borderId="1" xfId="5" applyFill="1" applyBorder="1" applyAlignment="1">
      <alignment vertical="center"/>
    </xf>
    <xf numFmtId="0" fontId="9" fillId="2" borderId="1" xfId="5" applyFont="1" applyFill="1" applyBorder="1" applyAlignment="1">
      <alignment vertical="center"/>
    </xf>
    <xf numFmtId="0" fontId="12" fillId="0" borderId="1" xfId="5" applyBorder="1" applyAlignment="1">
      <alignment vertical="center"/>
    </xf>
    <xf numFmtId="0" fontId="12" fillId="4" borderId="1" xfId="5" applyFill="1" applyBorder="1" applyAlignment="1">
      <alignment vertical="center"/>
    </xf>
    <xf numFmtId="0" fontId="4" fillId="0" borderId="0" xfId="2" applyAlignment="1">
      <alignment vertical="center"/>
    </xf>
    <xf numFmtId="0" fontId="4" fillId="0" borderId="0" xfId="2" applyNumberFormat="1" applyAlignment="1">
      <alignment vertical="center"/>
    </xf>
    <xf numFmtId="178" fontId="8" fillId="0" borderId="0" xfId="4" applyNumberFormat="1" applyBorder="1"/>
    <xf numFmtId="0" fontId="6" fillId="0" borderId="0" xfId="7" applyFont="1" applyFill="1" applyBorder="1" applyAlignment="1">
      <alignment horizontal="left"/>
    </xf>
    <xf numFmtId="0" fontId="6" fillId="0" borderId="0" xfId="2" applyFont="1"/>
    <xf numFmtId="0" fontId="6" fillId="6" borderId="1" xfId="2" applyFont="1" applyFill="1" applyBorder="1"/>
    <xf numFmtId="0" fontId="6" fillId="0" borderId="1" xfId="2" applyFont="1" applyBorder="1"/>
    <xf numFmtId="0" fontId="6" fillId="0" borderId="0" xfId="7" applyFont="1"/>
    <xf numFmtId="1" fontId="6" fillId="0" borderId="0" xfId="7" applyNumberFormat="1" applyFont="1" applyFill="1" applyBorder="1"/>
    <xf numFmtId="180" fontId="6" fillId="0" borderId="0" xfId="7" applyNumberFormat="1" applyFont="1" applyFill="1" applyBorder="1"/>
    <xf numFmtId="179" fontId="6" fillId="0" borderId="0" xfId="7" applyNumberFormat="1" applyFont="1"/>
    <xf numFmtId="0" fontId="0" fillId="0" borderId="1" xfId="0" applyNumberFormat="1" applyBorder="1">
      <alignment vertical="center"/>
    </xf>
    <xf numFmtId="0" fontId="6" fillId="0" borderId="1" xfId="2" applyFont="1" applyBorder="1" applyAlignment="1">
      <alignment horizontal="center"/>
    </xf>
    <xf numFmtId="181" fontId="6" fillId="0" borderId="0" xfId="2" applyNumberFormat="1" applyFont="1" applyAlignment="1">
      <alignment horizontal="center"/>
    </xf>
    <xf numFmtId="0" fontId="6" fillId="0" borderId="0" xfId="2" applyFont="1" applyAlignment="1">
      <alignment horizontal="center"/>
    </xf>
    <xf numFmtId="10" fontId="6" fillId="0" borderId="1" xfId="2" applyNumberFormat="1" applyFont="1" applyBorder="1" applyAlignment="1">
      <alignment horizontal="center"/>
    </xf>
    <xf numFmtId="0" fontId="14" fillId="0" borderId="0" xfId="2" applyFont="1" applyAlignment="1">
      <alignment horizontal="center"/>
    </xf>
    <xf numFmtId="0" fontId="6" fillId="6" borderId="1" xfId="2" applyFont="1" applyFill="1" applyBorder="1" applyAlignment="1">
      <alignment horizontal="center"/>
    </xf>
    <xf numFmtId="0" fontId="6" fillId="7" borderId="1" xfId="2" applyFont="1" applyFill="1" applyBorder="1" applyAlignment="1">
      <alignment horizontal="center"/>
    </xf>
    <xf numFmtId="10" fontId="6" fillId="0" borderId="1" xfId="1" applyNumberFormat="1" applyFont="1" applyBorder="1" applyAlignment="1">
      <alignment horizontal="center"/>
    </xf>
    <xf numFmtId="181" fontId="6" fillId="8" borderId="1" xfId="2" applyNumberFormat="1" applyFont="1" applyFill="1" applyBorder="1" applyAlignment="1">
      <alignment horizontal="center"/>
    </xf>
    <xf numFmtId="10" fontId="6" fillId="8" borderId="1" xfId="1" applyNumberFormat="1" applyFont="1" applyFill="1" applyBorder="1" applyAlignment="1">
      <alignment horizontal="center"/>
    </xf>
    <xf numFmtId="10" fontId="6" fillId="8" borderId="1" xfId="2" applyNumberFormat="1" applyFont="1" applyFill="1" applyBorder="1" applyAlignment="1">
      <alignment horizontal="center"/>
    </xf>
    <xf numFmtId="0" fontId="6" fillId="8" borderId="1" xfId="2" applyFont="1" applyFill="1" applyBorder="1" applyAlignment="1">
      <alignment horizontal="center"/>
    </xf>
    <xf numFmtId="0" fontId="19" fillId="12" borderId="1" xfId="2" applyFont="1" applyFill="1" applyBorder="1" applyAlignment="1">
      <alignment horizontal="center" vertical="center"/>
    </xf>
    <xf numFmtId="0" fontId="20" fillId="6" borderId="1" xfId="2" applyFont="1" applyFill="1" applyBorder="1" applyAlignment="1">
      <alignment horizontal="center" vertical="center"/>
    </xf>
    <xf numFmtId="0" fontId="21" fillId="0" borderId="0" xfId="2" applyFont="1" applyAlignment="1">
      <alignment vertical="center"/>
    </xf>
    <xf numFmtId="0" fontId="19" fillId="12" borderId="6" xfId="2" applyFont="1" applyFill="1" applyBorder="1" applyAlignment="1">
      <alignment horizontal="center" vertical="center"/>
    </xf>
    <xf numFmtId="0" fontId="21" fillId="11" borderId="1" xfId="2" applyFont="1" applyFill="1" applyBorder="1" applyAlignment="1">
      <alignment horizontal="center" vertical="center"/>
    </xf>
    <xf numFmtId="0" fontId="21" fillId="11" borderId="6" xfId="2" applyFont="1" applyFill="1" applyBorder="1" applyAlignment="1">
      <alignment horizontal="center" vertical="center"/>
    </xf>
    <xf numFmtId="0" fontId="6" fillId="0" borderId="1" xfId="7" applyFont="1" applyFill="1" applyBorder="1"/>
    <xf numFmtId="179" fontId="6" fillId="0" borderId="1" xfId="7" applyNumberFormat="1" applyFont="1" applyFill="1" applyBorder="1"/>
    <xf numFmtId="0" fontId="6" fillId="6" borderId="1" xfId="6" applyFont="1" applyFill="1" applyBorder="1"/>
    <xf numFmtId="0" fontId="0" fillId="0" borderId="0" xfId="0" applyBorder="1">
      <alignment vertical="center"/>
    </xf>
    <xf numFmtId="0" fontId="0" fillId="0" borderId="0" xfId="0" applyBorder="1" applyAlignment="1">
      <alignment horizontal="center" vertical="center"/>
    </xf>
    <xf numFmtId="9" fontId="0" fillId="0" borderId="0" xfId="0" applyNumberFormat="1" applyBorder="1" applyAlignment="1">
      <alignment horizontal="center" vertical="center"/>
    </xf>
    <xf numFmtId="0" fontId="0" fillId="0" borderId="0" xfId="0" applyBorder="1" applyAlignment="1">
      <alignment vertical="center"/>
    </xf>
    <xf numFmtId="0" fontId="0" fillId="0" borderId="0" xfId="0" applyFill="1" applyBorder="1" applyAlignment="1">
      <alignment horizontal="center" vertical="center"/>
    </xf>
    <xf numFmtId="0" fontId="0" fillId="0" borderId="0" xfId="0" applyFill="1" applyBorder="1">
      <alignment vertical="center"/>
    </xf>
    <xf numFmtId="0" fontId="6" fillId="0" borderId="0" xfId="0" applyFont="1" applyFill="1" applyAlignment="1"/>
    <xf numFmtId="0" fontId="6" fillId="13" borderId="0" xfId="0" applyFont="1" applyFill="1" applyAlignment="1">
      <alignment horizontal="center" wrapText="1"/>
    </xf>
    <xf numFmtId="0" fontId="6" fillId="0" borderId="0" xfId="0" applyFont="1" applyFill="1" applyAlignment="1">
      <alignment horizontal="center"/>
    </xf>
    <xf numFmtId="0" fontId="6" fillId="13" borderId="0" xfId="0" applyFont="1" applyFill="1" applyBorder="1" applyAlignment="1">
      <alignment horizontal="center" wrapText="1"/>
    </xf>
    <xf numFmtId="0" fontId="6" fillId="13" borderId="1" xfId="0" applyFont="1" applyFill="1" applyBorder="1" applyAlignment="1"/>
    <xf numFmtId="0" fontId="22" fillId="0" borderId="1" xfId="0" applyFont="1" applyFill="1" applyBorder="1" applyAlignment="1"/>
    <xf numFmtId="0" fontId="23" fillId="0" borderId="0" xfId="0" applyFont="1" applyFill="1" applyAlignment="1"/>
    <xf numFmtId="0" fontId="22" fillId="0" borderId="0" xfId="0" applyFont="1" applyFill="1" applyAlignment="1"/>
    <xf numFmtId="58" fontId="22" fillId="0" borderId="0" xfId="0" quotePrefix="1" applyNumberFormat="1" applyFont="1" applyFill="1" applyAlignment="1">
      <alignment horizontal="center"/>
    </xf>
    <xf numFmtId="0" fontId="22" fillId="0" borderId="0" xfId="0" applyFont="1" applyFill="1" applyAlignment="1">
      <alignment horizontal="center"/>
    </xf>
    <xf numFmtId="0" fontId="6" fillId="8" borderId="1" xfId="0" applyFont="1" applyFill="1" applyBorder="1" applyAlignment="1"/>
    <xf numFmtId="2" fontId="6" fillId="8" borderId="1" xfId="0" applyNumberFormat="1" applyFont="1" applyFill="1" applyBorder="1" applyAlignment="1"/>
    <xf numFmtId="0" fontId="6" fillId="0" borderId="1" xfId="0" applyFont="1" applyFill="1" applyBorder="1" applyAlignment="1"/>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2" fontId="6" fillId="0" borderId="1" xfId="0" applyNumberFormat="1" applyFont="1" applyFill="1" applyBorder="1" applyAlignment="1"/>
    <xf numFmtId="176" fontId="6" fillId="8" borderId="1" xfId="0" applyNumberFormat="1" applyFont="1" applyFill="1" applyBorder="1" applyAlignment="1"/>
    <xf numFmtId="176" fontId="6" fillId="0" borderId="0" xfId="0" applyNumberFormat="1" applyFont="1" applyFill="1" applyAlignment="1"/>
    <xf numFmtId="0" fontId="24" fillId="0" borderId="0" xfId="0" applyFont="1" applyFill="1" applyBorder="1" applyAlignment="1"/>
    <xf numFmtId="0" fontId="6" fillId="0" borderId="0" xfId="0" applyFont="1" applyFill="1" applyAlignment="1">
      <alignment horizontal="center" wrapText="1"/>
    </xf>
    <xf numFmtId="0" fontId="6" fillId="0" borderId="1" xfId="0" applyFont="1" applyFill="1" applyBorder="1" applyAlignment="1">
      <alignment horizontal="center"/>
    </xf>
    <xf numFmtId="9" fontId="6" fillId="0" borderId="1" xfId="0" applyNumberFormat="1" applyFont="1" applyFill="1" applyBorder="1" applyAlignment="1"/>
    <xf numFmtId="1" fontId="6" fillId="0" borderId="1" xfId="0" applyNumberFormat="1" applyFont="1" applyFill="1" applyBorder="1" applyAlignment="1">
      <alignment horizontal="center"/>
    </xf>
    <xf numFmtId="0" fontId="6" fillId="0" borderId="0" xfId="0" applyFont="1" applyFill="1" applyBorder="1" applyAlignment="1"/>
    <xf numFmtId="176" fontId="6" fillId="0" borderId="0" xfId="0" applyNumberFormat="1" applyFont="1" applyFill="1" applyBorder="1" applyAlignment="1"/>
    <xf numFmtId="1" fontId="6" fillId="0" borderId="0" xfId="0" applyNumberFormat="1" applyFont="1" applyFill="1" applyBorder="1" applyAlignment="1"/>
    <xf numFmtId="0" fontId="26" fillId="13" borderId="1" xfId="10" applyFont="1" applyFill="1" applyBorder="1">
      <alignment vertical="center"/>
    </xf>
    <xf numFmtId="0" fontId="22" fillId="0" borderId="0" xfId="11" applyFont="1"/>
    <xf numFmtId="0" fontId="25" fillId="0" borderId="0" xfId="12" applyFont="1">
      <alignment vertical="center"/>
    </xf>
    <xf numFmtId="0" fontId="25" fillId="0" borderId="1" xfId="0" applyFont="1" applyBorder="1" applyAlignment="1">
      <alignment horizontal="center" vertical="center"/>
    </xf>
    <xf numFmtId="0" fontId="25" fillId="0" borderId="1" xfId="0" applyFont="1" applyFill="1" applyBorder="1" applyAlignment="1">
      <alignment horizontal="center" vertical="center"/>
    </xf>
    <xf numFmtId="0" fontId="6" fillId="0" borderId="0" xfId="11" applyFont="1"/>
    <xf numFmtId="2" fontId="6" fillId="0" borderId="0" xfId="11" applyNumberFormat="1" applyFont="1"/>
    <xf numFmtId="0" fontId="25" fillId="0" borderId="0" xfId="12" applyFont="1" applyBorder="1">
      <alignment vertical="center"/>
    </xf>
    <xf numFmtId="0" fontId="25" fillId="0" borderId="0" xfId="12" applyFont="1" applyBorder="1" applyAlignment="1">
      <alignment horizontal="center" vertical="center"/>
    </xf>
    <xf numFmtId="0" fontId="25" fillId="0" borderId="0" xfId="12" applyFont="1" applyAlignment="1">
      <alignment horizontal="left" vertical="center"/>
    </xf>
    <xf numFmtId="0" fontId="25" fillId="0" borderId="0" xfId="12" applyNumberFormat="1" applyFont="1">
      <alignment vertical="center"/>
    </xf>
    <xf numFmtId="0" fontId="25" fillId="0" borderId="0" xfId="11" applyFont="1"/>
    <xf numFmtId="179" fontId="6" fillId="8" borderId="1" xfId="7" applyNumberFormat="1" applyFont="1" applyFill="1" applyBorder="1"/>
    <xf numFmtId="0" fontId="16" fillId="9" borderId="1" xfId="5" applyFont="1" applyFill="1" applyBorder="1" applyAlignment="1">
      <alignment horizontal="left" vertical="center"/>
    </xf>
    <xf numFmtId="0" fontId="0" fillId="0" borderId="0" xfId="0" pivotButton="1">
      <alignment vertical="center"/>
    </xf>
    <xf numFmtId="0" fontId="0" fillId="0" borderId="0" xfId="0" applyNumberFormat="1">
      <alignment vertical="center"/>
    </xf>
    <xf numFmtId="0" fontId="0" fillId="0" borderId="0" xfId="0" applyAlignment="1">
      <alignment horizontal="left" vertical="center"/>
    </xf>
    <xf numFmtId="0" fontId="0" fillId="0" borderId="0" xfId="0" applyAlignment="1">
      <alignment horizontal="left" vertical="center" indent="1"/>
    </xf>
    <xf numFmtId="10" fontId="0" fillId="0" borderId="0" xfId="0" applyNumberFormat="1">
      <alignment vertical="center"/>
    </xf>
    <xf numFmtId="9" fontId="0" fillId="0" borderId="0" xfId="0" applyNumberFormat="1" applyBorder="1">
      <alignment vertical="center"/>
    </xf>
  </cellXfs>
  <cellStyles count="13">
    <cellStyle name="Normal 2" xfId="10" xr:uid="{00000000-0005-0000-0000-000000000000}"/>
    <cellStyle name="百分比 2" xfId="1" xr:uid="{00000000-0005-0000-0000-000001000000}"/>
    <cellStyle name="百分比 3" xfId="9" xr:uid="{00000000-0005-0000-0000-000002000000}"/>
    <cellStyle name="常规" xfId="0" builtinId="0"/>
    <cellStyle name="常规 2" xfId="2" xr:uid="{00000000-0005-0000-0000-000004000000}"/>
    <cellStyle name="常规 2 3" xfId="12" xr:uid="{00000000-0005-0000-0000-000005000000}"/>
    <cellStyle name="常规 3" xfId="3" xr:uid="{00000000-0005-0000-0000-000006000000}"/>
    <cellStyle name="常规 4" xfId="5" xr:uid="{00000000-0005-0000-0000-000007000000}"/>
    <cellStyle name="常规 5" xfId="8" xr:uid="{00000000-0005-0000-0000-000008000000}"/>
    <cellStyle name="常规_第1套第5题答案" xfId="6" xr:uid="{00000000-0005-0000-0000-000009000000}"/>
    <cellStyle name="常规_第1套第6题答案" xfId="7" xr:uid="{00000000-0005-0000-0000-00000A000000}"/>
    <cellStyle name="常规_模拟试卷04-参考答案" xfId="11" xr:uid="{00000000-0005-0000-0000-00000B000000}"/>
    <cellStyle name="常规_移动平均2" xfId="4" xr:uid="{00000000-0005-0000-0000-00000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connections" Target="connections.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pivotCacheDefinition" Target="pivotCache/pivotCacheDefinition1.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b="1"/>
              <a:t>不同省份销售统计图</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spPr>
            <a:solidFill>
              <a:schemeClr val="tx2">
                <a:lumMod val="20000"/>
                <a:lumOff val="80000"/>
              </a:schemeClr>
            </a:solidFill>
            <a:ln>
              <a:noFill/>
            </a:ln>
            <a:effectLst/>
          </c:spPr>
          <c:invertIfNegative val="0"/>
          <c:cat>
            <c:strRef>
              <c:f>第2题!$K$2:$K$8</c:f>
              <c:strCache>
                <c:ptCount val="7"/>
                <c:pt idx="0">
                  <c:v>浙江</c:v>
                </c:pt>
                <c:pt idx="1">
                  <c:v>山东</c:v>
                </c:pt>
                <c:pt idx="2">
                  <c:v>江西</c:v>
                </c:pt>
                <c:pt idx="3">
                  <c:v>江苏</c:v>
                </c:pt>
                <c:pt idx="4">
                  <c:v>广东</c:v>
                </c:pt>
                <c:pt idx="5">
                  <c:v>福建</c:v>
                </c:pt>
                <c:pt idx="6">
                  <c:v>安徽</c:v>
                </c:pt>
              </c:strCache>
            </c:strRef>
          </c:cat>
          <c:val>
            <c:numRef>
              <c:f>第2题!$L$2:$L$8</c:f>
              <c:numCache>
                <c:formatCode>General</c:formatCode>
                <c:ptCount val="7"/>
                <c:pt idx="0">
                  <c:v>7478</c:v>
                </c:pt>
                <c:pt idx="1">
                  <c:v>163395</c:v>
                </c:pt>
                <c:pt idx="2">
                  <c:v>120055</c:v>
                </c:pt>
                <c:pt idx="3">
                  <c:v>51398</c:v>
                </c:pt>
                <c:pt idx="4">
                  <c:v>131437</c:v>
                </c:pt>
                <c:pt idx="5">
                  <c:v>87967</c:v>
                </c:pt>
                <c:pt idx="6">
                  <c:v>167487</c:v>
                </c:pt>
              </c:numCache>
            </c:numRef>
          </c:val>
          <c:extLst>
            <c:ext xmlns:c16="http://schemas.microsoft.com/office/drawing/2014/chart" uri="{C3380CC4-5D6E-409C-BE32-E72D297353CC}">
              <c16:uniqueId val="{00000000-2156-4D47-9FFE-B70380DC2ACB}"/>
            </c:ext>
          </c:extLst>
        </c:ser>
        <c:ser>
          <c:idx val="1"/>
          <c:order val="1"/>
          <c:spPr>
            <a:solidFill>
              <a:schemeClr val="accent3">
                <a:lumMod val="40000"/>
                <a:lumOff val="60000"/>
              </a:schemeClr>
            </a:solidFill>
            <a:ln>
              <a:noFill/>
            </a:ln>
            <a:effectLst/>
          </c:spPr>
          <c:invertIfNegative val="0"/>
          <c:val>
            <c:numRef>
              <c:f>第2题!$M$2:$M$8</c:f>
              <c:numCache>
                <c:formatCode>General</c:formatCode>
                <c:ptCount val="7"/>
                <c:pt idx="0">
                  <c:v>7478</c:v>
                </c:pt>
                <c:pt idx="1">
                  <c:v>0</c:v>
                </c:pt>
                <c:pt idx="2">
                  <c:v>0</c:v>
                </c:pt>
                <c:pt idx="3">
                  <c:v>51398</c:v>
                </c:pt>
                <c:pt idx="4">
                  <c:v>0</c:v>
                </c:pt>
                <c:pt idx="5">
                  <c:v>87967</c:v>
                </c:pt>
                <c:pt idx="6">
                  <c:v>0</c:v>
                </c:pt>
              </c:numCache>
            </c:numRef>
          </c:val>
          <c:extLst>
            <c:ext xmlns:c16="http://schemas.microsoft.com/office/drawing/2014/chart" uri="{C3380CC4-5D6E-409C-BE32-E72D297353CC}">
              <c16:uniqueId val="{0000000D-2156-4D47-9FFE-B70380DC2ACB}"/>
            </c:ext>
          </c:extLst>
        </c:ser>
        <c:dLbls>
          <c:dLblPos val="outEnd"/>
          <c:showLegendKey val="0"/>
          <c:showVal val="0"/>
          <c:showCatName val="0"/>
          <c:showSerName val="0"/>
          <c:showPercent val="0"/>
          <c:showBubbleSize val="0"/>
        </c:dLbls>
        <c:gapWidth val="50"/>
        <c:overlap val="100"/>
        <c:axId val="1529716895"/>
        <c:axId val="1529719391"/>
      </c:barChart>
      <c:lineChart>
        <c:grouping val="standard"/>
        <c:varyColors val="0"/>
        <c:ser>
          <c:idx val="2"/>
          <c:order val="2"/>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第2题!$N$2:$N$8</c:f>
              <c:numCache>
                <c:formatCode>0%</c:formatCode>
                <c:ptCount val="7"/>
                <c:pt idx="0">
                  <c:v>1.0254834980533915E-2</c:v>
                </c:pt>
                <c:pt idx="1">
                  <c:v>0.22406910425840318</c:v>
                </c:pt>
                <c:pt idx="2">
                  <c:v>0.16463549258999721</c:v>
                </c:pt>
                <c:pt idx="3">
                  <c:v>7.0483820316860415E-2</c:v>
                </c:pt>
                <c:pt idx="4">
                  <c:v>0.18024401515598237</c:v>
                </c:pt>
                <c:pt idx="5">
                  <c:v>0.12063213007924939</c:v>
                </c:pt>
                <c:pt idx="6">
                  <c:v>0.2296806026189735</c:v>
                </c:pt>
              </c:numCache>
            </c:numRef>
          </c:val>
          <c:smooth val="0"/>
          <c:extLst>
            <c:ext xmlns:c16="http://schemas.microsoft.com/office/drawing/2014/chart" uri="{C3380CC4-5D6E-409C-BE32-E72D297353CC}">
              <c16:uniqueId val="{00000012-2156-4D47-9FFE-B70380DC2ACB}"/>
            </c:ext>
          </c:extLst>
        </c:ser>
        <c:dLbls>
          <c:showLegendKey val="0"/>
          <c:showVal val="0"/>
          <c:showCatName val="0"/>
          <c:showSerName val="0"/>
          <c:showPercent val="0"/>
          <c:showBubbleSize val="0"/>
        </c:dLbls>
        <c:marker val="1"/>
        <c:smooth val="0"/>
        <c:axId val="1840773823"/>
        <c:axId val="1840768415"/>
      </c:lineChart>
      <c:catAx>
        <c:axId val="1529716895"/>
        <c:scaling>
          <c:orientation val="minMax"/>
        </c:scaling>
        <c:delete val="0"/>
        <c:axPos val="b"/>
        <c:numFmt formatCode="0.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29719391"/>
        <c:crosses val="autoZero"/>
        <c:auto val="1"/>
        <c:lblAlgn val="ctr"/>
        <c:lblOffset val="100"/>
        <c:noMultiLvlLbl val="0"/>
      </c:catAx>
      <c:valAx>
        <c:axId val="1529719391"/>
        <c:scaling>
          <c:orientation val="minMax"/>
        </c:scaling>
        <c:delete val="0"/>
        <c:axPos val="l"/>
        <c:numFmt formatCode="General"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29716895"/>
        <c:crosses val="autoZero"/>
        <c:crossBetween val="between"/>
      </c:valAx>
      <c:valAx>
        <c:axId val="1840768415"/>
        <c:scaling>
          <c:orientation val="minMax"/>
        </c:scaling>
        <c:delete val="0"/>
        <c:axPos val="r"/>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40773823"/>
        <c:crosses val="max"/>
        <c:crossBetween val="between"/>
      </c:valAx>
      <c:catAx>
        <c:axId val="1840773823"/>
        <c:scaling>
          <c:orientation val="minMax"/>
        </c:scaling>
        <c:delete val="1"/>
        <c:axPos val="b"/>
        <c:majorTickMark val="out"/>
        <c:minorTickMark val="none"/>
        <c:tickLblPos val="nextTo"/>
        <c:crossAx val="1840768415"/>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exp"/>
            <c:dispRSqr val="1"/>
            <c:dispEq val="1"/>
            <c:trendlineLbl>
              <c:layout>
                <c:manualLayout>
                  <c:x val="9.4088754682363732E-2"/>
                  <c:y val="-0.559672888111208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第4题!$B$2:$B$10</c:f>
              <c:numCache>
                <c:formatCode>General</c:formatCode>
                <c:ptCount val="9"/>
                <c:pt idx="0">
                  <c:v>3.8</c:v>
                </c:pt>
                <c:pt idx="1">
                  <c:v>6.2</c:v>
                </c:pt>
                <c:pt idx="2">
                  <c:v>8.6</c:v>
                </c:pt>
                <c:pt idx="3">
                  <c:v>11</c:v>
                </c:pt>
                <c:pt idx="4">
                  <c:v>13.4</c:v>
                </c:pt>
                <c:pt idx="5">
                  <c:v>15.8</c:v>
                </c:pt>
                <c:pt idx="6">
                  <c:v>18.2</c:v>
                </c:pt>
                <c:pt idx="7">
                  <c:v>20.6</c:v>
                </c:pt>
                <c:pt idx="8">
                  <c:v>23</c:v>
                </c:pt>
              </c:numCache>
            </c:numRef>
          </c:xVal>
          <c:yVal>
            <c:numRef>
              <c:f>第4题!$C$2:$C$10</c:f>
              <c:numCache>
                <c:formatCode>General</c:formatCode>
                <c:ptCount val="9"/>
                <c:pt idx="0">
                  <c:v>10.6</c:v>
                </c:pt>
                <c:pt idx="1">
                  <c:v>8.4</c:v>
                </c:pt>
                <c:pt idx="2">
                  <c:v>7.5</c:v>
                </c:pt>
                <c:pt idx="3">
                  <c:v>6.4</c:v>
                </c:pt>
                <c:pt idx="4">
                  <c:v>6.2</c:v>
                </c:pt>
                <c:pt idx="5">
                  <c:v>4.8</c:v>
                </c:pt>
                <c:pt idx="6">
                  <c:v>4</c:v>
                </c:pt>
                <c:pt idx="7">
                  <c:v>3.8</c:v>
                </c:pt>
                <c:pt idx="8">
                  <c:v>3.2</c:v>
                </c:pt>
              </c:numCache>
            </c:numRef>
          </c:yVal>
          <c:smooth val="0"/>
          <c:extLst>
            <c:ext xmlns:c16="http://schemas.microsoft.com/office/drawing/2014/chart" uri="{C3380CC4-5D6E-409C-BE32-E72D297353CC}">
              <c16:uniqueId val="{00000000-6F81-4EC4-8EEF-76D3FB7D61E0}"/>
            </c:ext>
          </c:extLst>
        </c:ser>
        <c:dLbls>
          <c:showLegendKey val="0"/>
          <c:showVal val="0"/>
          <c:showCatName val="0"/>
          <c:showSerName val="0"/>
          <c:showPercent val="0"/>
          <c:showBubbleSize val="0"/>
        </c:dLbls>
        <c:axId val="2027746463"/>
        <c:axId val="2027737311"/>
      </c:scatterChart>
      <c:valAx>
        <c:axId val="202774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27737311"/>
        <c:crosses val="autoZero"/>
        <c:crossBetween val="midCat"/>
      </c:valAx>
      <c:valAx>
        <c:axId val="202773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277464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List" dx="26" fmlaLink="$I$5" fmlaRange="$I$2:$I$4" noThreeD="1" sel="3" val="0"/>
</file>

<file path=xl/ctrlProps/ctrlProp2.xml><?xml version="1.0" encoding="utf-8"?>
<formControlPr xmlns="http://schemas.microsoft.com/office/spreadsheetml/2009/9/main" objectType="Drop" dropStyle="combo" dx="26" fmlaLink="$G$9" fmlaRange="$G$1:$G$8"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106680</xdr:colOff>
      <xdr:row>0</xdr:row>
      <xdr:rowOff>106680</xdr:rowOff>
    </xdr:from>
    <xdr:to>
      <xdr:col>5</xdr:col>
      <xdr:colOff>495300</xdr:colOff>
      <xdr:row>25</xdr:row>
      <xdr:rowOff>106680</xdr:rowOff>
    </xdr:to>
    <xdr:grpSp>
      <xdr:nvGrpSpPr>
        <xdr:cNvPr id="5" name="组合 4">
          <a:extLst>
            <a:ext uri="{FF2B5EF4-FFF2-40B4-BE49-F238E27FC236}">
              <a16:creationId xmlns:a16="http://schemas.microsoft.com/office/drawing/2014/main" id="{00000000-0008-0000-0000-000005000000}"/>
            </a:ext>
          </a:extLst>
        </xdr:cNvPr>
        <xdr:cNvGrpSpPr/>
      </xdr:nvGrpSpPr>
      <xdr:grpSpPr>
        <a:xfrm>
          <a:off x="914400" y="106680"/>
          <a:ext cx="4381500" cy="4953000"/>
          <a:chOff x="1563150" y="97477"/>
          <a:chExt cx="4105979" cy="4522692"/>
        </a:xfrm>
        <a:solidFill>
          <a:schemeClr val="accent6">
            <a:lumMod val="20000"/>
            <a:lumOff val="80000"/>
          </a:schemeClr>
        </a:solidFill>
      </xdr:grpSpPr>
      <xdr:sp macro="" textlink="">
        <xdr:nvSpPr>
          <xdr:cNvPr id="6" name="文本框 5">
            <a:extLst>
              <a:ext uri="{FF2B5EF4-FFF2-40B4-BE49-F238E27FC236}">
                <a16:creationId xmlns:a16="http://schemas.microsoft.com/office/drawing/2014/main" id="{00000000-0008-0000-0000-000006000000}"/>
              </a:ext>
            </a:extLst>
          </xdr:cNvPr>
          <xdr:cNvSpPr txBox="1"/>
        </xdr:nvSpPr>
        <xdr:spPr>
          <a:xfrm>
            <a:off x="1563150" y="97477"/>
            <a:ext cx="4105979" cy="4522692"/>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20000"/>
              </a:lnSpc>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1</a:t>
            </a:r>
            <a:r>
              <a:rPr lang="zh-CN" altLang="en-US" sz="1200" b="1">
                <a:latin typeface="宋体" panose="02010600030101010101" pitchFamily="2" charset="-122"/>
                <a:ea typeface="宋体" panose="02010600030101010101" pitchFamily="2" charset="-122"/>
              </a:rPr>
              <a:t>题</a:t>
            </a:r>
            <a:r>
              <a:rPr lang="zh-CN" altLang="en-US" sz="1200">
                <a:latin typeface="宋体" panose="02010600030101010101" pitchFamily="2" charset="-122"/>
                <a:ea typeface="宋体" panose="02010600030101010101" pitchFamily="2" charset="-122"/>
              </a:rPr>
              <a:t>利用数据透视表工具，使用</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数据库中数据，在不导入数据的情况下，制作如下图所示的数据透视表。汇总</a:t>
            </a:r>
            <a:r>
              <a:rPr lang="zh-CN" altLang="en-US" sz="1200" b="1">
                <a:solidFill>
                  <a:srgbClr val="FF0000"/>
                </a:solidFill>
                <a:latin typeface="宋体" panose="02010600030101010101" pitchFamily="2" charset="-122"/>
                <a:ea typeface="宋体" panose="02010600030101010101" pitchFamily="2" charset="-122"/>
              </a:rPr>
              <a:t>畅销商品</a:t>
            </a:r>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年销售额大于等于</a:t>
            </a:r>
            <a:r>
              <a:rPr lang="en-US" altLang="zh-CN" sz="1200">
                <a:latin typeface="宋体" panose="02010600030101010101" pitchFamily="2" charset="-122"/>
                <a:ea typeface="宋体" panose="02010600030101010101" pitchFamily="2" charset="-122"/>
              </a:rPr>
              <a:t>150,000</a:t>
            </a:r>
            <a:r>
              <a:rPr lang="zh-CN" altLang="en-US" sz="1200">
                <a:latin typeface="宋体" panose="02010600030101010101" pitchFamily="2" charset="-122"/>
                <a:ea typeface="宋体" panose="02010600030101010101" pitchFamily="2" charset="-122"/>
              </a:rPr>
              <a:t>）和</a:t>
            </a:r>
            <a:r>
              <a:rPr lang="zh-CN" altLang="en-US" sz="1200" b="1">
                <a:solidFill>
                  <a:srgbClr val="FF0000"/>
                </a:solidFill>
                <a:latin typeface="宋体" panose="02010600030101010101" pitchFamily="2" charset="-122"/>
                <a:ea typeface="宋体" panose="02010600030101010101" pitchFamily="2" charset="-122"/>
              </a:rPr>
              <a:t>普通商品</a:t>
            </a:r>
            <a:r>
              <a:rPr lang="zh-CN" altLang="en-US" sz="1200">
                <a:solidFill>
                  <a:sysClr val="windowText" lastClr="000000"/>
                </a:solidFill>
                <a:latin typeface="宋体" panose="02010600030101010101" pitchFamily="2" charset="-122"/>
                <a:ea typeface="宋体" panose="02010600030101010101" pitchFamily="2" charset="-122"/>
              </a:rPr>
              <a:t>（</a:t>
            </a:r>
            <a:r>
              <a:rPr lang="en-US" altLang="zh-CN" sz="1200">
                <a:solidFill>
                  <a:sysClr val="windowText" lastClr="000000"/>
                </a:solidFill>
                <a:latin typeface="宋体" panose="02010600030101010101" pitchFamily="2" charset="-122"/>
                <a:ea typeface="宋体" panose="02010600030101010101" pitchFamily="2" charset="-122"/>
              </a:rPr>
              <a:t>3</a:t>
            </a:r>
            <a:r>
              <a:rPr lang="zh-CN" altLang="en-US" sz="1200">
                <a:solidFill>
                  <a:sysClr val="windowText" lastClr="000000"/>
                </a:solidFill>
                <a:latin typeface="宋体" panose="02010600030101010101" pitchFamily="2" charset="-122"/>
                <a:ea typeface="宋体" panose="02010600030101010101" pitchFamily="2" charset="-122"/>
              </a:rPr>
              <a:t>年销售额小于</a:t>
            </a:r>
            <a:r>
              <a:rPr lang="en-US" altLang="zh-CN" sz="1200">
                <a:solidFill>
                  <a:sysClr val="windowText" lastClr="000000"/>
                </a:solidFill>
                <a:latin typeface="宋体" panose="02010600030101010101" pitchFamily="2" charset="-122"/>
                <a:ea typeface="宋体" panose="02010600030101010101" pitchFamily="2" charset="-122"/>
              </a:rPr>
              <a:t>150,000</a:t>
            </a:r>
            <a:r>
              <a:rPr lang="zh-CN" altLang="en-US" sz="1200">
                <a:solidFill>
                  <a:sysClr val="windowText" lastClr="000000"/>
                </a:solidFill>
                <a:latin typeface="宋体" panose="02010600030101010101" pitchFamily="2" charset="-122"/>
                <a:ea typeface="宋体" panose="02010600030101010101" pitchFamily="2" charset="-122"/>
              </a:rPr>
              <a:t>）</a:t>
            </a:r>
            <a:r>
              <a:rPr lang="en-US" altLang="zh-CN" sz="1200" b="1">
                <a:solidFill>
                  <a:sysClr val="windowText" lastClr="000000"/>
                </a:solidFill>
                <a:latin typeface="宋体" panose="02010600030101010101" pitchFamily="2" charset="-122"/>
                <a:ea typeface="宋体" panose="02010600030101010101" pitchFamily="2" charset="-122"/>
              </a:rPr>
              <a:t>1998</a:t>
            </a:r>
            <a:r>
              <a:rPr lang="zh-CN" altLang="en-US" sz="1200" b="1">
                <a:solidFill>
                  <a:sysClr val="windowText" lastClr="000000"/>
                </a:solidFill>
                <a:latin typeface="宋体" panose="02010600030101010101" pitchFamily="2" charset="-122"/>
                <a:ea typeface="宋体" panose="02010600030101010101" pitchFamily="2" charset="-122"/>
              </a:rPr>
              <a:t>年</a:t>
            </a:r>
            <a:r>
              <a:rPr lang="zh-CN" altLang="en-US" sz="1200">
                <a:solidFill>
                  <a:sysClr val="windowText" lastClr="000000"/>
                </a:solidFill>
                <a:latin typeface="宋体" panose="02010600030101010101" pitchFamily="2" charset="-122"/>
                <a:ea typeface="宋体" panose="02010600030101010101" pitchFamily="2" charset="-122"/>
              </a:rPr>
              <a:t>各个类别销售额总计值</a:t>
            </a:r>
            <a:r>
              <a:rPr lang="zh-CN" altLang="en-US" sz="1200" b="1">
                <a:solidFill>
                  <a:sysClr val="windowText" lastClr="000000"/>
                </a:solidFill>
                <a:latin typeface="宋体" panose="02010600030101010101" pitchFamily="2" charset="-122"/>
                <a:ea typeface="宋体" panose="02010600030101010101" pitchFamily="2" charset="-122"/>
              </a:rPr>
              <a:t>占畅销商品和普通商品的百分比</a:t>
            </a:r>
            <a:r>
              <a:rPr lang="zh-CN" altLang="en-US" sz="1200">
                <a:solidFill>
                  <a:sysClr val="windowText" lastClr="000000"/>
                </a:solidFill>
                <a:latin typeface="宋体" panose="02010600030101010101" pitchFamily="2" charset="-122"/>
                <a:ea typeface="宋体" panose="02010600030101010101" pitchFamily="2" charset="-122"/>
              </a:rPr>
              <a:t>（比如饮料销售额占畅销商品销售额的百分比），以及销售额平均值，并在顶部显示畅销和普通商品两类的分类汇总情况。</a:t>
            </a:r>
            <a:endParaRPr lang="en-US" altLang="zh-CN" sz="1200">
              <a:solidFill>
                <a:sysClr val="windowText" lastClr="000000"/>
              </a:solidFill>
              <a:latin typeface="宋体" panose="02010600030101010101" pitchFamily="2" charset="-122"/>
              <a:ea typeface="宋体" panose="02010600030101010101" pitchFamily="2" charset="-122"/>
            </a:endParaRPr>
          </a:p>
        </xdr:txBody>
      </xdr:sp>
      <xdr:pic>
        <xdr:nvPicPr>
          <xdr:cNvPr id="8" name="图片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6914" y="1770161"/>
            <a:ext cx="3019425" cy="2543175"/>
          </a:xfrm>
          <a:prstGeom prst="rect">
            <a:avLst/>
          </a:prstGeom>
          <a:grpFill/>
          <a:ln>
            <a:solidFill>
              <a:sysClr val="windowText" lastClr="000000"/>
            </a:solidFill>
          </a:ln>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259080</xdr:colOff>
      <xdr:row>12</xdr:row>
      <xdr:rowOff>106680</xdr:rowOff>
    </xdr:from>
    <xdr:to>
      <xdr:col>15</xdr:col>
      <xdr:colOff>563880</xdr:colOff>
      <xdr:row>27</xdr:row>
      <xdr:rowOff>106680</xdr:rowOff>
    </xdr:to>
    <xdr:graphicFrame macro="">
      <xdr:nvGraphicFramePr>
        <xdr:cNvPr id="3" name="图表 2">
          <a:extLst>
            <a:ext uri="{FF2B5EF4-FFF2-40B4-BE49-F238E27FC236}">
              <a16:creationId xmlns:a16="http://schemas.microsoft.com/office/drawing/2014/main" id="{DBF36670-3E00-4E98-A30C-589FFF564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175260</xdr:colOff>
      <xdr:row>12</xdr:row>
      <xdr:rowOff>135255</xdr:rowOff>
    </xdr:from>
    <xdr:to>
      <xdr:col>8</xdr:col>
      <xdr:colOff>575310</xdr:colOff>
      <xdr:row>41</xdr:row>
      <xdr:rowOff>64770</xdr:rowOff>
    </xdr:to>
    <xdr:grpSp>
      <xdr:nvGrpSpPr>
        <xdr:cNvPr id="6" name="组合 5">
          <a:extLst>
            <a:ext uri="{FF2B5EF4-FFF2-40B4-BE49-F238E27FC236}">
              <a16:creationId xmlns:a16="http://schemas.microsoft.com/office/drawing/2014/main" id="{00000000-0008-0000-0100-000006000000}"/>
            </a:ext>
          </a:extLst>
        </xdr:cNvPr>
        <xdr:cNvGrpSpPr/>
      </xdr:nvGrpSpPr>
      <xdr:grpSpPr>
        <a:xfrm>
          <a:off x="175260" y="2345055"/>
          <a:ext cx="6054090" cy="5233035"/>
          <a:chOff x="5245152" y="487556"/>
          <a:chExt cx="6819900" cy="4905375"/>
        </a:xfrm>
      </xdr:grpSpPr>
      <xdr:sp macro="" textlink="">
        <xdr:nvSpPr>
          <xdr:cNvPr id="2" name="Text Box 2">
            <a:extLst>
              <a:ext uri="{FF2B5EF4-FFF2-40B4-BE49-F238E27FC236}">
                <a16:creationId xmlns:a16="http://schemas.microsoft.com/office/drawing/2014/main" id="{00000000-0008-0000-0100-000002000000}"/>
              </a:ext>
            </a:extLst>
          </xdr:cNvPr>
          <xdr:cNvSpPr txBox="1">
            <a:spLocks noChangeArrowheads="1"/>
          </xdr:cNvSpPr>
        </xdr:nvSpPr>
        <xdr:spPr bwMode="auto">
          <a:xfrm>
            <a:off x="5245152" y="487556"/>
            <a:ext cx="6819900" cy="4905375"/>
          </a:xfrm>
          <a:prstGeom prst="rect">
            <a:avLst/>
          </a:prstGeom>
          <a:solidFill>
            <a:schemeClr val="accent6">
              <a:lumMod val="20000"/>
              <a:lumOff val="80000"/>
            </a:schemeClr>
          </a:solidFill>
          <a:ln w="9525">
            <a:solidFill>
              <a:srgbClr val="000000"/>
            </a:solidFill>
            <a:miter lim="800000"/>
            <a:headEnd/>
            <a:tailEnd/>
          </a:ln>
        </xdr:spPr>
        <xdr:txBody>
          <a:bodyPr vertOverflow="clip" wrap="square" lIns="27432" tIns="18288" rIns="0" bIns="0" anchor="t" upright="1"/>
          <a:lstStyle/>
          <a:p>
            <a:pPr algn="l" rtl="0">
              <a:lnSpc>
                <a:spcPct val="1500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2</a:t>
            </a:r>
            <a:r>
              <a:rPr lang="zh-CN" altLang="en-US" sz="1200" b="1" i="0" u="none" strike="noStrike" baseline="0">
                <a:solidFill>
                  <a:srgbClr val="000000"/>
                </a:solidFill>
                <a:latin typeface="宋体"/>
                <a:ea typeface="宋体"/>
              </a:rPr>
              <a:t>题 </a:t>
            </a:r>
            <a:r>
              <a:rPr lang="zh-CN" altLang="en-US" sz="1200" b="0" i="0" u="none" strike="noStrike" baseline="0">
                <a:solidFill>
                  <a:srgbClr val="000000"/>
                </a:solidFill>
                <a:latin typeface="宋体"/>
                <a:ea typeface="宋体"/>
              </a:rPr>
              <a:t>根据本工作表数据，利用DSUM()函数和模拟运算表，计算公司不同省份、不同类别不同年份净销售额总计值，并绘制如图所示图形，使用窗体中的组合框对类别进行控制，当选择组合框中的不同类别时，图形显示对应类别的净销售额，当选择全部时，显示全部类别的数据，另外制作一个列表框，反映选择年份时图形显示对应年份的净销售额汇总数据，图形中三个淡绿色柱子代表当前最小的三个省份，其它省份用淡蓝色表示，另外绿色拆线条表示当前净销售额的在总销售额中所占比例。结果如下图所示.</a:t>
            </a:r>
            <a:endParaRPr lang="zh-CN" altLang="en-US" sz="1200"/>
          </a:p>
        </xdr:txBody>
      </xdr:sp>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5899140" y="2264565"/>
            <a:ext cx="5133332" cy="2771429"/>
          </a:xfrm>
          <a:prstGeom prst="rect">
            <a:avLst/>
          </a:prstGeom>
        </xdr:spPr>
      </xdr:pic>
    </xdr:grpSp>
    <xdr:clientData/>
  </xdr:twoCellAnchor>
  <mc:AlternateContent xmlns:mc="http://schemas.openxmlformats.org/markup-compatibility/2006">
    <mc:Choice xmlns:a14="http://schemas.microsoft.com/office/drawing/2010/main" Requires="a14">
      <xdr:twoCellAnchor editAs="oneCell">
        <xdr:from>
          <xdr:col>13</xdr:col>
          <xdr:colOff>381000</xdr:colOff>
          <xdr:row>12</xdr:row>
          <xdr:rowOff>175260</xdr:rowOff>
        </xdr:from>
        <xdr:to>
          <xdr:col>14</xdr:col>
          <xdr:colOff>365760</xdr:colOff>
          <xdr:row>15</xdr:row>
          <xdr:rowOff>114300</xdr:rowOff>
        </xdr:to>
        <xdr:sp macro="" textlink="">
          <xdr:nvSpPr>
            <xdr:cNvPr id="2050" name="List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632460</xdr:colOff>
          <xdr:row>12</xdr:row>
          <xdr:rowOff>167640</xdr:rowOff>
        </xdr:from>
        <xdr:to>
          <xdr:col>10</xdr:col>
          <xdr:colOff>68580</xdr:colOff>
          <xdr:row>14</xdr:row>
          <xdr:rowOff>91440</xdr:rowOff>
        </xdr:to>
        <xdr:sp macro="" textlink="">
          <xdr:nvSpPr>
            <xdr:cNvPr id="2051" name="Drop Down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7</xdr:col>
      <xdr:colOff>309562</xdr:colOff>
      <xdr:row>0</xdr:row>
      <xdr:rowOff>176212</xdr:rowOff>
    </xdr:from>
    <xdr:to>
      <xdr:col>15</xdr:col>
      <xdr:colOff>338137</xdr:colOff>
      <xdr:row>15</xdr:row>
      <xdr:rowOff>161925</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5853112" y="176212"/>
          <a:ext cx="5438775" cy="2700338"/>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82800" tIns="82800" rIns="90000" bIns="46800" anchor="t" upright="1"/>
        <a:lstStyle/>
        <a:p>
          <a:pPr algn="l" rtl="0">
            <a:lnSpc>
              <a:spcPts val="1900"/>
            </a:lnSpc>
            <a:defRPr sz="1000"/>
          </a:pPr>
          <a:r>
            <a:rPr lang="zh-CN" altLang="zh-CN" sz="1050" b="1" i="0" baseline="0">
              <a:effectLst/>
              <a:latin typeface="+mn-lt"/>
              <a:ea typeface="+mn-ea"/>
              <a:cs typeface="+mn-cs"/>
            </a:rPr>
            <a:t>第</a:t>
          </a:r>
          <a:r>
            <a:rPr lang="en-US" altLang="zh-CN" sz="1050" b="1" i="0" baseline="0">
              <a:effectLst/>
              <a:latin typeface="+mn-lt"/>
              <a:ea typeface="+mn-ea"/>
              <a:cs typeface="+mn-cs"/>
            </a:rPr>
            <a:t>3</a:t>
          </a:r>
          <a:r>
            <a:rPr lang="zh-CN" altLang="zh-CN" sz="1050" b="1" i="0" baseline="0">
              <a:effectLst/>
              <a:latin typeface="+mn-lt"/>
              <a:ea typeface="+mn-ea"/>
              <a:cs typeface="+mn-cs"/>
            </a:rPr>
            <a:t>题</a:t>
          </a:r>
          <a:r>
            <a:rPr lang="en-US" altLang="zh-CN" sz="1050" b="1" i="0" baseline="0">
              <a:effectLst/>
              <a:latin typeface="+mn-lt"/>
              <a:ea typeface="+mn-ea"/>
              <a:cs typeface="+mn-cs"/>
            </a:rPr>
            <a:t> </a:t>
          </a:r>
          <a:r>
            <a:rPr lang="zh-CN" altLang="en-US" sz="1200" b="0" i="0" u="none" strike="noStrike" baseline="0">
              <a:solidFill>
                <a:srgbClr val="000000"/>
              </a:solidFill>
              <a:latin typeface="宋体"/>
              <a:ea typeface="宋体"/>
            </a:rPr>
            <a:t>本工作表中A1:</a:t>
          </a:r>
          <a:r>
            <a:rPr lang="en-US" altLang="zh-CN" sz="1200" b="0" i="0" u="none" strike="noStrike" baseline="0">
              <a:solidFill>
                <a:srgbClr val="000000"/>
              </a:solidFill>
              <a:latin typeface="宋体"/>
              <a:ea typeface="宋体"/>
            </a:rPr>
            <a:t>C</a:t>
          </a:r>
          <a:r>
            <a:rPr lang="zh-CN" altLang="en-US" sz="1200" b="0" i="0" u="none" strike="noStrike" baseline="0">
              <a:solidFill>
                <a:srgbClr val="000000"/>
              </a:solidFill>
              <a:latin typeface="宋体"/>
              <a:ea typeface="宋体"/>
            </a:rPr>
            <a:t>23区域的数据是某公司在</a:t>
          </a:r>
          <a:r>
            <a:rPr lang="en-US" altLang="zh-CN" sz="1200" b="0" i="0" u="none" strike="noStrike" baseline="0">
              <a:solidFill>
                <a:srgbClr val="000000"/>
              </a:solidFill>
              <a:latin typeface="宋体"/>
              <a:ea typeface="宋体"/>
            </a:rPr>
            <a:t>2016</a:t>
          </a:r>
          <a:r>
            <a:rPr lang="zh-CN" altLang="en-US" sz="1200" b="0" i="0" u="none" strike="noStrike" baseline="0">
              <a:solidFill>
                <a:srgbClr val="000000"/>
              </a:solidFill>
              <a:latin typeface="宋体"/>
              <a:ea typeface="宋体"/>
            </a:rPr>
            <a:t>年8月至</a:t>
          </a:r>
          <a:r>
            <a:rPr lang="en-US" altLang="zh-CN" sz="1200" b="0" i="0" u="none" strike="noStrike" baseline="0">
              <a:solidFill>
                <a:srgbClr val="000000"/>
              </a:solidFill>
              <a:latin typeface="宋体"/>
              <a:ea typeface="宋体"/>
            </a:rPr>
            <a:t>2018</a:t>
          </a:r>
          <a:r>
            <a:rPr lang="zh-CN" altLang="en-US" sz="1200" b="0" i="0" u="none" strike="noStrike" baseline="0">
              <a:solidFill>
                <a:srgbClr val="000000"/>
              </a:solidFill>
              <a:latin typeface="宋体"/>
              <a:ea typeface="宋体"/>
            </a:rPr>
            <a:t>年5月间的销售额观测值，经观察发现这些数据大体上在一个水平位置附近上下波动。要求建立移动平均模型：</a:t>
          </a:r>
        </a:p>
        <a:p>
          <a:pPr algn="l" rtl="0">
            <a:lnSpc>
              <a:spcPts val="1900"/>
            </a:lnSpc>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、针对在单元格</a:t>
          </a:r>
          <a:r>
            <a:rPr lang="en-US" altLang="zh-CN" sz="1200" b="0" i="0" u="none" strike="noStrike" baseline="0">
              <a:solidFill>
                <a:srgbClr val="000000"/>
              </a:solidFill>
              <a:latin typeface="宋体"/>
              <a:ea typeface="宋体"/>
              <a:cs typeface="Arial"/>
            </a:rPr>
            <a:t>H</a:t>
          </a:r>
          <a:r>
            <a:rPr lang="zh-CN" altLang="en-US" sz="1200" b="0" i="0" u="none" strike="noStrike" baseline="0">
              <a:solidFill>
                <a:srgbClr val="000000"/>
              </a:solidFill>
              <a:latin typeface="Arial"/>
              <a:ea typeface="宋体"/>
              <a:cs typeface="Arial"/>
            </a:rPr>
            <a:t>3</a:t>
          </a:r>
          <a:r>
            <a:rPr lang="zh-CN" altLang="en-US" sz="1200" b="0" i="0" u="none" strike="noStrike" baseline="0">
              <a:solidFill>
                <a:srgbClr val="000000"/>
              </a:solidFill>
              <a:latin typeface="宋体"/>
              <a:ea typeface="宋体"/>
              <a:cs typeface="Arial"/>
            </a:rPr>
            <a:t>中的任意移动平均跨度值（它可以是在</a:t>
          </a:r>
          <a:r>
            <a:rPr lang="zh-CN" altLang="en-US" sz="1200" b="0" i="0" u="none" strike="noStrike" baseline="0">
              <a:solidFill>
                <a:srgbClr val="000000"/>
              </a:solidFill>
              <a:latin typeface="Arial"/>
              <a:ea typeface="宋体"/>
              <a:cs typeface="Arial"/>
            </a:rPr>
            <a:t>2~8</a:t>
          </a:r>
          <a:r>
            <a:rPr lang="zh-CN" altLang="en-US" sz="1200" b="0" i="0" u="none" strike="noStrike" baseline="0">
              <a:solidFill>
                <a:srgbClr val="000000"/>
              </a:solidFill>
              <a:latin typeface="宋体"/>
              <a:ea typeface="宋体"/>
              <a:cs typeface="Arial"/>
            </a:rPr>
            <a:t>之间改变的任何整数）求出各个月销售额的移动平均估计值；</a:t>
          </a:r>
        </a:p>
        <a:p>
          <a:pPr algn="l" rtl="0">
            <a:lnSpc>
              <a:spcPts val="1900"/>
            </a:lnSpc>
            <a:defRPr sz="1000"/>
          </a:pPr>
          <a:r>
            <a:rPr lang="zh-CN" altLang="en-US" sz="1200" b="0" i="0" u="none" strike="noStrike" baseline="0">
              <a:solidFill>
                <a:srgbClr val="000000"/>
              </a:solidFill>
              <a:latin typeface="Arial"/>
              <a:cs typeface="Arial"/>
            </a:rPr>
            <a:t>2</a:t>
          </a:r>
          <a:r>
            <a:rPr lang="zh-CN" altLang="en-US" sz="1200" b="0" i="0" u="none" strike="noStrike" baseline="0">
              <a:solidFill>
                <a:srgbClr val="000000"/>
              </a:solidFill>
              <a:latin typeface="宋体"/>
              <a:ea typeface="宋体"/>
              <a:cs typeface="Arial"/>
            </a:rPr>
            <a:t>、求出这些估计值与对应的销售额实际值之间的均方误差</a:t>
          </a:r>
          <a:r>
            <a:rPr lang="zh-CN" altLang="en-US" sz="1200" b="0" i="0" u="none" strike="noStrike" baseline="0">
              <a:solidFill>
                <a:srgbClr val="000000"/>
              </a:solidFill>
              <a:latin typeface="Arial"/>
              <a:ea typeface="宋体"/>
              <a:cs typeface="Arial"/>
            </a:rPr>
            <a:t>MSE</a:t>
          </a:r>
          <a:r>
            <a:rPr lang="zh-CN" altLang="en-US" sz="1200" b="0" i="0" u="none" strike="noStrike" baseline="0">
              <a:solidFill>
                <a:srgbClr val="000000"/>
              </a:solidFill>
              <a:latin typeface="宋体"/>
              <a:ea typeface="宋体"/>
              <a:cs typeface="Arial"/>
            </a:rPr>
            <a:t>；</a:t>
          </a:r>
        </a:p>
        <a:p>
          <a:pPr algn="l" rtl="0">
            <a:lnSpc>
              <a:spcPts val="1900"/>
            </a:lnSpc>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、用灵敏度分析方法求出使</a:t>
          </a:r>
          <a:r>
            <a:rPr lang="zh-CN" altLang="en-US" sz="1200" b="0" i="0" u="none" strike="noStrike" baseline="0">
              <a:solidFill>
                <a:srgbClr val="000000"/>
              </a:solidFill>
              <a:latin typeface="Arial"/>
              <a:ea typeface="宋体"/>
              <a:cs typeface="Arial"/>
            </a:rPr>
            <a:t>MSE</a:t>
          </a:r>
          <a:r>
            <a:rPr lang="zh-CN" altLang="en-US" sz="1200" b="0" i="0" u="none" strike="noStrike" baseline="0">
              <a:solidFill>
                <a:srgbClr val="000000"/>
              </a:solidFill>
              <a:latin typeface="宋体"/>
              <a:ea typeface="宋体"/>
              <a:cs typeface="Arial"/>
            </a:rPr>
            <a:t>达到极小的最优移动平均跨度及该</a:t>
          </a:r>
          <a:r>
            <a:rPr lang="zh-CN" altLang="en-US" sz="1200" b="0" i="0" u="none" strike="noStrike" baseline="0">
              <a:solidFill>
                <a:srgbClr val="000000"/>
              </a:solidFill>
              <a:latin typeface="Arial"/>
              <a:ea typeface="宋体"/>
              <a:cs typeface="Arial"/>
            </a:rPr>
            <a:t>MSE</a:t>
          </a:r>
          <a:r>
            <a:rPr lang="zh-CN" altLang="en-US" sz="1200" b="0" i="0" u="none" strike="noStrike" baseline="0">
              <a:solidFill>
                <a:srgbClr val="000000"/>
              </a:solidFill>
              <a:latin typeface="宋体"/>
              <a:ea typeface="宋体"/>
              <a:cs typeface="Arial"/>
            </a:rPr>
            <a:t>极小值；</a:t>
          </a:r>
        </a:p>
        <a:p>
          <a:pPr algn="l" rtl="0">
            <a:lnSpc>
              <a:spcPts val="1900"/>
            </a:lnSpc>
            <a:defRPr sz="1000"/>
          </a:pPr>
          <a:r>
            <a:rPr lang="zh-CN" altLang="en-US" sz="1200" b="0" i="0" u="none" strike="noStrike" baseline="0">
              <a:solidFill>
                <a:srgbClr val="000000"/>
              </a:solidFill>
              <a:latin typeface="Arial"/>
              <a:cs typeface="Arial"/>
            </a:rPr>
            <a:t>4</a:t>
          </a:r>
          <a:r>
            <a:rPr lang="zh-CN" altLang="en-US" sz="1200" b="0" i="0" u="none" strike="noStrike" baseline="0">
              <a:solidFill>
                <a:srgbClr val="000000"/>
              </a:solidFill>
              <a:latin typeface="宋体"/>
              <a:ea typeface="宋体"/>
              <a:cs typeface="Arial"/>
            </a:rPr>
            <a:t>、用最优移动平均跨度求出</a:t>
          </a:r>
          <a:r>
            <a:rPr lang="en-US" altLang="zh-CN" sz="1200" b="0" i="0" u="none" strike="noStrike" baseline="0">
              <a:solidFill>
                <a:srgbClr val="000000"/>
              </a:solidFill>
              <a:latin typeface="宋体"/>
              <a:ea typeface="宋体"/>
              <a:cs typeface="Arial"/>
            </a:rPr>
            <a:t>2018</a:t>
          </a:r>
          <a:r>
            <a:rPr lang="zh-CN" altLang="en-US" sz="1200" b="0" i="0" u="none" strike="noStrike" baseline="0">
              <a:solidFill>
                <a:srgbClr val="000000"/>
              </a:solidFill>
              <a:latin typeface="宋体"/>
              <a:ea typeface="宋体"/>
              <a:cs typeface="Arial"/>
            </a:rPr>
            <a:t>年</a:t>
          </a:r>
          <a:r>
            <a:rPr lang="en-US" altLang="zh-CN" sz="1200" b="0" i="0" u="none" strike="noStrike" baseline="0">
              <a:solidFill>
                <a:srgbClr val="000000"/>
              </a:solidFill>
              <a:latin typeface="宋体"/>
              <a:ea typeface="宋体"/>
              <a:cs typeface="Arial"/>
            </a:rPr>
            <a:t>6</a:t>
          </a:r>
          <a:r>
            <a:rPr lang="zh-CN" altLang="en-US" sz="1200" b="0" i="0" u="none" strike="noStrike" baseline="0">
              <a:solidFill>
                <a:srgbClr val="000000"/>
              </a:solidFill>
              <a:latin typeface="宋体"/>
              <a:ea typeface="宋体"/>
              <a:cs typeface="Arial"/>
            </a:rPr>
            <a:t>月的销售额预测值。</a:t>
          </a:r>
          <a:endParaRPr lang="zh-CN" altLang="en-US" sz="1200" b="0" i="0" u="none" strike="noStrike" baseline="0">
            <a:solidFill>
              <a:srgbClr val="000000"/>
            </a:solidFill>
            <a:latin typeface="宋体"/>
            <a:ea typeface="宋体"/>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1038225</xdr:colOff>
      <xdr:row>0</xdr:row>
      <xdr:rowOff>60959</xdr:rowOff>
    </xdr:from>
    <xdr:to>
      <xdr:col>21</xdr:col>
      <xdr:colOff>306705</xdr:colOff>
      <xdr:row>23</xdr:row>
      <xdr:rowOff>13334</xdr:rowOff>
    </xdr:to>
    <xdr:grpSp>
      <xdr:nvGrpSpPr>
        <xdr:cNvPr id="4" name="组合 3">
          <a:extLst>
            <a:ext uri="{FF2B5EF4-FFF2-40B4-BE49-F238E27FC236}">
              <a16:creationId xmlns:a16="http://schemas.microsoft.com/office/drawing/2014/main" id="{00000000-0008-0000-0300-000004000000}"/>
            </a:ext>
          </a:extLst>
        </xdr:cNvPr>
        <xdr:cNvGrpSpPr/>
      </xdr:nvGrpSpPr>
      <xdr:grpSpPr>
        <a:xfrm>
          <a:off x="6509385" y="60959"/>
          <a:ext cx="6903720" cy="4158615"/>
          <a:chOff x="3433531" y="111869"/>
          <a:chExt cx="7713345" cy="3895725"/>
        </a:xfrm>
      </xdr:grpSpPr>
      <xdr:sp macro="" textlink="">
        <xdr:nvSpPr>
          <xdr:cNvPr id="3" name="Text Box 4">
            <a:extLst>
              <a:ext uri="{FF2B5EF4-FFF2-40B4-BE49-F238E27FC236}">
                <a16:creationId xmlns:a16="http://schemas.microsoft.com/office/drawing/2014/main" id="{00000000-0008-0000-0300-000003000000}"/>
              </a:ext>
            </a:extLst>
          </xdr:cNvPr>
          <xdr:cNvSpPr txBox="1">
            <a:spLocks noChangeArrowheads="1"/>
          </xdr:cNvSpPr>
        </xdr:nvSpPr>
        <xdr:spPr bwMode="auto">
          <a:xfrm>
            <a:off x="3433531" y="111869"/>
            <a:ext cx="7713345" cy="3895725"/>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72000" tIns="72000" rIns="72000" bIns="46800" anchor="t" upright="1"/>
          <a:lstStyle/>
          <a:p>
            <a:pPr eaLnBrk="1" fontAlgn="auto" latinLnBrk="0" hangingPunct="1"/>
            <a:r>
              <a:rPr lang="zh-CN" altLang="en-US" sz="1100" b="1" i="0" u="none" strike="noStrike" baseline="0">
                <a:solidFill>
                  <a:srgbClr val="000000"/>
                </a:solidFill>
                <a:latin typeface="宋体"/>
                <a:ea typeface="+mn-ea"/>
              </a:rPr>
              <a:t>第</a:t>
            </a:r>
            <a:r>
              <a:rPr lang="en-US" altLang="zh-CN" sz="1100" b="1" i="0" u="none" strike="noStrike" baseline="0">
                <a:solidFill>
                  <a:srgbClr val="000000"/>
                </a:solidFill>
                <a:latin typeface="宋体"/>
                <a:ea typeface="+mn-ea"/>
              </a:rPr>
              <a:t>4</a:t>
            </a:r>
            <a:r>
              <a:rPr lang="zh-CN" altLang="en-US" sz="1100" b="1" i="0" u="none" strike="noStrike" baseline="0">
                <a:solidFill>
                  <a:srgbClr val="000000"/>
                </a:solidFill>
                <a:latin typeface="宋体"/>
                <a:ea typeface="+mn-ea"/>
              </a:rPr>
              <a:t>题</a:t>
            </a:r>
            <a:r>
              <a:rPr lang="zh-CN" altLang="zh-CN" sz="1100">
                <a:effectLst/>
                <a:latin typeface="+mn-lt"/>
                <a:ea typeface="+mn-ea"/>
                <a:cs typeface="+mn-cs"/>
              </a:rPr>
              <a:t>某公司过去</a:t>
            </a:r>
            <a:r>
              <a:rPr lang="en-US" altLang="zh-CN" sz="1100">
                <a:effectLst/>
                <a:latin typeface="+mn-lt"/>
                <a:ea typeface="+mn-ea"/>
                <a:cs typeface="+mn-cs"/>
              </a:rPr>
              <a:t>9</a:t>
            </a:r>
            <a:r>
              <a:rPr lang="zh-CN" altLang="zh-CN" sz="1100">
                <a:effectLst/>
                <a:latin typeface="+mn-lt"/>
                <a:ea typeface="+mn-ea"/>
                <a:cs typeface="+mn-cs"/>
              </a:rPr>
              <a:t>个不同的销售点的销售额以及流通费率数据如单元格区域</a:t>
            </a:r>
            <a:r>
              <a:rPr lang="en-US" altLang="zh-CN" sz="1100">
                <a:effectLst/>
                <a:latin typeface="+mn-lt"/>
                <a:ea typeface="+mn-ea"/>
                <a:cs typeface="+mn-cs"/>
              </a:rPr>
              <a:t>B2:C10</a:t>
            </a:r>
            <a:r>
              <a:rPr lang="zh-CN" altLang="zh-CN" sz="1100">
                <a:effectLst/>
                <a:latin typeface="+mn-lt"/>
                <a:ea typeface="+mn-ea"/>
                <a:cs typeface="+mn-cs"/>
              </a:rPr>
              <a:t>所示，经分析销售额与流通率之间存在着近似下列两个方程所示的函数关系。</a:t>
            </a:r>
            <a:endParaRPr lang="en-US" altLang="zh-CN" sz="1100">
              <a:effectLst/>
              <a:latin typeface="+mn-lt"/>
              <a:ea typeface="+mn-ea"/>
              <a:cs typeface="+mn-cs"/>
            </a:endParaRPr>
          </a:p>
          <a:p>
            <a:pPr eaLnBrk="1" fontAlgn="auto" latinLnBrk="0" hangingPunct="1"/>
            <a:endParaRPr lang="en-US" altLang="zh-CN" sz="1100">
              <a:effectLst/>
              <a:latin typeface="+mn-lt"/>
              <a:ea typeface="+mn-ea"/>
              <a:cs typeface="+mn-cs"/>
            </a:endParaRPr>
          </a:p>
          <a:p>
            <a:pPr eaLnBrk="1" fontAlgn="auto" latinLnBrk="0" hangingPunct="1"/>
            <a:endParaRPr lang="en-US" altLang="zh-CN" sz="1100">
              <a:effectLst/>
              <a:latin typeface="+mn-lt"/>
              <a:ea typeface="+mn-ea"/>
              <a:cs typeface="+mn-cs"/>
            </a:endParaRPr>
          </a:p>
          <a:p>
            <a:pPr eaLnBrk="1" fontAlgn="auto" latinLnBrk="0" hangingPunct="1"/>
            <a:endParaRPr lang="en-US" altLang="zh-CN" sz="1100">
              <a:effectLst/>
              <a:latin typeface="+mn-lt"/>
              <a:ea typeface="+mn-ea"/>
              <a:cs typeface="+mn-cs"/>
            </a:endParaRPr>
          </a:p>
          <a:p>
            <a:pPr eaLnBrk="1" fontAlgn="auto" latinLnBrk="0" hangingPunct="1"/>
            <a:r>
              <a:rPr lang="zh-CN" altLang="zh-CN" sz="1100">
                <a:effectLst/>
                <a:latin typeface="+mn-lt"/>
                <a:ea typeface="+mn-ea"/>
                <a:cs typeface="+mn-cs"/>
              </a:rPr>
              <a:t>按照判定</a:t>
            </a:r>
            <a:r>
              <a:rPr lang="zh-CN" altLang="zh-CN" sz="1100" baseline="0">
                <a:effectLst/>
                <a:latin typeface="+mn-lt"/>
                <a:ea typeface="+mn-ea"/>
                <a:cs typeface="+mn-cs"/>
              </a:rPr>
              <a:t>系数</a:t>
            </a:r>
            <a:r>
              <a:rPr lang="en-US" altLang="zh-CN" sz="1100" baseline="0">
                <a:effectLst/>
                <a:latin typeface="+mn-lt"/>
                <a:ea typeface="+mn-ea"/>
                <a:cs typeface="+mn-cs"/>
              </a:rPr>
              <a:t>R</a:t>
            </a:r>
            <a:r>
              <a:rPr lang="zh-CN" altLang="zh-CN" sz="1100" baseline="0">
                <a:effectLst/>
                <a:latin typeface="+mn-lt"/>
                <a:ea typeface="+mn-ea"/>
                <a:cs typeface="+mn-cs"/>
              </a:rPr>
              <a:t>平方最大的原则，请你选用</a:t>
            </a:r>
            <a:r>
              <a:rPr lang="en-US" altLang="zh-CN" sz="1100" baseline="0">
                <a:effectLst/>
                <a:latin typeface="+mn-lt"/>
                <a:ea typeface="+mn-ea"/>
                <a:cs typeface="+mn-cs"/>
              </a:rPr>
              <a:t>R</a:t>
            </a:r>
            <a:r>
              <a:rPr lang="zh-CN" altLang="zh-CN" sz="1100" baseline="0">
                <a:effectLst/>
                <a:latin typeface="+mn-lt"/>
                <a:ea typeface="+mn-ea"/>
                <a:cs typeface="+mn-cs"/>
              </a:rPr>
              <a:t>平方最大的方程来预测当销售额为</a:t>
            </a:r>
            <a:r>
              <a:rPr lang="en-US" altLang="zh-CN" sz="1100" baseline="0">
                <a:effectLst/>
                <a:latin typeface="+mn-lt"/>
                <a:ea typeface="+mn-ea"/>
                <a:cs typeface="+mn-cs"/>
              </a:rPr>
              <a:t>25</a:t>
            </a:r>
            <a:r>
              <a:rPr lang="zh-CN" altLang="zh-CN" sz="1100" baseline="0">
                <a:effectLst/>
                <a:latin typeface="+mn-lt"/>
                <a:ea typeface="+mn-ea"/>
                <a:cs typeface="+mn-cs"/>
              </a:rPr>
              <a:t>时流通费率的值。要求</a:t>
            </a:r>
            <a:r>
              <a:rPr lang="zh-CN" altLang="en-US" sz="1100" baseline="0">
                <a:effectLst/>
                <a:latin typeface="+mn-lt"/>
                <a:ea typeface="+mn-ea"/>
                <a:cs typeface="+mn-cs"/>
              </a:rPr>
              <a:t>：</a:t>
            </a:r>
            <a:endParaRPr lang="en-US" altLang="zh-CN" sz="1100" baseline="0">
              <a:effectLst/>
              <a:latin typeface="+mn-lt"/>
              <a:ea typeface="+mn-ea"/>
              <a:cs typeface="+mn-cs"/>
            </a:endParaRPr>
          </a:p>
          <a:p>
            <a:r>
              <a:rPr lang="zh-CN" altLang="zh-CN" sz="1100">
                <a:effectLst/>
                <a:latin typeface="+mn-lt"/>
                <a:ea typeface="+mn-ea"/>
                <a:cs typeface="+mn-cs"/>
              </a:rPr>
              <a:t>对于方程：</a:t>
            </a:r>
            <a:endParaRPr lang="en-US" altLang="zh-CN" sz="1100">
              <a:effectLst/>
              <a:latin typeface="+mn-lt"/>
              <a:ea typeface="+mn-ea"/>
              <a:cs typeface="+mn-cs"/>
            </a:endParaRPr>
          </a:p>
          <a:p>
            <a:endParaRPr lang="en-US" altLang="zh-CN" sz="1100">
              <a:effectLst/>
              <a:latin typeface="+mn-lt"/>
              <a:ea typeface="+mn-ea"/>
              <a:cs typeface="+mn-cs"/>
            </a:endParaRPr>
          </a:p>
          <a:p>
            <a:endParaRPr lang="zh-CN" altLang="zh-CN" sz="1100">
              <a:effectLst/>
            </a:endParaRPr>
          </a:p>
          <a:p>
            <a:pPr eaLnBrk="1" fontAlgn="auto" latinLnBrk="0" hangingPunct="1"/>
            <a:r>
              <a:rPr lang="zh-CN" altLang="zh-CN" sz="1100">
                <a:effectLst/>
                <a:latin typeface="+mn-lt"/>
                <a:ea typeface="+mn-ea"/>
                <a:cs typeface="+mn-cs"/>
              </a:rPr>
              <a:t>（</a:t>
            </a:r>
            <a:r>
              <a:rPr lang="en-US" altLang="zh-CN" sz="1100">
                <a:effectLst/>
                <a:latin typeface="+mn-lt"/>
                <a:ea typeface="+mn-ea"/>
                <a:cs typeface="+mn-cs"/>
              </a:rPr>
              <a:t>1</a:t>
            </a:r>
            <a:r>
              <a:rPr lang="zh-CN" altLang="zh-CN" sz="1100">
                <a:effectLst/>
                <a:latin typeface="+mn-lt"/>
                <a:ea typeface="+mn-ea"/>
                <a:cs typeface="+mn-cs"/>
              </a:rPr>
              <a:t>）用变换法计算参数</a:t>
            </a:r>
            <a:r>
              <a:rPr lang="en-US" altLang="zh-CN" sz="1100">
                <a:effectLst/>
                <a:latin typeface="+mn-lt"/>
                <a:ea typeface="+mn-ea"/>
                <a:cs typeface="+mn-cs"/>
              </a:rPr>
              <a:t>a,b</a:t>
            </a:r>
            <a:r>
              <a:rPr lang="zh-CN" altLang="zh-CN" sz="1100">
                <a:effectLst/>
                <a:latin typeface="+mn-lt"/>
                <a:ea typeface="+mn-ea"/>
                <a:cs typeface="+mn-cs"/>
              </a:rPr>
              <a:t>及</a:t>
            </a:r>
            <a:r>
              <a:rPr lang="en-US" altLang="zh-CN" sz="1100">
                <a:effectLst/>
                <a:latin typeface="+mn-lt"/>
                <a:ea typeface="+mn-ea"/>
                <a:cs typeface="+mn-cs"/>
              </a:rPr>
              <a:t>R</a:t>
            </a:r>
            <a:r>
              <a:rPr lang="zh-CN" altLang="zh-CN" sz="1100">
                <a:effectLst/>
                <a:latin typeface="+mn-lt"/>
                <a:ea typeface="+mn-ea"/>
                <a:cs typeface="+mn-cs"/>
              </a:rPr>
              <a:t>平方的值。</a:t>
            </a:r>
            <a:endParaRPr lang="zh-CN" altLang="zh-CN" sz="1100">
              <a:effectLst/>
            </a:endParaRPr>
          </a:p>
          <a:p>
            <a:pPr eaLnBrk="1" fontAlgn="auto" latinLnBrk="0" hangingPunct="1"/>
            <a:r>
              <a:rPr lang="zh-CN" altLang="zh-CN" sz="1100">
                <a:effectLst/>
                <a:latin typeface="+mn-lt"/>
                <a:ea typeface="+mn-ea"/>
                <a:cs typeface="+mn-cs"/>
              </a:rPr>
              <a:t>（</a:t>
            </a:r>
            <a:r>
              <a:rPr lang="en-US" altLang="zh-CN" sz="1100">
                <a:effectLst/>
                <a:latin typeface="+mn-lt"/>
                <a:ea typeface="+mn-ea"/>
                <a:cs typeface="+mn-cs"/>
              </a:rPr>
              <a:t>2</a:t>
            </a:r>
            <a:r>
              <a:rPr lang="zh-CN" altLang="zh-CN" sz="1100">
                <a:effectLst/>
                <a:latin typeface="+mn-lt"/>
                <a:ea typeface="+mn-ea"/>
                <a:cs typeface="+mn-cs"/>
              </a:rPr>
              <a:t>）计算</a:t>
            </a:r>
            <a:r>
              <a:rPr lang="en-US" altLang="zh-CN" sz="1100">
                <a:effectLst/>
                <a:latin typeface="+mn-lt"/>
                <a:ea typeface="+mn-ea"/>
                <a:cs typeface="+mn-cs"/>
              </a:rPr>
              <a:t>MSE</a:t>
            </a:r>
            <a:r>
              <a:rPr lang="zh-CN" altLang="zh-CN" sz="1100">
                <a:effectLst/>
                <a:latin typeface="+mn-lt"/>
                <a:ea typeface="+mn-ea"/>
                <a:cs typeface="+mn-cs"/>
              </a:rPr>
              <a:t>。</a:t>
            </a:r>
            <a:endParaRPr lang="en-US" altLang="zh-CN" sz="1100">
              <a:effectLst/>
              <a:latin typeface="+mn-lt"/>
              <a:ea typeface="+mn-ea"/>
              <a:cs typeface="+mn-cs"/>
            </a:endParaRPr>
          </a:p>
          <a:p>
            <a:pPr eaLnBrk="1" fontAlgn="auto" latinLnBrk="0" hangingPunct="1"/>
            <a:endParaRPr lang="zh-CN" altLang="zh-CN" sz="1100">
              <a:effectLst/>
            </a:endParaRPr>
          </a:p>
          <a:p>
            <a:r>
              <a:rPr lang="zh-CN" altLang="zh-CN" sz="1100">
                <a:effectLst/>
                <a:latin typeface="+mn-lt"/>
                <a:ea typeface="+mn-ea"/>
                <a:cs typeface="+mn-cs"/>
              </a:rPr>
              <a:t>对于方程：</a:t>
            </a:r>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zh-CN" altLang="zh-CN" sz="1100">
              <a:effectLst/>
            </a:endParaRPr>
          </a:p>
          <a:p>
            <a:pPr eaLnBrk="1" fontAlgn="auto" latinLnBrk="0" hangingPunct="1"/>
            <a:r>
              <a:rPr lang="zh-CN" altLang="zh-CN" sz="1100">
                <a:effectLst/>
                <a:latin typeface="+mn-lt"/>
                <a:ea typeface="+mn-ea"/>
                <a:cs typeface="+mn-cs"/>
              </a:rPr>
              <a:t>（</a:t>
            </a:r>
            <a:r>
              <a:rPr lang="en-US" altLang="zh-CN" sz="1100">
                <a:effectLst/>
                <a:latin typeface="+mn-lt"/>
                <a:ea typeface="+mn-ea"/>
                <a:cs typeface="+mn-cs"/>
              </a:rPr>
              <a:t>3</a:t>
            </a:r>
            <a:r>
              <a:rPr lang="zh-CN" altLang="zh-CN" sz="1100">
                <a:effectLst/>
                <a:latin typeface="+mn-lt"/>
                <a:ea typeface="+mn-ea"/>
                <a:cs typeface="+mn-cs"/>
              </a:rPr>
              <a:t>）画一个散点图，观察</a:t>
            </a:r>
            <a:r>
              <a:rPr lang="zh-CN" altLang="zh-CN" sz="1100" baseline="0">
                <a:effectLst/>
                <a:latin typeface="+mn-lt"/>
                <a:ea typeface="+mn-ea"/>
                <a:cs typeface="+mn-cs"/>
              </a:rPr>
              <a:t>销售额与流通费率</a:t>
            </a:r>
            <a:r>
              <a:rPr lang="zh-CN" altLang="zh-CN" sz="1100">
                <a:effectLst/>
                <a:latin typeface="+mn-lt"/>
                <a:ea typeface="+mn-ea"/>
                <a:cs typeface="+mn-cs"/>
              </a:rPr>
              <a:t>之间的关系，在图表中显示相关方程和</a:t>
            </a:r>
            <a:r>
              <a:rPr lang="en-US" altLang="zh-CN" sz="1100">
                <a:effectLst/>
                <a:latin typeface="+mn-lt"/>
                <a:ea typeface="+mn-ea"/>
                <a:cs typeface="+mn-cs"/>
              </a:rPr>
              <a:t>R</a:t>
            </a:r>
            <a:r>
              <a:rPr lang="zh-CN" altLang="zh-CN" sz="1100">
                <a:effectLst/>
                <a:latin typeface="+mn-lt"/>
                <a:ea typeface="+mn-ea"/>
                <a:cs typeface="+mn-cs"/>
              </a:rPr>
              <a:t>平方。</a:t>
            </a:r>
            <a:endParaRPr lang="zh-CN" altLang="zh-CN" sz="1100">
              <a:effectLst/>
            </a:endParaRPr>
          </a:p>
          <a:p>
            <a:pPr eaLnBrk="1" fontAlgn="auto" latinLnBrk="0" hangingPunct="1"/>
            <a:r>
              <a:rPr lang="zh-CN" altLang="zh-CN" sz="1100">
                <a:effectLst/>
                <a:latin typeface="+mn-lt"/>
                <a:ea typeface="+mn-ea"/>
                <a:cs typeface="+mn-cs"/>
              </a:rPr>
              <a:t>（</a:t>
            </a:r>
            <a:r>
              <a:rPr lang="en-US" altLang="zh-CN" sz="1100">
                <a:effectLst/>
                <a:latin typeface="+mn-lt"/>
                <a:ea typeface="+mn-ea"/>
                <a:cs typeface="+mn-cs"/>
              </a:rPr>
              <a:t>4</a:t>
            </a:r>
            <a:r>
              <a:rPr lang="zh-CN" altLang="zh-CN" sz="1100" baseline="0">
                <a:effectLst/>
                <a:latin typeface="+mn-lt"/>
                <a:ea typeface="+mn-ea"/>
                <a:cs typeface="+mn-cs"/>
              </a:rPr>
              <a:t>）</a:t>
            </a:r>
            <a:r>
              <a:rPr lang="zh-CN" altLang="zh-CN" sz="1100">
                <a:effectLst/>
                <a:latin typeface="+mn-lt"/>
                <a:ea typeface="+mn-ea"/>
                <a:cs typeface="+mn-cs"/>
              </a:rPr>
              <a:t>选用</a:t>
            </a:r>
            <a:r>
              <a:rPr lang="en-US" altLang="zh-CN" sz="1100">
                <a:effectLst/>
                <a:latin typeface="+mn-lt"/>
                <a:ea typeface="+mn-ea"/>
                <a:cs typeface="+mn-cs"/>
              </a:rPr>
              <a:t>R</a:t>
            </a:r>
            <a:r>
              <a:rPr lang="zh-CN" altLang="zh-CN" sz="1100">
                <a:effectLst/>
                <a:latin typeface="+mn-lt"/>
                <a:ea typeface="+mn-ea"/>
                <a:cs typeface="+mn-cs"/>
              </a:rPr>
              <a:t>平方最大的方程来预测</a:t>
            </a:r>
            <a:r>
              <a:rPr lang="zh-CN" altLang="zh-CN" sz="1100" baseline="0">
                <a:effectLst/>
                <a:latin typeface="+mn-lt"/>
                <a:ea typeface="+mn-ea"/>
                <a:cs typeface="+mn-cs"/>
              </a:rPr>
              <a:t>当销售额为</a:t>
            </a:r>
            <a:r>
              <a:rPr lang="en-US" altLang="zh-CN" sz="1100" baseline="0">
                <a:effectLst/>
                <a:latin typeface="+mn-lt"/>
                <a:ea typeface="+mn-ea"/>
                <a:cs typeface="+mn-cs"/>
              </a:rPr>
              <a:t>25</a:t>
            </a:r>
            <a:r>
              <a:rPr lang="zh-CN" altLang="zh-CN" sz="1100" baseline="0">
                <a:effectLst/>
                <a:latin typeface="+mn-lt"/>
                <a:ea typeface="+mn-ea"/>
                <a:cs typeface="+mn-cs"/>
              </a:rPr>
              <a:t>时流通费率的值</a:t>
            </a:r>
            <a:r>
              <a:rPr lang="zh-CN" altLang="zh-CN" sz="1100">
                <a:effectLst/>
                <a:latin typeface="+mn-lt"/>
                <a:ea typeface="+mn-ea"/>
                <a:cs typeface="+mn-cs"/>
              </a:rPr>
              <a:t>。</a:t>
            </a:r>
            <a:endParaRPr lang="zh-CN" altLang="zh-CN" sz="1100">
              <a:effectLst/>
            </a:endParaRPr>
          </a:p>
        </xdr:txBody>
      </xdr:sp>
      <mc:AlternateContent xmlns:mc="http://schemas.openxmlformats.org/markup-compatibility/2006">
        <mc:Choice xmlns:a14="http://schemas.microsoft.com/office/drawing/2010/main" Requires="a14">
          <xdr:sp macro="" textlink="">
            <xdr:nvSpPr>
              <xdr:cNvPr id="10241" name="AutoShape 1" hidden="1">
                <a:extLst>
                  <a:ext uri="{63B3BB69-23CF-44E3-9099-C40C66FF867C}">
                    <a14:compatExt spid="_x0000_s10241"/>
                  </a:ext>
                  <a:ext uri="{FF2B5EF4-FFF2-40B4-BE49-F238E27FC236}">
                    <a16:creationId xmlns:a16="http://schemas.microsoft.com/office/drawing/2014/main" id="{00000000-0008-0000-0300-000001280000}"/>
                  </a:ext>
                </a:extLst>
              </xdr:cNvPr>
              <xdr:cNvSpPr/>
            </xdr:nvSpPr>
            <xdr:spPr bwMode="auto">
              <a:xfrm>
                <a:off x="3750528" y="576695"/>
                <a:ext cx="923523" cy="339437"/>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0242" name="AutoShape 2" hidden="1">
                <a:extLst>
                  <a:ext uri="{63B3BB69-23CF-44E3-9099-C40C66FF867C}">
                    <a14:compatExt spid="_x0000_s10242"/>
                  </a:ext>
                  <a:ext uri="{FF2B5EF4-FFF2-40B4-BE49-F238E27FC236}">
                    <a16:creationId xmlns:a16="http://schemas.microsoft.com/office/drawing/2014/main" id="{00000000-0008-0000-0300-000002280000}"/>
                  </a:ext>
                </a:extLst>
              </xdr:cNvPr>
              <xdr:cNvSpPr/>
            </xdr:nvSpPr>
            <xdr:spPr bwMode="auto">
              <a:xfrm>
                <a:off x="5395554" y="552450"/>
                <a:ext cx="1115775" cy="38100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0243" name="AutoShape 1" hidden="1">
                <a:extLst>
                  <a:ext uri="{63B3BB69-23CF-44E3-9099-C40C66FF867C}">
                    <a14:compatExt spid="_x0000_s10243"/>
                  </a:ext>
                  <a:ext uri="{FF2B5EF4-FFF2-40B4-BE49-F238E27FC236}">
                    <a16:creationId xmlns:a16="http://schemas.microsoft.com/office/drawing/2014/main" id="{00000000-0008-0000-0300-000003280000}"/>
                  </a:ext>
                </a:extLst>
              </xdr:cNvPr>
              <xdr:cNvSpPr/>
            </xdr:nvSpPr>
            <xdr:spPr bwMode="auto">
              <a:xfrm>
                <a:off x="3798347" y="1257300"/>
                <a:ext cx="924655" cy="30480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0244" name="AutoShape 2" hidden="1">
                <a:extLst>
                  <a:ext uri="{63B3BB69-23CF-44E3-9099-C40C66FF867C}">
                    <a14:compatExt spid="_x0000_s10244"/>
                  </a:ext>
                  <a:ext uri="{FF2B5EF4-FFF2-40B4-BE49-F238E27FC236}">
                    <a16:creationId xmlns:a16="http://schemas.microsoft.com/office/drawing/2014/main" id="{00000000-0008-0000-0300-000004280000}"/>
                  </a:ext>
                </a:extLst>
              </xdr:cNvPr>
              <xdr:cNvSpPr/>
            </xdr:nvSpPr>
            <xdr:spPr bwMode="auto">
              <a:xfrm>
                <a:off x="4063996" y="2345667"/>
                <a:ext cx="1423765" cy="311456"/>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mc:Choice>
        <mc:Fallback/>
      </mc:AlternateContent>
    </xdr:grpSp>
    <xdr:clientData/>
  </xdr:twoCellAnchor>
  <xdr:twoCellAnchor>
    <xdr:from>
      <xdr:col>0</xdr:col>
      <xdr:colOff>38100</xdr:colOff>
      <xdr:row>23</xdr:row>
      <xdr:rowOff>76200</xdr:rowOff>
    </xdr:from>
    <xdr:to>
      <xdr:col>4</xdr:col>
      <xdr:colOff>571500</xdr:colOff>
      <xdr:row>34</xdr:row>
      <xdr:rowOff>121920</xdr:rowOff>
    </xdr:to>
    <xdr:graphicFrame macro="">
      <xdr:nvGraphicFramePr>
        <xdr:cNvPr id="6" name="图表 5">
          <a:extLst>
            <a:ext uri="{FF2B5EF4-FFF2-40B4-BE49-F238E27FC236}">
              <a16:creationId xmlns:a16="http://schemas.microsoft.com/office/drawing/2014/main" id="{304AF22A-DDBA-443A-BE3D-B7B0D7B40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312738</xdr:colOff>
      <xdr:row>0</xdr:row>
      <xdr:rowOff>98424</xdr:rowOff>
    </xdr:from>
    <xdr:to>
      <xdr:col>15</xdr:col>
      <xdr:colOff>66675</xdr:colOff>
      <xdr:row>29</xdr:row>
      <xdr:rowOff>76199</xdr:rowOff>
    </xdr:to>
    <xdr:grpSp>
      <xdr:nvGrpSpPr>
        <xdr:cNvPr id="7" name="组合 6">
          <a:extLst>
            <a:ext uri="{FF2B5EF4-FFF2-40B4-BE49-F238E27FC236}">
              <a16:creationId xmlns:a16="http://schemas.microsoft.com/office/drawing/2014/main" id="{00000000-0008-0000-0400-000007000000}"/>
            </a:ext>
          </a:extLst>
        </xdr:cNvPr>
        <xdr:cNvGrpSpPr/>
      </xdr:nvGrpSpPr>
      <xdr:grpSpPr>
        <a:xfrm>
          <a:off x="3330258" y="98424"/>
          <a:ext cx="5849937" cy="5281295"/>
          <a:chOff x="5275263" y="98424"/>
          <a:chExt cx="6088062" cy="5040313"/>
        </a:xfrm>
      </xdr:grpSpPr>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5275263" y="98424"/>
            <a:ext cx="6088062" cy="5040313"/>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just" rtl="0">
              <a:defRPr sz="1000"/>
            </a:pPr>
            <a:r>
              <a:rPr lang="zh-CN" altLang="en-US" sz="1200" b="1" i="0" u="none" strike="noStrike" baseline="0">
                <a:solidFill>
                  <a:srgbClr val="000000"/>
                </a:solidFill>
                <a:latin typeface="Arial"/>
                <a:ea typeface="+mn-ea"/>
                <a:cs typeface="Arial"/>
              </a:rPr>
              <a:t>第</a:t>
            </a:r>
            <a:r>
              <a:rPr lang="en-US" altLang="zh-CN" sz="1200" b="1" i="0" u="none" strike="noStrike" baseline="0">
                <a:solidFill>
                  <a:srgbClr val="000000"/>
                </a:solidFill>
                <a:latin typeface="Arial"/>
                <a:ea typeface="+mn-ea"/>
                <a:cs typeface="Arial"/>
              </a:rPr>
              <a:t>5</a:t>
            </a:r>
            <a:r>
              <a:rPr lang="zh-CN" altLang="en-US" sz="1200" b="1" i="0" u="none" strike="noStrike" baseline="0">
                <a:solidFill>
                  <a:srgbClr val="000000"/>
                </a:solidFill>
                <a:latin typeface="Arial"/>
                <a:ea typeface="+mn-ea"/>
                <a:cs typeface="Arial"/>
              </a:rPr>
              <a:t>题 </a:t>
            </a:r>
            <a:r>
              <a:rPr lang="zh-CN" altLang="en-US" sz="1200" b="0" i="0" u="none" strike="noStrike" baseline="0">
                <a:solidFill>
                  <a:srgbClr val="000000"/>
                </a:solidFill>
                <a:latin typeface="宋体"/>
                <a:ea typeface="宋体"/>
                <a:cs typeface="Arial"/>
              </a:rPr>
              <a:t>某公司生产制造并销售一种产品，销售单价为</a:t>
            </a:r>
            <a:r>
              <a:rPr lang="en-US" altLang="zh-CN" sz="1200" b="0" i="0" u="none" strike="noStrike" baseline="0">
                <a:solidFill>
                  <a:srgbClr val="000000"/>
                </a:solidFill>
                <a:latin typeface="宋体"/>
                <a:ea typeface="宋体"/>
                <a:cs typeface="Arial"/>
              </a:rPr>
              <a:t>1</a:t>
            </a:r>
            <a:r>
              <a:rPr lang="zh-CN" altLang="en-US" sz="1200" b="0" i="0" u="none" strike="noStrike" baseline="0">
                <a:solidFill>
                  <a:srgbClr val="000000"/>
                </a:solidFill>
                <a:latin typeface="Arial"/>
                <a:ea typeface="宋体"/>
                <a:cs typeface="Arial"/>
              </a:rPr>
              <a:t>00</a:t>
            </a:r>
            <a:r>
              <a:rPr lang="zh-CN" altLang="en-US" sz="1200" b="0" i="0" u="none" strike="noStrike" baseline="0">
                <a:solidFill>
                  <a:srgbClr val="000000"/>
                </a:solidFill>
                <a:latin typeface="宋体"/>
                <a:ea typeface="宋体"/>
                <a:cs typeface="Arial"/>
              </a:rPr>
              <a:t>元</a:t>
            </a:r>
            <a:r>
              <a:rPr lang="zh-CN" altLang="en-US" sz="1200" b="0" i="0" u="none" strike="noStrike" baseline="0">
                <a:solidFill>
                  <a:srgbClr val="000000"/>
                </a:solidFill>
                <a:latin typeface="Arial"/>
                <a:ea typeface="宋体"/>
                <a:cs typeface="Arial"/>
              </a:rPr>
              <a:t>/</a:t>
            </a:r>
            <a:r>
              <a:rPr lang="zh-CN" altLang="en-US" sz="1200" b="0" i="0" u="none" strike="noStrike" baseline="0">
                <a:solidFill>
                  <a:srgbClr val="000000"/>
                </a:solidFill>
                <a:latin typeface="宋体"/>
                <a:ea typeface="宋体"/>
                <a:cs typeface="Arial"/>
              </a:rPr>
              <a:t>件，固定成本为</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Arial"/>
                <a:ea typeface="宋体"/>
                <a:cs typeface="Arial"/>
              </a:rPr>
              <a:t>0000</a:t>
            </a:r>
            <a:r>
              <a:rPr lang="zh-CN" altLang="en-US" sz="1200" b="0" i="0" u="none" strike="noStrike" baseline="0">
                <a:solidFill>
                  <a:srgbClr val="000000"/>
                </a:solidFill>
                <a:latin typeface="宋体"/>
                <a:ea typeface="宋体"/>
                <a:cs typeface="Arial"/>
              </a:rPr>
              <a:t>元，</a:t>
            </a:r>
            <a:r>
              <a:rPr lang="zh-CN" altLang="zh-CN" sz="1200" b="0" i="0" u="none" strike="noStrike" baseline="0">
                <a:solidFill>
                  <a:srgbClr val="000000"/>
                </a:solidFill>
                <a:latin typeface="宋体"/>
                <a:ea typeface="宋体"/>
                <a:cs typeface="Arial"/>
              </a:rPr>
              <a:t>当前销量为</a:t>
            </a:r>
            <a:r>
              <a:rPr lang="en-US" altLang="zh-CN" sz="1200" b="0" i="0" u="none" strike="noStrike" baseline="0">
                <a:solidFill>
                  <a:srgbClr val="000000"/>
                </a:solidFill>
                <a:latin typeface="宋体"/>
                <a:ea typeface="宋体"/>
                <a:cs typeface="Arial"/>
              </a:rPr>
              <a:t>1000</a:t>
            </a:r>
            <a:r>
              <a:rPr lang="zh-CN" altLang="zh-CN" sz="1200" b="0" i="0" u="none" strike="noStrike" baseline="0">
                <a:solidFill>
                  <a:srgbClr val="000000"/>
                </a:solidFill>
                <a:latin typeface="宋体"/>
                <a:ea typeface="宋体"/>
                <a:cs typeface="Arial"/>
              </a:rPr>
              <a:t>件，</a:t>
            </a:r>
            <a:r>
              <a:rPr lang="zh-CN" altLang="en-US" sz="1200" b="0" i="0" u="none" strike="noStrike" baseline="0">
                <a:solidFill>
                  <a:srgbClr val="000000"/>
                </a:solidFill>
                <a:latin typeface="宋体"/>
                <a:ea typeface="宋体"/>
                <a:cs typeface="Arial"/>
              </a:rPr>
              <a:t>生产一件产品需要用工时、电量和原材料分别是</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宋体"/>
                <a:ea typeface="宋体"/>
                <a:cs typeface="Arial"/>
              </a:rPr>
              <a:t>小时、</a:t>
            </a:r>
            <a:r>
              <a:rPr lang="en-US" altLang="zh-CN" sz="1200" b="0" i="0" u="none" strike="noStrike" baseline="0">
                <a:solidFill>
                  <a:srgbClr val="000000"/>
                </a:solidFill>
                <a:latin typeface="Arial"/>
                <a:ea typeface="宋体"/>
                <a:cs typeface="Arial"/>
              </a:rPr>
              <a:t>2</a:t>
            </a:r>
            <a:r>
              <a:rPr lang="zh-CN" altLang="en-US" sz="1200" b="0" i="0" u="none" strike="noStrike" baseline="0">
                <a:solidFill>
                  <a:srgbClr val="000000"/>
                </a:solidFill>
                <a:latin typeface="宋体"/>
                <a:ea typeface="宋体"/>
                <a:cs typeface="Arial"/>
              </a:rPr>
              <a:t>千瓦和</a:t>
            </a:r>
            <a:r>
              <a:rPr lang="en-US" altLang="zh-CN" sz="1200" b="0" i="0" u="none" strike="noStrike" baseline="0">
                <a:solidFill>
                  <a:srgbClr val="000000"/>
                </a:solidFill>
                <a:latin typeface="Arial"/>
                <a:ea typeface="宋体"/>
                <a:cs typeface="Arial"/>
              </a:rPr>
              <a:t>3</a:t>
            </a:r>
            <a:r>
              <a:rPr lang="zh-CN" altLang="en-US" sz="1200" b="0" i="0" u="none" strike="noStrike" baseline="0">
                <a:solidFill>
                  <a:srgbClr val="000000"/>
                </a:solidFill>
                <a:latin typeface="宋体"/>
                <a:ea typeface="宋体"/>
                <a:cs typeface="Arial"/>
              </a:rPr>
              <a:t>公斤。单位工时、用电量和原材料的成本分别是</a:t>
            </a:r>
            <a:r>
              <a:rPr lang="en-US" altLang="zh-CN" sz="1200" b="0" i="0" u="none" strike="noStrike" baseline="0">
                <a:solidFill>
                  <a:srgbClr val="000000"/>
                </a:solidFill>
                <a:latin typeface="Arial"/>
                <a:ea typeface="宋体"/>
                <a:cs typeface="Arial"/>
              </a:rPr>
              <a:t>3</a:t>
            </a:r>
            <a:r>
              <a:rPr lang="zh-CN" altLang="en-US" sz="1200" b="0" i="0" u="none" strike="noStrike" baseline="0">
                <a:solidFill>
                  <a:srgbClr val="000000"/>
                </a:solidFill>
                <a:latin typeface="Arial"/>
                <a:ea typeface="宋体"/>
                <a:cs typeface="Arial"/>
              </a:rPr>
              <a:t>0</a:t>
            </a:r>
            <a:r>
              <a:rPr lang="zh-CN" altLang="en-US" sz="1200" b="0" i="0" u="none" strike="noStrike" baseline="0">
                <a:solidFill>
                  <a:srgbClr val="000000"/>
                </a:solidFill>
                <a:latin typeface="宋体"/>
                <a:ea typeface="宋体"/>
                <a:cs typeface="Arial"/>
              </a:rPr>
              <a:t>元、</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Arial"/>
                <a:ea typeface="宋体"/>
                <a:cs typeface="Arial"/>
              </a:rPr>
              <a:t>0</a:t>
            </a:r>
            <a:r>
              <a:rPr lang="zh-CN" altLang="en-US" sz="1200" b="0" i="0" u="none" strike="noStrike" baseline="0">
                <a:solidFill>
                  <a:srgbClr val="000000"/>
                </a:solidFill>
                <a:latin typeface="宋体"/>
                <a:ea typeface="宋体"/>
                <a:cs typeface="Arial"/>
              </a:rPr>
              <a:t>元和</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Arial"/>
                <a:ea typeface="宋体"/>
                <a:cs typeface="Arial"/>
              </a:rPr>
              <a:t>0</a:t>
            </a:r>
            <a:r>
              <a:rPr lang="zh-CN" altLang="en-US" sz="1200" b="0" i="0" u="none" strike="noStrike" baseline="0">
                <a:solidFill>
                  <a:srgbClr val="000000"/>
                </a:solidFill>
                <a:latin typeface="宋体"/>
                <a:ea typeface="宋体"/>
                <a:cs typeface="Arial"/>
              </a:rPr>
              <a:t>元。当目标利润为</a:t>
            </a:r>
            <a:r>
              <a:rPr lang="en-US" altLang="zh-CN" sz="1200" b="0" i="0" u="none" strike="noStrike" baseline="0">
                <a:solidFill>
                  <a:srgbClr val="000000"/>
                </a:solidFill>
                <a:latin typeface="宋体"/>
                <a:ea typeface="宋体"/>
                <a:cs typeface="Arial"/>
              </a:rPr>
              <a:t>20000</a:t>
            </a:r>
            <a:r>
              <a:rPr lang="zh-CN" altLang="en-US" sz="1200" b="0" i="0" u="none" strike="noStrike" baseline="0">
                <a:solidFill>
                  <a:srgbClr val="000000"/>
                </a:solidFill>
                <a:latin typeface="宋体"/>
                <a:ea typeface="宋体"/>
                <a:cs typeface="Arial"/>
              </a:rPr>
              <a:t>元时，请在本工作表中已建好的模型的基础上输入适当的公式，并要求：</a:t>
            </a:r>
          </a:p>
          <a:p>
            <a:pPr algn="just" rtl="0">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、在本工作表中生成必要的数据，然后绘制一个利润随销量变化的图形。</a:t>
            </a:r>
          </a:p>
          <a:p>
            <a:pPr algn="just" rtl="0">
              <a:defRPr sz="1000"/>
            </a:pPr>
            <a:r>
              <a:rPr lang="zh-CN" altLang="en-US" sz="1200" b="0" i="0" u="none" strike="noStrike" baseline="0">
                <a:solidFill>
                  <a:srgbClr val="000000"/>
                </a:solidFill>
                <a:latin typeface="Arial"/>
                <a:cs typeface="Arial"/>
              </a:rPr>
              <a:t>2</a:t>
            </a:r>
            <a:r>
              <a:rPr lang="zh-CN" altLang="en-US" sz="1200" b="0" i="0" u="none" strike="noStrike" baseline="0">
                <a:solidFill>
                  <a:srgbClr val="000000"/>
                </a:solidFill>
                <a:latin typeface="宋体"/>
                <a:ea typeface="宋体"/>
                <a:cs typeface="Arial"/>
              </a:rPr>
              <a:t>、在图中添加一条盈亏平衡的垂直参考线。</a:t>
            </a:r>
          </a:p>
          <a:p>
            <a:pPr algn="just" rtl="0">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、在图中添加反映目标销量</a:t>
            </a:r>
            <a:r>
              <a:rPr lang="en-US" altLang="zh-CN" sz="1200" b="0" i="0" u="none" strike="noStrike" baseline="0">
                <a:solidFill>
                  <a:srgbClr val="000000"/>
                </a:solidFill>
                <a:latin typeface="宋体"/>
                <a:ea typeface="宋体"/>
                <a:cs typeface="Arial"/>
              </a:rPr>
              <a:t>-</a:t>
            </a:r>
            <a:r>
              <a:rPr lang="zh-CN" altLang="en-US" sz="1200" b="0" i="0" u="none" strike="noStrike" baseline="0">
                <a:solidFill>
                  <a:srgbClr val="000000"/>
                </a:solidFill>
                <a:latin typeface="宋体"/>
                <a:ea typeface="宋体"/>
                <a:cs typeface="Arial"/>
              </a:rPr>
              <a:t>目标利润的折角参考线。</a:t>
            </a:r>
            <a:endParaRPr lang="en-US" altLang="zh-CN" sz="1200" b="0" i="0" u="none" strike="noStrike" baseline="0">
              <a:solidFill>
                <a:srgbClr val="000000"/>
              </a:solidFill>
              <a:latin typeface="宋体"/>
              <a:ea typeface="宋体"/>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r>
              <a:rPr lang="en-US" altLang="zh-CN" sz="1200" b="0" i="0" u="none" strike="noStrike" baseline="0">
                <a:solidFill>
                  <a:srgbClr val="000000"/>
                </a:solidFill>
                <a:latin typeface="宋体"/>
                <a:ea typeface="宋体"/>
                <a:cs typeface="Arial"/>
              </a:rPr>
              <a:t>4</a:t>
            </a:r>
            <a:r>
              <a:rPr lang="zh-CN" altLang="en-US" sz="1200" b="0" i="0" u="none" strike="noStrike" baseline="0">
                <a:solidFill>
                  <a:srgbClr val="000000"/>
                </a:solidFill>
                <a:latin typeface="宋体"/>
                <a:ea typeface="宋体"/>
                <a:cs typeface="Arial"/>
              </a:rPr>
              <a:t>、</a:t>
            </a:r>
            <a:r>
              <a:rPr lang="zh-CN" altLang="zh-CN" sz="1200" b="0" i="0" u="none" strike="noStrike" baseline="0">
                <a:solidFill>
                  <a:srgbClr val="000000"/>
                </a:solidFill>
                <a:latin typeface="宋体"/>
                <a:ea typeface="宋体"/>
                <a:cs typeface="Arial"/>
              </a:rPr>
              <a:t>在图中添加如图所示的红色安全边际线。</a:t>
            </a:r>
          </a:p>
          <a:p>
            <a:pPr algn="just" rtl="0">
              <a:defRPr sz="1000"/>
            </a:pPr>
            <a:r>
              <a:rPr lang="en-US" altLang="zh-CN" sz="1200" b="0" i="0" u="none" strike="noStrike" baseline="0">
                <a:solidFill>
                  <a:srgbClr val="000000"/>
                </a:solidFill>
                <a:latin typeface="宋体"/>
                <a:ea typeface="宋体"/>
                <a:cs typeface="Arial"/>
              </a:rPr>
              <a:t>5</a:t>
            </a:r>
            <a:r>
              <a:rPr lang="zh-CN" altLang="en-US" sz="1200" b="0" i="0" u="none" strike="noStrike" baseline="0">
                <a:solidFill>
                  <a:srgbClr val="000000"/>
                </a:solidFill>
                <a:latin typeface="宋体"/>
                <a:ea typeface="宋体"/>
                <a:cs typeface="Arial"/>
              </a:rPr>
              <a:t>、</a:t>
            </a:r>
            <a:r>
              <a:rPr lang="zh-CN" altLang="zh-CN" sz="1200" b="0" i="0" u="none" strike="noStrike" baseline="0">
                <a:solidFill>
                  <a:srgbClr val="000000"/>
                </a:solidFill>
                <a:latin typeface="宋体"/>
                <a:ea typeface="宋体"/>
                <a:cs typeface="Arial"/>
              </a:rPr>
              <a:t>在图中添加文本框，写出目标利润、目标销量和安全边际的结论</a:t>
            </a:r>
            <a:r>
              <a:rPr lang="zh-CN" altLang="en-US" sz="1200" b="0" i="0" u="none" strike="noStrike" baseline="0">
                <a:solidFill>
                  <a:srgbClr val="000000"/>
                </a:solidFill>
                <a:latin typeface="宋体"/>
                <a:ea typeface="宋体"/>
                <a:cs typeface="Arial"/>
              </a:rPr>
              <a:t>。</a:t>
            </a:r>
          </a:p>
          <a:p>
            <a:pPr algn="just" rtl="0">
              <a:lnSpc>
                <a:spcPts val="1200"/>
              </a:lnSpc>
              <a:defRPr sz="1000"/>
            </a:pPr>
            <a:r>
              <a:rPr lang="zh-CN" altLang="en-US" sz="1200" b="0" i="0" u="none" strike="noStrike" baseline="0">
                <a:solidFill>
                  <a:srgbClr val="000000"/>
                </a:solidFill>
                <a:latin typeface="宋体"/>
                <a:ea typeface="宋体"/>
                <a:cs typeface="Arial"/>
              </a:rPr>
              <a:t>本题图表如下：</a:t>
            </a:r>
          </a:p>
          <a:p>
            <a:pPr algn="just" rtl="0">
              <a:defRPr sz="1000"/>
            </a:pPr>
            <a:endParaRPr lang="zh-CN" altLang="en-US" sz="1000" b="0" i="0" u="none" strike="noStrike" baseline="0">
              <a:solidFill>
                <a:srgbClr val="000000"/>
              </a:solidFill>
              <a:latin typeface="宋体"/>
              <a:ea typeface="宋体"/>
              <a:cs typeface="Arial"/>
            </a:endParaRPr>
          </a:p>
          <a:p>
            <a:pPr algn="just" rtl="0">
              <a:lnSpc>
                <a:spcPts val="1200"/>
              </a:lnSpc>
              <a:defRPr sz="1000"/>
            </a:pPr>
            <a:endParaRPr lang="zh-CN" altLang="en-US" sz="1000" b="0" i="0" u="none" strike="noStrike" baseline="0">
              <a:solidFill>
                <a:srgbClr val="000000"/>
              </a:solidFill>
              <a:latin typeface="宋体"/>
              <a:ea typeface="宋体"/>
            </a:endParaRPr>
          </a:p>
        </xdr:txBody>
      </xdr:sp>
      <xdr:pic>
        <xdr:nvPicPr>
          <xdr:cNvPr id="6" name="图片 5">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0" y="2228851"/>
            <a:ext cx="4767263" cy="26908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85725</xdr:colOff>
      <xdr:row>1</xdr:row>
      <xdr:rowOff>38100</xdr:rowOff>
    </xdr:from>
    <xdr:to>
      <xdr:col>13</xdr:col>
      <xdr:colOff>348429</xdr:colOff>
      <xdr:row>31</xdr:row>
      <xdr:rowOff>85725</xdr:rowOff>
    </xdr:to>
    <xdr:grpSp>
      <xdr:nvGrpSpPr>
        <xdr:cNvPr id="6" name="组合 5">
          <a:extLst>
            <a:ext uri="{FF2B5EF4-FFF2-40B4-BE49-F238E27FC236}">
              <a16:creationId xmlns:a16="http://schemas.microsoft.com/office/drawing/2014/main" id="{00000000-0008-0000-0500-000006000000}"/>
            </a:ext>
          </a:extLst>
        </xdr:cNvPr>
        <xdr:cNvGrpSpPr/>
      </xdr:nvGrpSpPr>
      <xdr:grpSpPr>
        <a:xfrm>
          <a:off x="3880485" y="220980"/>
          <a:ext cx="7143564" cy="5534025"/>
          <a:chOff x="0" y="4105275"/>
          <a:chExt cx="7225479" cy="5191125"/>
        </a:xfrm>
        <a:solidFill>
          <a:schemeClr val="accent6">
            <a:lumMod val="20000"/>
            <a:lumOff val="80000"/>
          </a:schemeClr>
        </a:solidFill>
      </xdr:grpSpPr>
      <xdr:sp macro="" textlink="">
        <xdr:nvSpPr>
          <xdr:cNvPr id="7" name="Text Box 5">
            <a:extLst>
              <a:ext uri="{FF2B5EF4-FFF2-40B4-BE49-F238E27FC236}">
                <a16:creationId xmlns:a16="http://schemas.microsoft.com/office/drawing/2014/main" id="{00000000-0008-0000-0500-000007000000}"/>
              </a:ext>
            </a:extLst>
          </xdr:cNvPr>
          <xdr:cNvSpPr txBox="1">
            <a:spLocks noChangeArrowheads="1"/>
          </xdr:cNvSpPr>
        </xdr:nvSpPr>
        <xdr:spPr bwMode="auto">
          <a:xfrm>
            <a:off x="0" y="4105275"/>
            <a:ext cx="7225479" cy="5191125"/>
          </a:xfrm>
          <a:prstGeom prst="rect">
            <a:avLst/>
          </a:prstGeom>
          <a:grp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6</a:t>
            </a:r>
            <a:r>
              <a:rPr lang="zh-CN" altLang="en-US" sz="1100" b="1" i="0" u="none" strike="noStrike" baseline="0">
                <a:solidFill>
                  <a:srgbClr val="000000"/>
                </a:solidFill>
                <a:latin typeface="宋体"/>
                <a:ea typeface="宋体"/>
              </a:rPr>
              <a:t>题 </a:t>
            </a:r>
            <a:r>
              <a:rPr lang="zh-CN" altLang="en-US" sz="1100" b="0" i="0" u="none" strike="noStrike" baseline="0">
                <a:solidFill>
                  <a:srgbClr val="000000"/>
                </a:solidFill>
                <a:latin typeface="宋体"/>
                <a:ea typeface="宋体"/>
              </a:rPr>
              <a:t>已知某企业原材料采购的年需求量为50000，每次订货时的联系成本为50，因企业材料的特殊性必须单独运输，每次订货时的运输成本为200，该材料单件的年储存成本为0.3。假设一次订货量为3000，在本工作表中完成如下操作：</a:t>
            </a:r>
          </a:p>
          <a:p>
            <a:pPr algn="l" rtl="0">
              <a:defRPr sz="1000"/>
            </a:pPr>
            <a:r>
              <a:rPr lang="zh-CN" altLang="en-US" sz="1100" b="0" i="0" u="none" strike="noStrike" baseline="0">
                <a:solidFill>
                  <a:srgbClr val="000000"/>
                </a:solidFill>
                <a:latin typeface="宋体"/>
                <a:ea typeface="宋体"/>
              </a:rPr>
              <a:t>1、计算年订货联系成本、年订货运输成本、年储存成本、以及三者之和的年总成本；</a:t>
            </a:r>
          </a:p>
          <a:p>
            <a:pPr algn="l" rtl="0">
              <a:lnSpc>
                <a:spcPct val="120000"/>
              </a:lnSpc>
              <a:defRPr sz="1000"/>
            </a:pPr>
            <a:r>
              <a:rPr lang="zh-CN" altLang="en-US" sz="1100" b="0" i="0" u="none" strike="noStrike" baseline="0">
                <a:solidFill>
                  <a:srgbClr val="000000"/>
                </a:solidFill>
                <a:latin typeface="宋体"/>
                <a:ea typeface="宋体"/>
              </a:rPr>
              <a:t>2、计算经济订货量、经济订货量时的年订货联系成本、年订货运输成本、年储存成本、及年总成本；</a:t>
            </a:r>
          </a:p>
          <a:p>
            <a:pPr algn="l" rtl="0">
              <a:defRPr sz="1000"/>
            </a:pPr>
            <a:r>
              <a:rPr lang="zh-CN" altLang="en-US" sz="1100" b="0" i="0" u="none" strike="noStrike" baseline="0">
                <a:solidFill>
                  <a:srgbClr val="000000"/>
                </a:solidFill>
                <a:latin typeface="宋体"/>
                <a:ea typeface="+mn-ea"/>
              </a:rPr>
              <a:t>3、如样图所示，画出订货量在1000-21000间变化、年需求量在</a:t>
            </a:r>
            <a:r>
              <a:rPr lang="en-US" altLang="zh-CN" sz="1100" b="0" i="0" u="none" strike="noStrike" baseline="0">
                <a:solidFill>
                  <a:srgbClr val="000000"/>
                </a:solidFill>
                <a:latin typeface="宋体"/>
                <a:ea typeface="+mn-ea"/>
              </a:rPr>
              <a:t>40000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45000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50000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55000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60000</a:t>
            </a:r>
            <a:r>
              <a:rPr lang="zh-CN" altLang="en-US" sz="1100" b="0" i="0" u="none" strike="noStrike" baseline="0">
                <a:solidFill>
                  <a:srgbClr val="000000"/>
                </a:solidFill>
                <a:latin typeface="宋体"/>
                <a:ea typeface="+mn-ea"/>
              </a:rPr>
              <a:t>五种情况下变化时，年总成本的变化曲线簇图；</a:t>
            </a:r>
          </a:p>
          <a:p>
            <a:pPr algn="l" rtl="0">
              <a:defRPr sz="1000"/>
            </a:pPr>
            <a:r>
              <a:rPr lang="zh-CN" altLang="en-US" sz="1100" b="0" i="0" u="none" strike="noStrike" baseline="0">
                <a:solidFill>
                  <a:srgbClr val="000000"/>
                </a:solidFill>
                <a:latin typeface="宋体"/>
                <a:ea typeface="宋体"/>
              </a:rPr>
              <a:t>4、以列表框选择年需求量在40000、45000、50000、55000、60000五种情况下变化，反映当时年总成本的红色曲线，以及反映经过每次年总成本曲线最低点连线的蓝边黄色的点子；</a:t>
            </a:r>
          </a:p>
          <a:p>
            <a:pPr algn="l" rtl="0">
              <a:lnSpc>
                <a:spcPts val="1300"/>
              </a:lnSpc>
              <a:defRPr sz="1000"/>
            </a:pPr>
            <a:r>
              <a:rPr lang="zh-CN" altLang="en-US" sz="1100" b="0" i="0" u="none" strike="noStrike" baseline="0">
                <a:solidFill>
                  <a:srgbClr val="000000"/>
                </a:solidFill>
                <a:latin typeface="宋体"/>
                <a:ea typeface="宋体"/>
              </a:rPr>
              <a:t>5、添加经过当时所选年需求量值时，经过总成本曲线最低点的</a:t>
            </a:r>
            <a:r>
              <a:rPr lang="en-US" altLang="zh-CN" sz="1100" b="0" i="0" u="none" strike="noStrike" baseline="0">
                <a:solidFill>
                  <a:srgbClr val="000000"/>
                </a:solidFill>
                <a:latin typeface="宋体"/>
                <a:ea typeface="宋体"/>
              </a:rPr>
              <a:t>90</a:t>
            </a:r>
            <a:r>
              <a:rPr lang="zh-CN" altLang="en-US" sz="1100" b="0" i="0" u="none" strike="noStrike" baseline="0">
                <a:solidFill>
                  <a:srgbClr val="000000"/>
                </a:solidFill>
                <a:latin typeface="宋体"/>
                <a:ea typeface="宋体"/>
              </a:rPr>
              <a:t>度绿色拐折线；</a:t>
            </a:r>
          </a:p>
          <a:p>
            <a:pPr algn="l" rtl="0">
              <a:lnSpc>
                <a:spcPts val="1300"/>
              </a:lnSpc>
              <a:defRPr sz="1000"/>
            </a:pPr>
            <a:r>
              <a:rPr lang="zh-CN" altLang="en-US" sz="1100" b="0" i="0" u="none" strike="noStrike" baseline="0">
                <a:solidFill>
                  <a:srgbClr val="000000"/>
                </a:solidFill>
                <a:latin typeface="宋体"/>
                <a:ea typeface="宋体"/>
              </a:rPr>
              <a:t>6、以文本框显示“年需求量=XXXXX时，年总成本最小值=XXXXXX.XX”的文字。</a:t>
            </a: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8" name="图片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stretch>
            <a:fillRect/>
          </a:stretch>
        </xdr:blipFill>
        <xdr:spPr>
          <a:xfrm>
            <a:off x="1041079" y="6205538"/>
            <a:ext cx="5273497" cy="2883658"/>
          </a:xfrm>
          <a:prstGeom prst="rect">
            <a:avLst/>
          </a:prstGeom>
          <a:grpFill/>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285750</xdr:colOff>
      <xdr:row>7</xdr:row>
      <xdr:rowOff>66675</xdr:rowOff>
    </xdr:from>
    <xdr:to>
      <xdr:col>15</xdr:col>
      <xdr:colOff>638175</xdr:colOff>
      <xdr:row>49</xdr:row>
      <xdr:rowOff>123824</xdr:rowOff>
    </xdr:to>
    <xdr:grpSp>
      <xdr:nvGrpSpPr>
        <xdr:cNvPr id="2" name="组合 1">
          <a:extLst>
            <a:ext uri="{FF2B5EF4-FFF2-40B4-BE49-F238E27FC236}">
              <a16:creationId xmlns:a16="http://schemas.microsoft.com/office/drawing/2014/main" id="{00000000-0008-0000-0600-000002000000}"/>
            </a:ext>
          </a:extLst>
        </xdr:cNvPr>
        <xdr:cNvGrpSpPr/>
      </xdr:nvGrpSpPr>
      <xdr:grpSpPr>
        <a:xfrm>
          <a:off x="7730490" y="1346835"/>
          <a:ext cx="7446645" cy="7738109"/>
          <a:chOff x="361950" y="4019550"/>
          <a:chExt cx="8239125" cy="7258049"/>
        </a:xfrm>
      </xdr:grpSpPr>
      <xdr:grpSp>
        <xdr:nvGrpSpPr>
          <xdr:cNvPr id="5" name="组合 4">
            <a:extLst>
              <a:ext uri="{FF2B5EF4-FFF2-40B4-BE49-F238E27FC236}">
                <a16:creationId xmlns:a16="http://schemas.microsoft.com/office/drawing/2014/main" id="{00000000-0008-0000-0600-000005000000}"/>
              </a:ext>
            </a:extLst>
          </xdr:cNvPr>
          <xdr:cNvGrpSpPr/>
        </xdr:nvGrpSpPr>
        <xdr:grpSpPr>
          <a:xfrm>
            <a:off x="361950" y="4019550"/>
            <a:ext cx="8239125" cy="7258049"/>
            <a:chOff x="495300" y="3648075"/>
            <a:chExt cx="8843723" cy="7258049"/>
          </a:xfrm>
          <a:solidFill>
            <a:schemeClr val="accent6">
              <a:lumMod val="20000"/>
              <a:lumOff val="80000"/>
            </a:schemeClr>
          </a:solidFill>
        </xdr:grpSpPr>
        <xdr:sp macro="" textlink="">
          <xdr:nvSpPr>
            <xdr:cNvPr id="6" name="Text Box 1">
              <a:extLst>
                <a:ext uri="{FF2B5EF4-FFF2-40B4-BE49-F238E27FC236}">
                  <a16:creationId xmlns:a16="http://schemas.microsoft.com/office/drawing/2014/main" id="{00000000-0008-0000-0600-000006000000}"/>
                </a:ext>
              </a:extLst>
            </xdr:cNvPr>
            <xdr:cNvSpPr txBox="1">
              <a:spLocks noChangeArrowheads="1"/>
            </xdr:cNvSpPr>
          </xdr:nvSpPr>
          <xdr:spPr bwMode="auto">
            <a:xfrm>
              <a:off x="495300" y="3648075"/>
              <a:ext cx="8843723" cy="7258049"/>
            </a:xfrm>
            <a:prstGeom prst="rect">
              <a:avLst/>
            </a:prstGeom>
            <a:grp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100" b="1" i="0" u="none" strike="noStrike" baseline="0">
                  <a:solidFill>
                    <a:srgbClr val="000000"/>
                  </a:solidFill>
                  <a:latin typeface="+mn-ea"/>
                  <a:ea typeface="+mn-ea"/>
                  <a:cs typeface="Times New Roman"/>
                </a:rPr>
                <a:t>第</a:t>
              </a:r>
              <a:r>
                <a:rPr lang="en-US" altLang="zh-CN" sz="1100" b="1" i="0" u="none" strike="noStrike" baseline="0">
                  <a:solidFill>
                    <a:srgbClr val="000000"/>
                  </a:solidFill>
                  <a:latin typeface="+mn-ea"/>
                  <a:ea typeface="+mn-ea"/>
                  <a:cs typeface="Times New Roman"/>
                </a:rPr>
                <a:t>7</a:t>
              </a:r>
              <a:r>
                <a:rPr lang="zh-CN" altLang="en-US" sz="1100" b="1" i="0" u="none" strike="noStrike" baseline="0">
                  <a:solidFill>
                    <a:srgbClr val="000000"/>
                  </a:solidFill>
                  <a:latin typeface="+mn-ea"/>
                  <a:ea typeface="+mn-ea"/>
                  <a:cs typeface="Times New Roman"/>
                </a:rPr>
                <a:t>题 </a:t>
              </a:r>
              <a:r>
                <a:rPr lang="zh-CN" altLang="en-US" sz="1100" b="0" i="0" u="none" strike="noStrike" baseline="0">
                  <a:solidFill>
                    <a:srgbClr val="000000"/>
                  </a:solidFill>
                  <a:latin typeface="+mn-ea"/>
                  <a:ea typeface="+mn-ea"/>
                  <a:cs typeface="Times New Roman"/>
                </a:rPr>
                <a:t>某公司根据市场情况选择两个项目进行投资，投资期为</a:t>
              </a:r>
              <a:r>
                <a:rPr lang="en-US" altLang="zh-CN" sz="1100" b="0" i="0" u="none" strike="noStrike" baseline="0">
                  <a:solidFill>
                    <a:srgbClr val="000000"/>
                  </a:solidFill>
                  <a:latin typeface="+mn-ea"/>
                  <a:ea typeface="+mn-ea"/>
                  <a:cs typeface="Times New Roman"/>
                </a:rPr>
                <a:t>10</a:t>
              </a:r>
              <a:r>
                <a:rPr lang="zh-CN" altLang="en-US" sz="1100" b="0" i="0" u="none" strike="noStrike" baseline="0">
                  <a:solidFill>
                    <a:srgbClr val="000000"/>
                  </a:solidFill>
                  <a:latin typeface="+mn-ea"/>
                  <a:ea typeface="+mn-ea"/>
                  <a:cs typeface="Times New Roman"/>
                </a:rPr>
                <a:t>年。投资项目</a:t>
              </a:r>
              <a:r>
                <a:rPr lang="en-US" altLang="zh-CN" sz="1100" b="0" i="0" u="none" strike="noStrike" baseline="0">
                  <a:solidFill>
                    <a:srgbClr val="000000"/>
                  </a:solidFill>
                  <a:latin typeface="+mn-ea"/>
                  <a:ea typeface="+mn-ea"/>
                  <a:cs typeface="Times New Roman"/>
                </a:rPr>
                <a:t>A</a:t>
              </a:r>
              <a:r>
                <a:rPr lang="zh-CN" altLang="en-US" sz="1100" b="0" i="0" u="none" strike="noStrike" baseline="0">
                  <a:solidFill>
                    <a:srgbClr val="000000"/>
                  </a:solidFill>
                  <a:latin typeface="+mn-ea"/>
                  <a:ea typeface="+mn-ea"/>
                  <a:cs typeface="Times New Roman"/>
                </a:rPr>
                <a:t>或项目</a:t>
              </a:r>
              <a:r>
                <a:rPr lang="en-US" altLang="zh-CN" sz="1100" b="0" i="0" u="none" strike="noStrike" baseline="0">
                  <a:solidFill>
                    <a:srgbClr val="000000"/>
                  </a:solidFill>
                  <a:latin typeface="+mn-ea"/>
                  <a:ea typeface="+mn-ea"/>
                  <a:cs typeface="Times New Roman"/>
                </a:rPr>
                <a:t>B</a:t>
              </a:r>
              <a:r>
                <a:rPr lang="zh-CN" altLang="en-US" sz="1100" b="0" i="0" u="none" strike="noStrike" baseline="0">
                  <a:solidFill>
                    <a:srgbClr val="000000"/>
                  </a:solidFill>
                  <a:latin typeface="+mn-ea"/>
                  <a:ea typeface="+mn-ea"/>
                  <a:cs typeface="Times New Roman"/>
                </a:rPr>
                <a:t>的具体数据如下表所示。说明：利润增长期限指在此期限期间某项目的利润每年有增长，超过此期限则利润没有增长。</a:t>
              </a:r>
              <a:r>
                <a:rPr lang="zh-CN" altLang="zh-CN" sz="1100" b="0" i="0" baseline="0">
                  <a:effectLst/>
                  <a:latin typeface="+mn-lt"/>
                  <a:ea typeface="+mn-ea"/>
                  <a:cs typeface="+mn-cs"/>
                </a:rPr>
                <a:t>计算结果必须使用公式。</a:t>
              </a:r>
              <a:endParaRPr lang="zh-CN" altLang="zh-CN" sz="1100">
                <a:effectLst/>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r>
                <a:rPr lang="zh-CN" altLang="en-US" sz="1100" b="0" i="0" u="none" strike="noStrike" baseline="0">
                  <a:solidFill>
                    <a:srgbClr val="000000"/>
                  </a:solidFill>
                  <a:latin typeface="+mn-ea"/>
                  <a:ea typeface="+mn-ea"/>
                  <a:cs typeface="Times New Roman"/>
                </a:rPr>
                <a:t>要求：</a:t>
              </a:r>
              <a:endParaRPr lang="en-US" altLang="zh-CN" sz="1100" b="0" i="0" u="none" strike="noStrike" baseline="0">
                <a:solidFill>
                  <a:srgbClr val="000000"/>
                </a:solidFill>
                <a:latin typeface="+mn-ea"/>
                <a:ea typeface="+mn-ea"/>
                <a:cs typeface="Times New Roman"/>
              </a:endParaRPr>
            </a:p>
            <a:p>
              <a:pPr algn="l" rtl="0">
                <a:defRPr sz="1000"/>
              </a:pPr>
              <a:r>
                <a:rPr lang="en-US" altLang="zh-CN" sz="1100" b="0" i="0" u="none" strike="noStrike" baseline="0">
                  <a:solidFill>
                    <a:srgbClr val="000000"/>
                  </a:solidFill>
                  <a:latin typeface="+mn-ea"/>
                  <a:ea typeface="+mn-ea"/>
                  <a:cs typeface="Times New Roman"/>
                </a:rPr>
                <a:t>1</a:t>
              </a:r>
              <a:r>
                <a:rPr lang="zh-CN" altLang="en-US" sz="1100" b="0" i="0" u="none" strike="noStrike" baseline="0">
                  <a:solidFill>
                    <a:srgbClr val="000000"/>
                  </a:solidFill>
                  <a:latin typeface="+mn-ea"/>
                  <a:ea typeface="+mn-ea"/>
                  <a:cs typeface="Times New Roman"/>
                </a:rPr>
                <a:t>、使用</a:t>
              </a:r>
              <a:r>
                <a:rPr lang="en-US" altLang="zh-CN" sz="1100" b="0" i="0" u="none" strike="noStrike" baseline="0">
                  <a:solidFill>
                    <a:srgbClr val="000000"/>
                  </a:solidFill>
                  <a:latin typeface="+mn-ea"/>
                  <a:ea typeface="+mn-ea"/>
                  <a:cs typeface="Times New Roman"/>
                </a:rPr>
                <a:t>NPV</a:t>
              </a:r>
              <a:r>
                <a:rPr lang="zh-CN" altLang="en-US" sz="1100" b="0" i="0" u="none" strike="noStrike" baseline="0">
                  <a:solidFill>
                    <a:srgbClr val="000000"/>
                  </a:solidFill>
                  <a:latin typeface="+mn-ea"/>
                  <a:ea typeface="+mn-ea"/>
                  <a:cs typeface="Times New Roman"/>
                </a:rPr>
                <a:t>函数计算项目</a:t>
              </a:r>
              <a:r>
                <a:rPr lang="en-US" altLang="zh-CN" sz="1100" b="0" i="0" u="none" strike="noStrike" baseline="0">
                  <a:solidFill>
                    <a:srgbClr val="000000"/>
                  </a:solidFill>
                  <a:latin typeface="+mn-ea"/>
                  <a:ea typeface="+mn-ea"/>
                  <a:cs typeface="Times New Roman"/>
                </a:rPr>
                <a:t>A</a:t>
              </a:r>
              <a:r>
                <a:rPr lang="zh-CN" altLang="en-US" sz="1100" b="0" i="0" u="none" strike="noStrike" baseline="0">
                  <a:solidFill>
                    <a:srgbClr val="000000"/>
                  </a:solidFill>
                  <a:latin typeface="+mn-ea"/>
                  <a:ea typeface="+mn-ea"/>
                  <a:cs typeface="Times New Roman"/>
                </a:rPr>
                <a:t>的净现值，使用</a:t>
              </a:r>
              <a:r>
                <a:rPr lang="en-US" altLang="zh-CN" sz="1100" b="0" i="0" u="none" strike="noStrike" baseline="0">
                  <a:solidFill>
                    <a:srgbClr val="000000"/>
                  </a:solidFill>
                  <a:latin typeface="+mn-ea"/>
                  <a:ea typeface="+mn-ea"/>
                  <a:cs typeface="Times New Roman"/>
                </a:rPr>
                <a:t>PV</a:t>
              </a:r>
              <a:r>
                <a:rPr lang="zh-CN" altLang="en-US" sz="1100" b="0" i="0" u="none" strike="noStrike" baseline="0">
                  <a:solidFill>
                    <a:srgbClr val="000000"/>
                  </a:solidFill>
                  <a:latin typeface="+mn-ea"/>
                  <a:ea typeface="+mn-ea"/>
                  <a:cs typeface="Times New Roman"/>
                </a:rPr>
                <a:t>函数计算项目</a:t>
              </a:r>
              <a:r>
                <a:rPr lang="en-US" altLang="zh-CN" sz="1100" b="0" i="0" u="none" strike="noStrike" baseline="0">
                  <a:solidFill>
                    <a:srgbClr val="000000"/>
                  </a:solidFill>
                  <a:latin typeface="+mn-ea"/>
                  <a:ea typeface="+mn-ea"/>
                  <a:cs typeface="Times New Roman"/>
                </a:rPr>
                <a:t>B</a:t>
              </a:r>
              <a:r>
                <a:rPr lang="zh-CN" altLang="en-US" sz="1100" b="0" i="0" u="none" strike="noStrike" baseline="0">
                  <a:solidFill>
                    <a:srgbClr val="000000"/>
                  </a:solidFill>
                  <a:latin typeface="+mn-ea"/>
                  <a:ea typeface="+mn-ea"/>
                  <a:cs typeface="Times New Roman"/>
                </a:rPr>
                <a:t>的净现值。</a:t>
              </a:r>
              <a:endParaRPr lang="en-US" altLang="zh-CN" sz="1100" b="0" i="0" u="none" strike="noStrike" baseline="0">
                <a:solidFill>
                  <a:srgbClr val="000000"/>
                </a:solidFill>
                <a:latin typeface="+mn-ea"/>
                <a:ea typeface="+mn-ea"/>
                <a:cs typeface="Times New Roman"/>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u="none" strike="noStrike" baseline="0">
                  <a:solidFill>
                    <a:srgbClr val="000000"/>
                  </a:solidFill>
                  <a:latin typeface="+mn-ea"/>
                  <a:ea typeface="+mn-ea"/>
                  <a:cs typeface="Times New Roman"/>
                </a:rPr>
                <a:t>2</a:t>
              </a:r>
              <a:r>
                <a:rPr lang="zh-CN" altLang="en-US" sz="1100" b="0" i="0" u="none" strike="noStrike" baseline="0">
                  <a:solidFill>
                    <a:srgbClr val="000000"/>
                  </a:solidFill>
                  <a:latin typeface="+mn-ea"/>
                  <a:ea typeface="+mn-ea"/>
                  <a:cs typeface="Times New Roman"/>
                </a:rPr>
                <a:t>、使用</a:t>
              </a:r>
              <a:r>
                <a:rPr lang="en-US" altLang="zh-CN" sz="1100" b="0" i="0" u="none" strike="noStrike" baseline="0">
                  <a:solidFill>
                    <a:srgbClr val="000000"/>
                  </a:solidFill>
                  <a:latin typeface="+mn-ea"/>
                  <a:ea typeface="+mn-ea"/>
                  <a:cs typeface="Times New Roman"/>
                </a:rPr>
                <a:t>IRR</a:t>
              </a:r>
              <a:r>
                <a:rPr lang="zh-CN" altLang="en-US" sz="1100" b="0" i="0" u="none" strike="noStrike" baseline="0">
                  <a:solidFill>
                    <a:srgbClr val="000000"/>
                  </a:solidFill>
                  <a:latin typeface="+mn-ea"/>
                  <a:ea typeface="+mn-ea"/>
                  <a:cs typeface="Times New Roman"/>
                </a:rPr>
                <a:t>函数</a:t>
              </a:r>
              <a:r>
                <a:rPr lang="zh-CN" altLang="zh-CN" sz="1100" b="0" i="0" baseline="0">
                  <a:effectLst/>
                  <a:latin typeface="+mn-ea"/>
                  <a:ea typeface="+mn-ea"/>
                  <a:cs typeface="+mn-cs"/>
                </a:rPr>
                <a:t>计算项目</a:t>
              </a:r>
              <a:r>
                <a:rPr lang="en-US" altLang="zh-CN" sz="1100" b="0" i="0" baseline="0">
                  <a:effectLst/>
                  <a:latin typeface="+mn-ea"/>
                  <a:ea typeface="+mn-ea"/>
                  <a:cs typeface="+mn-cs"/>
                </a:rPr>
                <a:t>A</a:t>
              </a:r>
              <a:r>
                <a:rPr lang="zh-CN" altLang="zh-CN" sz="1100" b="0" i="0" baseline="0">
                  <a:effectLst/>
                  <a:latin typeface="+mn-ea"/>
                  <a:ea typeface="+mn-ea"/>
                  <a:cs typeface="+mn-cs"/>
                </a:rPr>
                <a:t>的</a:t>
              </a:r>
              <a:r>
                <a:rPr lang="zh-CN" altLang="en-US" sz="1100" b="0" i="0" baseline="0">
                  <a:effectLst/>
                  <a:latin typeface="+mn-ea"/>
                  <a:ea typeface="+mn-ea"/>
                  <a:cs typeface="+mn-cs"/>
                </a:rPr>
                <a:t>内部报酬率，使用</a:t>
              </a:r>
              <a:r>
                <a:rPr lang="en-US" altLang="zh-CN" sz="1100" b="0" i="0" baseline="0">
                  <a:effectLst/>
                  <a:latin typeface="+mn-ea"/>
                  <a:ea typeface="+mn-ea"/>
                  <a:cs typeface="+mn-cs"/>
                </a:rPr>
                <a:t>RATE</a:t>
              </a:r>
              <a:r>
                <a:rPr lang="zh-CN" altLang="en-US" sz="1100" b="0" i="0" baseline="0">
                  <a:effectLst/>
                  <a:latin typeface="+mn-ea"/>
                  <a:ea typeface="+mn-ea"/>
                  <a:cs typeface="+mn-cs"/>
                </a:rPr>
                <a:t>函数</a:t>
              </a:r>
              <a:r>
                <a:rPr lang="zh-CN" altLang="zh-CN" sz="1100" b="0" i="0" baseline="0">
                  <a:effectLst/>
                  <a:latin typeface="+mn-ea"/>
                  <a:ea typeface="+mn-ea"/>
                  <a:cs typeface="+mn-cs"/>
                </a:rPr>
                <a:t>计算项目</a:t>
              </a:r>
              <a:r>
                <a:rPr lang="en-US" altLang="zh-CN" sz="1100" b="0" i="0" baseline="0">
                  <a:effectLst/>
                  <a:latin typeface="+mn-ea"/>
                  <a:ea typeface="+mn-ea"/>
                  <a:cs typeface="+mn-cs"/>
                </a:rPr>
                <a:t>B</a:t>
              </a:r>
              <a:r>
                <a:rPr lang="zh-CN" altLang="zh-CN" sz="1100" b="0" i="0" baseline="0">
                  <a:effectLst/>
                  <a:latin typeface="+mn-ea"/>
                  <a:ea typeface="+mn-ea"/>
                  <a:cs typeface="+mn-cs"/>
                </a:rPr>
                <a:t>的内部报酬率。</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3</a:t>
              </a:r>
              <a:r>
                <a:rPr lang="zh-CN" altLang="en-US" sz="1100" b="0" i="0" baseline="0">
                  <a:effectLst/>
                  <a:latin typeface="+mn-ea"/>
                  <a:ea typeface="+mn-ea"/>
                  <a:cs typeface="+mn-cs"/>
                </a:rPr>
                <a:t>、</a:t>
              </a:r>
              <a:r>
                <a:rPr lang="zh-CN" altLang="zh-CN" sz="1100" b="0" i="0" baseline="0">
                  <a:effectLst/>
                  <a:latin typeface="+mn-ea"/>
                  <a:ea typeface="+mn-ea"/>
                  <a:cs typeface="+mn-cs"/>
                </a:rPr>
                <a:t>使用附表插</a:t>
              </a:r>
              <a:r>
                <a:rPr lang="zh-CN" altLang="en-US" sz="1100" b="0" i="0" baseline="0">
                  <a:effectLst/>
                  <a:latin typeface="+mn-ea"/>
                  <a:ea typeface="+mn-ea"/>
                  <a:cs typeface="+mn-cs"/>
                </a:rPr>
                <a:t>值</a:t>
              </a:r>
              <a:r>
                <a:rPr lang="zh-CN" altLang="zh-CN" sz="1100" b="0" i="0" baseline="0">
                  <a:effectLst/>
                  <a:latin typeface="+mn-ea"/>
                  <a:ea typeface="+mn-ea"/>
                  <a:cs typeface="+mn-cs"/>
                </a:rPr>
                <a:t>法计算</a:t>
              </a:r>
              <a:r>
                <a:rPr lang="zh-CN" altLang="en-US" sz="1100" b="0" i="0" baseline="0">
                  <a:effectLst/>
                  <a:latin typeface="+mn-ea"/>
                  <a:ea typeface="+mn-ea"/>
                  <a:cs typeface="+mn-cs"/>
                </a:rPr>
                <a:t>相对的内部报酬率（两个项目净现值相等时的贴现率）及净现值。</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4</a:t>
              </a:r>
              <a:r>
                <a:rPr lang="zh-CN" altLang="en-US" sz="1100" b="0" i="0" baseline="0">
                  <a:effectLst/>
                  <a:latin typeface="+mn-ea"/>
                  <a:ea typeface="+mn-ea"/>
                  <a:cs typeface="+mn-cs"/>
                </a:rPr>
                <a:t>、使用公式表示实现最大净现值的方案。</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5</a:t>
              </a:r>
              <a:r>
                <a:rPr lang="zh-CN" altLang="en-US" sz="1100" b="0" i="0" baseline="0">
                  <a:effectLst/>
                  <a:latin typeface="+mn-ea"/>
                  <a:ea typeface="+mn-ea"/>
                  <a:cs typeface="+mn-cs"/>
                </a:rPr>
                <a:t>、按样张，以年贴现率为</a:t>
              </a:r>
              <a:r>
                <a:rPr lang="en-US" altLang="zh-CN" sz="1100" b="0" i="0" baseline="0">
                  <a:effectLst/>
                  <a:latin typeface="+mn-ea"/>
                  <a:ea typeface="+mn-ea"/>
                  <a:cs typeface="+mn-cs"/>
                </a:rPr>
                <a:t>X</a:t>
              </a:r>
              <a:r>
                <a:rPr lang="zh-CN" altLang="en-US" sz="1100" b="0" i="0" baseline="0">
                  <a:effectLst/>
                  <a:latin typeface="+mn-ea"/>
                  <a:ea typeface="+mn-ea"/>
                  <a:cs typeface="+mn-cs"/>
                </a:rPr>
                <a:t>轴，净现值为</a:t>
              </a:r>
              <a:r>
                <a:rPr lang="en-US" altLang="zh-CN" sz="1100" b="0" i="0" baseline="0">
                  <a:effectLst/>
                  <a:latin typeface="+mn-ea"/>
                  <a:ea typeface="+mn-ea"/>
                  <a:cs typeface="+mn-cs"/>
                </a:rPr>
                <a:t>Y</a:t>
              </a:r>
              <a:r>
                <a:rPr lang="zh-CN" altLang="en-US" sz="1100" b="0" i="0" baseline="0">
                  <a:effectLst/>
                  <a:latin typeface="+mn-ea"/>
                  <a:ea typeface="+mn-ea"/>
                  <a:cs typeface="+mn-cs"/>
                </a:rPr>
                <a:t>轴绘制散点图来反映两个项目的净现值变化。</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6</a:t>
              </a:r>
              <a:r>
                <a:rPr lang="zh-CN" altLang="en-US" sz="1100" b="0" i="0" baseline="0">
                  <a:effectLst/>
                  <a:latin typeface="+mn-ea"/>
                  <a:ea typeface="+mn-ea"/>
                  <a:cs typeface="+mn-cs"/>
                </a:rPr>
                <a:t>、在图表上添加数值调节钮控件，使项目</a:t>
              </a:r>
              <a:r>
                <a:rPr lang="en-US" altLang="zh-CN" sz="1100" b="0" i="0" baseline="0">
                  <a:effectLst/>
                  <a:latin typeface="+mn-ea"/>
                  <a:ea typeface="+mn-ea"/>
                  <a:cs typeface="+mn-cs"/>
                </a:rPr>
                <a:t>B</a:t>
              </a:r>
              <a:r>
                <a:rPr lang="zh-CN" altLang="en-US" sz="1100" b="0" i="0" baseline="0">
                  <a:effectLst/>
                  <a:latin typeface="+mn-ea"/>
                  <a:ea typeface="+mn-ea"/>
                  <a:cs typeface="+mn-cs"/>
                </a:rPr>
                <a:t>的第</a:t>
              </a:r>
              <a:r>
                <a:rPr lang="en-US" altLang="zh-CN" sz="1100" b="0" i="0" baseline="0">
                  <a:effectLst/>
                  <a:latin typeface="+mn-ea"/>
                  <a:ea typeface="+mn-ea"/>
                  <a:cs typeface="+mn-cs"/>
                </a:rPr>
                <a:t>0</a:t>
              </a:r>
              <a:r>
                <a:rPr lang="zh-CN" altLang="en-US" sz="1100" b="0" i="0" baseline="0">
                  <a:effectLst/>
                  <a:latin typeface="+mn-ea"/>
                  <a:ea typeface="+mn-ea"/>
                  <a:cs typeface="+mn-cs"/>
                </a:rPr>
                <a:t>年初始投资额从</a:t>
              </a:r>
              <a:r>
                <a:rPr lang="en-US" altLang="zh-CN" sz="1100" b="0" i="0" baseline="0">
                  <a:effectLst/>
                  <a:latin typeface="+mn-ea"/>
                  <a:ea typeface="+mn-ea"/>
                  <a:cs typeface="+mn-cs"/>
                </a:rPr>
                <a:t>100000</a:t>
              </a:r>
              <a:r>
                <a:rPr lang="zh-CN" altLang="en-US" sz="1100" b="0" i="0" baseline="0">
                  <a:effectLst/>
                  <a:latin typeface="+mn-ea"/>
                  <a:ea typeface="+mn-ea"/>
                  <a:cs typeface="+mn-cs"/>
                </a:rPr>
                <a:t>至</a:t>
              </a:r>
              <a:r>
                <a:rPr lang="en-US" altLang="zh-CN" sz="1100" b="0" i="0" baseline="0">
                  <a:effectLst/>
                  <a:latin typeface="+mn-ea"/>
                  <a:ea typeface="+mn-ea"/>
                  <a:cs typeface="+mn-cs"/>
                </a:rPr>
                <a:t>140000</a:t>
              </a:r>
              <a:r>
                <a:rPr lang="zh-CN" altLang="en-US" sz="1100" b="0" i="0" baseline="0">
                  <a:effectLst/>
                  <a:latin typeface="+mn-ea"/>
                  <a:ea typeface="+mn-ea"/>
                  <a:cs typeface="+mn-cs"/>
                </a:rPr>
                <a:t>步长为</a:t>
              </a:r>
              <a:r>
                <a:rPr lang="en-US" altLang="zh-CN" sz="1100" b="0" i="0" baseline="0">
                  <a:effectLst/>
                  <a:latin typeface="+mn-ea"/>
                  <a:ea typeface="+mn-ea"/>
                  <a:cs typeface="+mn-cs"/>
                </a:rPr>
                <a:t>10000</a:t>
              </a:r>
              <a:r>
                <a:rPr lang="zh-CN" altLang="en-US" sz="1100" b="0" i="0" baseline="0">
                  <a:effectLst/>
                  <a:latin typeface="+mn-ea"/>
                  <a:ea typeface="+mn-ea"/>
                  <a:cs typeface="+mn-cs"/>
                </a:rPr>
                <a:t>进行变化。</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7</a:t>
              </a:r>
              <a:r>
                <a:rPr lang="zh-CN" altLang="en-US" sz="1100" b="0" i="0" baseline="0">
                  <a:effectLst/>
                  <a:latin typeface="+mn-ea"/>
                  <a:ea typeface="+mn-ea"/>
                  <a:cs typeface="+mn-cs"/>
                </a:rPr>
                <a:t>、在图表上使用空心的圆点来表示</a:t>
              </a:r>
              <a:r>
                <a:rPr lang="zh-CN" altLang="zh-CN" sz="1100" b="0" i="0" baseline="0">
                  <a:effectLst/>
                  <a:latin typeface="+mn-ea"/>
                  <a:ea typeface="+mn-ea"/>
                  <a:cs typeface="+mn-cs"/>
                </a:rPr>
                <a:t>项目</a:t>
              </a:r>
              <a:r>
                <a:rPr lang="en-US" altLang="zh-CN" sz="1100" b="0" i="0" baseline="0">
                  <a:effectLst/>
                  <a:latin typeface="+mn-ea"/>
                  <a:ea typeface="+mn-ea"/>
                  <a:cs typeface="+mn-cs"/>
                </a:rPr>
                <a:t>B</a:t>
              </a:r>
              <a:r>
                <a:rPr lang="zh-CN" altLang="zh-CN" sz="1100" b="0" i="0" baseline="0">
                  <a:effectLst/>
                  <a:latin typeface="+mn-ea"/>
                  <a:ea typeface="+mn-ea"/>
                  <a:cs typeface="+mn-cs"/>
                </a:rPr>
                <a:t>的第</a:t>
              </a:r>
              <a:r>
                <a:rPr lang="en-US" altLang="zh-CN" sz="1100" b="0" i="0" baseline="0">
                  <a:effectLst/>
                  <a:latin typeface="+mn-ea"/>
                  <a:ea typeface="+mn-ea"/>
                  <a:cs typeface="+mn-cs"/>
                </a:rPr>
                <a:t>0</a:t>
              </a:r>
              <a:r>
                <a:rPr lang="zh-CN" altLang="zh-CN" sz="1100" b="0" i="0" baseline="0">
                  <a:effectLst/>
                  <a:latin typeface="+mn-ea"/>
                  <a:ea typeface="+mn-ea"/>
                  <a:cs typeface="+mn-cs"/>
                </a:rPr>
                <a:t>年</a:t>
              </a:r>
              <a:r>
                <a:rPr lang="zh-CN" altLang="en-US" sz="1100" b="0" i="0" baseline="0">
                  <a:effectLst/>
                  <a:latin typeface="+mn-ea"/>
                  <a:ea typeface="+mn-ea"/>
                  <a:cs typeface="+mn-cs"/>
                </a:rPr>
                <a:t>初始投资额</a:t>
              </a:r>
              <a:r>
                <a:rPr lang="zh-CN" altLang="zh-CN" sz="1100" b="0" i="0" baseline="0">
                  <a:effectLst/>
                  <a:latin typeface="+mn-ea"/>
                  <a:ea typeface="+mn-ea"/>
                  <a:cs typeface="+mn-cs"/>
                </a:rPr>
                <a:t>值从</a:t>
              </a:r>
              <a:r>
                <a:rPr lang="en-US" altLang="zh-CN" sz="1100" b="0" i="0" baseline="0">
                  <a:effectLst/>
                  <a:latin typeface="+mn-ea"/>
                  <a:ea typeface="+mn-ea"/>
                  <a:cs typeface="+mn-cs"/>
                </a:rPr>
                <a:t>100000</a:t>
              </a:r>
              <a:r>
                <a:rPr lang="zh-CN" altLang="zh-CN" sz="1100" b="0" i="0" baseline="0">
                  <a:effectLst/>
                  <a:latin typeface="+mn-ea"/>
                  <a:ea typeface="+mn-ea"/>
                  <a:cs typeface="+mn-cs"/>
                </a:rPr>
                <a:t>至</a:t>
              </a:r>
              <a:r>
                <a:rPr lang="en-US" altLang="zh-CN" sz="1100" b="0" i="0" baseline="0">
                  <a:effectLst/>
                  <a:latin typeface="+mn-ea"/>
                  <a:ea typeface="+mn-ea"/>
                  <a:cs typeface="+mn-cs"/>
                </a:rPr>
                <a:t>140000</a:t>
              </a:r>
              <a:r>
                <a:rPr lang="zh-CN" altLang="zh-CN" sz="1100" b="0" i="0" baseline="0">
                  <a:effectLst/>
                  <a:latin typeface="+mn-ea"/>
                  <a:ea typeface="+mn-ea"/>
                  <a:cs typeface="+mn-cs"/>
                </a:rPr>
                <a:t>步长为</a:t>
              </a:r>
              <a:r>
                <a:rPr lang="en-US" altLang="zh-CN" sz="1100" b="0" i="0" baseline="0">
                  <a:effectLst/>
                  <a:latin typeface="+mn-ea"/>
                  <a:ea typeface="+mn-ea"/>
                  <a:cs typeface="+mn-cs"/>
                </a:rPr>
                <a:t>10000</a:t>
              </a:r>
              <a:r>
                <a:rPr lang="zh-CN" altLang="zh-CN" sz="1100" b="0" i="0" baseline="0">
                  <a:effectLst/>
                  <a:latin typeface="+mn-ea"/>
                  <a:ea typeface="+mn-ea"/>
                  <a:cs typeface="+mn-cs"/>
                </a:rPr>
                <a:t>进行变化</a:t>
              </a:r>
              <a:r>
                <a:rPr lang="zh-CN" altLang="en-US" sz="1100" b="0" i="0" baseline="0">
                  <a:effectLst/>
                  <a:latin typeface="+mn-ea"/>
                  <a:ea typeface="+mn-ea"/>
                  <a:cs typeface="+mn-cs"/>
                </a:rPr>
                <a:t>的情况，当前项目</a:t>
              </a:r>
              <a:r>
                <a:rPr lang="en-US" altLang="zh-CN" sz="1100" b="0" i="0" baseline="0">
                  <a:effectLst/>
                  <a:latin typeface="+mn-ea"/>
                  <a:ea typeface="+mn-ea"/>
                  <a:cs typeface="+mn-cs"/>
                </a:rPr>
                <a:t>B</a:t>
              </a:r>
              <a:r>
                <a:rPr lang="zh-CN" altLang="en-US" sz="1100" b="0" i="0" baseline="0">
                  <a:effectLst/>
                  <a:latin typeface="+mn-ea"/>
                  <a:ea typeface="+mn-ea"/>
                  <a:cs typeface="+mn-cs"/>
                </a:rPr>
                <a:t>的</a:t>
              </a:r>
              <a:r>
                <a:rPr lang="zh-CN" altLang="zh-CN" sz="1100" b="0" i="0" baseline="0">
                  <a:effectLst/>
                  <a:latin typeface="+mn-ea"/>
                  <a:ea typeface="+mn-ea"/>
                  <a:cs typeface="+mn-cs"/>
                </a:rPr>
                <a:t>第</a:t>
              </a:r>
              <a:r>
                <a:rPr lang="en-US" altLang="zh-CN" sz="1100" b="0" i="0" baseline="0">
                  <a:effectLst/>
                  <a:latin typeface="+mn-ea"/>
                  <a:ea typeface="+mn-ea"/>
                  <a:cs typeface="+mn-cs"/>
                </a:rPr>
                <a:t>0</a:t>
              </a:r>
              <a:r>
                <a:rPr lang="zh-CN" altLang="zh-CN" sz="1100" b="0" i="0" baseline="0">
                  <a:effectLst/>
                  <a:latin typeface="+mn-ea"/>
                  <a:ea typeface="+mn-ea"/>
                  <a:cs typeface="+mn-cs"/>
                </a:rPr>
                <a:t>年</a:t>
              </a:r>
              <a:r>
                <a:rPr lang="zh-CN" altLang="en-US" sz="1100" b="0" i="0" baseline="0">
                  <a:effectLst/>
                  <a:latin typeface="+mn-ea"/>
                  <a:ea typeface="+mn-ea"/>
                  <a:cs typeface="+mn-cs"/>
                </a:rPr>
                <a:t>初始</a:t>
              </a:r>
              <a:r>
                <a:rPr lang="zh-CN" altLang="zh-CN" sz="1100" b="0" i="0" baseline="0">
                  <a:effectLst/>
                  <a:latin typeface="+mn-ea"/>
                  <a:ea typeface="+mn-ea"/>
                  <a:cs typeface="+mn-cs"/>
                </a:rPr>
                <a:t>投资额值</a:t>
              </a:r>
              <a:r>
                <a:rPr lang="zh-CN" altLang="en-US" sz="1100" b="0" i="0" baseline="0">
                  <a:effectLst/>
                  <a:latin typeface="+mn-ea"/>
                  <a:ea typeface="+mn-ea"/>
                  <a:cs typeface="+mn-cs"/>
                </a:rPr>
                <a:t>使用红色实心圆点表示，并在图上显示实现最大净现值的方案的结论文字。</a:t>
              </a:r>
              <a:endParaRPr lang="en-US" altLang="zh-CN" sz="1100" b="0" i="0" baseline="0">
                <a:effectLst/>
                <a:latin typeface="+mn-ea"/>
                <a:ea typeface="+mn-ea"/>
                <a:cs typeface="+mn-cs"/>
              </a:endParaRPr>
            </a:p>
          </xdr:txBody>
        </xdr:sp>
        <xdr:pic>
          <xdr:nvPicPr>
            <xdr:cNvPr id="7" name="图片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
            <a:stretch>
              <a:fillRect/>
            </a:stretch>
          </xdr:blipFill>
          <xdr:spPr>
            <a:xfrm>
              <a:off x="866775" y="7922090"/>
              <a:ext cx="5590448" cy="2897434"/>
            </a:xfrm>
            <a:prstGeom prst="rect">
              <a:avLst/>
            </a:prstGeom>
            <a:grpFill/>
          </xdr:spPr>
        </xdr:pic>
      </xdr:grpSp>
      <xdr:pic>
        <xdr:nvPicPr>
          <xdr:cNvPr id="9" name="图片 8">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0075" y="4562475"/>
            <a:ext cx="7477125" cy="17526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12</xdr:row>
      <xdr:rowOff>171450</xdr:rowOff>
    </xdr:from>
    <xdr:to>
      <xdr:col>12</xdr:col>
      <xdr:colOff>238124</xdr:colOff>
      <xdr:row>29</xdr:row>
      <xdr:rowOff>66675</xdr:rowOff>
    </xdr:to>
    <xdr:grpSp>
      <xdr:nvGrpSpPr>
        <xdr:cNvPr id="2" name="组合 1">
          <a:extLst>
            <a:ext uri="{FF2B5EF4-FFF2-40B4-BE49-F238E27FC236}">
              <a16:creationId xmlns:a16="http://schemas.microsoft.com/office/drawing/2014/main" id="{00000000-0008-0000-0700-000002000000}"/>
            </a:ext>
          </a:extLst>
        </xdr:cNvPr>
        <xdr:cNvGrpSpPr/>
      </xdr:nvGrpSpPr>
      <xdr:grpSpPr>
        <a:xfrm>
          <a:off x="1524000" y="2571750"/>
          <a:ext cx="7858124" cy="3354705"/>
          <a:chOff x="1295400" y="2085976"/>
          <a:chExt cx="6381750" cy="3680607"/>
        </a:xfrm>
        <a:solidFill>
          <a:schemeClr val="accent6">
            <a:lumMod val="20000"/>
            <a:lumOff val="80000"/>
          </a:schemeClr>
        </a:solidFill>
      </xdr:grpSpPr>
      <xdr:sp macro="" textlink="">
        <xdr:nvSpPr>
          <xdr:cNvPr id="3" name="TextBox 5">
            <a:extLst>
              <a:ext uri="{FF2B5EF4-FFF2-40B4-BE49-F238E27FC236}">
                <a16:creationId xmlns:a16="http://schemas.microsoft.com/office/drawing/2014/main" id="{00000000-0008-0000-0700-000003000000}"/>
              </a:ext>
            </a:extLst>
          </xdr:cNvPr>
          <xdr:cNvSpPr txBox="1"/>
        </xdr:nvSpPr>
        <xdr:spPr>
          <a:xfrm>
            <a:off x="1295400" y="2085976"/>
            <a:ext cx="6381750" cy="3680607"/>
          </a:xfrm>
          <a:prstGeom prst="rect">
            <a:avLst/>
          </a:prstGeom>
          <a:grpFill/>
          <a:ln/>
        </xdr:spPr>
        <xdr:style>
          <a:lnRef idx="1">
            <a:schemeClr val="accent1"/>
          </a:lnRef>
          <a:fillRef idx="2">
            <a:schemeClr val="accent1"/>
          </a:fillRef>
          <a:effectRef idx="1">
            <a:schemeClr val="accent1"/>
          </a:effectRef>
          <a:fontRef idx="minor">
            <a:schemeClr val="dk1"/>
          </a:fontRef>
        </xdr:style>
        <xdr:txBody>
          <a:bodyPr vertOverflow="clip" horzOverflow="clip" wrap="square" lIns="72000" tIns="72000" rIns="72000" bIns="72000" rtlCol="0" anchor="t"/>
          <a:lstStyle/>
          <a:p>
            <a:r>
              <a:rPr lang="zh-CN" altLang="en-US" sz="1200" b="1"/>
              <a:t>第</a:t>
            </a:r>
            <a:r>
              <a:rPr lang="en-US" altLang="zh-CN" sz="1200" b="1"/>
              <a:t>8</a:t>
            </a:r>
            <a:r>
              <a:rPr lang="zh-CN" altLang="en-US" sz="1200" b="1"/>
              <a:t>题</a:t>
            </a:r>
            <a:r>
              <a:rPr lang="zh-CN" altLang="en-US" sz="1200" b="1" baseline="0">
                <a:solidFill>
                  <a:srgbClr val="FF0000"/>
                </a:solidFill>
              </a:rPr>
              <a:t> </a:t>
            </a:r>
            <a:r>
              <a:rPr lang="zh-CN" altLang="en-US" sz="1200" b="0">
                <a:solidFill>
                  <a:schemeClr val="tx1"/>
                </a:solidFill>
              </a:rPr>
              <a:t>某公司有</a:t>
            </a:r>
            <a:r>
              <a:rPr lang="en-US" altLang="zh-CN" sz="1200" b="0">
                <a:solidFill>
                  <a:schemeClr val="tx1"/>
                </a:solidFill>
              </a:rPr>
              <a:t>4</a:t>
            </a:r>
            <a:r>
              <a:rPr lang="zh-CN" altLang="en-US" sz="1200" b="0">
                <a:solidFill>
                  <a:schemeClr val="tx1"/>
                </a:solidFill>
              </a:rPr>
              <a:t>种部件需要从</a:t>
            </a:r>
            <a:r>
              <a:rPr lang="en-US" altLang="zh-CN" sz="1200" b="0">
                <a:solidFill>
                  <a:schemeClr val="tx1"/>
                </a:solidFill>
              </a:rPr>
              <a:t>3</a:t>
            </a:r>
            <a:r>
              <a:rPr lang="zh-CN" altLang="en-US" sz="1200" b="0">
                <a:solidFill>
                  <a:schemeClr val="tx1"/>
                </a:solidFill>
              </a:rPr>
              <a:t>个供应商处购买，供应商提供部件的价格以及</a:t>
            </a:r>
            <a:r>
              <a:rPr lang="zh-CN" altLang="zh-CN" sz="1200" b="0">
                <a:solidFill>
                  <a:schemeClr val="dk1"/>
                </a:solidFill>
                <a:effectLst/>
                <a:latin typeface="+mn-lt"/>
                <a:ea typeface="+mn-ea"/>
                <a:cs typeface="+mn-cs"/>
              </a:rPr>
              <a:t>公司对部件的需要量</a:t>
            </a:r>
            <a:r>
              <a:rPr lang="zh-CN" altLang="en-US" sz="1200" b="0">
                <a:solidFill>
                  <a:schemeClr val="tx1"/>
                </a:solidFill>
              </a:rPr>
              <a:t>如下所示：</a:t>
            </a:r>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r>
              <a:rPr lang="zh-CN" altLang="en-US" sz="1100" b="0" i="0" baseline="0">
                <a:solidFill>
                  <a:schemeClr val="dk1"/>
                </a:solidFill>
                <a:effectLst/>
                <a:latin typeface="+mn-lt"/>
                <a:ea typeface="+mn-ea"/>
                <a:cs typeface="+mn-cs"/>
              </a:rPr>
              <a:t>供应商</a:t>
            </a:r>
            <a:r>
              <a:rPr lang="zh-CN" altLang="zh-CN" sz="1100" b="0" i="0" baseline="0">
                <a:solidFill>
                  <a:schemeClr val="dk1"/>
                </a:solidFill>
                <a:effectLst/>
                <a:latin typeface="+mn-lt"/>
                <a:ea typeface="+mn-ea"/>
                <a:cs typeface="+mn-cs"/>
              </a:rPr>
              <a:t>各自的生产能力（这些生产能力可以用来生产</a:t>
            </a:r>
            <a:r>
              <a:rPr lang="en-US" altLang="zh-CN" sz="1100" b="0" i="0" baseline="0">
                <a:solidFill>
                  <a:schemeClr val="dk1"/>
                </a:solidFill>
                <a:effectLst/>
                <a:latin typeface="+mn-lt"/>
                <a:ea typeface="+mn-ea"/>
                <a:cs typeface="+mn-cs"/>
              </a:rPr>
              <a:t>4</a:t>
            </a:r>
            <a:r>
              <a:rPr lang="zh-CN" altLang="en-US" sz="1100" b="0" i="0" baseline="0">
                <a:solidFill>
                  <a:schemeClr val="dk1"/>
                </a:solidFill>
                <a:effectLst/>
                <a:latin typeface="+mn-lt"/>
                <a:ea typeface="+mn-ea"/>
                <a:cs typeface="+mn-cs"/>
              </a:rPr>
              <a:t>种部件</a:t>
            </a:r>
            <a:r>
              <a:rPr lang="zh-CN" altLang="zh-CN" sz="1100" b="0" i="0" baseline="0">
                <a:solidFill>
                  <a:schemeClr val="dk1"/>
                </a:solidFill>
                <a:effectLst/>
                <a:latin typeface="+mn-lt"/>
                <a:ea typeface="+mn-ea"/>
                <a:cs typeface="+mn-cs"/>
              </a:rPr>
              <a:t>中的任何一种）</a:t>
            </a:r>
            <a:r>
              <a:rPr lang="zh-CN" altLang="en-US" sz="1100" b="0" i="0" baseline="0">
                <a:solidFill>
                  <a:schemeClr val="dk1"/>
                </a:solidFill>
                <a:effectLst/>
                <a:latin typeface="+mn-lt"/>
                <a:ea typeface="+mn-ea"/>
                <a:cs typeface="+mn-cs"/>
              </a:rPr>
              <a:t>如下：</a:t>
            </a:r>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r>
              <a:rPr lang="zh-CN" altLang="en-US" sz="1200" b="0">
                <a:solidFill>
                  <a:schemeClr val="tx1"/>
                </a:solidFill>
              </a:rPr>
              <a:t>要求：</a:t>
            </a:r>
            <a:endParaRPr lang="en-US" altLang="zh-CN" sz="1200" b="0">
              <a:solidFill>
                <a:schemeClr val="tx1"/>
              </a:solidFill>
            </a:endParaRPr>
          </a:p>
          <a:p>
            <a:r>
              <a:rPr lang="en-US" altLang="zh-CN" sz="1200" b="0">
                <a:solidFill>
                  <a:schemeClr val="tx1"/>
                </a:solidFill>
              </a:rPr>
              <a:t>1.  </a:t>
            </a:r>
            <a:r>
              <a:rPr lang="zh-CN" altLang="en-US" sz="1200" b="0">
                <a:solidFill>
                  <a:schemeClr val="tx1"/>
                </a:solidFill>
              </a:rPr>
              <a:t>试找出一种订购方案使采购总成本达到极小。</a:t>
            </a:r>
            <a:endParaRPr lang="en-US" altLang="zh-CN" sz="1200" b="0">
              <a:solidFill>
                <a:schemeClr val="tx1"/>
              </a:solidFill>
            </a:endParaRPr>
          </a:p>
          <a:p>
            <a:r>
              <a:rPr lang="en-US" altLang="zh-CN" sz="1200"/>
              <a:t>2. </a:t>
            </a:r>
            <a:r>
              <a:rPr lang="zh-CN" altLang="en-US" sz="1200"/>
              <a:t>将规划求解的模型保存在从</a:t>
            </a:r>
            <a:r>
              <a:rPr lang="en-US" altLang="zh-CN" sz="1200"/>
              <a:t>A2</a:t>
            </a:r>
            <a:r>
              <a:rPr lang="zh-CN" altLang="en-US" sz="1200"/>
              <a:t>开始的单元格中。</a:t>
            </a:r>
          </a:p>
        </xdr:txBody>
      </xdr:sp>
      <xdr:pic>
        <xdr:nvPicPr>
          <xdr:cNvPr id="4" name="图片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05450" y="2667000"/>
            <a:ext cx="1771650" cy="1057275"/>
          </a:xfrm>
          <a:prstGeom prst="rect">
            <a:avLst/>
          </a:prstGeom>
          <a:grpFill/>
        </xdr:spPr>
      </xdr:pic>
      <xdr:pic>
        <xdr:nvPicPr>
          <xdr:cNvPr id="5" name="图片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5925" y="2676525"/>
            <a:ext cx="3343275" cy="1057275"/>
          </a:xfrm>
          <a:prstGeom prst="rect">
            <a:avLst/>
          </a:prstGeom>
          <a:grpFill/>
        </xdr:spPr>
      </xdr:pic>
      <xdr:pic>
        <xdr:nvPicPr>
          <xdr:cNvPr id="6" name="图片 5">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95574" y="4143375"/>
            <a:ext cx="3324225" cy="476250"/>
          </a:xfrm>
          <a:prstGeom prst="rect">
            <a:avLst/>
          </a:prstGeom>
          <a:grpFill/>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180975</xdr:colOff>
      <xdr:row>4</xdr:row>
      <xdr:rowOff>28575</xdr:rowOff>
    </xdr:from>
    <xdr:to>
      <xdr:col>16</xdr:col>
      <xdr:colOff>0</xdr:colOff>
      <xdr:row>33</xdr:row>
      <xdr:rowOff>57150</xdr:rowOff>
    </xdr:to>
    <xdr:grpSp>
      <xdr:nvGrpSpPr>
        <xdr:cNvPr id="2" name="组合 1">
          <a:extLst>
            <a:ext uri="{FF2B5EF4-FFF2-40B4-BE49-F238E27FC236}">
              <a16:creationId xmlns:a16="http://schemas.microsoft.com/office/drawing/2014/main" id="{00000000-0008-0000-0800-000002000000}"/>
            </a:ext>
          </a:extLst>
        </xdr:cNvPr>
        <xdr:cNvGrpSpPr/>
      </xdr:nvGrpSpPr>
      <xdr:grpSpPr>
        <a:xfrm>
          <a:off x="4303395" y="1125855"/>
          <a:ext cx="7225665" cy="5332095"/>
          <a:chOff x="3648075" y="3200400"/>
          <a:chExt cx="6511382" cy="5276850"/>
        </a:xfrm>
        <a:solidFill>
          <a:schemeClr val="accent6">
            <a:lumMod val="20000"/>
            <a:lumOff val="80000"/>
          </a:schemeClr>
        </a:solidFill>
      </xdr:grpSpPr>
      <xdr:sp macro="" textlink="">
        <xdr:nvSpPr>
          <xdr:cNvPr id="3" name="文本框 2">
            <a:extLst>
              <a:ext uri="{FF2B5EF4-FFF2-40B4-BE49-F238E27FC236}">
                <a16:creationId xmlns:a16="http://schemas.microsoft.com/office/drawing/2014/main" id="{00000000-0008-0000-0800-000003000000}"/>
              </a:ext>
            </a:extLst>
          </xdr:cNvPr>
          <xdr:cNvSpPr txBox="1"/>
        </xdr:nvSpPr>
        <xdr:spPr>
          <a:xfrm>
            <a:off x="3648075" y="3200400"/>
            <a:ext cx="6511382" cy="5276850"/>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zh-CN" altLang="en-US" sz="1200" b="1" i="0" baseline="0">
                <a:solidFill>
                  <a:schemeClr val="dk1"/>
                </a:solidFill>
                <a:effectLst/>
                <a:latin typeface="+mn-lt"/>
                <a:ea typeface="+mn-ea"/>
                <a:cs typeface="+mn-cs"/>
              </a:rPr>
              <a:t>第</a:t>
            </a:r>
            <a:r>
              <a:rPr lang="en-US" altLang="zh-CN" sz="1200" b="1" i="0" baseline="0">
                <a:solidFill>
                  <a:schemeClr val="dk1"/>
                </a:solidFill>
                <a:effectLst/>
                <a:latin typeface="+mn-lt"/>
                <a:ea typeface="+mn-ea"/>
                <a:cs typeface="+mn-cs"/>
              </a:rPr>
              <a:t>9</a:t>
            </a:r>
            <a:r>
              <a:rPr lang="zh-CN" altLang="en-US" sz="1200" b="1" i="0" baseline="0">
                <a:solidFill>
                  <a:schemeClr val="dk1"/>
                </a:solidFill>
                <a:effectLst/>
                <a:latin typeface="+mn-lt"/>
                <a:ea typeface="+mn-ea"/>
                <a:cs typeface="+mn-cs"/>
              </a:rPr>
              <a:t>题</a:t>
            </a:r>
            <a:r>
              <a:rPr lang="zh-CN" altLang="zh-CN" sz="1200" b="0" i="0" baseline="0">
                <a:solidFill>
                  <a:schemeClr val="dk1"/>
                </a:solidFill>
                <a:effectLst/>
                <a:latin typeface="+mn-lt"/>
                <a:ea typeface="+mn-ea"/>
                <a:cs typeface="+mn-cs"/>
              </a:rPr>
              <a:t>某商店全年需求量为15000件，每次订货成本为500元，单件零件的年储存成本为30元，当订货量为200。</a:t>
            </a:r>
            <a:endParaRPr lang="en-US" altLang="zh-CN" sz="1200" b="0" i="0" baseline="0">
              <a:solidFill>
                <a:schemeClr val="dk1"/>
              </a:solidFill>
              <a:effectLst/>
              <a:latin typeface="+mn-lt"/>
              <a:ea typeface="+mn-ea"/>
              <a:cs typeface="+mn-cs"/>
            </a:endParaRPr>
          </a:p>
          <a:p>
            <a:pPr rtl="0"/>
            <a:r>
              <a:rPr lang="zh-CN" altLang="zh-CN" sz="1200" b="0" i="0" baseline="0">
                <a:solidFill>
                  <a:schemeClr val="dk1"/>
                </a:solidFill>
                <a:effectLst/>
                <a:latin typeface="+mn-lt"/>
                <a:ea typeface="+mn-ea"/>
                <a:cs typeface="+mn-cs"/>
              </a:rPr>
              <a:t>要求：</a:t>
            </a:r>
            <a:endParaRPr lang="zh-CN" altLang="zh-CN" sz="1200">
              <a:effectLst/>
            </a:endParaRPr>
          </a:p>
          <a:p>
            <a:pPr rtl="0"/>
            <a:r>
              <a:rPr lang="zh-CN" altLang="zh-CN" sz="1200" b="0" i="0" baseline="0">
                <a:solidFill>
                  <a:schemeClr val="dk1"/>
                </a:solidFill>
                <a:effectLst/>
                <a:latin typeface="+mn-lt"/>
                <a:ea typeface="+mn-ea"/>
                <a:cs typeface="+mn-cs"/>
              </a:rPr>
              <a:t>1、 计算年订货成本、年储存成本、年总成本；</a:t>
            </a:r>
            <a:endParaRPr lang="zh-CN" altLang="zh-CN" sz="1200">
              <a:effectLst/>
            </a:endParaRPr>
          </a:p>
          <a:p>
            <a:pPr rtl="0"/>
            <a:r>
              <a:rPr lang="zh-CN" altLang="zh-CN" sz="1200" b="0" i="0" baseline="0">
                <a:solidFill>
                  <a:schemeClr val="dk1"/>
                </a:solidFill>
                <a:effectLst/>
                <a:latin typeface="+mn-lt"/>
                <a:ea typeface="+mn-ea"/>
                <a:cs typeface="+mn-cs"/>
              </a:rPr>
              <a:t>2、 计算经济订货量及经济订货量时的订货成本、年储存成本、年总成本；</a:t>
            </a:r>
            <a:endParaRPr lang="zh-CN" altLang="zh-CN" sz="1200">
              <a:effectLst/>
            </a:endParaRPr>
          </a:p>
          <a:p>
            <a:pPr rtl="0"/>
            <a:r>
              <a:rPr lang="zh-CN" altLang="zh-CN" sz="1200" b="0" i="0" baseline="0">
                <a:solidFill>
                  <a:schemeClr val="dk1"/>
                </a:solidFill>
                <a:effectLst/>
                <a:latin typeface="+mn-lt"/>
                <a:ea typeface="+mn-ea"/>
                <a:cs typeface="+mn-cs"/>
              </a:rPr>
              <a:t>3、假定初始库存为100，每日发生的储存成本与当日期末库存量成比例，一年为36</a:t>
            </a:r>
            <a:r>
              <a:rPr lang="en-US" altLang="zh-CN" sz="1200" b="0" i="0" baseline="0">
                <a:solidFill>
                  <a:schemeClr val="dk1"/>
                </a:solidFill>
                <a:effectLst/>
                <a:latin typeface="+mn-lt"/>
                <a:ea typeface="+mn-ea"/>
                <a:cs typeface="+mn-cs"/>
              </a:rPr>
              <a:t>5</a:t>
            </a:r>
            <a:r>
              <a:rPr lang="zh-CN" altLang="zh-CN" sz="1200" b="0" i="0" baseline="0">
                <a:solidFill>
                  <a:schemeClr val="dk1"/>
                </a:solidFill>
                <a:effectLst/>
                <a:latin typeface="+mn-lt"/>
                <a:ea typeface="+mn-ea"/>
                <a:cs typeface="+mn-cs"/>
              </a:rPr>
              <a:t>天，每日需求</a:t>
            </a:r>
            <a:r>
              <a:rPr lang="zh-CN" altLang="en-US" sz="1200" b="0" i="0" baseline="0">
                <a:solidFill>
                  <a:schemeClr val="dk1"/>
                </a:solidFill>
                <a:effectLst/>
                <a:latin typeface="+mn-lt"/>
                <a:ea typeface="+mn-ea"/>
                <a:cs typeface="+mn-cs"/>
              </a:rPr>
              <a:t>服从先验（离散）分布的随机数，日需求量的概率如</a:t>
            </a:r>
            <a:r>
              <a:rPr lang="en-US" altLang="zh-CN" sz="1200" b="0" i="0" baseline="0">
                <a:solidFill>
                  <a:schemeClr val="dk1"/>
                </a:solidFill>
                <a:effectLst/>
                <a:latin typeface="+mn-lt"/>
                <a:ea typeface="+mn-ea"/>
                <a:cs typeface="+mn-cs"/>
              </a:rPr>
              <a:t>B18:C21</a:t>
            </a:r>
            <a:r>
              <a:rPr lang="zh-CN" altLang="en-US" sz="1200" b="0" i="0" baseline="0">
                <a:solidFill>
                  <a:schemeClr val="dk1"/>
                </a:solidFill>
                <a:effectLst/>
                <a:latin typeface="+mn-lt"/>
                <a:ea typeface="+mn-ea"/>
                <a:cs typeface="+mn-cs"/>
              </a:rPr>
              <a:t>区域所示。</a:t>
            </a:r>
            <a:r>
              <a:rPr lang="zh-CN" altLang="zh-CN" sz="1200" b="0" i="0" baseline="0">
                <a:solidFill>
                  <a:schemeClr val="dk1"/>
                </a:solidFill>
                <a:effectLst/>
                <a:latin typeface="+mn-lt"/>
                <a:ea typeface="+mn-ea"/>
                <a:cs typeface="+mn-cs"/>
              </a:rPr>
              <a:t>模拟交货期为1或2天（即某日发出订货要求，所订货物在次日或后日商店开始营业前如数送到）前提下，建立动态模拟36</a:t>
            </a:r>
            <a:r>
              <a:rPr lang="en-US" altLang="zh-CN" sz="1200" b="0" i="0" baseline="0">
                <a:solidFill>
                  <a:schemeClr val="dk1"/>
                </a:solidFill>
                <a:effectLst/>
                <a:latin typeface="+mn-lt"/>
                <a:ea typeface="+mn-ea"/>
                <a:cs typeface="+mn-cs"/>
              </a:rPr>
              <a:t>5</a:t>
            </a:r>
            <a:r>
              <a:rPr lang="zh-CN" altLang="zh-CN" sz="1200" b="0" i="0" baseline="0">
                <a:solidFill>
                  <a:schemeClr val="dk1"/>
                </a:solidFill>
                <a:effectLst/>
                <a:latin typeface="+mn-lt"/>
                <a:ea typeface="+mn-ea"/>
                <a:cs typeface="+mn-cs"/>
              </a:rPr>
              <a:t>天营业的模型，在此基础上确定模拟情况下的年订货成本、年储存成本、年总成本随订货量变化的规律，并创建图形从而验证用经济订货量公式来确定的最优订货量的正确性。</a:t>
            </a:r>
            <a:endParaRPr lang="zh-CN" altLang="zh-CN" sz="1200">
              <a:effectLst/>
            </a:endParaRPr>
          </a:p>
          <a:p>
            <a:endParaRPr lang="zh-CN" altLang="en-US" sz="1200"/>
          </a:p>
        </xdr:txBody>
      </xdr:sp>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tretch>
            <a:fillRect/>
          </a:stretch>
        </xdr:blipFill>
        <xdr:spPr>
          <a:xfrm>
            <a:off x="4620021" y="5334000"/>
            <a:ext cx="4666667" cy="3085714"/>
          </a:xfrm>
          <a:prstGeom prst="rect">
            <a:avLst/>
          </a:prstGeom>
          <a:grpFill/>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24037;&#20316;/&#25945;&#23398;/&#35745;&#31639;&#26426;&#24212;&#29992;&#35838;&#20214;/&#35745;&#31639;&#26426;&#24212;&#29992;&#35838;&#20214;/&#27169;&#25311;&#35797;&#21367;&#21442;&#32771;&#31572;&#26696;/&#31532;3&#314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4037;&#20316;\&#25945;&#23398;\&#35745;&#31639;&#26426;&#24212;&#29992;&#35838;&#20214;\&#35745;&#31639;&#26426;&#24212;&#29992;&#35838;&#20214;\&#27169;&#25311;&#35797;&#21367;&#21442;&#32771;&#31572;&#26696;\&#31532;3&#314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24037;&#20316;/&#25945;&#23398;/&#35745;&#31639;&#26426;&#24212;&#29992;&#35838;&#20214;/&#35745;&#31639;&#26426;&#24212;&#29992;&#35838;&#20214;/&#27169;&#25311;&#35797;&#21367;&#21442;&#32771;&#31572;&#26696;/&#27169;&#25311;&#35797;&#21367;11-&#21442;&#32771;&#31572;&#2669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4037;&#20316;\&#25945;&#23398;\&#35745;&#31639;&#26426;&#24212;&#29992;&#35838;&#20214;\&#35745;&#31639;&#26426;&#24212;&#29992;&#35838;&#20214;\&#27169;&#25311;&#35797;&#21367;&#21442;&#32771;&#31572;&#26696;\&#27169;&#25311;&#35797;&#21367;11-&#21442;&#32771;&#31572;&#266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24037;&#20316;/&#25945;&#23398;/&#35745;&#31639;&#26426;&#24212;&#29992;&#35838;&#20214;/&#35745;&#31639;&#26426;&#24212;&#29992;&#35838;&#20214;/&#27169;&#25311;&#35797;&#21367;&#21442;&#32771;&#31572;&#26696;/Set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4037;&#20316;\&#25945;&#23398;\&#35745;&#31639;&#26426;&#24212;&#29992;&#35838;&#20214;\&#35745;&#31639;&#26426;&#24212;&#29992;&#35838;&#20214;\&#27169;&#25311;&#35797;&#21367;&#21442;&#32771;&#31572;&#26696;\Set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Rawdata/&#31532;3&#3145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Rawdata\&#31532;3&#3145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35838;&#31243;/&#36130;&#32463;&#31649;&#29702;&#35745;&#31639;&#26426;&#24212;&#29992;/200502/D&#20989;&#25968;&#32771;&#390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35838;&#31243;\&#36130;&#32463;&#31649;&#29702;&#35745;&#31639;&#26426;&#24212;&#29992;\200502\D&#20989;&#25968;&#32771;&#3906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35838;&#31243;/&#35745;&#31639;&#26426;&#24212;&#29992;/&#32771;&#39064;/2003-1/2002&#31179;&#35745;&#31639;&#26426;&#32771;&#35797;(C)&#31572;&#266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35838;&#31243;\&#35745;&#31639;&#26426;&#24212;&#29992;\&#32771;&#39064;\2003-1\2002&#31179;&#35745;&#31639;&#26426;&#32771;&#35797;(C)&#31572;&#2669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0wang/Quantitative%20method/Simulation/Simulation%20example%20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0wang\Quantitative%20method\Simulation\Simulation%20example%2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lgl/yy2/&#32771;&#39064;/2002-01&#32771;&#39064;/Teaching/2001Fall/&#36741;&#20462;/&#35797;&#39064;&#31572;&#2669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Teaching\2001Fall\&#36741;&#20462;\&#35797;&#39064;&#31572;&#2669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lgl\yy2\&#32771;&#39064;\2002-01&#32771;&#39064;\Teaching\2001Fall\&#36741;&#20462;\&#35797;&#39064;&#31572;&#2669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TF/Lesson/ComputerApplication/&#25945;&#23398;&#21442;&#32771;&#36164;&#26009;/&#22797;&#20064;&#36164;&#26009;/&#32508;&#21512;&#32451;&#20064;a_j&#21442;&#32771;&#35299;&#31572;/&#32508;&#21512;&#32451;&#20064;D&#21442;&#32771;&#35299;&#3157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TF\Lesson\ComputerApplication\&#25945;&#23398;&#21442;&#32771;&#36164;&#26009;\&#22797;&#20064;&#36164;&#26009;\&#32508;&#21512;&#32451;&#20064;a_j&#21442;&#32771;&#35299;&#31572;\&#32508;&#21512;&#32451;&#20064;D&#21442;&#32771;&#35299;&#3157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2003_2004_2&#32771;&#35797;&#35797;&#39064;&#31532;2&#31295;/2003-2004&#31532;2&#23398;&#26399;&#36130;&#22823;&#35745;&#31639;&#26426;&#24212;&#29992;&#35797;&#39064;/2004-06&#36879;&#35270;&#34920;&#19982;D&#20989;&#25968;&#32771;&#3906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2003_2004_2&#32771;&#35797;&#35797;&#39064;&#31532;2&#31295;\2003-2004&#31532;2&#23398;&#26399;&#36130;&#22823;&#35745;&#31639;&#26426;&#24212;&#29992;&#35797;&#39064;\2004-06&#36879;&#35270;&#34920;&#19982;D&#20989;&#25968;&#32771;&#39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lgl/yy2/&#32771;&#39064;/2001-07&#32771;&#39064;/Exam1/Exam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lgl\yy2\&#32771;&#39064;\2001-07&#32771;&#39064;\Exam1\Exam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35745;&#31639;&#26426;&#24212;&#29992;/01-02(1)/2001&#31179;&#35745;&#31639;&#26426;&#24212;&#29992;&#35838;&#31243;&#32771;&#35797;&#39064;A&#31572;&#26696;&#24102;&#35780;&#20998;&#32454;&#2101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35745;&#31639;&#26426;&#24212;&#29992;\01-02(1)\2001&#31179;&#35745;&#31639;&#26426;&#24212;&#29992;&#35838;&#31243;&#32771;&#35797;&#39064;A&#31572;&#26696;&#24102;&#35780;&#20998;&#32454;&#2101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00000/2018-2019&#23398;&#24180;-1&#23398;&#26399;-&#35745;&#31639;&#26426;&#24212;&#29992;&#35797;&#21367;/D0516-&#23454;&#32771;60/&#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端木辰" refreshedDate="45606.463807291664" backgroundQuery="1" createdVersion="7" refreshedVersion="7" minRefreshableVersion="3" recordCount="2157" xr:uid="{1B2284C7-7552-4777-B5FE-5D09C66CDB8B}">
  <cacheSource type="external" connectionId="1"/>
  <cacheFields count="6">
    <cacheField name="订购日期" numFmtId="0" sqlType="11">
      <sharedItems containsSemiMixedTypes="0" containsNonDate="0" containsDate="1" containsString="0" minDate="1996-07-04T00:00:00" maxDate="1998-05-07T00:00:00" count="480">
        <d v="1996-08-20T00:00:00"/>
        <d v="1996-08-30T00:00:00"/>
        <d v="1996-09-30T00:00:00"/>
        <d v="1996-11-07T00:00:00"/>
        <d v="1996-11-14T00:00:00"/>
        <d v="1996-12-03T00:00:00"/>
        <d v="1997-01-07T00:00:00"/>
        <d v="1997-01-14T00:00:00"/>
        <d v="1997-03-17T00:00:00"/>
        <d v="1997-04-30T00:00:00"/>
        <d v="1997-05-05T00:00:00"/>
        <d v="1997-06-23T00:00:00"/>
        <d v="1997-07-07T00:00:00"/>
        <d v="1997-07-24T00:00:00"/>
        <d v="1997-07-25T00:00:00"/>
        <d v="1997-08-12T00:00:00"/>
        <d v="1997-08-27T00:00:00"/>
        <d v="1997-10-01T00:00:00"/>
        <d v="1997-10-03T00:00:00"/>
        <d v="1997-10-10T00:00:00"/>
        <d v="1997-11-04T00:00:00"/>
        <d v="1997-11-24T00:00:00"/>
        <d v="1998-01-19T00:00:00"/>
        <d v="1998-01-22T00:00:00"/>
        <d v="1998-02-02T00:00:00"/>
        <d v="1998-02-04T00:00:00"/>
        <d v="1998-02-24T00:00:00"/>
        <d v="1998-02-26T00:00:00"/>
        <d v="1998-03-02T00:00:00"/>
        <d v="1998-03-09T00:00:00"/>
        <d v="1998-04-06T00:00:00"/>
        <d v="1998-04-07T00:00:00"/>
        <d v="1998-04-15T00:00:00"/>
        <d v="1998-04-17T00:00:00"/>
        <d v="1998-04-20T00:00:00"/>
        <d v="1998-04-24T00:00:00"/>
        <d v="1998-05-05T00:00:00"/>
        <d v="1996-07-12T00:00:00"/>
        <d v="1996-07-17T00:00:00"/>
        <d v="1996-07-24T00:00:00"/>
        <d v="1996-09-05T00:00:00"/>
        <d v="1996-10-11T00:00:00"/>
        <d v="1996-10-22T00:00:00"/>
        <d v="1996-10-30T00:00:00"/>
        <d v="1996-12-25T00:00:00"/>
        <d v="1997-01-17T00:00:00"/>
        <d v="1997-02-04T00:00:00"/>
        <d v="1997-02-10T00:00:00"/>
        <d v="1997-03-10T00:00:00"/>
        <d v="1997-03-25T00:00:00"/>
        <d v="1997-04-11T00:00:00"/>
        <d v="1997-08-06T00:00:00"/>
        <d v="1997-08-14T00:00:00"/>
        <d v="1997-08-22T00:00:00"/>
        <d v="1997-10-14T00:00:00"/>
        <d v="1997-10-22T00:00:00"/>
        <d v="1997-10-29T00:00:00"/>
        <d v="1997-11-14T00:00:00"/>
        <d v="1997-12-05T00:00:00"/>
        <d v="1997-12-19T00:00:00"/>
        <d v="1997-12-23T00:00:00"/>
        <d v="1997-12-31T00:00:00"/>
        <d v="1998-01-05T00:00:00"/>
        <d v="1998-01-13T00:00:00"/>
        <d v="1998-01-26T00:00:00"/>
        <d v="1998-01-28T00:00:00"/>
        <d v="1998-02-03T00:00:00"/>
        <d v="1998-02-12T00:00:00"/>
        <d v="1998-02-16T00:00:00"/>
        <d v="1998-03-10T00:00:00"/>
        <d v="1998-04-01T00:00:00"/>
        <d v="1998-04-14T00:00:00"/>
        <d v="1998-04-22T00:00:00"/>
        <d v="1998-05-06T00:00:00"/>
        <d v="1996-07-11T00:00:00"/>
        <d v="1996-07-23T00:00:00"/>
        <d v="1996-08-07T00:00:00"/>
        <d v="1996-08-14T00:00:00"/>
        <d v="1996-08-29T00:00:00"/>
        <d v="1996-11-12T00:00:00"/>
        <d v="1996-11-15T00:00:00"/>
        <d v="1996-11-20T00:00:00"/>
        <d v="1996-12-18T00:00:00"/>
        <d v="1997-02-14T00:00:00"/>
        <d v="1997-03-05T00:00:00"/>
        <d v="1997-03-06T00:00:00"/>
        <d v="1997-03-12T00:00:00"/>
        <d v="1997-04-07T00:00:00"/>
        <d v="1997-04-21T00:00:00"/>
        <d v="1997-04-25T00:00:00"/>
        <d v="1997-04-29T00:00:00"/>
        <d v="1997-05-19T00:00:00"/>
        <d v="1997-06-02T00:00:00"/>
        <d v="1997-06-11T00:00:00"/>
        <d v="1997-07-11T00:00:00"/>
        <d v="1997-08-05T00:00:00"/>
        <d v="1997-08-07T00:00:00"/>
        <d v="1997-08-28T00:00:00"/>
        <d v="1997-10-07T00:00:00"/>
        <d v="1997-12-03T00:00:00"/>
        <d v="1997-12-26T00:00:00"/>
        <d v="1998-01-29T00:00:00"/>
        <d v="1998-02-18T00:00:00"/>
        <d v="1998-03-03T00:00:00"/>
        <d v="1998-03-12T00:00:00"/>
        <d v="1998-03-19T00:00:00"/>
        <d v="1998-03-23T00:00:00"/>
        <d v="1998-03-26T00:00:00"/>
        <d v="1998-03-30T00:00:00"/>
        <d v="1998-04-03T00:00:00"/>
        <d v="1998-04-08T00:00:00"/>
        <d v="1998-04-09T00:00:00"/>
        <d v="1998-04-16T00:00:00"/>
        <d v="1998-04-27T00:00:00"/>
        <d v="1998-04-28T00:00:00"/>
        <d v="1996-08-22T00:00:00"/>
        <d v="1996-09-26T00:00:00"/>
        <d v="1996-11-28T00:00:00"/>
        <d v="1997-02-06T00:00:00"/>
        <d v="1997-03-24T00:00:00"/>
        <d v="1997-05-26T00:00:00"/>
        <d v="1997-06-19T00:00:00"/>
        <d v="1997-11-27T00:00:00"/>
        <d v="1997-12-30T00:00:00"/>
        <d v="1998-04-30T00:00:00"/>
        <d v="1998-05-01T00:00:00"/>
        <d v="1996-07-19T00:00:00"/>
        <d v="1996-08-21T00:00:00"/>
        <d v="1996-10-03T00:00:00"/>
        <d v="1996-10-08T00:00:00"/>
        <d v="1996-12-23T00:00:00"/>
        <d v="1996-12-30T00:00:00"/>
        <d v="1997-01-01T00:00:00"/>
        <d v="1997-01-23T00:00:00"/>
        <d v="1997-02-12T00:00:00"/>
        <d v="1997-05-23T00:00:00"/>
        <d v="1997-05-28T00:00:00"/>
        <d v="1997-05-30T00:00:00"/>
        <d v="1997-06-24T00:00:00"/>
        <d v="1997-07-02T00:00:00"/>
        <d v="1997-07-04T00:00:00"/>
        <d v="1997-07-10T00:00:00"/>
        <d v="1997-10-08T00:00:00"/>
        <d v="1997-10-28T00:00:00"/>
        <d v="1997-11-13T00:00:00"/>
        <d v="1997-12-22T00:00:00"/>
        <d v="1998-01-08T00:00:00"/>
        <d v="1998-01-14T00:00:00"/>
        <d v="1998-01-16T00:00:00"/>
        <d v="1998-01-21T00:00:00"/>
        <d v="1998-03-18T00:00:00"/>
        <d v="1998-04-21T00:00:00"/>
        <d v="1998-04-23T00:00:00"/>
        <d v="1996-10-15T00:00:00"/>
        <d v="1996-11-11T00:00:00"/>
        <d v="1996-11-13T00:00:00"/>
        <d v="1996-11-22T00:00:00"/>
        <d v="1996-12-04T00:00:00"/>
        <d v="1997-01-16T00:00:00"/>
        <d v="1997-03-19T00:00:00"/>
        <d v="1997-07-31T00:00:00"/>
        <d v="1997-09-17T00:00:00"/>
        <d v="1997-12-18T00:00:00"/>
        <d v="1998-01-06T00:00:00"/>
        <d v="1998-03-20T00:00:00"/>
        <d v="1998-03-27T00:00:00"/>
        <d v="1996-07-10T00:00:00"/>
        <d v="1996-07-16T00:00:00"/>
        <d v="1996-09-04T00:00:00"/>
        <d v="1996-09-13T00:00:00"/>
        <d v="1996-10-07T00:00:00"/>
        <d v="1996-11-06T00:00:00"/>
        <d v="1996-12-09T00:00:00"/>
        <d v="1997-02-13T00:00:00"/>
        <d v="1997-02-24T00:00:00"/>
        <d v="1997-04-16T00:00:00"/>
        <d v="1997-07-29T00:00:00"/>
        <d v="1997-08-25T00:00:00"/>
        <d v="1997-09-02T00:00:00"/>
        <d v="1997-09-09T00:00:00"/>
        <d v="1997-12-02T00:00:00"/>
        <d v="1998-01-12T00:00:00"/>
        <d v="1998-02-20T00:00:00"/>
        <d v="1998-05-04T00:00:00"/>
        <d v="1996-08-01T00:00:00"/>
        <d v="1996-09-10T00:00:00"/>
        <d v="1996-09-19T00:00:00"/>
        <d v="1996-09-23T00:00:00"/>
        <d v="1996-10-29T00:00:00"/>
        <d v="1997-02-26T00:00:00"/>
        <d v="1997-03-04T00:00:00"/>
        <d v="1997-03-07T00:00:00"/>
        <d v="1997-04-15T00:00:00"/>
        <d v="1997-05-01T00:00:00"/>
        <d v="1997-05-08T00:00:00"/>
        <d v="1997-09-18T00:00:00"/>
        <d v="1997-10-16T00:00:00"/>
        <d v="1997-12-01T00:00:00"/>
        <d v="1998-01-07T00:00:00"/>
        <d v="1998-01-20T00:00:00"/>
        <d v="1998-03-31T00:00:00"/>
        <d v="1996-08-19T00:00:00"/>
        <d v="1997-04-10T00:00:00"/>
        <d v="1997-05-21T00:00:00"/>
        <d v="1997-09-16T00:00:00"/>
        <d v="1997-12-12T00:00:00"/>
        <d v="1996-07-25T00:00:00"/>
        <d v="1996-09-06T00:00:00"/>
        <d v="1996-09-18T00:00:00"/>
        <d v="1996-12-12T00:00:00"/>
        <d v="1996-12-20T00:00:00"/>
        <d v="1997-01-21T00:00:00"/>
        <d v="1997-02-21T00:00:00"/>
        <d v="1997-04-24T00:00:00"/>
        <d v="1997-05-15T00:00:00"/>
        <d v="1997-08-21T00:00:00"/>
        <d v="1997-09-05T00:00:00"/>
        <d v="1997-10-06T00:00:00"/>
        <d v="1997-10-09T00:00:00"/>
        <d v="1997-11-28T00:00:00"/>
        <d v="1997-12-16T00:00:00"/>
        <d v="1998-01-01T00:00:00"/>
        <d v="1998-01-09T00:00:00"/>
        <d v="1998-01-15T00:00:00"/>
        <d v="1998-01-23T00:00:00"/>
        <d v="1998-02-10T00:00:00"/>
        <d v="1998-04-13T00:00:00"/>
        <d v="1998-04-29T00:00:00"/>
        <d v="1996-10-10T00:00:00"/>
        <d v="1996-11-26T00:00:00"/>
        <d v="1997-02-05T00:00:00"/>
        <d v="1997-02-28T00:00:00"/>
        <d v="1997-03-13T00:00:00"/>
        <d v="1997-03-31T00:00:00"/>
        <d v="1997-04-18T00:00:00"/>
        <d v="1997-04-22T00:00:00"/>
        <d v="1997-05-29T00:00:00"/>
        <d v="1997-06-03T00:00:00"/>
        <d v="1997-06-18T00:00:00"/>
        <d v="1997-06-25T00:00:00"/>
        <d v="1997-06-26T00:00:00"/>
        <d v="1997-08-15T00:00:00"/>
        <d v="1997-09-25T00:00:00"/>
        <d v="1997-11-11T00:00:00"/>
        <d v="1997-12-11T00:00:00"/>
        <d v="1998-02-25T00:00:00"/>
        <d v="1998-03-04T00:00:00"/>
        <d v="1998-03-05T00:00:00"/>
        <d v="1998-03-06T00:00:00"/>
        <d v="1998-03-16T00:00:00"/>
        <d v="1998-03-17T00:00:00"/>
        <d v="1998-03-24T00:00:00"/>
        <d v="1998-03-25T00:00:00"/>
        <d v="1996-07-29T00:00:00"/>
        <d v="1996-08-05T00:00:00"/>
        <d v="1996-10-01T00:00:00"/>
        <d v="1996-10-02T00:00:00"/>
        <d v="1996-10-31T00:00:00"/>
        <d v="1996-12-31T00:00:00"/>
        <d v="1997-01-24T00:00:00"/>
        <d v="1997-02-03T00:00:00"/>
        <d v="1997-03-14T00:00:00"/>
        <d v="1997-06-12T00:00:00"/>
        <d v="1997-06-16T00:00:00"/>
        <d v="1997-06-20T00:00:00"/>
        <d v="1997-06-27T00:00:00"/>
        <d v="1997-07-09T00:00:00"/>
        <d v="1997-07-18T00:00:00"/>
        <d v="1997-07-28T00:00:00"/>
        <d v="1997-08-13T00:00:00"/>
        <d v="1997-09-11T00:00:00"/>
        <d v="1997-10-13T00:00:00"/>
        <d v="1997-11-06T00:00:00"/>
        <d v="1997-11-07T00:00:00"/>
        <d v="1997-11-20T00:00:00"/>
        <d v="1996-08-26T00:00:00"/>
        <d v="1997-01-06T00:00:00"/>
        <d v="1996-10-23T00:00:00"/>
        <d v="1996-10-28T00:00:00"/>
        <d v="1996-11-01T00:00:00"/>
        <d v="1997-05-12T00:00:00"/>
        <d v="1997-07-22T00:00:00"/>
        <d v="1997-08-18T00:00:00"/>
        <d v="1997-08-19T00:00:00"/>
        <d v="1997-11-03T00:00:00"/>
        <d v="1996-07-22T00:00:00"/>
        <d v="1996-08-27T00:00:00"/>
        <d v="1996-12-13T00:00:00"/>
        <d v="1997-10-17T00:00:00"/>
        <d v="1996-10-09T00:00:00"/>
        <d v="1997-08-01T00:00:00"/>
        <d v="1998-02-05T00:00:00"/>
        <d v="1998-03-13T00:00:00"/>
        <d v="1996-11-04T00:00:00"/>
        <d v="1996-08-16T00:00:00"/>
        <d v="1997-04-09T00:00:00"/>
        <d v="1997-07-08T00:00:00"/>
        <d v="1997-09-04T00:00:00"/>
        <d v="1996-08-12T00:00:00"/>
        <d v="1997-01-10T00:00:00"/>
        <d v="1997-02-20T00:00:00"/>
        <d v="1997-06-06T00:00:00"/>
        <d v="1997-09-22T00:00:00"/>
        <d v="1997-11-18T00:00:00"/>
        <d v="1997-12-25T00:00:00"/>
        <d v="1997-10-24T00:00:00"/>
        <d v="1997-10-30T00:00:00"/>
        <d v="1997-11-10T00:00:00"/>
        <d v="1997-12-08T00:00:00"/>
        <d v="1996-12-11T00:00:00"/>
        <d v="1997-01-02T00:00:00"/>
        <d v="1997-01-29T00:00:00"/>
        <d v="1997-11-19T00:00:00"/>
        <d v="1996-07-08T00:00:00"/>
        <d v="1996-09-11T00:00:00"/>
        <d v="1996-10-14T00:00:00"/>
        <d v="1997-02-19T00:00:00"/>
        <d v="1997-04-02T00:00:00"/>
        <d v="1997-08-20T00:00:00"/>
        <d v="1997-09-10T00:00:00"/>
        <d v="1997-09-12T00:00:00"/>
        <d v="1997-11-05T00:00:00"/>
        <d v="1997-12-04T00:00:00"/>
        <d v="1998-01-27T00:00:00"/>
        <d v="1996-09-09T00:00:00"/>
        <d v="1997-02-11T00:00:00"/>
        <d v="1997-05-09T00:00:00"/>
        <d v="1996-07-15T00:00:00"/>
        <d v="1997-04-03T00:00:00"/>
        <d v="1997-04-04T00:00:00"/>
        <d v="1997-07-17T00:00:00"/>
        <d v="1997-10-02T00:00:00"/>
        <d v="1998-01-02T00:00:00"/>
        <d v="1998-02-13T00:00:00"/>
        <d v="1998-04-10T00:00:00"/>
        <d v="1996-09-03T00:00:00"/>
        <d v="1996-09-20T00:00:00"/>
        <d v="1996-11-21T00:00:00"/>
        <d v="1997-01-03T00:00:00"/>
        <d v="1997-02-07T00:00:00"/>
        <d v="1997-03-28T00:00:00"/>
        <d v="1997-04-23T00:00:00"/>
        <d v="1997-07-21T00:00:00"/>
        <d v="1997-09-24T00:00:00"/>
        <d v="1997-10-27T00:00:00"/>
        <d v="1997-11-12T00:00:00"/>
        <d v="1997-12-24T00:00:00"/>
        <d v="1998-02-09T00:00:00"/>
        <d v="1998-02-27T00:00:00"/>
        <d v="1997-03-26T00:00:00"/>
        <d v="1997-09-01T00:00:00"/>
        <d v="1997-10-20T00:00:00"/>
        <d v="1997-10-21T00:00:00"/>
        <d v="1998-02-06T00:00:00"/>
        <d v="1996-07-09T00:00:00"/>
        <d v="1996-08-02T00:00:00"/>
        <d v="1996-08-28T00:00:00"/>
        <d v="1996-12-16T00:00:00"/>
        <d v="1997-09-08T00:00:00"/>
        <d v="1996-07-18T00:00:00"/>
        <d v="1996-10-18T00:00:00"/>
        <d v="1996-11-29T00:00:00"/>
        <d v="1996-12-27T00:00:00"/>
        <d v="1997-01-09T00:00:00"/>
        <d v="1997-01-30T00:00:00"/>
        <d v="1997-02-25T00:00:00"/>
        <d v="1997-05-16T00:00:00"/>
        <d v="1997-08-04T00:00:00"/>
        <d v="1998-01-30T00:00:00"/>
        <d v="1996-11-25T00:00:00"/>
        <d v="1997-04-01T00:00:00"/>
        <d v="1996-10-16T00:00:00"/>
        <d v="1996-10-24T00:00:00"/>
        <d v="1996-11-19T00:00:00"/>
        <d v="1997-01-22T00:00:00"/>
        <d v="1997-01-31T00:00:00"/>
        <d v="1997-02-17T00:00:00"/>
        <d v="1997-09-30T00:00:00"/>
        <d v="1997-07-14T00:00:00"/>
        <d v="1996-10-17T00:00:00"/>
        <d v="1997-03-20T00:00:00"/>
        <d v="1997-06-04T00:00:00"/>
        <d v="1997-07-01T00:00:00"/>
        <d v="1997-09-26T00:00:00"/>
        <d v="1997-09-29T00:00:00"/>
        <d v="1997-11-26T00:00:00"/>
        <d v="1996-09-12T00:00:00"/>
        <d v="1997-04-08T00:00:00"/>
        <d v="1998-02-11T00:00:00"/>
        <d v="1998-03-11T00:00:00"/>
        <d v="1996-08-09T00:00:00"/>
        <d v="1996-09-17T00:00:00"/>
        <d v="1996-09-25T00:00:00"/>
        <d v="1996-09-27T00:00:00"/>
        <d v="1997-01-08T00:00:00"/>
        <d v="1997-02-18T00:00:00"/>
        <d v="1997-04-14T00:00:00"/>
        <d v="1997-06-09T00:00:00"/>
        <d v="1997-07-15T00:00:00"/>
        <d v="1997-08-11T00:00:00"/>
        <d v="1997-12-29T00:00:00"/>
        <d v="1998-02-23T00:00:00"/>
        <d v="1996-08-23T00:00:00"/>
        <d v="1996-10-21T00:00:00"/>
        <d v="1996-12-17T00:00:00"/>
        <d v="1997-05-07T00:00:00"/>
        <d v="1996-11-27T00:00:00"/>
        <d v="1997-05-06T00:00:00"/>
        <d v="1997-05-13T00:00:00"/>
        <d v="1997-05-20T00:00:00"/>
        <d v="1997-05-22T00:00:00"/>
        <d v="1997-06-17T00:00:00"/>
        <d v="1997-12-09T00:00:00"/>
        <d v="1996-07-26T00:00:00"/>
        <d v="1997-05-14T00:00:00"/>
        <d v="1997-09-23T00:00:00"/>
        <d v="1996-11-18T00:00:00"/>
        <d v="1996-12-05T00:00:00"/>
        <d v="1997-05-27T00:00:00"/>
        <d v="1997-06-10T00:00:00"/>
        <d v="1997-06-30T00:00:00"/>
        <d v="1997-09-15T00:00:00"/>
        <d v="1997-10-15T00:00:00"/>
        <d v="1997-12-15T00:00:00"/>
        <d v="1997-12-17T00:00:00"/>
        <d v="1996-07-31T00:00:00"/>
        <d v="1997-01-15T00:00:00"/>
        <d v="1997-03-27T00:00:00"/>
        <d v="1997-07-16T00:00:00"/>
        <d v="1997-11-21T00:00:00"/>
        <d v="1997-12-10T00:00:00"/>
        <d v="1998-02-17T00:00:00"/>
        <d v="1998-04-02T00:00:00"/>
        <d v="1997-01-20T00:00:00"/>
        <d v="1997-04-28T00:00:00"/>
        <d v="1997-08-08T00:00:00"/>
        <d v="1996-12-24T00:00:00"/>
        <d v="1996-12-26T00:00:00"/>
        <d v="1996-08-06T00:00:00"/>
        <d v="1996-12-10T00:00:00"/>
        <d v="1997-10-23T00:00:00"/>
        <d v="1996-07-04T00:00:00"/>
        <d v="1996-07-30T00:00:00"/>
        <d v="1997-02-27T00:00:00"/>
        <d v="1997-03-03T00:00:00"/>
        <d v="1997-03-11T00:00:00"/>
        <d v="1997-07-03T00:00:00"/>
        <d v="1996-10-04T00:00:00"/>
        <d v="1996-12-19T00:00:00"/>
        <d v="1997-10-31T00:00:00"/>
        <d v="1996-09-02T00:00:00"/>
        <d v="1996-11-05T00:00:00"/>
        <d v="1996-12-02T00:00:00"/>
        <d v="1997-01-27T00:00:00"/>
        <d v="1997-07-23T00:00:00"/>
        <d v="1998-02-19T00:00:00"/>
        <d v="1996-08-15T00:00:00"/>
        <d v="1996-08-13T00:00:00"/>
        <d v="1996-10-25T00:00:00"/>
        <d v="1996-09-16T00:00:00"/>
        <d v="1997-08-29T00:00:00"/>
        <d v="1997-09-19T00:00:00"/>
        <d v="1996-11-08T00:00:00"/>
        <d v="1996-12-06T00:00:00"/>
        <d v="1997-06-05T00:00:00"/>
        <d v="1997-07-30T00:00:00"/>
        <d v="1996-07-05T00:00:00"/>
        <d v="1997-01-13T00:00:00"/>
        <d v="1997-04-17T00:00:00"/>
        <d v="1997-11-25T00:00:00"/>
        <d v="1996-08-08T00:00:00"/>
        <d v="1997-03-18T00:00:00"/>
        <d v="1997-06-13T00:00:00"/>
        <d v="1997-08-26T00:00:00"/>
        <d v="1996-09-24T00:00:00"/>
        <d v="1997-05-02T00:00:00"/>
        <d v="1997-03-21T00:00:00"/>
        <d v="1997-11-17T00:00:00"/>
        <d v="1997-09-03T00:00:00"/>
        <d v="1997-01-28T00:00:00"/>
      </sharedItems>
      <fieldGroup par="4" base="0">
        <rangePr groupBy="months" startDate="1996-07-04T00:00:00" endDate="1998-05-07T00:00:00"/>
        <groupItems count="14">
          <s v="&lt;1996/7/4"/>
          <s v="1月"/>
          <s v="2月"/>
          <s v="3月"/>
          <s v="4月"/>
          <s v="5月"/>
          <s v="6月"/>
          <s v="7月"/>
          <s v="8月"/>
          <s v="9月"/>
          <s v="10月"/>
          <s v="11月"/>
          <s v="12月"/>
          <s v="&gt;1998/5/7"/>
        </groupItems>
      </fieldGroup>
    </cacheField>
    <cacheField name="类别名称" numFmtId="0" sqlType="-9">
      <sharedItems count="8">
        <s v="饮料"/>
        <s v="调味品"/>
        <s v="点心"/>
        <s v="日用品"/>
        <s v="谷类/麦片"/>
        <s v="肉/家禽"/>
        <s v="特制品"/>
        <s v="海鲜"/>
      </sharedItems>
      <fieldGroup par="5"/>
    </cacheField>
    <cacheField name="'销售额'" numFmtId="0" sqlType="8">
      <sharedItems containsSemiMixedTypes="0" containsString="0" containsNumber="1" minValue="4.8" maxValue="15810"/>
    </cacheField>
    <cacheField name="季度" numFmtId="0" databaseField="0">
      <fieldGroup base="0">
        <rangePr groupBy="quarters" startDate="1996-07-04T00:00:00" endDate="1998-05-07T00:00:00"/>
        <groupItems count="6">
          <s v="&lt;1996/7/4"/>
          <s v="第一季"/>
          <s v="第二季"/>
          <s v="第三季"/>
          <s v="第四季"/>
          <s v="&gt;1998/5/7"/>
        </groupItems>
      </fieldGroup>
    </cacheField>
    <cacheField name="年" numFmtId="0" databaseField="0">
      <fieldGroup base="0">
        <rangePr groupBy="years" startDate="1996-07-04T00:00:00" endDate="1998-05-07T00:00:00"/>
        <groupItems count="5">
          <s v="&lt;1996/7/4"/>
          <s v="1996年"/>
          <s v="1997年"/>
          <s v="1998年"/>
          <s v="&gt;1998/5/7"/>
        </groupItems>
      </fieldGroup>
    </cacheField>
    <cacheField name="类别名称2" numFmtId="0" databaseField="0">
      <fieldGroup base="1">
        <discretePr count="8">
          <x v="0"/>
          <x v="1"/>
          <x v="0"/>
          <x v="0"/>
          <x v="1"/>
          <x v="0"/>
          <x v="1"/>
          <x v="1"/>
        </discretePr>
        <groupItems count="2">
          <s v="数据组1"/>
          <s v="数据组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
  <r>
    <x v="0"/>
    <x v="0"/>
    <n v="518.39999806880951"/>
  </r>
  <r>
    <x v="1"/>
    <x v="0"/>
    <n v="259.2"/>
  </r>
  <r>
    <x v="2"/>
    <x v="0"/>
    <n v="288"/>
  </r>
  <r>
    <x v="3"/>
    <x v="0"/>
    <n v="183.59999871253967"/>
  </r>
  <r>
    <x v="4"/>
    <x v="0"/>
    <n v="172.8"/>
  </r>
  <r>
    <x v="5"/>
    <x v="0"/>
    <n v="183.59999871253967"/>
  </r>
  <r>
    <x v="6"/>
    <x v="0"/>
    <n v="144"/>
  </r>
  <r>
    <x v="7"/>
    <x v="0"/>
    <n v="345.6"/>
  </r>
  <r>
    <x v="8"/>
    <x v="0"/>
    <n v="216"/>
  </r>
  <r>
    <x v="9"/>
    <x v="0"/>
    <n v="575.99999785423279"/>
  </r>
  <r>
    <x v="10"/>
    <x v="0"/>
    <n v="122.39999914169312"/>
  </r>
  <r>
    <x v="11"/>
    <x v="0"/>
    <n v="180"/>
  </r>
  <r>
    <x v="12"/>
    <x v="0"/>
    <n v="360"/>
  </r>
  <r>
    <x v="13"/>
    <x v="0"/>
    <n v="54"/>
  </r>
  <r>
    <x v="14"/>
    <x v="0"/>
    <n v="108"/>
  </r>
  <r>
    <x v="15"/>
    <x v="0"/>
    <n v="450"/>
  </r>
  <r>
    <x v="16"/>
    <x v="0"/>
    <n v="202.5"/>
  </r>
  <r>
    <x v="17"/>
    <x v="0"/>
    <n v="472.5"/>
  </r>
  <r>
    <x v="18"/>
    <x v="0"/>
    <n v="540"/>
  </r>
  <r>
    <x v="19"/>
    <x v="0"/>
    <n v="71.999999731779099"/>
  </r>
  <r>
    <x v="20"/>
    <x v="0"/>
    <n v="900"/>
  </r>
  <r>
    <x v="21"/>
    <x v="0"/>
    <n v="144"/>
  </r>
  <r>
    <x v="22"/>
    <x v="0"/>
    <n v="54"/>
  </r>
  <r>
    <x v="23"/>
    <x v="0"/>
    <n v="1151.9999957084656"/>
  </r>
  <r>
    <x v="24"/>
    <x v="0"/>
    <n v="305.99999785423279"/>
  </r>
  <r>
    <x v="25"/>
    <x v="0"/>
    <n v="720"/>
  </r>
  <r>
    <x v="26"/>
    <x v="0"/>
    <n v="341.9999997317791"/>
  </r>
  <r>
    <x v="27"/>
    <x v="0"/>
    <n v="180"/>
  </r>
  <r>
    <x v="28"/>
    <x v="0"/>
    <n v="810"/>
  </r>
  <r>
    <x v="29"/>
    <x v="0"/>
    <n v="378"/>
  </r>
  <r>
    <x v="30"/>
    <x v="0"/>
    <n v="72"/>
  </r>
  <r>
    <x v="31"/>
    <x v="0"/>
    <n v="36"/>
  </r>
  <r>
    <x v="31"/>
    <x v="0"/>
    <n v="144"/>
  </r>
  <r>
    <x v="32"/>
    <x v="0"/>
    <n v="161.9999997317791"/>
  </r>
  <r>
    <x v="33"/>
    <x v="0"/>
    <n v="810"/>
  </r>
  <r>
    <x v="34"/>
    <x v="0"/>
    <n v="180"/>
  </r>
  <r>
    <x v="35"/>
    <x v="0"/>
    <n v="337.5"/>
  </r>
  <r>
    <x v="36"/>
    <x v="0"/>
    <n v="611.99999570846558"/>
  </r>
  <r>
    <x v="37"/>
    <x v="0"/>
    <n v="304"/>
  </r>
  <r>
    <x v="38"/>
    <x v="0"/>
    <n v="607.9999977350235"/>
  </r>
  <r>
    <x v="39"/>
    <x v="0"/>
    <n v="532"/>
  </r>
  <r>
    <x v="40"/>
    <x v="0"/>
    <n v="608"/>
  </r>
  <r>
    <x v="41"/>
    <x v="0"/>
    <n v="303.99999886751175"/>
  </r>
  <r>
    <x v="42"/>
    <x v="0"/>
    <n v="85.119999682903298"/>
  </r>
  <r>
    <x v="43"/>
    <x v="0"/>
    <n v="291.83999891281127"/>
  </r>
  <r>
    <x v="44"/>
    <x v="0"/>
    <n v="285"/>
  </r>
  <r>
    <x v="45"/>
    <x v="0"/>
    <n v="912"/>
  </r>
  <r>
    <x v="46"/>
    <x v="0"/>
    <n v="152"/>
  </r>
  <r>
    <x v="47"/>
    <x v="0"/>
    <n v="581.3999959230423"/>
  </r>
  <r>
    <x v="48"/>
    <x v="0"/>
    <n v="516.7999963760376"/>
  </r>
  <r>
    <x v="49"/>
    <x v="0"/>
    <n v="273.5999995470047"/>
  </r>
  <r>
    <x v="50"/>
    <x v="0"/>
    <n v="228"/>
  </r>
  <r>
    <x v="14"/>
    <x v="0"/>
    <n v="190"/>
  </r>
  <r>
    <x v="51"/>
    <x v="0"/>
    <n v="380"/>
  </r>
  <r>
    <x v="52"/>
    <x v="0"/>
    <n v="541.49999957531691"/>
  </r>
  <r>
    <x v="53"/>
    <x v="0"/>
    <n v="950"/>
  </r>
  <r>
    <x v="54"/>
    <x v="0"/>
    <n v="95"/>
  </r>
  <r>
    <x v="55"/>
    <x v="0"/>
    <n v="427.5"/>
  </r>
  <r>
    <x v="56"/>
    <x v="0"/>
    <n v="57"/>
  </r>
  <r>
    <x v="57"/>
    <x v="0"/>
    <n v="227.99999915063381"/>
  </r>
  <r>
    <x v="58"/>
    <x v="0"/>
    <n v="760"/>
  </r>
  <r>
    <x v="59"/>
    <x v="0"/>
    <n v="270.74999978765845"/>
  </r>
  <r>
    <x v="60"/>
    <x v="0"/>
    <n v="190"/>
  </r>
  <r>
    <x v="61"/>
    <x v="0"/>
    <n v="285"/>
  </r>
  <r>
    <x v="62"/>
    <x v="0"/>
    <n v="182.39999932050705"/>
  </r>
  <r>
    <x v="63"/>
    <x v="0"/>
    <n v="190"/>
  </r>
  <r>
    <x v="64"/>
    <x v="0"/>
    <n v="90.249999929219484"/>
  </r>
  <r>
    <x v="64"/>
    <x v="0"/>
    <n v="285"/>
  </r>
  <r>
    <x v="65"/>
    <x v="0"/>
    <n v="380"/>
  </r>
  <r>
    <x v="66"/>
    <x v="0"/>
    <n v="299.25"/>
  </r>
  <r>
    <x v="67"/>
    <x v="0"/>
    <n v="380"/>
  </r>
  <r>
    <x v="68"/>
    <x v="0"/>
    <n v="380"/>
  </r>
  <r>
    <x v="69"/>
    <x v="0"/>
    <n v="161.49999886751175"/>
  </r>
  <r>
    <x v="70"/>
    <x v="0"/>
    <n v="759.99999716877937"/>
  </r>
  <r>
    <x v="71"/>
    <x v="0"/>
    <n v="156.75"/>
  </r>
  <r>
    <x v="33"/>
    <x v="0"/>
    <n v="1425"/>
  </r>
  <r>
    <x v="72"/>
    <x v="0"/>
    <n v="455.99999830126762"/>
  </r>
  <r>
    <x v="35"/>
    <x v="0"/>
    <n v="151.99999943375587"/>
  </r>
  <r>
    <x v="36"/>
    <x v="0"/>
    <n v="322.9999977350235"/>
  </r>
  <r>
    <x v="36"/>
    <x v="0"/>
    <n v="152"/>
  </r>
  <r>
    <x v="73"/>
    <x v="0"/>
    <n v="161.49999886751175"/>
  </r>
  <r>
    <x v="73"/>
    <x v="0"/>
    <n v="364.7999986410141"/>
  </r>
  <r>
    <x v="74"/>
    <x v="0"/>
    <n v="45.899999678134918"/>
  </r>
  <r>
    <x v="75"/>
    <x v="0"/>
    <n v="100.8"/>
  </r>
  <r>
    <x v="76"/>
    <x v="0"/>
    <n v="41.039999967813493"/>
  </r>
  <r>
    <x v="77"/>
    <x v="0"/>
    <n v="43.2"/>
  </r>
  <r>
    <x v="77"/>
    <x v="0"/>
    <n v="21.6"/>
  </r>
  <r>
    <x v="78"/>
    <x v="0"/>
    <n v="36"/>
  </r>
  <r>
    <x v="79"/>
    <x v="0"/>
    <n v="36"/>
  </r>
  <r>
    <x v="80"/>
    <x v="0"/>
    <n v="90"/>
  </r>
  <r>
    <x v="81"/>
    <x v="0"/>
    <n v="34.19999997317791"/>
  </r>
  <r>
    <x v="82"/>
    <x v="0"/>
    <n v="54"/>
  </r>
  <r>
    <x v="82"/>
    <x v="0"/>
    <n v="54"/>
  </r>
  <r>
    <x v="83"/>
    <x v="0"/>
    <n v="64.799999892711639"/>
  </r>
  <r>
    <x v="84"/>
    <x v="0"/>
    <n v="90"/>
  </r>
  <r>
    <x v="85"/>
    <x v="0"/>
    <n v="100.8"/>
  </r>
  <r>
    <x v="86"/>
    <x v="0"/>
    <n v="273.59999978542328"/>
  </r>
  <r>
    <x v="87"/>
    <x v="0"/>
    <n v="63"/>
  </r>
  <r>
    <x v="88"/>
    <x v="0"/>
    <n v="38.249999731779099"/>
  </r>
  <r>
    <x v="89"/>
    <x v="0"/>
    <n v="22.5"/>
  </r>
  <r>
    <x v="90"/>
    <x v="0"/>
    <n v="36"/>
  </r>
  <r>
    <x v="91"/>
    <x v="0"/>
    <n v="141.74999976530671"/>
  </r>
  <r>
    <x v="92"/>
    <x v="0"/>
    <n v="64.799999758601189"/>
  </r>
  <r>
    <x v="93"/>
    <x v="0"/>
    <n v="101.24999983236194"/>
  </r>
  <r>
    <x v="94"/>
    <x v="0"/>
    <n v="125.99999953061342"/>
  </r>
  <r>
    <x v="95"/>
    <x v="0"/>
    <n v="22.5"/>
  </r>
  <r>
    <x v="96"/>
    <x v="0"/>
    <n v="13.5"/>
  </r>
  <r>
    <x v="97"/>
    <x v="0"/>
    <n v="57.374999597668648"/>
  </r>
  <r>
    <x v="98"/>
    <x v="0"/>
    <n v="90"/>
  </r>
  <r>
    <x v="54"/>
    <x v="0"/>
    <n v="157.5"/>
  </r>
  <r>
    <x v="99"/>
    <x v="0"/>
    <n v="90"/>
  </r>
  <r>
    <x v="100"/>
    <x v="0"/>
    <n v="76.499999463558197"/>
  </r>
  <r>
    <x v="101"/>
    <x v="0"/>
    <n v="135"/>
  </r>
  <r>
    <x v="66"/>
    <x v="0"/>
    <n v="20.25"/>
  </r>
  <r>
    <x v="67"/>
    <x v="0"/>
    <n v="36"/>
  </r>
  <r>
    <x v="67"/>
    <x v="0"/>
    <n v="54"/>
  </r>
  <r>
    <x v="102"/>
    <x v="0"/>
    <n v="45"/>
  </r>
  <r>
    <x v="102"/>
    <x v="0"/>
    <n v="495"/>
  </r>
  <r>
    <x v="103"/>
    <x v="0"/>
    <n v="157.5"/>
  </r>
  <r>
    <x v="104"/>
    <x v="0"/>
    <n v="112.5"/>
  </r>
  <r>
    <x v="105"/>
    <x v="0"/>
    <n v="33.75"/>
  </r>
  <r>
    <x v="106"/>
    <x v="0"/>
    <n v="135"/>
  </r>
  <r>
    <x v="107"/>
    <x v="0"/>
    <n v="360"/>
  </r>
  <r>
    <x v="108"/>
    <x v="0"/>
    <n v="90"/>
  </r>
  <r>
    <x v="109"/>
    <x v="0"/>
    <n v="54"/>
  </r>
  <r>
    <x v="30"/>
    <x v="0"/>
    <n v="101.25"/>
  </r>
  <r>
    <x v="110"/>
    <x v="0"/>
    <n v="54"/>
  </r>
  <r>
    <x v="111"/>
    <x v="0"/>
    <n v="45"/>
  </r>
  <r>
    <x v="112"/>
    <x v="0"/>
    <n v="101.25"/>
  </r>
  <r>
    <x v="33"/>
    <x v="0"/>
    <n v="94.5"/>
  </r>
  <r>
    <x v="113"/>
    <x v="0"/>
    <n v="35.999999865889549"/>
  </r>
  <r>
    <x v="114"/>
    <x v="0"/>
    <n v="67.5"/>
  </r>
  <r>
    <x v="36"/>
    <x v="0"/>
    <n v="90"/>
  </r>
  <r>
    <x v="115"/>
    <x v="0"/>
    <n v="224"/>
  </r>
  <r>
    <x v="116"/>
    <x v="0"/>
    <n v="156.80000000000001"/>
  </r>
  <r>
    <x v="81"/>
    <x v="0"/>
    <n v="106.3999999165535"/>
  </r>
  <r>
    <x v="117"/>
    <x v="0"/>
    <n v="403.2"/>
  </r>
  <r>
    <x v="82"/>
    <x v="0"/>
    <n v="112"/>
  </r>
  <r>
    <x v="118"/>
    <x v="0"/>
    <n v="179.19999933242798"/>
  </r>
  <r>
    <x v="119"/>
    <x v="0"/>
    <n v="372.39999970793724"/>
  </r>
  <r>
    <x v="120"/>
    <x v="0"/>
    <n v="105"/>
  </r>
  <r>
    <x v="121"/>
    <x v="0"/>
    <n v="560"/>
  </r>
  <r>
    <x v="17"/>
    <x v="0"/>
    <n v="196"/>
  </r>
  <r>
    <x v="19"/>
    <x v="0"/>
    <n v="134.39999949932098"/>
  </r>
  <r>
    <x v="122"/>
    <x v="0"/>
    <n v="420"/>
  </r>
  <r>
    <x v="123"/>
    <x v="0"/>
    <n v="140"/>
  </r>
  <r>
    <x v="68"/>
    <x v="0"/>
    <n v="140"/>
  </r>
  <r>
    <x v="69"/>
    <x v="0"/>
    <n v="280"/>
  </r>
  <r>
    <x v="70"/>
    <x v="0"/>
    <n v="713.99999499320984"/>
  </r>
  <r>
    <x v="110"/>
    <x v="0"/>
    <n v="1196.9999990612268"/>
  </r>
  <r>
    <x v="124"/>
    <x v="0"/>
    <n v="420"/>
  </r>
  <r>
    <x v="125"/>
    <x v="0"/>
    <n v="490"/>
  </r>
  <r>
    <x v="126"/>
    <x v="0"/>
    <n v="288"/>
  </r>
  <r>
    <x v="77"/>
    <x v="0"/>
    <n v="57.6"/>
  </r>
  <r>
    <x v="127"/>
    <x v="0"/>
    <n v="1440"/>
  </r>
  <r>
    <x v="128"/>
    <x v="0"/>
    <n v="144"/>
  </r>
  <r>
    <x v="129"/>
    <x v="0"/>
    <n v="856.79999399185181"/>
  </r>
  <r>
    <x v="130"/>
    <x v="0"/>
    <n v="518.39999914169312"/>
  </r>
  <r>
    <x v="131"/>
    <x v="0"/>
    <n v="432"/>
  </r>
  <r>
    <x v="132"/>
    <x v="0"/>
    <n v="504"/>
  </r>
  <r>
    <x v="133"/>
    <x v="0"/>
    <n v="691.19999742507935"/>
  </r>
  <r>
    <x v="134"/>
    <x v="0"/>
    <n v="115.2"/>
  </r>
  <r>
    <x v="90"/>
    <x v="0"/>
    <n v="54"/>
  </r>
  <r>
    <x v="135"/>
    <x v="0"/>
    <n v="540"/>
  </r>
  <r>
    <x v="136"/>
    <x v="0"/>
    <n v="305.99999785423279"/>
  </r>
  <r>
    <x v="137"/>
    <x v="0"/>
    <n v="108"/>
  </r>
  <r>
    <x v="138"/>
    <x v="0"/>
    <n v="360"/>
  </r>
  <r>
    <x v="139"/>
    <x v="0"/>
    <n v="360"/>
  </r>
  <r>
    <x v="140"/>
    <x v="0"/>
    <n v="72"/>
  </r>
  <r>
    <x v="141"/>
    <x v="0"/>
    <n v="405"/>
  </r>
  <r>
    <x v="96"/>
    <x v="0"/>
    <n v="485.9999991953373"/>
  </r>
  <r>
    <x v="142"/>
    <x v="0"/>
    <n v="121.5"/>
  </r>
  <r>
    <x v="143"/>
    <x v="0"/>
    <n v="378"/>
  </r>
  <r>
    <x v="144"/>
    <x v="0"/>
    <n v="503.99999812245369"/>
  </r>
  <r>
    <x v="145"/>
    <x v="0"/>
    <n v="270"/>
  </r>
  <r>
    <x v="146"/>
    <x v="0"/>
    <n v="360"/>
  </r>
  <r>
    <x v="147"/>
    <x v="0"/>
    <n v="144"/>
  </r>
  <r>
    <x v="148"/>
    <x v="0"/>
    <n v="108"/>
  </r>
  <r>
    <x v="149"/>
    <x v="0"/>
    <n v="404.99999932944775"/>
  </r>
  <r>
    <x v="24"/>
    <x v="0"/>
    <n v="72"/>
  </r>
  <r>
    <x v="25"/>
    <x v="0"/>
    <n v="540"/>
  </r>
  <r>
    <x v="25"/>
    <x v="0"/>
    <n v="54"/>
  </r>
  <r>
    <x v="103"/>
    <x v="0"/>
    <n v="180"/>
  </r>
  <r>
    <x v="150"/>
    <x v="0"/>
    <n v="720"/>
  </r>
  <r>
    <x v="30"/>
    <x v="0"/>
    <n v="229.49999839067459"/>
  </r>
  <r>
    <x v="34"/>
    <x v="0"/>
    <n v="1080"/>
  </r>
  <r>
    <x v="151"/>
    <x v="0"/>
    <n v="432"/>
  </r>
  <r>
    <x v="152"/>
    <x v="0"/>
    <n v="307.79999975860119"/>
  </r>
  <r>
    <x v="153"/>
    <x v="0"/>
    <n v="4005.1999968588352"/>
  </r>
  <r>
    <x v="154"/>
    <x v="0"/>
    <n v="4005.1999968588352"/>
  </r>
  <r>
    <x v="155"/>
    <x v="0"/>
    <n v="8431.9999685883522"/>
  </r>
  <r>
    <x v="156"/>
    <x v="0"/>
    <n v="2108"/>
  </r>
  <r>
    <x v="157"/>
    <x v="0"/>
    <n v="6324"/>
  </r>
  <r>
    <x v="158"/>
    <x v="0"/>
    <n v="10540"/>
  </r>
  <r>
    <x v="133"/>
    <x v="0"/>
    <n v="8263.3599692165863"/>
  </r>
  <r>
    <x v="159"/>
    <x v="0"/>
    <n v="6324"/>
  </r>
  <r>
    <x v="89"/>
    <x v="0"/>
    <n v="3952.5"/>
  </r>
  <r>
    <x v="91"/>
    <x v="0"/>
    <n v="7905"/>
  </r>
  <r>
    <x v="91"/>
    <x v="0"/>
    <n v="948.59999842941761"/>
  </r>
  <r>
    <x v="160"/>
    <x v="0"/>
    <n v="3754.874997055158"/>
  </r>
  <r>
    <x v="161"/>
    <x v="0"/>
    <n v="3557.249994110316"/>
  </r>
  <r>
    <x v="162"/>
    <x v="0"/>
    <n v="1317.5"/>
  </r>
  <r>
    <x v="123"/>
    <x v="0"/>
    <n v="2635"/>
  </r>
  <r>
    <x v="163"/>
    <x v="0"/>
    <n v="7509.749994110316"/>
  </r>
  <r>
    <x v="163"/>
    <x v="0"/>
    <n v="7905"/>
  </r>
  <r>
    <x v="63"/>
    <x v="0"/>
    <n v="527"/>
  </r>
  <r>
    <x v="147"/>
    <x v="0"/>
    <n v="2108"/>
  </r>
  <r>
    <x v="24"/>
    <x v="0"/>
    <n v="15019.499988220632"/>
  </r>
  <r>
    <x v="68"/>
    <x v="0"/>
    <n v="10540"/>
  </r>
  <r>
    <x v="164"/>
    <x v="0"/>
    <n v="1317.5"/>
  </r>
  <r>
    <x v="165"/>
    <x v="0"/>
    <n v="15810"/>
  </r>
  <r>
    <x v="33"/>
    <x v="0"/>
    <n v="6587.5"/>
  </r>
  <r>
    <x v="166"/>
    <x v="0"/>
    <n v="604.79999999999995"/>
  </r>
  <r>
    <x v="167"/>
    <x v="0"/>
    <n v="86.4"/>
  </r>
  <r>
    <x v="168"/>
    <x v="0"/>
    <n v="864"/>
  </r>
  <r>
    <x v="169"/>
    <x v="0"/>
    <n v="388.79999935626984"/>
  </r>
  <r>
    <x v="170"/>
    <x v="0"/>
    <n v="57.6"/>
  </r>
  <r>
    <x v="171"/>
    <x v="0"/>
    <n v="611.99999570846558"/>
  </r>
  <r>
    <x v="156"/>
    <x v="0"/>
    <n v="699.83999884128571"/>
  </r>
  <r>
    <x v="172"/>
    <x v="0"/>
    <n v="244.79999828338623"/>
  </r>
  <r>
    <x v="173"/>
    <x v="0"/>
    <n v="86.4"/>
  </r>
  <r>
    <x v="174"/>
    <x v="0"/>
    <n v="288"/>
  </r>
  <r>
    <x v="8"/>
    <x v="0"/>
    <n v="216"/>
  </r>
  <r>
    <x v="175"/>
    <x v="0"/>
    <n v="180"/>
  </r>
  <r>
    <x v="11"/>
    <x v="0"/>
    <n v="180"/>
  </r>
  <r>
    <x v="176"/>
    <x v="0"/>
    <n v="90"/>
  </r>
  <r>
    <x v="177"/>
    <x v="0"/>
    <n v="283.5"/>
  </r>
  <r>
    <x v="16"/>
    <x v="0"/>
    <n v="360"/>
  </r>
  <r>
    <x v="178"/>
    <x v="0"/>
    <n v="323.9999994635582"/>
  </r>
  <r>
    <x v="179"/>
    <x v="0"/>
    <n v="43.199999839067459"/>
  </r>
  <r>
    <x v="180"/>
    <x v="0"/>
    <n v="288"/>
  </r>
  <r>
    <x v="99"/>
    <x v="0"/>
    <n v="2105.9999965131283"/>
  </r>
  <r>
    <x v="162"/>
    <x v="0"/>
    <n v="30.599999785423279"/>
  </r>
  <r>
    <x v="181"/>
    <x v="0"/>
    <n v="378"/>
  </r>
  <r>
    <x v="63"/>
    <x v="0"/>
    <n v="504"/>
  </r>
  <r>
    <x v="22"/>
    <x v="0"/>
    <n v="143.9999994635582"/>
  </r>
  <r>
    <x v="24"/>
    <x v="0"/>
    <n v="1367.9999989271164"/>
  </r>
  <r>
    <x v="102"/>
    <x v="0"/>
    <n v="810"/>
  </r>
  <r>
    <x v="182"/>
    <x v="0"/>
    <n v="122.39999914169312"/>
  </r>
  <r>
    <x v="107"/>
    <x v="0"/>
    <n v="540"/>
  </r>
  <r>
    <x v="183"/>
    <x v="0"/>
    <n v="360"/>
  </r>
  <r>
    <x v="73"/>
    <x v="0"/>
    <n v="34.19999997317791"/>
  </r>
  <r>
    <x v="184"/>
    <x v="0"/>
    <n v="920"/>
  </r>
  <r>
    <x v="1"/>
    <x v="0"/>
    <n v="552"/>
  </r>
  <r>
    <x v="185"/>
    <x v="0"/>
    <n v="441.6"/>
  </r>
  <r>
    <x v="186"/>
    <x v="0"/>
    <n v="736"/>
  </r>
  <r>
    <x v="187"/>
    <x v="0"/>
    <n v="883.2"/>
  </r>
  <r>
    <x v="188"/>
    <x v="0"/>
    <n v="1398.3999989032745"/>
  </r>
  <r>
    <x v="189"/>
    <x v="0"/>
    <n v="736"/>
  </r>
  <r>
    <x v="190"/>
    <x v="0"/>
    <n v="110.4"/>
  </r>
  <r>
    <x v="191"/>
    <x v="0"/>
    <n v="552"/>
  </r>
  <r>
    <x v="192"/>
    <x v="0"/>
    <n v="586.49999588727951"/>
  </r>
  <r>
    <x v="193"/>
    <x v="0"/>
    <n v="2760"/>
  </r>
  <r>
    <x v="194"/>
    <x v="0"/>
    <n v="1150"/>
  </r>
  <r>
    <x v="177"/>
    <x v="0"/>
    <n v="920"/>
  </r>
  <r>
    <x v="195"/>
    <x v="0"/>
    <n v="276"/>
  </r>
  <r>
    <x v="18"/>
    <x v="0"/>
    <n v="1840"/>
  </r>
  <r>
    <x v="196"/>
    <x v="0"/>
    <n v="1104"/>
  </r>
  <r>
    <x v="197"/>
    <x v="0"/>
    <n v="1035"/>
  </r>
  <r>
    <x v="62"/>
    <x v="0"/>
    <n v="781.99999451637268"/>
  </r>
  <r>
    <x v="198"/>
    <x v="0"/>
    <n v="322"/>
  </r>
  <r>
    <x v="147"/>
    <x v="0"/>
    <n v="414"/>
  </r>
  <r>
    <x v="199"/>
    <x v="0"/>
    <n v="230"/>
  </r>
  <r>
    <x v="103"/>
    <x v="0"/>
    <n v="367.99999862909317"/>
  </r>
  <r>
    <x v="69"/>
    <x v="0"/>
    <n v="828"/>
  </r>
  <r>
    <x v="165"/>
    <x v="0"/>
    <n v="414"/>
  </r>
  <r>
    <x v="200"/>
    <x v="0"/>
    <n v="276"/>
  </r>
  <r>
    <x v="71"/>
    <x v="0"/>
    <n v="1380"/>
  </r>
  <r>
    <x v="113"/>
    <x v="0"/>
    <n v="1103.9999958872795"/>
  </r>
  <r>
    <x v="183"/>
    <x v="0"/>
    <n v="1407.5999901294708"/>
  </r>
  <r>
    <x v="201"/>
    <x v="0"/>
    <n v="42"/>
  </r>
  <r>
    <x v="202"/>
    <x v="0"/>
    <n v="420"/>
  </r>
  <r>
    <x v="203"/>
    <x v="0"/>
    <n v="98"/>
  </r>
  <r>
    <x v="204"/>
    <x v="0"/>
    <n v="350"/>
  </r>
  <r>
    <x v="205"/>
    <x v="0"/>
    <n v="42"/>
  </r>
  <r>
    <x v="24"/>
    <x v="0"/>
    <n v="210"/>
  </r>
  <r>
    <x v="27"/>
    <x v="0"/>
    <n v="210"/>
  </r>
  <r>
    <x v="103"/>
    <x v="0"/>
    <n v="268.79999899864197"/>
  </r>
  <r>
    <x v="69"/>
    <x v="0"/>
    <n v="475.99999666213989"/>
  </r>
  <r>
    <x v="114"/>
    <x v="0"/>
    <n v="280"/>
  </r>
  <r>
    <x v="126"/>
    <x v="0"/>
    <n v="189"/>
  </r>
  <r>
    <x v="206"/>
    <x v="0"/>
    <n v="240"/>
  </r>
  <r>
    <x v="207"/>
    <x v="0"/>
    <n v="240"/>
  </r>
  <r>
    <x v="208"/>
    <x v="0"/>
    <n v="60"/>
  </r>
  <r>
    <x v="116"/>
    <x v="0"/>
    <n v="360"/>
  </r>
  <r>
    <x v="209"/>
    <x v="0"/>
    <n v="360"/>
  </r>
  <r>
    <x v="210"/>
    <x v="0"/>
    <n v="360"/>
  </r>
  <r>
    <x v="211"/>
    <x v="0"/>
    <n v="86.399999856948853"/>
  </r>
  <r>
    <x v="212"/>
    <x v="0"/>
    <n v="269.99999955296516"/>
  </r>
  <r>
    <x v="8"/>
    <x v="0"/>
    <n v="144"/>
  </r>
  <r>
    <x v="49"/>
    <x v="0"/>
    <n v="647.99999892711639"/>
  </r>
  <r>
    <x v="192"/>
    <x v="0"/>
    <n v="188.99999968707561"/>
  </r>
  <r>
    <x v="213"/>
    <x v="0"/>
    <n v="90"/>
  </r>
  <r>
    <x v="214"/>
    <x v="0"/>
    <n v="105"/>
  </r>
  <r>
    <x v="160"/>
    <x v="0"/>
    <n v="213.74999983236194"/>
  </r>
  <r>
    <x v="95"/>
    <x v="0"/>
    <n v="300"/>
  </r>
  <r>
    <x v="215"/>
    <x v="0"/>
    <n v="168.75"/>
  </r>
  <r>
    <x v="216"/>
    <x v="0"/>
    <n v="569.99999955296516"/>
  </r>
  <r>
    <x v="217"/>
    <x v="0"/>
    <n v="750"/>
  </r>
  <r>
    <x v="142"/>
    <x v="0"/>
    <n v="337.5"/>
  </r>
  <r>
    <x v="218"/>
    <x v="0"/>
    <n v="113.99999991059303"/>
  </r>
  <r>
    <x v="196"/>
    <x v="0"/>
    <n v="356.99999749660492"/>
  </r>
  <r>
    <x v="219"/>
    <x v="0"/>
    <n v="600"/>
  </r>
  <r>
    <x v="220"/>
    <x v="0"/>
    <n v="525"/>
  </r>
  <r>
    <x v="221"/>
    <x v="0"/>
    <n v="75"/>
  </r>
  <r>
    <x v="146"/>
    <x v="0"/>
    <n v="90"/>
  </r>
  <r>
    <x v="222"/>
    <x v="0"/>
    <n v="135"/>
  </r>
  <r>
    <x v="223"/>
    <x v="0"/>
    <n v="23.999999910593033"/>
  </r>
  <r>
    <x v="199"/>
    <x v="0"/>
    <n v="180"/>
  </r>
  <r>
    <x v="23"/>
    <x v="0"/>
    <n v="450"/>
  </r>
  <r>
    <x v="224"/>
    <x v="0"/>
    <n v="382.49999731779099"/>
  </r>
  <r>
    <x v="101"/>
    <x v="0"/>
    <n v="60"/>
  </r>
  <r>
    <x v="225"/>
    <x v="0"/>
    <n v="599.99999776482582"/>
  </r>
  <r>
    <x v="67"/>
    <x v="0"/>
    <n v="450"/>
  </r>
  <r>
    <x v="182"/>
    <x v="0"/>
    <n v="33.75"/>
  </r>
  <r>
    <x v="70"/>
    <x v="0"/>
    <n v="239.99999910593033"/>
  </r>
  <r>
    <x v="226"/>
    <x v="0"/>
    <n v="450"/>
  </r>
  <r>
    <x v="151"/>
    <x v="0"/>
    <n v="60"/>
  </r>
  <r>
    <x v="227"/>
    <x v="0"/>
    <n v="45"/>
  </r>
  <r>
    <x v="124"/>
    <x v="0"/>
    <n v="143.9999994635582"/>
  </r>
  <r>
    <x v="77"/>
    <x v="0"/>
    <n v="186"/>
  </r>
  <r>
    <x v="78"/>
    <x v="0"/>
    <n v="37.200000000000003"/>
  </r>
  <r>
    <x v="1"/>
    <x v="0"/>
    <n v="37.200000000000003"/>
  </r>
  <r>
    <x v="187"/>
    <x v="0"/>
    <n v="62"/>
  </r>
  <r>
    <x v="228"/>
    <x v="0"/>
    <n v="310"/>
  </r>
  <r>
    <x v="171"/>
    <x v="0"/>
    <n v="31.619999778270724"/>
  </r>
  <r>
    <x v="229"/>
    <x v="0"/>
    <n v="74.400000000000006"/>
  </r>
  <r>
    <x v="230"/>
    <x v="0"/>
    <n v="133.91999977827072"/>
  </r>
  <r>
    <x v="231"/>
    <x v="0"/>
    <n v="18.600000000000001"/>
  </r>
  <r>
    <x v="232"/>
    <x v="0"/>
    <n v="62"/>
  </r>
  <r>
    <x v="233"/>
    <x v="0"/>
    <n v="223.2"/>
  </r>
  <r>
    <x v="234"/>
    <x v="0"/>
    <n v="251.0999995842576"/>
  </r>
  <r>
    <x v="235"/>
    <x v="0"/>
    <n v="387.5"/>
  </r>
  <r>
    <x v="236"/>
    <x v="0"/>
    <n v="232.5"/>
  </r>
  <r>
    <x v="237"/>
    <x v="0"/>
    <n v="155"/>
  </r>
  <r>
    <x v="238"/>
    <x v="0"/>
    <n v="104.624999826774"/>
  </r>
  <r>
    <x v="11"/>
    <x v="0"/>
    <n v="155"/>
  </r>
  <r>
    <x v="239"/>
    <x v="0"/>
    <n v="162.75"/>
  </r>
  <r>
    <x v="240"/>
    <x v="0"/>
    <n v="309.99999884516001"/>
  </r>
  <r>
    <x v="94"/>
    <x v="0"/>
    <n v="185.999999307096"/>
  </r>
  <r>
    <x v="176"/>
    <x v="0"/>
    <n v="310"/>
  </r>
  <r>
    <x v="52"/>
    <x v="0"/>
    <n v="55.799999907612801"/>
  </r>
  <r>
    <x v="241"/>
    <x v="0"/>
    <n v="15.5"/>
  </r>
  <r>
    <x v="204"/>
    <x v="0"/>
    <n v="193.75"/>
  </r>
  <r>
    <x v="242"/>
    <x v="0"/>
    <n v="232.5"/>
  </r>
  <r>
    <x v="56"/>
    <x v="0"/>
    <n v="325.5"/>
  </r>
  <r>
    <x v="243"/>
    <x v="0"/>
    <n v="155"/>
  </r>
  <r>
    <x v="180"/>
    <x v="0"/>
    <n v="139.5"/>
  </r>
  <r>
    <x v="244"/>
    <x v="0"/>
    <n v="43.399999838322401"/>
  </r>
  <r>
    <x v="162"/>
    <x v="0"/>
    <n v="77.5"/>
  </r>
  <r>
    <x v="59"/>
    <x v="0"/>
    <n v="260.39999902993441"/>
  </r>
  <r>
    <x v="145"/>
    <x v="0"/>
    <n v="294.499999769032"/>
  </r>
  <r>
    <x v="198"/>
    <x v="0"/>
    <n v="155"/>
  </r>
  <r>
    <x v="102"/>
    <x v="0"/>
    <n v="883.499999307096"/>
  </r>
  <r>
    <x v="245"/>
    <x v="0"/>
    <n v="108.5"/>
  </r>
  <r>
    <x v="246"/>
    <x v="0"/>
    <n v="46.5"/>
  </r>
  <r>
    <x v="247"/>
    <x v="0"/>
    <n v="379.75"/>
  </r>
  <r>
    <x v="248"/>
    <x v="0"/>
    <n v="139.499999769032"/>
  </r>
  <r>
    <x v="249"/>
    <x v="0"/>
    <n v="368.12499971129"/>
  </r>
  <r>
    <x v="250"/>
    <x v="0"/>
    <n v="74.399999722838402"/>
  </r>
  <r>
    <x v="150"/>
    <x v="0"/>
    <n v="131.74999907612801"/>
  </r>
  <r>
    <x v="251"/>
    <x v="0"/>
    <n v="77.5"/>
  </r>
  <r>
    <x v="252"/>
    <x v="0"/>
    <n v="77.5"/>
  </r>
  <r>
    <x v="165"/>
    <x v="0"/>
    <n v="247.99999907612801"/>
  </r>
  <r>
    <x v="109"/>
    <x v="0"/>
    <n v="232.5"/>
  </r>
  <r>
    <x v="73"/>
    <x v="0"/>
    <n v="31"/>
  </r>
  <r>
    <x v="253"/>
    <x v="0"/>
    <n v="183.59999871253967"/>
  </r>
  <r>
    <x v="254"/>
    <x v="0"/>
    <n v="451.43999964594838"/>
  </r>
  <r>
    <x v="255"/>
    <x v="0"/>
    <n v="86.4"/>
  </r>
  <r>
    <x v="256"/>
    <x v="0"/>
    <n v="432"/>
  </r>
  <r>
    <x v="257"/>
    <x v="0"/>
    <n v="216"/>
  </r>
  <r>
    <x v="229"/>
    <x v="0"/>
    <n v="172.8"/>
  </r>
  <r>
    <x v="258"/>
    <x v="0"/>
    <n v="504"/>
  </r>
  <r>
    <x v="7"/>
    <x v="0"/>
    <n v="201.6"/>
  </r>
  <r>
    <x v="259"/>
    <x v="0"/>
    <n v="216"/>
  </r>
  <r>
    <x v="260"/>
    <x v="0"/>
    <n v="220.3199984550476"/>
  </r>
  <r>
    <x v="261"/>
    <x v="0"/>
    <n v="514.07999639511104"/>
  </r>
  <r>
    <x v="194"/>
    <x v="0"/>
    <n v="900"/>
  </r>
  <r>
    <x v="262"/>
    <x v="0"/>
    <n v="180"/>
  </r>
  <r>
    <x v="263"/>
    <x v="0"/>
    <n v="540"/>
  </r>
  <r>
    <x v="264"/>
    <x v="0"/>
    <n v="180"/>
  </r>
  <r>
    <x v="265"/>
    <x v="0"/>
    <n v="252"/>
  </r>
  <r>
    <x v="266"/>
    <x v="0"/>
    <n v="57.599999785423279"/>
  </r>
  <r>
    <x v="267"/>
    <x v="0"/>
    <n v="161.9999997317791"/>
  </r>
  <r>
    <x v="268"/>
    <x v="0"/>
    <n v="1440"/>
  </r>
  <r>
    <x v="269"/>
    <x v="0"/>
    <n v="630"/>
  </r>
  <r>
    <x v="270"/>
    <x v="0"/>
    <n v="180"/>
  </r>
  <r>
    <x v="271"/>
    <x v="0"/>
    <n v="535.49999624490738"/>
  </r>
  <r>
    <x v="271"/>
    <x v="0"/>
    <n v="270"/>
  </r>
  <r>
    <x v="272"/>
    <x v="0"/>
    <n v="360"/>
  </r>
  <r>
    <x v="273"/>
    <x v="0"/>
    <n v="360"/>
  </r>
  <r>
    <x v="274"/>
    <x v="0"/>
    <n v="180"/>
  </r>
  <r>
    <x v="221"/>
    <x v="0"/>
    <n v="764.99999463558197"/>
  </r>
  <r>
    <x v="148"/>
    <x v="0"/>
    <n v="283.5"/>
  </r>
  <r>
    <x v="101"/>
    <x v="0"/>
    <n v="360"/>
  </r>
  <r>
    <x v="225"/>
    <x v="0"/>
    <n v="180"/>
  </r>
  <r>
    <x v="247"/>
    <x v="0"/>
    <n v="360"/>
  </r>
  <r>
    <x v="247"/>
    <x v="0"/>
    <n v="90"/>
  </r>
  <r>
    <x v="105"/>
    <x v="0"/>
    <n v="1080"/>
  </r>
  <r>
    <x v="105"/>
    <x v="0"/>
    <n v="792"/>
  </r>
  <r>
    <x v="108"/>
    <x v="0"/>
    <n v="180"/>
  </r>
  <r>
    <x v="70"/>
    <x v="0"/>
    <n v="1295.9999951720238"/>
  </r>
  <r>
    <x v="31"/>
    <x v="0"/>
    <n v="108"/>
  </r>
  <r>
    <x v="113"/>
    <x v="0"/>
    <n v="809.99999865889549"/>
  </r>
  <r>
    <x v="73"/>
    <x v="0"/>
    <n v="30.599999785423279"/>
  </r>
  <r>
    <x v="275"/>
    <x v="1"/>
    <n v="240"/>
  </r>
  <r>
    <x v="276"/>
    <x v="1"/>
    <n v="400"/>
  </r>
  <r>
    <x v="49"/>
    <x v="1"/>
    <n v="143.99999976158142"/>
  </r>
  <r>
    <x v="91"/>
    <x v="1"/>
    <n v="600"/>
  </r>
  <r>
    <x v="12"/>
    <x v="1"/>
    <n v="140"/>
  </r>
  <r>
    <x v="271"/>
    <x v="1"/>
    <n v="60"/>
  </r>
  <r>
    <x v="57"/>
    <x v="1"/>
    <n v="200"/>
  </r>
  <r>
    <x v="99"/>
    <x v="1"/>
    <n v="179.99999970197678"/>
  </r>
  <r>
    <x v="224"/>
    <x v="1"/>
    <n v="490"/>
  </r>
  <r>
    <x v="65"/>
    <x v="1"/>
    <n v="300"/>
  </r>
  <r>
    <x v="226"/>
    <x v="1"/>
    <n v="250"/>
  </r>
  <r>
    <x v="73"/>
    <x v="1"/>
    <n v="40"/>
  </r>
  <r>
    <x v="186"/>
    <x v="1"/>
    <n v="352"/>
  </r>
  <r>
    <x v="228"/>
    <x v="1"/>
    <n v="422.4"/>
  </r>
  <r>
    <x v="277"/>
    <x v="1"/>
    <n v="285.11999952793121"/>
  </r>
  <r>
    <x v="278"/>
    <x v="1"/>
    <n v="176"/>
  </r>
  <r>
    <x v="279"/>
    <x v="1"/>
    <n v="616"/>
  </r>
  <r>
    <x v="190"/>
    <x v="1"/>
    <n v="225.27999916076661"/>
  </r>
  <r>
    <x v="234"/>
    <x v="1"/>
    <n v="934.99999344348907"/>
  </r>
  <r>
    <x v="10"/>
    <x v="1"/>
    <n v="989.99999836087227"/>
  </r>
  <r>
    <x v="280"/>
    <x v="1"/>
    <n v="1044.9999991804361"/>
  </r>
  <r>
    <x v="281"/>
    <x v="1"/>
    <n v="351.99999868869781"/>
  </r>
  <r>
    <x v="282"/>
    <x v="1"/>
    <n v="197.99999967217445"/>
  </r>
  <r>
    <x v="283"/>
    <x v="1"/>
    <n v="550"/>
  </r>
  <r>
    <x v="178"/>
    <x v="1"/>
    <n v="237.59999960660934"/>
  </r>
  <r>
    <x v="54"/>
    <x v="1"/>
    <n v="132"/>
  </r>
  <r>
    <x v="284"/>
    <x v="1"/>
    <n v="550"/>
  </r>
  <r>
    <x v="23"/>
    <x v="1"/>
    <n v="462"/>
  </r>
  <r>
    <x v="27"/>
    <x v="1"/>
    <n v="495"/>
  </r>
  <r>
    <x v="249"/>
    <x v="1"/>
    <n v="110"/>
  </r>
  <r>
    <x v="30"/>
    <x v="1"/>
    <n v="412.5"/>
  </r>
  <r>
    <x v="73"/>
    <x v="1"/>
    <n v="22"/>
  </r>
  <r>
    <x v="38"/>
    <x v="1"/>
    <n v="883.99999670684338"/>
  </r>
  <r>
    <x v="285"/>
    <x v="1"/>
    <n v="163.19999939203262"/>
  </r>
  <r>
    <x v="286"/>
    <x v="1"/>
    <n v="340"/>
  </r>
  <r>
    <x v="287"/>
    <x v="1"/>
    <n v="544"/>
  </r>
  <r>
    <x v="282"/>
    <x v="1"/>
    <n v="288.22499952279031"/>
  </r>
  <r>
    <x v="288"/>
    <x v="1"/>
    <n v="85.4"/>
  </r>
  <r>
    <x v="224"/>
    <x v="1"/>
    <n v="640.5"/>
  </r>
  <r>
    <x v="150"/>
    <x v="1"/>
    <n v="427"/>
  </r>
  <r>
    <x v="33"/>
    <x v="1"/>
    <n v="1494.5"/>
  </r>
  <r>
    <x v="35"/>
    <x v="1"/>
    <n v="480.375"/>
  </r>
  <r>
    <x v="186"/>
    <x v="1"/>
    <n v="600"/>
  </r>
  <r>
    <x v="289"/>
    <x v="1"/>
    <n v="120"/>
  </r>
  <r>
    <x v="290"/>
    <x v="1"/>
    <n v="1750"/>
  </r>
  <r>
    <x v="273"/>
    <x v="1"/>
    <n v="750"/>
  </r>
  <r>
    <x v="63"/>
    <x v="1"/>
    <n v="150"/>
  </r>
  <r>
    <x v="291"/>
    <x v="1"/>
    <n v="1187.4999990686774"/>
  </r>
  <r>
    <x v="29"/>
    <x v="1"/>
    <n v="500"/>
  </r>
  <r>
    <x v="292"/>
    <x v="1"/>
    <n v="300"/>
  </r>
  <r>
    <x v="249"/>
    <x v="1"/>
    <n v="379.99999970197678"/>
  </r>
  <r>
    <x v="200"/>
    <x v="1"/>
    <n v="1000"/>
  </r>
  <r>
    <x v="73"/>
    <x v="1"/>
    <n v="375"/>
  </r>
  <r>
    <x v="73"/>
    <x v="1"/>
    <n v="24.500000011175871"/>
  </r>
  <r>
    <x v="279"/>
    <x v="1"/>
    <n v="1680"/>
  </r>
  <r>
    <x v="293"/>
    <x v="1"/>
    <n v="2240"/>
  </r>
  <r>
    <x v="234"/>
    <x v="1"/>
    <n v="339.99999761581421"/>
  </r>
  <r>
    <x v="9"/>
    <x v="1"/>
    <n v="960"/>
  </r>
  <r>
    <x v="98"/>
    <x v="1"/>
    <n v="400"/>
  </r>
  <r>
    <x v="288"/>
    <x v="1"/>
    <n v="1600"/>
  </r>
  <r>
    <x v="59"/>
    <x v="1"/>
    <n v="959.99999642372131"/>
  </r>
  <r>
    <x v="63"/>
    <x v="1"/>
    <n v="800"/>
  </r>
  <r>
    <x v="102"/>
    <x v="1"/>
    <n v="1200"/>
  </r>
  <r>
    <x v="252"/>
    <x v="1"/>
    <n v="640"/>
  </r>
  <r>
    <x v="107"/>
    <x v="1"/>
    <n v="679.99999523162842"/>
  </r>
  <r>
    <x v="110"/>
    <x v="1"/>
    <n v="1200"/>
  </r>
  <r>
    <x v="73"/>
    <x v="1"/>
    <n v="71.99999988079071"/>
  </r>
  <r>
    <x v="294"/>
    <x v="1"/>
    <n v="248"/>
  </r>
  <r>
    <x v="170"/>
    <x v="1"/>
    <n v="62"/>
  </r>
  <r>
    <x v="295"/>
    <x v="1"/>
    <n v="176.6999998614192"/>
  </r>
  <r>
    <x v="239"/>
    <x v="1"/>
    <n v="155"/>
  </r>
  <r>
    <x v="296"/>
    <x v="1"/>
    <n v="368.12499971129"/>
  </r>
  <r>
    <x v="297"/>
    <x v="1"/>
    <n v="775"/>
  </r>
  <r>
    <x v="298"/>
    <x v="1"/>
    <n v="248"/>
  </r>
  <r>
    <x v="201"/>
    <x v="1"/>
    <n v="325.5"/>
  </r>
  <r>
    <x v="286"/>
    <x v="1"/>
    <n v="334.7999994456768"/>
  </r>
  <r>
    <x v="154"/>
    <x v="1"/>
    <n v="1133.8249991107732"/>
  </r>
  <r>
    <x v="299"/>
    <x v="1"/>
    <n v="495.99999815225601"/>
  </r>
  <r>
    <x v="300"/>
    <x v="1"/>
    <n v="1472.49999884516"/>
  </r>
  <r>
    <x v="48"/>
    <x v="1"/>
    <n v="26.349999815225601"/>
  </r>
  <r>
    <x v="233"/>
    <x v="1"/>
    <n v="197.62499861419201"/>
  </r>
  <r>
    <x v="89"/>
    <x v="1"/>
    <n v="175.05"/>
  </r>
  <r>
    <x v="136"/>
    <x v="1"/>
    <n v="778"/>
  </r>
  <r>
    <x v="301"/>
    <x v="1"/>
    <n v="194.5"/>
  </r>
  <r>
    <x v="11"/>
    <x v="1"/>
    <n v="408.45"/>
  </r>
  <r>
    <x v="96"/>
    <x v="1"/>
    <n v="194.5"/>
  </r>
  <r>
    <x v="297"/>
    <x v="1"/>
    <n v="490.13999918848276"/>
  </r>
  <r>
    <x v="302"/>
    <x v="1"/>
    <n v="408.45"/>
  </r>
  <r>
    <x v="18"/>
    <x v="1"/>
    <n v="466.8"/>
  </r>
  <r>
    <x v="56"/>
    <x v="1"/>
    <n v="923.87499927543104"/>
  </r>
  <r>
    <x v="303"/>
    <x v="1"/>
    <n v="311.2"/>
  </r>
  <r>
    <x v="304"/>
    <x v="1"/>
    <n v="194.5"/>
  </r>
  <r>
    <x v="147"/>
    <x v="1"/>
    <n v="248.95999907255171"/>
  </r>
  <r>
    <x v="104"/>
    <x v="1"/>
    <n v="262.57500000000005"/>
  </r>
  <r>
    <x v="107"/>
    <x v="1"/>
    <n v="99.194999304413798"/>
  </r>
  <r>
    <x v="34"/>
    <x v="1"/>
    <n v="233.4"/>
  </r>
  <r>
    <x v="72"/>
    <x v="1"/>
    <n v="291.75"/>
  </r>
  <r>
    <x v="45"/>
    <x v="1"/>
    <n v="364.8"/>
  </r>
  <r>
    <x v="47"/>
    <x v="1"/>
    <n v="1744.1999877691269"/>
  </r>
  <r>
    <x v="174"/>
    <x v="1"/>
    <n v="570"/>
  </r>
  <r>
    <x v="50"/>
    <x v="1"/>
    <n v="712.5"/>
  </r>
  <r>
    <x v="235"/>
    <x v="1"/>
    <n v="341.99999872595072"/>
  </r>
  <r>
    <x v="194"/>
    <x v="1"/>
    <n v="570"/>
  </r>
  <r>
    <x v="136"/>
    <x v="1"/>
    <n v="256.49999957531691"/>
  </r>
  <r>
    <x v="141"/>
    <x v="1"/>
    <n v="2565"/>
  </r>
  <r>
    <x v="53"/>
    <x v="1"/>
    <n v="455.99999830126762"/>
  </r>
  <r>
    <x v="305"/>
    <x v="1"/>
    <n v="285"/>
  </r>
  <r>
    <x v="306"/>
    <x v="1"/>
    <n v="142.5"/>
  </r>
  <r>
    <x v="307"/>
    <x v="1"/>
    <n v="512.99999915063381"/>
  </r>
  <r>
    <x v="308"/>
    <x v="1"/>
    <n v="570"/>
  </r>
  <r>
    <x v="62"/>
    <x v="1"/>
    <n v="726.74999490380287"/>
  </r>
  <r>
    <x v="225"/>
    <x v="1"/>
    <n v="683.99999745190144"/>
  </r>
  <r>
    <x v="245"/>
    <x v="1"/>
    <n v="427.5"/>
  </r>
  <r>
    <x v="27"/>
    <x v="1"/>
    <n v="142.5"/>
  </r>
  <r>
    <x v="248"/>
    <x v="1"/>
    <n v="855"/>
  </r>
  <r>
    <x v="70"/>
    <x v="1"/>
    <n v="1598.8499887883663"/>
  </r>
  <r>
    <x v="109"/>
    <x v="1"/>
    <n v="199.5"/>
  </r>
  <r>
    <x v="34"/>
    <x v="1"/>
    <n v="171"/>
  </r>
  <r>
    <x v="72"/>
    <x v="1"/>
    <n v="114"/>
  </r>
  <r>
    <x v="113"/>
    <x v="1"/>
    <n v="227.99999915063381"/>
  </r>
  <r>
    <x v="227"/>
    <x v="1"/>
    <n v="114"/>
  </r>
  <r>
    <x v="298"/>
    <x v="1"/>
    <n v="280.8"/>
  </r>
  <r>
    <x v="78"/>
    <x v="1"/>
    <n v="175.5"/>
  </r>
  <r>
    <x v="129"/>
    <x v="1"/>
    <n v="2386.7999832630157"/>
  </r>
  <r>
    <x v="309"/>
    <x v="1"/>
    <n v="505.43999916315079"/>
  </r>
  <r>
    <x v="310"/>
    <x v="1"/>
    <n v="2281.5"/>
  </r>
  <r>
    <x v="311"/>
    <x v="1"/>
    <n v="921.375"/>
  </r>
  <r>
    <x v="264"/>
    <x v="1"/>
    <n v="263.39999999999998"/>
  </r>
  <r>
    <x v="94"/>
    <x v="1"/>
    <n v="842.87999686002729"/>
  </r>
  <r>
    <x v="312"/>
    <x v="1"/>
    <n v="395.1"/>
  </r>
  <r>
    <x v="145"/>
    <x v="1"/>
    <n v="1317"/>
  </r>
  <r>
    <x v="103"/>
    <x v="1"/>
    <n v="1756"/>
  </r>
  <r>
    <x v="252"/>
    <x v="1"/>
    <n v="439"/>
  </r>
  <r>
    <x v="107"/>
    <x v="1"/>
    <n v="878"/>
  </r>
  <r>
    <x v="107"/>
    <x v="1"/>
    <n v="1536.5"/>
  </r>
  <r>
    <x v="112"/>
    <x v="1"/>
    <n v="526.79999999999995"/>
  </r>
  <r>
    <x v="72"/>
    <x v="1"/>
    <n v="1317"/>
  </r>
  <r>
    <x v="313"/>
    <x v="1"/>
    <n v="214.19999849796295"/>
  </r>
  <r>
    <x v="313"/>
    <x v="1"/>
    <n v="336"/>
  </r>
  <r>
    <x v="314"/>
    <x v="1"/>
    <n v="453.59999924898148"/>
  </r>
  <r>
    <x v="315"/>
    <x v="1"/>
    <n v="672"/>
  </r>
  <r>
    <x v="154"/>
    <x v="1"/>
    <n v="159.59999987483025"/>
  </r>
  <r>
    <x v="117"/>
    <x v="1"/>
    <n v="84"/>
  </r>
  <r>
    <x v="117"/>
    <x v="1"/>
    <n v="252"/>
  </r>
  <r>
    <x v="309"/>
    <x v="1"/>
    <n v="302.39999949932098"/>
  </r>
  <r>
    <x v="132"/>
    <x v="1"/>
    <n v="336"/>
  </r>
  <r>
    <x v="83"/>
    <x v="1"/>
    <n v="588"/>
  </r>
  <r>
    <x v="316"/>
    <x v="1"/>
    <n v="423.35999929904938"/>
  </r>
  <r>
    <x v="317"/>
    <x v="1"/>
    <n v="226.79999962449074"/>
  </r>
  <r>
    <x v="50"/>
    <x v="1"/>
    <n v="421"/>
  </r>
  <r>
    <x v="235"/>
    <x v="1"/>
    <n v="820.95"/>
  </r>
  <r>
    <x v="91"/>
    <x v="1"/>
    <n v="682.01999887079"/>
  </r>
  <r>
    <x v="240"/>
    <x v="1"/>
    <n v="599.92499952949584"/>
  </r>
  <r>
    <x v="94"/>
    <x v="1"/>
    <n v="202.07999924719334"/>
  </r>
  <r>
    <x v="318"/>
    <x v="1"/>
    <n v="442.05"/>
  </r>
  <r>
    <x v="319"/>
    <x v="1"/>
    <n v="268.38749811798334"/>
  </r>
  <r>
    <x v="320"/>
    <x v="1"/>
    <n v="210.5"/>
  </r>
  <r>
    <x v="161"/>
    <x v="1"/>
    <n v="252.6"/>
  </r>
  <r>
    <x v="218"/>
    <x v="1"/>
    <n v="1299.8374989805743"/>
  </r>
  <r>
    <x v="321"/>
    <x v="1"/>
    <n v="199.97499984316528"/>
  </r>
  <r>
    <x v="243"/>
    <x v="1"/>
    <n v="842"/>
  </r>
  <r>
    <x v="322"/>
    <x v="1"/>
    <n v="1515.5999974906445"/>
  </r>
  <r>
    <x v="61"/>
    <x v="1"/>
    <n v="42.1"/>
  </r>
  <r>
    <x v="323"/>
    <x v="1"/>
    <n v="268.38749811798334"/>
  </r>
  <r>
    <x v="291"/>
    <x v="1"/>
    <n v="419.94749967064712"/>
  </r>
  <r>
    <x v="225"/>
    <x v="1"/>
    <n v="210.5"/>
  </r>
  <r>
    <x v="67"/>
    <x v="1"/>
    <n v="239.96999981179832"/>
  </r>
  <r>
    <x v="26"/>
    <x v="1"/>
    <n v="442.05"/>
  </r>
  <r>
    <x v="32"/>
    <x v="1"/>
    <n v="442.05"/>
  </r>
  <r>
    <x v="324"/>
    <x v="1"/>
    <n v="408"/>
  </r>
  <r>
    <x v="325"/>
    <x v="1"/>
    <n v="816"/>
  </r>
  <r>
    <x v="261"/>
    <x v="1"/>
    <n v="693.59999513626099"/>
  </r>
  <r>
    <x v="317"/>
    <x v="1"/>
    <n v="122.39999979734421"/>
  </r>
  <r>
    <x v="326"/>
    <x v="1"/>
    <n v="408"/>
  </r>
  <r>
    <x v="242"/>
    <x v="1"/>
    <n v="68"/>
  </r>
  <r>
    <x v="244"/>
    <x v="1"/>
    <n v="850"/>
  </r>
  <r>
    <x v="73"/>
    <x v="1"/>
    <n v="17"/>
  </r>
  <r>
    <x v="327"/>
    <x v="1"/>
    <n v="124.8"/>
  </r>
  <r>
    <x v="167"/>
    <x v="1"/>
    <n v="156"/>
  </r>
  <r>
    <x v="286"/>
    <x v="1"/>
    <n v="104"/>
  </r>
  <r>
    <x v="117"/>
    <x v="1"/>
    <n v="52"/>
  </r>
  <r>
    <x v="117"/>
    <x v="1"/>
    <n v="72.8"/>
  </r>
  <r>
    <x v="258"/>
    <x v="1"/>
    <n v="145.6"/>
  </r>
  <r>
    <x v="158"/>
    <x v="1"/>
    <n v="364"/>
  </r>
  <r>
    <x v="211"/>
    <x v="1"/>
    <n v="88.399999380111694"/>
  </r>
  <r>
    <x v="316"/>
    <x v="1"/>
    <n v="514.79999914765358"/>
  </r>
  <r>
    <x v="119"/>
    <x v="1"/>
    <n v="296.39999976754189"/>
  </r>
  <r>
    <x v="233"/>
    <x v="1"/>
    <n v="61.879999566078183"/>
  </r>
  <r>
    <x v="328"/>
    <x v="1"/>
    <n v="52"/>
  </r>
  <r>
    <x v="329"/>
    <x v="1"/>
    <n v="260"/>
  </r>
  <r>
    <x v="137"/>
    <x v="1"/>
    <n v="123.49999990314245"/>
  </r>
  <r>
    <x v="11"/>
    <x v="1"/>
    <n v="234"/>
  </r>
  <r>
    <x v="139"/>
    <x v="1"/>
    <n v="260"/>
  </r>
  <r>
    <x v="12"/>
    <x v="1"/>
    <n v="740.99999941885471"/>
  </r>
  <r>
    <x v="330"/>
    <x v="1"/>
    <n v="48.75"/>
  </r>
  <r>
    <x v="16"/>
    <x v="1"/>
    <n v="341.25"/>
  </r>
  <r>
    <x v="216"/>
    <x v="1"/>
    <n v="864.49999932199717"/>
  </r>
  <r>
    <x v="331"/>
    <x v="1"/>
    <n v="292.5"/>
  </r>
  <r>
    <x v="307"/>
    <x v="1"/>
    <n v="23.399999961256981"/>
  </r>
  <r>
    <x v="220"/>
    <x v="1"/>
    <n v="195"/>
  </r>
  <r>
    <x v="332"/>
    <x v="1"/>
    <n v="260"/>
  </r>
  <r>
    <x v="222"/>
    <x v="1"/>
    <n v="175.49999970942736"/>
  </r>
  <r>
    <x v="199"/>
    <x v="1"/>
    <n v="195"/>
  </r>
  <r>
    <x v="67"/>
    <x v="1"/>
    <n v="325"/>
  </r>
  <r>
    <x v="333"/>
    <x v="1"/>
    <n v="520"/>
  </r>
  <r>
    <x v="247"/>
    <x v="1"/>
    <n v="195"/>
  </r>
  <r>
    <x v="104"/>
    <x v="1"/>
    <n v="520"/>
  </r>
  <r>
    <x v="108"/>
    <x v="1"/>
    <n v="195"/>
  </r>
  <r>
    <x v="109"/>
    <x v="1"/>
    <n v="259.34999979659915"/>
  </r>
  <r>
    <x v="30"/>
    <x v="1"/>
    <n v="390"/>
  </r>
  <r>
    <x v="334"/>
    <x v="1"/>
    <n v="234"/>
  </r>
  <r>
    <x v="124"/>
    <x v="1"/>
    <n v="130"/>
  </r>
  <r>
    <x v="183"/>
    <x v="1"/>
    <n v="309.39999783039093"/>
  </r>
  <r>
    <x v="73"/>
    <x v="1"/>
    <n v="26"/>
  </r>
  <r>
    <x v="37"/>
    <x v="2"/>
    <n v="486.5"/>
  </r>
  <r>
    <x v="75"/>
    <x v="2"/>
    <n v="625.5"/>
  </r>
  <r>
    <x v="115"/>
    <x v="2"/>
    <n v="472.59999668598175"/>
  </r>
  <r>
    <x v="335"/>
    <x v="2"/>
    <n v="417"/>
  </r>
  <r>
    <x v="336"/>
    <x v="2"/>
    <n v="139"/>
  </r>
  <r>
    <x v="129"/>
    <x v="2"/>
    <n v="248.1149982601404"/>
  </r>
  <r>
    <x v="337"/>
    <x v="2"/>
    <n v="739.47999942004674"/>
  </r>
  <r>
    <x v="338"/>
    <x v="2"/>
    <n v="248.1149982601404"/>
  </r>
  <r>
    <x v="339"/>
    <x v="2"/>
    <n v="222.4"/>
  </r>
  <r>
    <x v="47"/>
    <x v="2"/>
    <n v="578.93499594032767"/>
  </r>
  <r>
    <x v="212"/>
    <x v="2"/>
    <n v="222.39999917149544"/>
  </r>
  <r>
    <x v="48"/>
    <x v="2"/>
    <n v="413.52499710023403"/>
  </r>
  <r>
    <x v="340"/>
    <x v="2"/>
    <n v="250.2"/>
  </r>
  <r>
    <x v="341"/>
    <x v="2"/>
    <n v="872.5"/>
  </r>
  <r>
    <x v="136"/>
    <x v="2"/>
    <n v="593.29999583959579"/>
  </r>
  <r>
    <x v="137"/>
    <x v="2"/>
    <n v="244.3"/>
  </r>
  <r>
    <x v="137"/>
    <x v="2"/>
    <n v="497.32499960996211"/>
  </r>
  <r>
    <x v="238"/>
    <x v="2"/>
    <n v="188.45999968796968"/>
  </r>
  <r>
    <x v="342"/>
    <x v="2"/>
    <n v="497.32499960996211"/>
  </r>
  <r>
    <x v="178"/>
    <x v="2"/>
    <n v="471.14999921992421"/>
  </r>
  <r>
    <x v="161"/>
    <x v="2"/>
    <n v="174.5"/>
  </r>
  <r>
    <x v="195"/>
    <x v="2"/>
    <n v="52.35"/>
  </r>
  <r>
    <x v="343"/>
    <x v="2"/>
    <n v="654.375"/>
  </r>
  <r>
    <x v="196"/>
    <x v="2"/>
    <n v="349"/>
  </r>
  <r>
    <x v="344"/>
    <x v="2"/>
    <n v="349"/>
  </r>
  <r>
    <x v="321"/>
    <x v="2"/>
    <n v="248.66249980498105"/>
  </r>
  <r>
    <x v="345"/>
    <x v="2"/>
    <n v="52.35"/>
  </r>
  <r>
    <x v="220"/>
    <x v="2"/>
    <n v="349"/>
  </r>
  <r>
    <x v="346"/>
    <x v="2"/>
    <n v="1134.25"/>
  </r>
  <r>
    <x v="323"/>
    <x v="2"/>
    <n v="872.5"/>
  </r>
  <r>
    <x v="291"/>
    <x v="2"/>
    <n v="198.92999984398486"/>
  </r>
  <r>
    <x v="347"/>
    <x v="2"/>
    <n v="392.625"/>
  </r>
  <r>
    <x v="27"/>
    <x v="2"/>
    <n v="261.75"/>
  </r>
  <r>
    <x v="348"/>
    <x v="2"/>
    <n v="104.7"/>
  </r>
  <r>
    <x v="28"/>
    <x v="2"/>
    <n v="418.8"/>
  </r>
  <r>
    <x v="248"/>
    <x v="2"/>
    <n v="471.14999921992421"/>
  </r>
  <r>
    <x v="250"/>
    <x v="2"/>
    <n v="415.30999708771708"/>
  </r>
  <r>
    <x v="108"/>
    <x v="2"/>
    <n v="959.75"/>
  </r>
  <r>
    <x v="108"/>
    <x v="2"/>
    <n v="565.37999906390905"/>
  </r>
  <r>
    <x v="125"/>
    <x v="2"/>
    <n v="52.35"/>
  </r>
  <r>
    <x v="36"/>
    <x v="2"/>
    <n v="444.97499687969685"/>
  </r>
  <r>
    <x v="73"/>
    <x v="2"/>
    <n v="232.08499981798232"/>
  </r>
  <r>
    <x v="73"/>
    <x v="2"/>
    <n v="33.853000023402274"/>
  </r>
  <r>
    <x v="77"/>
    <x v="2"/>
    <n v="7.3"/>
  </r>
  <r>
    <x v="294"/>
    <x v="2"/>
    <n v="131.4"/>
  </r>
  <r>
    <x v="207"/>
    <x v="2"/>
    <n v="109.5"/>
  </r>
  <r>
    <x v="153"/>
    <x v="2"/>
    <n v="69.349999945610762"/>
  </r>
  <r>
    <x v="293"/>
    <x v="2"/>
    <n v="584"/>
  </r>
  <r>
    <x v="7"/>
    <x v="2"/>
    <n v="124.82999990209937"/>
  </r>
  <r>
    <x v="158"/>
    <x v="2"/>
    <n v="146"/>
  </r>
  <r>
    <x v="211"/>
    <x v="2"/>
    <n v="24.819999825954437"/>
  </r>
  <r>
    <x v="118"/>
    <x v="2"/>
    <n v="87.59999967366457"/>
  </r>
  <r>
    <x v="83"/>
    <x v="2"/>
    <n v="78.839999869465828"/>
  </r>
  <r>
    <x v="83"/>
    <x v="2"/>
    <n v="292"/>
  </r>
  <r>
    <x v="190"/>
    <x v="2"/>
    <n v="153.30000000000001"/>
  </r>
  <r>
    <x v="349"/>
    <x v="2"/>
    <n v="36.5"/>
  </r>
  <r>
    <x v="136"/>
    <x v="2"/>
    <n v="92"/>
  </r>
  <r>
    <x v="92"/>
    <x v="2"/>
    <n v="257.59999904036522"/>
  </r>
  <r>
    <x v="95"/>
    <x v="2"/>
    <n v="46"/>
  </r>
  <r>
    <x v="96"/>
    <x v="2"/>
    <n v="124.19999979436398"/>
  </r>
  <r>
    <x v="16"/>
    <x v="2"/>
    <n v="276"/>
  </r>
  <r>
    <x v="350"/>
    <x v="2"/>
    <n v="82.800000000000011"/>
  </r>
  <r>
    <x v="302"/>
    <x v="2"/>
    <n v="64.400000000000006"/>
  </r>
  <r>
    <x v="242"/>
    <x v="2"/>
    <n v="248.39999958872795"/>
  </r>
  <r>
    <x v="142"/>
    <x v="2"/>
    <n v="48.300000000000004"/>
  </r>
  <r>
    <x v="351"/>
    <x v="2"/>
    <n v="46"/>
  </r>
  <r>
    <x v="352"/>
    <x v="2"/>
    <n v="110.4"/>
  </r>
  <r>
    <x v="145"/>
    <x v="2"/>
    <n v="436.99999965727329"/>
  </r>
  <r>
    <x v="123"/>
    <x v="2"/>
    <n v="209.75999983549119"/>
  </r>
  <r>
    <x v="332"/>
    <x v="2"/>
    <n v="138"/>
  </r>
  <r>
    <x v="147"/>
    <x v="2"/>
    <n v="18.399999999999999"/>
  </r>
  <r>
    <x v="23"/>
    <x v="2"/>
    <n v="88.319999670982369"/>
  </r>
  <r>
    <x v="353"/>
    <x v="2"/>
    <n v="230"/>
  </r>
  <r>
    <x v="27"/>
    <x v="2"/>
    <n v="110.4"/>
  </r>
  <r>
    <x v="246"/>
    <x v="2"/>
    <n v="64.400000000000006"/>
  </r>
  <r>
    <x v="106"/>
    <x v="2"/>
    <n v="110.4"/>
  </r>
  <r>
    <x v="111"/>
    <x v="2"/>
    <n v="436.99999965727329"/>
  </r>
  <r>
    <x v="71"/>
    <x v="2"/>
    <n v="322"/>
  </r>
  <r>
    <x v="125"/>
    <x v="2"/>
    <n v="386.4"/>
  </r>
  <r>
    <x v="73"/>
    <x v="2"/>
    <n v="69"/>
  </r>
  <r>
    <x v="354"/>
    <x v="2"/>
    <n v="2462.3999980688095"/>
  </r>
  <r>
    <x v="355"/>
    <x v="2"/>
    <n v="388.8"/>
  </r>
  <r>
    <x v="356"/>
    <x v="2"/>
    <n v="1296"/>
  </r>
  <r>
    <x v="157"/>
    <x v="2"/>
    <n v="583.20000000000005"/>
  </r>
  <r>
    <x v="357"/>
    <x v="2"/>
    <n v="1814.4"/>
  </r>
  <r>
    <x v="235"/>
    <x v="2"/>
    <n v="3159"/>
  </r>
  <r>
    <x v="193"/>
    <x v="2"/>
    <n v="1093.4999981895089"/>
  </r>
  <r>
    <x v="266"/>
    <x v="2"/>
    <n v="1360.799994930625"/>
  </r>
  <r>
    <x v="358"/>
    <x v="2"/>
    <n v="1701"/>
  </r>
  <r>
    <x v="63"/>
    <x v="2"/>
    <n v="405"/>
  </r>
  <r>
    <x v="225"/>
    <x v="2"/>
    <n v="1538.9999987930059"/>
  </r>
  <r>
    <x v="247"/>
    <x v="2"/>
    <n v="405"/>
  </r>
  <r>
    <x v="249"/>
    <x v="2"/>
    <n v="3847.4999969825149"/>
  </r>
  <r>
    <x v="108"/>
    <x v="2"/>
    <n v="1215"/>
  </r>
  <r>
    <x v="71"/>
    <x v="2"/>
    <n v="1215"/>
  </r>
  <r>
    <x v="73"/>
    <x v="2"/>
    <n v="77.760000072419643"/>
  </r>
  <r>
    <x v="359"/>
    <x v="2"/>
    <n v="80"/>
  </r>
  <r>
    <x v="126"/>
    <x v="2"/>
    <n v="160"/>
  </r>
  <r>
    <x v="360"/>
    <x v="2"/>
    <n v="71.99999988079071"/>
  </r>
  <r>
    <x v="361"/>
    <x v="2"/>
    <n v="35.999999940395355"/>
  </r>
  <r>
    <x v="362"/>
    <x v="2"/>
    <n v="67.999999523162842"/>
  </r>
  <r>
    <x v="6"/>
    <x v="2"/>
    <n v="215.99999964237213"/>
  </r>
  <r>
    <x v="363"/>
    <x v="2"/>
    <n v="96"/>
  </r>
  <r>
    <x v="364"/>
    <x v="2"/>
    <n v="400"/>
  </r>
  <r>
    <x v="365"/>
    <x v="2"/>
    <n v="271.99999809265137"/>
  </r>
  <r>
    <x v="231"/>
    <x v="2"/>
    <n v="240"/>
  </r>
  <r>
    <x v="8"/>
    <x v="2"/>
    <n v="126"/>
  </r>
  <r>
    <x v="119"/>
    <x v="2"/>
    <n v="112"/>
  </r>
  <r>
    <x v="50"/>
    <x v="2"/>
    <n v="120"/>
  </r>
  <r>
    <x v="235"/>
    <x v="2"/>
    <n v="319.9999988079071"/>
  </r>
  <r>
    <x v="366"/>
    <x v="2"/>
    <n v="150"/>
  </r>
  <r>
    <x v="136"/>
    <x v="2"/>
    <n v="53.999999910593033"/>
  </r>
  <r>
    <x v="13"/>
    <x v="2"/>
    <n v="60"/>
  </r>
  <r>
    <x v="176"/>
    <x v="2"/>
    <n v="80"/>
  </r>
  <r>
    <x v="367"/>
    <x v="2"/>
    <n v="420"/>
  </r>
  <r>
    <x v="96"/>
    <x v="2"/>
    <n v="224.99999962747097"/>
  </r>
  <r>
    <x v="53"/>
    <x v="2"/>
    <n v="239.99999910593033"/>
  </r>
  <r>
    <x v="216"/>
    <x v="2"/>
    <n v="600"/>
  </r>
  <r>
    <x v="242"/>
    <x v="2"/>
    <n v="107.99999982118607"/>
  </r>
  <r>
    <x v="305"/>
    <x v="2"/>
    <n v="50"/>
  </r>
  <r>
    <x v="305"/>
    <x v="2"/>
    <n v="303.99999976158142"/>
  </r>
  <r>
    <x v="20"/>
    <x v="2"/>
    <n v="300"/>
  </r>
  <r>
    <x v="272"/>
    <x v="2"/>
    <n v="379.99999970197678"/>
  </r>
  <r>
    <x v="99"/>
    <x v="2"/>
    <n v="400"/>
  </r>
  <r>
    <x v="368"/>
    <x v="2"/>
    <n v="400"/>
  </r>
  <r>
    <x v="353"/>
    <x v="2"/>
    <n v="200"/>
  </r>
  <r>
    <x v="67"/>
    <x v="2"/>
    <n v="379.99999970197678"/>
  </r>
  <r>
    <x v="247"/>
    <x v="2"/>
    <n v="600"/>
  </r>
  <r>
    <x v="248"/>
    <x v="2"/>
    <n v="360"/>
  </r>
  <r>
    <x v="250"/>
    <x v="2"/>
    <n v="120"/>
  </r>
  <r>
    <x v="107"/>
    <x v="2"/>
    <n v="339.99999761581421"/>
  </r>
  <r>
    <x v="70"/>
    <x v="2"/>
    <n v="650"/>
  </r>
  <r>
    <x v="34"/>
    <x v="2"/>
    <n v="134.99999977648258"/>
  </r>
  <r>
    <x v="72"/>
    <x v="2"/>
    <n v="200"/>
  </r>
  <r>
    <x v="227"/>
    <x v="2"/>
    <n v="30"/>
  </r>
  <r>
    <x v="170"/>
    <x v="2"/>
    <n v="44.8"/>
  </r>
  <r>
    <x v="171"/>
    <x v="2"/>
    <n v="112"/>
  </r>
  <r>
    <x v="369"/>
    <x v="2"/>
    <n v="560"/>
  </r>
  <r>
    <x v="44"/>
    <x v="2"/>
    <n v="58.800000000000004"/>
  </r>
  <r>
    <x v="85"/>
    <x v="2"/>
    <n v="134.4"/>
  </r>
  <r>
    <x v="370"/>
    <x v="2"/>
    <n v="638.39999949932098"/>
  </r>
  <r>
    <x v="192"/>
    <x v="2"/>
    <n v="226.79999962449074"/>
  </r>
  <r>
    <x v="197"/>
    <x v="2"/>
    <n v="126"/>
  </r>
  <r>
    <x v="180"/>
    <x v="2"/>
    <n v="367.5"/>
  </r>
  <r>
    <x v="123"/>
    <x v="2"/>
    <n v="199.49999984353781"/>
  </r>
  <r>
    <x v="221"/>
    <x v="2"/>
    <n v="70"/>
  </r>
  <r>
    <x v="147"/>
    <x v="2"/>
    <n v="111.99999958276749"/>
  </r>
  <r>
    <x v="22"/>
    <x v="2"/>
    <n v="67.199999749660492"/>
  </r>
  <r>
    <x v="224"/>
    <x v="2"/>
    <n v="237.99999833106995"/>
  </r>
  <r>
    <x v="64"/>
    <x v="2"/>
    <n v="132.99999989569187"/>
  </r>
  <r>
    <x v="333"/>
    <x v="2"/>
    <n v="70"/>
  </r>
  <r>
    <x v="28"/>
    <x v="2"/>
    <n v="336"/>
  </r>
  <r>
    <x v="114"/>
    <x v="2"/>
    <n v="210"/>
  </r>
  <r>
    <x v="371"/>
    <x v="2"/>
    <n v="1058.2499925792217"/>
  </r>
  <r>
    <x v="372"/>
    <x v="2"/>
    <n v="597.6"/>
  </r>
  <r>
    <x v="373"/>
    <x v="2"/>
    <n v="398.4"/>
  </r>
  <r>
    <x v="44"/>
    <x v="2"/>
    <n v="1307.25"/>
  </r>
  <r>
    <x v="338"/>
    <x v="2"/>
    <n v="709.64999944344163"/>
  </r>
  <r>
    <x v="211"/>
    <x v="2"/>
    <n v="747"/>
  </r>
  <r>
    <x v="374"/>
    <x v="2"/>
    <n v="49.8"/>
  </r>
  <r>
    <x v="375"/>
    <x v="2"/>
    <n v="249"/>
  </r>
  <r>
    <x v="134"/>
    <x v="2"/>
    <n v="373.5"/>
  </r>
  <r>
    <x v="376"/>
    <x v="2"/>
    <n v="149.4"/>
  </r>
  <r>
    <x v="189"/>
    <x v="2"/>
    <n v="747"/>
  </r>
  <r>
    <x v="349"/>
    <x v="2"/>
    <n v="747"/>
  </r>
  <r>
    <x v="91"/>
    <x v="2"/>
    <n v="1249.2"/>
  </r>
  <r>
    <x v="139"/>
    <x v="2"/>
    <n v="187.38"/>
  </r>
  <r>
    <x v="296"/>
    <x v="2"/>
    <n v="148.3424998836592"/>
  </r>
  <r>
    <x v="241"/>
    <x v="2"/>
    <n v="929.09249348491426"/>
  </r>
  <r>
    <x v="302"/>
    <x v="2"/>
    <n v="796.36499441564081"/>
  </r>
  <r>
    <x v="377"/>
    <x v="2"/>
    <n v="468.45"/>
  </r>
  <r>
    <x v="55"/>
    <x v="2"/>
    <n v="936.9"/>
  </r>
  <r>
    <x v="306"/>
    <x v="2"/>
    <n v="468.45"/>
  </r>
  <r>
    <x v="21"/>
    <x v="2"/>
    <n v="337.28399944156405"/>
  </r>
  <r>
    <x v="219"/>
    <x v="2"/>
    <n v="624.6"/>
  </r>
  <r>
    <x v="304"/>
    <x v="2"/>
    <n v="524.66399804547427"/>
  </r>
  <r>
    <x v="163"/>
    <x v="2"/>
    <n v="1061.8199925541878"/>
  </r>
  <r>
    <x v="222"/>
    <x v="2"/>
    <n v="374.76"/>
  </r>
  <r>
    <x v="224"/>
    <x v="2"/>
    <n v="477.81899664938447"/>
  </r>
  <r>
    <x v="65"/>
    <x v="2"/>
    <n v="819.78749999999991"/>
  </r>
  <r>
    <x v="25"/>
    <x v="2"/>
    <n v="624.6"/>
  </r>
  <r>
    <x v="251"/>
    <x v="2"/>
    <n v="156.15"/>
  </r>
  <r>
    <x v="31"/>
    <x v="2"/>
    <n v="187.38"/>
  </r>
  <r>
    <x v="71"/>
    <x v="2"/>
    <n v="1967.49"/>
  </r>
  <r>
    <x v="32"/>
    <x v="2"/>
    <n v="374.76"/>
  </r>
  <r>
    <x v="167"/>
    <x v="2"/>
    <n v="877.5"/>
  </r>
  <r>
    <x v="201"/>
    <x v="2"/>
    <n v="394.875"/>
  </r>
  <r>
    <x v="47"/>
    <x v="2"/>
    <n v="1755"/>
  </r>
  <r>
    <x v="341"/>
    <x v="2"/>
    <n v="5268"/>
  </r>
  <r>
    <x v="378"/>
    <x v="2"/>
    <n v="2195"/>
  </r>
  <r>
    <x v="197"/>
    <x v="2"/>
    <n v="1756"/>
  </r>
  <r>
    <x v="101"/>
    <x v="2"/>
    <n v="439"/>
  </r>
  <r>
    <x v="248"/>
    <x v="2"/>
    <n v="1097.5"/>
  </r>
  <r>
    <x v="107"/>
    <x v="2"/>
    <n v="1317"/>
  </r>
  <r>
    <x v="379"/>
    <x v="2"/>
    <n v="97.279999637603751"/>
  </r>
  <r>
    <x v="45"/>
    <x v="2"/>
    <n v="418"/>
  </r>
  <r>
    <x v="364"/>
    <x v="2"/>
    <n v="171"/>
  </r>
  <r>
    <x v="380"/>
    <x v="2"/>
    <n v="228"/>
  </r>
  <r>
    <x v="88"/>
    <x v="2"/>
    <n v="48.449999660253525"/>
  </r>
  <r>
    <x v="381"/>
    <x v="2"/>
    <n v="237.5"/>
  </r>
  <r>
    <x v="382"/>
    <x v="2"/>
    <n v="142.5"/>
  </r>
  <r>
    <x v="297"/>
    <x v="2"/>
    <n v="51.299999915063381"/>
  </r>
  <r>
    <x v="297"/>
    <x v="2"/>
    <n v="95"/>
  </r>
  <r>
    <x v="383"/>
    <x v="2"/>
    <n v="380"/>
  </r>
  <r>
    <x v="384"/>
    <x v="2"/>
    <n v="142.5"/>
  </r>
  <r>
    <x v="218"/>
    <x v="2"/>
    <n v="114"/>
  </r>
  <r>
    <x v="351"/>
    <x v="2"/>
    <n v="47.5"/>
  </r>
  <r>
    <x v="55"/>
    <x v="2"/>
    <n v="356.25"/>
  </r>
  <r>
    <x v="385"/>
    <x v="2"/>
    <n v="213.75"/>
  </r>
  <r>
    <x v="180"/>
    <x v="2"/>
    <n v="285"/>
  </r>
  <r>
    <x v="148"/>
    <x v="2"/>
    <n v="285"/>
  </r>
  <r>
    <x v="353"/>
    <x v="2"/>
    <n v="179.54999970272183"/>
  </r>
  <r>
    <x v="247"/>
    <x v="2"/>
    <n v="47.5"/>
  </r>
  <r>
    <x v="249"/>
    <x v="2"/>
    <n v="9.5"/>
  </r>
  <r>
    <x v="250"/>
    <x v="2"/>
    <n v="133"/>
  </r>
  <r>
    <x v="107"/>
    <x v="2"/>
    <n v="285"/>
  </r>
  <r>
    <x v="338"/>
    <x v="2"/>
    <n v="606.89999574422836"/>
  </r>
  <r>
    <x v="212"/>
    <x v="2"/>
    <n v="137.69999977201223"/>
  </r>
  <r>
    <x v="192"/>
    <x v="2"/>
    <n v="162.56249886006117"/>
  </r>
  <r>
    <x v="267"/>
    <x v="2"/>
    <n v="68.849999886006117"/>
  </r>
  <r>
    <x v="54"/>
    <x v="2"/>
    <n v="306"/>
  </r>
  <r>
    <x v="62"/>
    <x v="2"/>
    <n v="86.699999392032623"/>
  </r>
  <r>
    <x v="166"/>
    <x v="2"/>
    <n v="640"/>
  </r>
  <r>
    <x v="286"/>
    <x v="2"/>
    <n v="240"/>
  </r>
  <r>
    <x v="386"/>
    <x v="2"/>
    <n v="480"/>
  </r>
  <r>
    <x v="156"/>
    <x v="2"/>
    <n v="560"/>
  </r>
  <r>
    <x v="132"/>
    <x v="2"/>
    <n v="480"/>
  </r>
  <r>
    <x v="338"/>
    <x v="2"/>
    <n v="455.99999964237213"/>
  </r>
  <r>
    <x v="365"/>
    <x v="2"/>
    <n v="285.59999799728394"/>
  </r>
  <r>
    <x v="380"/>
    <x v="2"/>
    <n v="384"/>
  </r>
  <r>
    <x v="387"/>
    <x v="2"/>
    <n v="500"/>
  </r>
  <r>
    <x v="366"/>
    <x v="2"/>
    <n v="120"/>
  </r>
  <r>
    <x v="267"/>
    <x v="2"/>
    <n v="474.99999962747097"/>
  </r>
  <r>
    <x v="268"/>
    <x v="2"/>
    <n v="360"/>
  </r>
  <r>
    <x v="123"/>
    <x v="2"/>
    <n v="67.999999523162842"/>
  </r>
  <r>
    <x v="25"/>
    <x v="2"/>
    <n v="755.99999874830246"/>
  </r>
  <r>
    <x v="353"/>
    <x v="2"/>
    <n v="300"/>
  </r>
  <r>
    <x v="388"/>
    <x v="2"/>
    <n v="339.99999761581421"/>
  </r>
  <r>
    <x v="27"/>
    <x v="2"/>
    <n v="200"/>
  </r>
  <r>
    <x v="389"/>
    <x v="2"/>
    <n v="560"/>
  </r>
  <r>
    <x v="106"/>
    <x v="2"/>
    <n v="800"/>
  </r>
  <r>
    <x v="226"/>
    <x v="2"/>
    <n v="40"/>
  </r>
  <r>
    <x v="151"/>
    <x v="2"/>
    <n v="1200"/>
  </r>
  <r>
    <x v="154"/>
    <x v="2"/>
    <n v="175.49999970942736"/>
  </r>
  <r>
    <x v="357"/>
    <x v="2"/>
    <n v="195"/>
  </r>
  <r>
    <x v="311"/>
    <x v="2"/>
    <n v="520"/>
  </r>
  <r>
    <x v="84"/>
    <x v="2"/>
    <n v="325"/>
  </r>
  <r>
    <x v="283"/>
    <x v="2"/>
    <n v="385.93749969732016"/>
  </r>
  <r>
    <x v="18"/>
    <x v="2"/>
    <n v="878"/>
  </r>
  <r>
    <x v="20"/>
    <x v="2"/>
    <n v="650"/>
  </r>
  <r>
    <x v="21"/>
    <x v="2"/>
    <n v="292.49999951571226"/>
  </r>
  <r>
    <x v="103"/>
    <x v="2"/>
    <n v="390"/>
  </r>
  <r>
    <x v="292"/>
    <x v="2"/>
    <n v="146.25"/>
  </r>
  <r>
    <x v="36"/>
    <x v="2"/>
    <n v="357.5"/>
  </r>
  <r>
    <x v="126"/>
    <x v="2"/>
    <n v="443.25"/>
  </r>
  <r>
    <x v="390"/>
    <x v="2"/>
    <n v="472.8"/>
  </r>
  <r>
    <x v="127"/>
    <x v="2"/>
    <n v="1576"/>
  </r>
  <r>
    <x v="40"/>
    <x v="2"/>
    <n v="591"/>
  </r>
  <r>
    <x v="391"/>
    <x v="2"/>
    <n v="394"/>
  </r>
  <r>
    <x v="336"/>
    <x v="2"/>
    <n v="197"/>
  </r>
  <r>
    <x v="392"/>
    <x v="2"/>
    <n v="886.49999853223562"/>
  </r>
  <r>
    <x v="393"/>
    <x v="2"/>
    <n v="2758"/>
  </r>
  <r>
    <x v="278"/>
    <x v="2"/>
    <n v="1103.2"/>
  </r>
  <r>
    <x v="210"/>
    <x v="2"/>
    <n v="788"/>
  </r>
  <r>
    <x v="44"/>
    <x v="2"/>
    <n v="394"/>
  </r>
  <r>
    <x v="394"/>
    <x v="2"/>
    <n v="1379"/>
  </r>
  <r>
    <x v="7"/>
    <x v="2"/>
    <n v="1576"/>
  </r>
  <r>
    <x v="395"/>
    <x v="2"/>
    <n v="1379"/>
  </r>
  <r>
    <x v="396"/>
    <x v="2"/>
    <n v="147.9"/>
  </r>
  <r>
    <x v="135"/>
    <x v="2"/>
    <n v="1972"/>
  </r>
  <r>
    <x v="137"/>
    <x v="2"/>
    <n v="936.69999926537275"/>
  </r>
  <r>
    <x v="301"/>
    <x v="2"/>
    <n v="554.625"/>
  </r>
  <r>
    <x v="397"/>
    <x v="2"/>
    <n v="443.69999926537275"/>
  </r>
  <r>
    <x v="121"/>
    <x v="2"/>
    <n v="493"/>
  </r>
  <r>
    <x v="398"/>
    <x v="2"/>
    <n v="493"/>
  </r>
  <r>
    <x v="281"/>
    <x v="2"/>
    <n v="394.39999853074551"/>
  </r>
  <r>
    <x v="399"/>
    <x v="2"/>
    <n v="739.5"/>
  </r>
  <r>
    <x v="241"/>
    <x v="2"/>
    <n v="3352.3999764919281"/>
  </r>
  <r>
    <x v="161"/>
    <x v="2"/>
    <n v="493"/>
  </r>
  <r>
    <x v="18"/>
    <x v="2"/>
    <n v="2366.4"/>
  </r>
  <r>
    <x v="344"/>
    <x v="2"/>
    <n v="986"/>
  </r>
  <r>
    <x v="312"/>
    <x v="2"/>
    <n v="443.7"/>
  </r>
  <r>
    <x v="122"/>
    <x v="2"/>
    <n v="1479"/>
  </r>
  <r>
    <x v="308"/>
    <x v="2"/>
    <n v="739.5"/>
  </r>
  <r>
    <x v="220"/>
    <x v="2"/>
    <n v="986"/>
  </r>
  <r>
    <x v="100"/>
    <x v="2"/>
    <n v="98.6"/>
  </r>
  <r>
    <x v="400"/>
    <x v="2"/>
    <n v="184.875"/>
  </r>
  <r>
    <x v="163"/>
    <x v="2"/>
    <n v="936.69999926537275"/>
  </r>
  <r>
    <x v="163"/>
    <x v="2"/>
    <n v="1047.6249926537275"/>
  </r>
  <r>
    <x v="146"/>
    <x v="2"/>
    <n v="147.9"/>
  </r>
  <r>
    <x v="64"/>
    <x v="2"/>
    <n v="2465"/>
  </r>
  <r>
    <x v="368"/>
    <x v="2"/>
    <n v="147.9"/>
  </r>
  <r>
    <x v="291"/>
    <x v="2"/>
    <n v="936.69999926537275"/>
  </r>
  <r>
    <x v="401"/>
    <x v="2"/>
    <n v="251.42999823689462"/>
  </r>
  <r>
    <x v="26"/>
    <x v="2"/>
    <n v="1725.5"/>
  </r>
  <r>
    <x v="248"/>
    <x v="2"/>
    <n v="621.17999897152185"/>
  </r>
  <r>
    <x v="389"/>
    <x v="2"/>
    <n v="1109.25"/>
  </r>
  <r>
    <x v="292"/>
    <x v="2"/>
    <n v="2958"/>
  </r>
  <r>
    <x v="164"/>
    <x v="2"/>
    <n v="502.85999647378924"/>
  </r>
  <r>
    <x v="200"/>
    <x v="2"/>
    <n v="1774.799997061491"/>
  </r>
  <r>
    <x v="112"/>
    <x v="2"/>
    <n v="776.47499999999991"/>
  </r>
  <r>
    <x v="152"/>
    <x v="2"/>
    <n v="591.6"/>
  </r>
  <r>
    <x v="402"/>
    <x v="2"/>
    <n v="26.999999955296516"/>
  </r>
  <r>
    <x v="324"/>
    <x v="2"/>
    <n v="200"/>
  </r>
  <r>
    <x v="314"/>
    <x v="2"/>
    <n v="134.99999977648258"/>
  </r>
  <r>
    <x v="391"/>
    <x v="2"/>
    <n v="30"/>
  </r>
  <r>
    <x v="315"/>
    <x v="2"/>
    <n v="100"/>
  </r>
  <r>
    <x v="403"/>
    <x v="2"/>
    <n v="100"/>
  </r>
  <r>
    <x v="257"/>
    <x v="2"/>
    <n v="37.999999970197678"/>
  </r>
  <r>
    <x v="404"/>
    <x v="2"/>
    <n v="63.999999761581421"/>
  </r>
  <r>
    <x v="258"/>
    <x v="2"/>
    <n v="600"/>
  </r>
  <r>
    <x v="158"/>
    <x v="2"/>
    <n v="270"/>
  </r>
  <r>
    <x v="133"/>
    <x v="2"/>
    <n v="239.99999910593033"/>
  </r>
  <r>
    <x v="231"/>
    <x v="2"/>
    <n v="157.5"/>
  </r>
  <r>
    <x v="233"/>
    <x v="2"/>
    <n v="300"/>
  </r>
  <r>
    <x v="90"/>
    <x v="2"/>
    <n v="75"/>
  </r>
  <r>
    <x v="405"/>
    <x v="2"/>
    <n v="250"/>
  </r>
  <r>
    <x v="91"/>
    <x v="2"/>
    <n v="437.5"/>
  </r>
  <r>
    <x v="290"/>
    <x v="2"/>
    <n v="187.5"/>
  </r>
  <r>
    <x v="51"/>
    <x v="2"/>
    <n v="179.99999932944775"/>
  </r>
  <r>
    <x v="179"/>
    <x v="2"/>
    <n v="125"/>
  </r>
  <r>
    <x v="19"/>
    <x v="2"/>
    <n v="399.99999850988388"/>
  </r>
  <r>
    <x v="56"/>
    <x v="2"/>
    <n v="562.5"/>
  </r>
  <r>
    <x v="122"/>
    <x v="2"/>
    <n v="59.999999776482582"/>
  </r>
  <r>
    <x v="58"/>
    <x v="2"/>
    <n v="500"/>
  </r>
  <r>
    <x v="145"/>
    <x v="2"/>
    <n v="225"/>
  </r>
  <r>
    <x v="60"/>
    <x v="2"/>
    <n v="187.5"/>
  </r>
  <r>
    <x v="63"/>
    <x v="2"/>
    <n v="300"/>
  </r>
  <r>
    <x v="199"/>
    <x v="2"/>
    <n v="250"/>
  </r>
  <r>
    <x v="25"/>
    <x v="2"/>
    <n v="250"/>
  </r>
  <r>
    <x v="68"/>
    <x v="2"/>
    <n v="225"/>
  </r>
  <r>
    <x v="26"/>
    <x v="2"/>
    <n v="250"/>
  </r>
  <r>
    <x v="389"/>
    <x v="2"/>
    <n v="750"/>
  </r>
  <r>
    <x v="111"/>
    <x v="2"/>
    <n v="25"/>
  </r>
  <r>
    <x v="35"/>
    <x v="2"/>
    <n v="525"/>
  </r>
  <r>
    <x v="125"/>
    <x v="2"/>
    <n v="687.5"/>
  </r>
  <r>
    <x v="335"/>
    <x v="3"/>
    <n v="201.6"/>
  </r>
  <r>
    <x v="41"/>
    <x v="3"/>
    <n v="671.99999749660492"/>
  </r>
  <r>
    <x v="155"/>
    <x v="3"/>
    <n v="161.27999939918519"/>
  </r>
  <r>
    <x v="406"/>
    <x v="3"/>
    <n v="403.2"/>
  </r>
  <r>
    <x v="6"/>
    <x v="3"/>
    <n v="504"/>
  </r>
  <r>
    <x v="260"/>
    <x v="3"/>
    <n v="100.8"/>
  </r>
  <r>
    <x v="325"/>
    <x v="3"/>
    <n v="504"/>
  </r>
  <r>
    <x v="134"/>
    <x v="3"/>
    <n v="80.639999699592593"/>
  </r>
  <r>
    <x v="85"/>
    <x v="3"/>
    <n v="168"/>
  </r>
  <r>
    <x v="349"/>
    <x v="3"/>
    <n v="84"/>
  </r>
  <r>
    <x v="340"/>
    <x v="3"/>
    <n v="189"/>
  </r>
  <r>
    <x v="407"/>
    <x v="3"/>
    <n v="63"/>
  </r>
  <r>
    <x v="408"/>
    <x v="3"/>
    <n v="944.99999843537807"/>
  </r>
  <r>
    <x v="409"/>
    <x v="3"/>
    <n v="299.24999976530671"/>
  </r>
  <r>
    <x v="410"/>
    <x v="3"/>
    <n v="210"/>
  </r>
  <r>
    <x v="137"/>
    <x v="3"/>
    <n v="315"/>
  </r>
  <r>
    <x v="262"/>
    <x v="3"/>
    <n v="624.74999561905861"/>
  </r>
  <r>
    <x v="411"/>
    <x v="3"/>
    <n v="299.24999976530671"/>
  </r>
  <r>
    <x v="176"/>
    <x v="3"/>
    <n v="294"/>
  </r>
  <r>
    <x v="283"/>
    <x v="3"/>
    <n v="210"/>
  </r>
  <r>
    <x v="218"/>
    <x v="3"/>
    <n v="315"/>
  </r>
  <r>
    <x v="284"/>
    <x v="3"/>
    <n v="105"/>
  </r>
  <r>
    <x v="412"/>
    <x v="3"/>
    <n v="236.25"/>
  </r>
  <r>
    <x v="304"/>
    <x v="3"/>
    <n v="420"/>
  </r>
  <r>
    <x v="100"/>
    <x v="3"/>
    <n v="944.99999843537807"/>
  </r>
  <r>
    <x v="222"/>
    <x v="3"/>
    <n v="377.99999937415123"/>
  </r>
  <r>
    <x v="199"/>
    <x v="3"/>
    <n v="315"/>
  </r>
  <r>
    <x v="368"/>
    <x v="3"/>
    <n v="525"/>
  </r>
  <r>
    <x v="25"/>
    <x v="3"/>
    <n v="210"/>
  </r>
  <r>
    <x v="68"/>
    <x v="3"/>
    <n v="840"/>
  </r>
  <r>
    <x v="27"/>
    <x v="3"/>
    <n v="630"/>
  </r>
  <r>
    <x v="246"/>
    <x v="3"/>
    <n v="42"/>
  </r>
  <r>
    <x v="104"/>
    <x v="3"/>
    <n v="78.75"/>
  </r>
  <r>
    <x v="108"/>
    <x v="3"/>
    <n v="630"/>
  </r>
  <r>
    <x v="200"/>
    <x v="3"/>
    <n v="315"/>
  </r>
  <r>
    <x v="72"/>
    <x v="3"/>
    <n v="210"/>
  </r>
  <r>
    <x v="36"/>
    <x v="3"/>
    <n v="210"/>
  </r>
  <r>
    <x v="413"/>
    <x v="3"/>
    <n v="346.55999972820285"/>
  </r>
  <r>
    <x v="339"/>
    <x v="3"/>
    <n v="456"/>
  </r>
  <r>
    <x v="414"/>
    <x v="3"/>
    <n v="427.5"/>
  </r>
  <r>
    <x v="203"/>
    <x v="3"/>
    <n v="968.9999932050705"/>
  </r>
  <r>
    <x v="241"/>
    <x v="3"/>
    <n v="1162.7999918460846"/>
  </r>
  <r>
    <x v="415"/>
    <x v="3"/>
    <n v="3800"/>
  </r>
  <r>
    <x v="98"/>
    <x v="3"/>
    <n v="152"/>
  </r>
  <r>
    <x v="344"/>
    <x v="3"/>
    <n v="1368"/>
  </r>
  <r>
    <x v="106"/>
    <x v="3"/>
    <n v="1140"/>
  </r>
  <r>
    <x v="107"/>
    <x v="3"/>
    <n v="760"/>
  </r>
  <r>
    <x v="226"/>
    <x v="3"/>
    <n v="760"/>
  </r>
  <r>
    <x v="152"/>
    <x v="3"/>
    <n v="721.99999943375587"/>
  </r>
  <r>
    <x v="35"/>
    <x v="3"/>
    <n v="121.5999995470047"/>
  </r>
  <r>
    <x v="73"/>
    <x v="3"/>
    <n v="72.199999943375587"/>
  </r>
  <r>
    <x v="166"/>
    <x v="3"/>
    <n v="200"/>
  </r>
  <r>
    <x v="355"/>
    <x v="3"/>
    <n v="400"/>
  </r>
  <r>
    <x v="254"/>
    <x v="3"/>
    <n v="142.49999988824129"/>
  </r>
  <r>
    <x v="289"/>
    <x v="3"/>
    <n v="40"/>
  </r>
  <r>
    <x v="42"/>
    <x v="3"/>
    <n v="199.99999925494194"/>
  </r>
  <r>
    <x v="43"/>
    <x v="3"/>
    <n v="447.99999833106995"/>
  </r>
  <r>
    <x v="416"/>
    <x v="3"/>
    <n v="300"/>
  </r>
  <r>
    <x v="337"/>
    <x v="3"/>
    <n v="664.99999947845936"/>
  </r>
  <r>
    <x v="229"/>
    <x v="3"/>
    <n v="200"/>
  </r>
  <r>
    <x v="417"/>
    <x v="3"/>
    <n v="300"/>
  </r>
  <r>
    <x v="172"/>
    <x v="3"/>
    <n v="398.99999968707561"/>
  </r>
  <r>
    <x v="130"/>
    <x v="3"/>
    <n v="539.99999910593033"/>
  </r>
  <r>
    <x v="44"/>
    <x v="3"/>
    <n v="320"/>
  </r>
  <r>
    <x v="133"/>
    <x v="3"/>
    <n v="140"/>
  </r>
  <r>
    <x v="83"/>
    <x v="3"/>
    <n v="26.999999955296516"/>
  </r>
  <r>
    <x v="261"/>
    <x v="3"/>
    <n v="297.49999791383743"/>
  </r>
  <r>
    <x v="329"/>
    <x v="3"/>
    <n v="189.99999985098839"/>
  </r>
  <r>
    <x v="414"/>
    <x v="3"/>
    <n v="250"/>
  </r>
  <r>
    <x v="414"/>
    <x v="3"/>
    <n v="375"/>
  </r>
  <r>
    <x v="418"/>
    <x v="3"/>
    <n v="584.37499590218067"/>
  </r>
  <r>
    <x v="137"/>
    <x v="3"/>
    <n v="375"/>
  </r>
  <r>
    <x v="419"/>
    <x v="3"/>
    <n v="71.249999944120646"/>
  </r>
  <r>
    <x v="262"/>
    <x v="3"/>
    <n v="599.99999776482582"/>
  </r>
  <r>
    <x v="263"/>
    <x v="3"/>
    <n v="349.9999986961484"/>
  </r>
  <r>
    <x v="11"/>
    <x v="3"/>
    <n v="250"/>
  </r>
  <r>
    <x v="420"/>
    <x v="3"/>
    <n v="593.74999953433871"/>
  </r>
  <r>
    <x v="216"/>
    <x v="3"/>
    <n v="237.49999981373549"/>
  </r>
  <r>
    <x v="421"/>
    <x v="3"/>
    <n v="89.999999850988388"/>
  </r>
  <r>
    <x v="343"/>
    <x v="3"/>
    <n v="187.5"/>
  </r>
  <r>
    <x v="422"/>
    <x v="3"/>
    <n v="250"/>
  </r>
  <r>
    <x v="56"/>
    <x v="3"/>
    <n v="625"/>
  </r>
  <r>
    <x v="321"/>
    <x v="3"/>
    <n v="35.624999972060323"/>
  </r>
  <r>
    <x v="312"/>
    <x v="3"/>
    <n v="100"/>
  </r>
  <r>
    <x v="308"/>
    <x v="3"/>
    <n v="625"/>
  </r>
  <r>
    <x v="244"/>
    <x v="3"/>
    <n v="699.99999739229679"/>
  </r>
  <r>
    <x v="244"/>
    <x v="3"/>
    <n v="18.75"/>
  </r>
  <r>
    <x v="423"/>
    <x v="3"/>
    <n v="189.99999985098839"/>
  </r>
  <r>
    <x v="424"/>
    <x v="3"/>
    <n v="12.5"/>
  </r>
  <r>
    <x v="162"/>
    <x v="3"/>
    <n v="125"/>
  </r>
  <r>
    <x v="332"/>
    <x v="3"/>
    <n v="179.99999970197678"/>
  </r>
  <r>
    <x v="181"/>
    <x v="3"/>
    <n v="437.5"/>
  </r>
  <r>
    <x v="223"/>
    <x v="3"/>
    <n v="101.24999983236194"/>
  </r>
  <r>
    <x v="323"/>
    <x v="3"/>
    <n v="175"/>
  </r>
  <r>
    <x v="333"/>
    <x v="3"/>
    <n v="437.5"/>
  </r>
  <r>
    <x v="389"/>
    <x v="3"/>
    <n v="412.5"/>
  </r>
  <r>
    <x v="104"/>
    <x v="3"/>
    <n v="125"/>
  </r>
  <r>
    <x v="249"/>
    <x v="3"/>
    <n v="593.74999953433871"/>
  </r>
  <r>
    <x v="250"/>
    <x v="3"/>
    <n v="265.62499813735485"/>
  </r>
  <r>
    <x v="107"/>
    <x v="3"/>
    <n v="300"/>
  </r>
  <r>
    <x v="334"/>
    <x v="3"/>
    <n v="187.5"/>
  </r>
  <r>
    <x v="36"/>
    <x v="3"/>
    <n v="250"/>
  </r>
  <r>
    <x v="38"/>
    <x v="3"/>
    <n v="122.87999954223632"/>
  </r>
  <r>
    <x v="392"/>
    <x v="3"/>
    <n v="921.59999847412109"/>
  </r>
  <r>
    <x v="42"/>
    <x v="3"/>
    <n v="122.87999954223632"/>
  </r>
  <r>
    <x v="235"/>
    <x v="3"/>
    <n v="1279.9999952316284"/>
  </r>
  <r>
    <x v="135"/>
    <x v="3"/>
    <n v="652.79999542236328"/>
  </r>
  <r>
    <x v="238"/>
    <x v="3"/>
    <n v="287.99999952316284"/>
  </r>
  <r>
    <x v="422"/>
    <x v="3"/>
    <n v="128"/>
  </r>
  <r>
    <x v="219"/>
    <x v="3"/>
    <n v="320"/>
  </r>
  <r>
    <x v="198"/>
    <x v="3"/>
    <n v="640"/>
  </r>
  <r>
    <x v="348"/>
    <x v="3"/>
    <n v="192"/>
  </r>
  <r>
    <x v="108"/>
    <x v="3"/>
    <n v="1007.9999983310699"/>
  </r>
  <r>
    <x v="109"/>
    <x v="3"/>
    <n v="1600"/>
  </r>
  <r>
    <x v="152"/>
    <x v="3"/>
    <n v="455.99999964237213"/>
  </r>
  <r>
    <x v="113"/>
    <x v="3"/>
    <n v="640"/>
  </r>
  <r>
    <x v="73"/>
    <x v="3"/>
    <n v="32"/>
  </r>
  <r>
    <x v="354"/>
    <x v="3"/>
    <n v="47.499999962747097"/>
  </r>
  <r>
    <x v="425"/>
    <x v="3"/>
    <n v="113.99999991059303"/>
  </r>
  <r>
    <x v="184"/>
    <x v="3"/>
    <n v="48"/>
  </r>
  <r>
    <x v="254"/>
    <x v="3"/>
    <n v="40"/>
  </r>
  <r>
    <x v="188"/>
    <x v="3"/>
    <n v="16"/>
  </r>
  <r>
    <x v="287"/>
    <x v="3"/>
    <n v="120"/>
  </r>
  <r>
    <x v="299"/>
    <x v="3"/>
    <n v="98"/>
  </r>
  <r>
    <x v="7"/>
    <x v="3"/>
    <n v="100"/>
  </r>
  <r>
    <x v="426"/>
    <x v="3"/>
    <n v="40"/>
  </r>
  <r>
    <x v="212"/>
    <x v="3"/>
    <n v="31.99999988079071"/>
  </r>
  <r>
    <x v="232"/>
    <x v="3"/>
    <n v="24"/>
  </r>
  <r>
    <x v="341"/>
    <x v="3"/>
    <n v="33.999999761581421"/>
  </r>
  <r>
    <x v="407"/>
    <x v="3"/>
    <n v="15.999999940395355"/>
  </r>
  <r>
    <x v="414"/>
    <x v="3"/>
    <n v="75"/>
  </r>
  <r>
    <x v="366"/>
    <x v="3"/>
    <n v="37.5"/>
  </r>
  <r>
    <x v="397"/>
    <x v="3"/>
    <n v="44.999999925494194"/>
  </r>
  <r>
    <x v="121"/>
    <x v="3"/>
    <n v="35"/>
  </r>
  <r>
    <x v="281"/>
    <x v="3"/>
    <n v="35"/>
  </r>
  <r>
    <x v="52"/>
    <x v="3"/>
    <n v="47.499999962747097"/>
  </r>
  <r>
    <x v="302"/>
    <x v="3"/>
    <n v="16.99999988079071"/>
  </r>
  <r>
    <x v="415"/>
    <x v="3"/>
    <n v="75"/>
  </r>
  <r>
    <x v="242"/>
    <x v="3"/>
    <n v="75"/>
  </r>
  <r>
    <x v="62"/>
    <x v="3"/>
    <n v="40"/>
  </r>
  <r>
    <x v="224"/>
    <x v="3"/>
    <n v="8.4999999403953552"/>
  </r>
  <r>
    <x v="368"/>
    <x v="3"/>
    <n v="87.5"/>
  </r>
  <r>
    <x v="27"/>
    <x v="3"/>
    <n v="75"/>
  </r>
  <r>
    <x v="348"/>
    <x v="3"/>
    <n v="75"/>
  </r>
  <r>
    <x v="249"/>
    <x v="3"/>
    <n v="35.624999972060323"/>
  </r>
  <r>
    <x v="251"/>
    <x v="3"/>
    <n v="17.5"/>
  </r>
  <r>
    <x v="32"/>
    <x v="3"/>
    <n v="75"/>
  </r>
  <r>
    <x v="152"/>
    <x v="3"/>
    <n v="37.5"/>
  </r>
  <r>
    <x v="114"/>
    <x v="3"/>
    <n v="25"/>
  </r>
  <r>
    <x v="37"/>
    <x v="3"/>
    <n v="1320"/>
  </r>
  <r>
    <x v="253"/>
    <x v="3"/>
    <n v="2617.9999816417694"/>
  </r>
  <r>
    <x v="76"/>
    <x v="3"/>
    <n v="250.79999980330467"/>
  </r>
  <r>
    <x v="298"/>
    <x v="3"/>
    <n v="660"/>
  </r>
  <r>
    <x v="40"/>
    <x v="3"/>
    <n v="990"/>
  </r>
  <r>
    <x v="386"/>
    <x v="3"/>
    <n v="440"/>
  </r>
  <r>
    <x v="129"/>
    <x v="3"/>
    <n v="1495.9999895095825"/>
  </r>
  <r>
    <x v="315"/>
    <x v="3"/>
    <n v="396"/>
  </r>
  <r>
    <x v="188"/>
    <x v="3"/>
    <n v="336.59999763965607"/>
  </r>
  <r>
    <x v="82"/>
    <x v="3"/>
    <n v="528"/>
  </r>
  <r>
    <x v="299"/>
    <x v="3"/>
    <n v="704"/>
  </r>
  <r>
    <x v="299"/>
    <x v="3"/>
    <n v="316.79999881982803"/>
  </r>
  <r>
    <x v="133"/>
    <x v="3"/>
    <n v="880"/>
  </r>
  <r>
    <x v="364"/>
    <x v="3"/>
    <n v="2463.9999908208847"/>
  </r>
  <r>
    <x v="365"/>
    <x v="3"/>
    <n v="1584"/>
  </r>
  <r>
    <x v="159"/>
    <x v="3"/>
    <n v="2640"/>
  </r>
  <r>
    <x v="380"/>
    <x v="3"/>
    <n v="528"/>
  </r>
  <r>
    <x v="427"/>
    <x v="3"/>
    <n v="1320"/>
  </r>
  <r>
    <x v="233"/>
    <x v="3"/>
    <n v="2640"/>
  </r>
  <r>
    <x v="213"/>
    <x v="3"/>
    <n v="220"/>
  </r>
  <r>
    <x v="194"/>
    <x v="3"/>
    <n v="110"/>
  </r>
  <r>
    <x v="408"/>
    <x v="3"/>
    <n v="742.4999987706542"/>
  </r>
  <r>
    <x v="262"/>
    <x v="3"/>
    <n v="1759.9999934434891"/>
  </r>
  <r>
    <x v="264"/>
    <x v="3"/>
    <n v="660"/>
  </r>
  <r>
    <x v="428"/>
    <x v="3"/>
    <n v="1925"/>
  </r>
  <r>
    <x v="342"/>
    <x v="3"/>
    <n v="1044.9999991804361"/>
  </r>
  <r>
    <x v="160"/>
    <x v="3"/>
    <n v="1402.4999901652336"/>
  </r>
  <r>
    <x v="270"/>
    <x v="3"/>
    <n v="55"/>
  </r>
  <r>
    <x v="415"/>
    <x v="3"/>
    <n v="660"/>
  </r>
  <r>
    <x v="217"/>
    <x v="3"/>
    <n v="1375"/>
  </r>
  <r>
    <x v="271"/>
    <x v="3"/>
    <n v="1963.4999862313271"/>
  </r>
  <r>
    <x v="54"/>
    <x v="3"/>
    <n v="1925"/>
  </r>
  <r>
    <x v="196"/>
    <x v="3"/>
    <n v="440"/>
  </r>
  <r>
    <x v="284"/>
    <x v="3"/>
    <n v="522.49999959021807"/>
  </r>
  <r>
    <x v="303"/>
    <x v="3"/>
    <n v="2475"/>
  </r>
  <r>
    <x v="274"/>
    <x v="3"/>
    <n v="330"/>
  </r>
  <r>
    <x v="429"/>
    <x v="3"/>
    <n v="1168.7499918043613"/>
  </r>
  <r>
    <x v="122"/>
    <x v="3"/>
    <n v="385"/>
  </r>
  <r>
    <x v="430"/>
    <x v="3"/>
    <n v="1375"/>
  </r>
  <r>
    <x v="100"/>
    <x v="3"/>
    <n v="1375"/>
  </r>
  <r>
    <x v="123"/>
    <x v="3"/>
    <n v="783.7499993853271"/>
  </r>
  <r>
    <x v="222"/>
    <x v="3"/>
    <n v="1979.9999967217445"/>
  </r>
  <r>
    <x v="223"/>
    <x v="3"/>
    <n v="825"/>
  </r>
  <r>
    <x v="199"/>
    <x v="3"/>
    <n v="2750"/>
  </r>
  <r>
    <x v="64"/>
    <x v="3"/>
    <n v="2194.4999982789159"/>
  </r>
  <r>
    <x v="431"/>
    <x v="3"/>
    <n v="2089.9999983608723"/>
  </r>
  <r>
    <x v="292"/>
    <x v="3"/>
    <n v="220"/>
  </r>
  <r>
    <x v="432"/>
    <x v="3"/>
    <n v="940.49999926239252"/>
  </r>
  <r>
    <x v="31"/>
    <x v="3"/>
    <n v="550"/>
  </r>
  <r>
    <x v="226"/>
    <x v="3"/>
    <n v="6050"/>
  </r>
  <r>
    <x v="112"/>
    <x v="3"/>
    <n v="1320"/>
  </r>
  <r>
    <x v="33"/>
    <x v="3"/>
    <n v="4125"/>
  </r>
  <r>
    <x v="33"/>
    <x v="3"/>
    <n v="1650"/>
  </r>
  <r>
    <x v="34"/>
    <x v="3"/>
    <n v="1650"/>
  </r>
  <r>
    <x v="354"/>
    <x v="3"/>
    <n v="1088"/>
  </r>
  <r>
    <x v="294"/>
    <x v="3"/>
    <n v="952"/>
  </r>
  <r>
    <x v="201"/>
    <x v="3"/>
    <n v="408"/>
  </r>
  <r>
    <x v="1"/>
    <x v="3"/>
    <n v="571.20000000000005"/>
  </r>
  <r>
    <x v="373"/>
    <x v="3"/>
    <n v="174.07999935150147"/>
  </r>
  <r>
    <x v="337"/>
    <x v="3"/>
    <n v="2067.1999983787537"/>
  </r>
  <r>
    <x v="156"/>
    <x v="3"/>
    <n v="1346.3999977707863"/>
  </r>
  <r>
    <x v="157"/>
    <x v="3"/>
    <n v="1428"/>
  </r>
  <r>
    <x v="209"/>
    <x v="3"/>
    <n v="146.87999975681305"/>
  </r>
  <r>
    <x v="357"/>
    <x v="3"/>
    <n v="408"/>
  </r>
  <r>
    <x v="404"/>
    <x v="3"/>
    <n v="435.19999837875366"/>
  </r>
  <r>
    <x v="433"/>
    <x v="3"/>
    <n v="1550.3999987840652"/>
  </r>
  <r>
    <x v="190"/>
    <x v="3"/>
    <n v="544"/>
  </r>
  <r>
    <x v="380"/>
    <x v="3"/>
    <n v="1088"/>
  </r>
  <r>
    <x v="88"/>
    <x v="3"/>
    <n v="346.79999756813049"/>
  </r>
  <r>
    <x v="341"/>
    <x v="3"/>
    <n v="2427.5999829769135"/>
  </r>
  <r>
    <x v="434"/>
    <x v="3"/>
    <n v="322.99999974668026"/>
  </r>
  <r>
    <x v="414"/>
    <x v="3"/>
    <n v="892.5"/>
  </r>
  <r>
    <x v="420"/>
    <x v="3"/>
    <n v="693.59999513626099"/>
  </r>
  <r>
    <x v="342"/>
    <x v="3"/>
    <n v="2260.9999982267618"/>
  </r>
  <r>
    <x v="14"/>
    <x v="3"/>
    <n v="510"/>
  </r>
  <r>
    <x v="268"/>
    <x v="3"/>
    <n v="1360"/>
  </r>
  <r>
    <x v="435"/>
    <x v="3"/>
    <n v="340"/>
  </r>
  <r>
    <x v="399"/>
    <x v="3"/>
    <n v="680"/>
  </r>
  <r>
    <x v="178"/>
    <x v="3"/>
    <n v="611.99999898672104"/>
  </r>
  <r>
    <x v="297"/>
    <x v="3"/>
    <n v="1020"/>
  </r>
  <r>
    <x v="216"/>
    <x v="3"/>
    <n v="1776.4999986067414"/>
  </r>
  <r>
    <x v="383"/>
    <x v="3"/>
    <n v="1020"/>
  </r>
  <r>
    <x v="288"/>
    <x v="3"/>
    <n v="340"/>
  </r>
  <r>
    <x v="20"/>
    <x v="3"/>
    <n v="510"/>
  </r>
  <r>
    <x v="57"/>
    <x v="3"/>
    <n v="1700"/>
  </r>
  <r>
    <x v="308"/>
    <x v="3"/>
    <n v="510"/>
  </r>
  <r>
    <x v="63"/>
    <x v="3"/>
    <n v="714"/>
  </r>
  <r>
    <x v="63"/>
    <x v="3"/>
    <n v="1020"/>
  </r>
  <r>
    <x v="148"/>
    <x v="3"/>
    <n v="2040"/>
  </r>
  <r>
    <x v="23"/>
    <x v="3"/>
    <n v="1223.9999954402447"/>
  </r>
  <r>
    <x v="102"/>
    <x v="3"/>
    <n v="3400"/>
  </r>
  <r>
    <x v="28"/>
    <x v="3"/>
    <n v="340"/>
  </r>
  <r>
    <x v="28"/>
    <x v="3"/>
    <n v="637.5"/>
  </r>
  <r>
    <x v="69"/>
    <x v="3"/>
    <n v="1249.5"/>
  </r>
  <r>
    <x v="250"/>
    <x v="3"/>
    <n v="693.59999513626099"/>
  </r>
  <r>
    <x v="105"/>
    <x v="3"/>
    <n v="57.799999594688416"/>
  </r>
  <r>
    <x v="432"/>
    <x v="3"/>
    <n v="136"/>
  </r>
  <r>
    <x v="110"/>
    <x v="3"/>
    <n v="306"/>
  </r>
  <r>
    <x v="111"/>
    <x v="3"/>
    <n v="1162.7999990880489"/>
  </r>
  <r>
    <x v="114"/>
    <x v="3"/>
    <n v="1700"/>
  </r>
  <r>
    <x v="227"/>
    <x v="3"/>
    <n v="714"/>
  </r>
  <r>
    <x v="227"/>
    <x v="3"/>
    <n v="1190"/>
  </r>
  <r>
    <x v="124"/>
    <x v="3"/>
    <n v="136"/>
  </r>
  <r>
    <x v="124"/>
    <x v="3"/>
    <n v="510"/>
  </r>
  <r>
    <x v="73"/>
    <x v="3"/>
    <n v="63.920000091195107"/>
  </r>
  <r>
    <x v="335"/>
    <x v="3"/>
    <n v="432"/>
  </r>
  <r>
    <x v="208"/>
    <x v="3"/>
    <n v="28.8"/>
  </r>
  <r>
    <x v="336"/>
    <x v="3"/>
    <n v="201.6"/>
  </r>
  <r>
    <x v="154"/>
    <x v="3"/>
    <n v="466.5599992275238"/>
  </r>
  <r>
    <x v="416"/>
    <x v="3"/>
    <n v="576"/>
  </r>
  <r>
    <x v="229"/>
    <x v="3"/>
    <n v="864"/>
  </r>
  <r>
    <x v="436"/>
    <x v="3"/>
    <n v="1440"/>
  </r>
  <r>
    <x v="437"/>
    <x v="3"/>
    <n v="230.4"/>
  </r>
  <r>
    <x v="6"/>
    <x v="3"/>
    <n v="432"/>
  </r>
  <r>
    <x v="433"/>
    <x v="3"/>
    <n v="547.19999957084656"/>
  </r>
  <r>
    <x v="317"/>
    <x v="3"/>
    <n v="259.19999957084656"/>
  </r>
  <r>
    <x v="405"/>
    <x v="3"/>
    <n v="360"/>
  </r>
  <r>
    <x v="236"/>
    <x v="3"/>
    <n v="648"/>
  </r>
  <r>
    <x v="420"/>
    <x v="3"/>
    <n v="305.99999785423279"/>
  </r>
  <r>
    <x v="266"/>
    <x v="3"/>
    <n v="575.99999785423279"/>
  </r>
  <r>
    <x v="141"/>
    <x v="3"/>
    <n v="1755"/>
  </r>
  <r>
    <x v="215"/>
    <x v="3"/>
    <n v="540"/>
  </r>
  <r>
    <x v="320"/>
    <x v="3"/>
    <n v="1295.9999951720238"/>
  </r>
  <r>
    <x v="217"/>
    <x v="3"/>
    <n v="917.99999356269836"/>
  </r>
  <r>
    <x v="305"/>
    <x v="3"/>
    <n v="854.99999932944775"/>
  </r>
  <r>
    <x v="312"/>
    <x v="3"/>
    <n v="1440"/>
  </r>
  <r>
    <x v="312"/>
    <x v="3"/>
    <n v="1080"/>
  </r>
  <r>
    <x v="21"/>
    <x v="3"/>
    <n v="108"/>
  </r>
  <r>
    <x v="385"/>
    <x v="3"/>
    <n v="675"/>
  </r>
  <r>
    <x v="122"/>
    <x v="3"/>
    <n v="575.99999785423279"/>
  </r>
  <r>
    <x v="304"/>
    <x v="3"/>
    <n v="691.19999742507935"/>
  </r>
  <r>
    <x v="102"/>
    <x v="3"/>
    <n v="1709.9999986588955"/>
  </r>
  <r>
    <x v="105"/>
    <x v="3"/>
    <n v="324"/>
  </r>
  <r>
    <x v="164"/>
    <x v="3"/>
    <n v="360"/>
  </r>
  <r>
    <x v="71"/>
    <x v="3"/>
    <n v="1080"/>
  </r>
  <r>
    <x v="33"/>
    <x v="3"/>
    <n v="1166.3999980688095"/>
  </r>
  <r>
    <x v="438"/>
    <x v="3"/>
    <n v="344"/>
  </r>
  <r>
    <x v="386"/>
    <x v="3"/>
    <n v="34.4"/>
  </r>
  <r>
    <x v="186"/>
    <x v="3"/>
    <n v="51.6"/>
  </r>
  <r>
    <x v="128"/>
    <x v="3"/>
    <n v="516"/>
  </r>
  <r>
    <x v="360"/>
    <x v="3"/>
    <n v="619.19999897480011"/>
  </r>
  <r>
    <x v="229"/>
    <x v="3"/>
    <n v="86"/>
  </r>
  <r>
    <x v="417"/>
    <x v="3"/>
    <n v="687.99999743700027"/>
  </r>
  <r>
    <x v="439"/>
    <x v="3"/>
    <n v="103.2"/>
  </r>
  <r>
    <x v="82"/>
    <x v="3"/>
    <n v="258"/>
  </r>
  <r>
    <x v="362"/>
    <x v="3"/>
    <n v="1032"/>
  </r>
  <r>
    <x v="258"/>
    <x v="3"/>
    <n v="516"/>
  </r>
  <r>
    <x v="132"/>
    <x v="3"/>
    <n v="1032"/>
  </r>
  <r>
    <x v="6"/>
    <x v="3"/>
    <n v="258"/>
  </r>
  <r>
    <x v="83"/>
    <x v="3"/>
    <n v="34.4"/>
  </r>
  <r>
    <x v="174"/>
    <x v="3"/>
    <n v="516"/>
  </r>
  <r>
    <x v="189"/>
    <x v="3"/>
    <n v="860"/>
  </r>
  <r>
    <x v="232"/>
    <x v="3"/>
    <n v="206.4"/>
  </r>
  <r>
    <x v="91"/>
    <x v="3"/>
    <n v="174.14999971166253"/>
  </r>
  <r>
    <x v="378"/>
    <x v="3"/>
    <n v="193.5"/>
  </r>
  <r>
    <x v="342"/>
    <x v="3"/>
    <n v="306.37499975971878"/>
  </r>
  <r>
    <x v="160"/>
    <x v="3"/>
    <n v="306.37499975971878"/>
  </r>
  <r>
    <x v="95"/>
    <x v="3"/>
    <n v="322.5"/>
  </r>
  <r>
    <x v="399"/>
    <x v="3"/>
    <n v="430"/>
  </r>
  <r>
    <x v="16"/>
    <x v="3"/>
    <n v="483.75"/>
  </r>
  <r>
    <x v="320"/>
    <x v="3"/>
    <n v="240.7999991029501"/>
  </r>
  <r>
    <x v="161"/>
    <x v="3"/>
    <n v="258"/>
  </r>
  <r>
    <x v="19"/>
    <x v="3"/>
    <n v="1031.9999961555004"/>
  </r>
  <r>
    <x v="271"/>
    <x v="3"/>
    <n v="365.49999743700027"/>
  </r>
  <r>
    <x v="440"/>
    <x v="3"/>
    <n v="645"/>
  </r>
  <r>
    <x v="143"/>
    <x v="3"/>
    <n v="172"/>
  </r>
  <r>
    <x v="308"/>
    <x v="3"/>
    <n v="258"/>
  </r>
  <r>
    <x v="430"/>
    <x v="3"/>
    <n v="344"/>
  </r>
  <r>
    <x v="23"/>
    <x v="3"/>
    <n v="945.99999647587538"/>
  </r>
  <r>
    <x v="401"/>
    <x v="3"/>
    <n v="645"/>
  </r>
  <r>
    <x v="348"/>
    <x v="3"/>
    <n v="537.5"/>
  </r>
  <r>
    <x v="69"/>
    <x v="3"/>
    <n v="564.375"/>
  </r>
  <r>
    <x v="110"/>
    <x v="3"/>
    <n v="451.5"/>
  </r>
  <r>
    <x v="111"/>
    <x v="3"/>
    <n v="430"/>
  </r>
  <r>
    <x v="111"/>
    <x v="3"/>
    <n v="1225.4999990388751"/>
  </r>
  <r>
    <x v="32"/>
    <x v="3"/>
    <n v="1075"/>
  </r>
  <r>
    <x v="33"/>
    <x v="3"/>
    <n v="344"/>
  </r>
  <r>
    <x v="151"/>
    <x v="3"/>
    <n v="645"/>
  </r>
  <r>
    <x v="441"/>
    <x v="3"/>
    <n v="174"/>
  </r>
  <r>
    <x v="442"/>
    <x v="3"/>
    <n v="111.2"/>
  </r>
  <r>
    <x v="425"/>
    <x v="3"/>
    <n v="528.19999958574772"/>
  </r>
  <r>
    <x v="355"/>
    <x v="3"/>
    <n v="667.2"/>
  </r>
  <r>
    <x v="438"/>
    <x v="3"/>
    <n v="194.6"/>
  </r>
  <r>
    <x v="294"/>
    <x v="3"/>
    <n v="83.4"/>
  </r>
  <r>
    <x v="168"/>
    <x v="3"/>
    <n v="556"/>
  </r>
  <r>
    <x v="289"/>
    <x v="3"/>
    <n v="1112"/>
  </r>
  <r>
    <x v="371"/>
    <x v="3"/>
    <n v="590.74999585747719"/>
  </r>
  <r>
    <x v="372"/>
    <x v="3"/>
    <n v="695"/>
  </r>
  <r>
    <x v="157"/>
    <x v="3"/>
    <n v="875.69999999999993"/>
  </r>
  <r>
    <x v="130"/>
    <x v="3"/>
    <n v="600.47999900579453"/>
  </r>
  <r>
    <x v="362"/>
    <x v="3"/>
    <n v="583.79999999999995"/>
  </r>
  <r>
    <x v="46"/>
    <x v="3"/>
    <n v="278"/>
  </r>
  <r>
    <x v="443"/>
    <x v="3"/>
    <n v="1112"/>
  </r>
  <r>
    <x v="329"/>
    <x v="3"/>
    <n v="695"/>
  </r>
  <r>
    <x v="407"/>
    <x v="3"/>
    <n v="313.2"/>
  </r>
  <r>
    <x v="280"/>
    <x v="3"/>
    <n v="835.2"/>
  </r>
  <r>
    <x v="414"/>
    <x v="3"/>
    <n v="730.8"/>
  </r>
  <r>
    <x v="214"/>
    <x v="3"/>
    <n v="34.799999999999997"/>
  </r>
  <r>
    <x v="237"/>
    <x v="3"/>
    <n v="835.2"/>
  </r>
  <r>
    <x v="264"/>
    <x v="3"/>
    <n v="1044"/>
  </r>
  <r>
    <x v="281"/>
    <x v="3"/>
    <n v="417.6"/>
  </r>
  <r>
    <x v="318"/>
    <x v="3"/>
    <n v="2088"/>
  </r>
  <r>
    <x v="97"/>
    <x v="3"/>
    <n v="522"/>
  </r>
  <r>
    <x v="57"/>
    <x v="3"/>
    <n v="1218"/>
  </r>
  <r>
    <x v="303"/>
    <x v="3"/>
    <n v="243.6"/>
  </r>
  <r>
    <x v="162"/>
    <x v="3"/>
    <n v="887.39999377727509"/>
  </r>
  <r>
    <x v="100"/>
    <x v="3"/>
    <n v="348"/>
  </r>
  <r>
    <x v="332"/>
    <x v="3"/>
    <n v="1252.7999979257584"/>
  </r>
  <r>
    <x v="22"/>
    <x v="3"/>
    <n v="469.79999922215939"/>
  </r>
  <r>
    <x v="246"/>
    <x v="3"/>
    <n v="348"/>
  </r>
  <r>
    <x v="248"/>
    <x v="3"/>
    <n v="556.79999999999995"/>
  </r>
  <r>
    <x v="389"/>
    <x v="3"/>
    <n v="1740"/>
  </r>
  <r>
    <x v="150"/>
    <x v="3"/>
    <n v="174"/>
  </r>
  <r>
    <x v="200"/>
    <x v="3"/>
    <n v="696"/>
  </r>
  <r>
    <x v="70"/>
    <x v="3"/>
    <n v="69.599999999999994"/>
  </r>
  <r>
    <x v="71"/>
    <x v="3"/>
    <n v="1218"/>
  </r>
  <r>
    <x v="313"/>
    <x v="4"/>
    <n v="95.759999924898139"/>
  </r>
  <r>
    <x v="46"/>
    <x v="4"/>
    <n v="201.6"/>
  </r>
  <r>
    <x v="137"/>
    <x v="4"/>
    <n v="504"/>
  </r>
  <r>
    <x v="267"/>
    <x v="4"/>
    <n v="1008"/>
  </r>
  <r>
    <x v="367"/>
    <x v="4"/>
    <n v="840"/>
  </r>
  <r>
    <x v="282"/>
    <x v="4"/>
    <n v="840"/>
  </r>
  <r>
    <x v="97"/>
    <x v="4"/>
    <n v="315"/>
  </r>
  <r>
    <x v="350"/>
    <x v="4"/>
    <n v="315"/>
  </r>
  <r>
    <x v="99"/>
    <x v="4"/>
    <n v="126"/>
  </r>
  <r>
    <x v="308"/>
    <x v="4"/>
    <n v="84"/>
  </r>
  <r>
    <x v="148"/>
    <x v="4"/>
    <n v="1092"/>
  </r>
  <r>
    <x v="149"/>
    <x v="4"/>
    <n v="735"/>
  </r>
  <r>
    <x v="389"/>
    <x v="4"/>
    <n v="441"/>
  </r>
  <r>
    <x v="30"/>
    <x v="4"/>
    <n v="525"/>
  </r>
  <r>
    <x v="372"/>
    <x v="4"/>
    <n v="288"/>
  </r>
  <r>
    <x v="3"/>
    <x v="4"/>
    <n v="180"/>
  </r>
  <r>
    <x v="362"/>
    <x v="4"/>
    <n v="288"/>
  </r>
  <r>
    <x v="310"/>
    <x v="4"/>
    <n v="432"/>
  </r>
  <r>
    <x v="444"/>
    <x v="4"/>
    <n v="151.19999999999999"/>
  </r>
  <r>
    <x v="445"/>
    <x v="4"/>
    <n v="108"/>
  </r>
  <r>
    <x v="328"/>
    <x v="4"/>
    <n v="72"/>
  </r>
  <r>
    <x v="203"/>
    <x v="4"/>
    <n v="535.49999624490738"/>
  </r>
  <r>
    <x v="137"/>
    <x v="4"/>
    <n v="170.99999986588955"/>
  </r>
  <r>
    <x v="95"/>
    <x v="4"/>
    <n v="90"/>
  </r>
  <r>
    <x v="204"/>
    <x v="4"/>
    <n v="288"/>
  </r>
  <r>
    <x v="195"/>
    <x v="4"/>
    <n v="45"/>
  </r>
  <r>
    <x v="274"/>
    <x v="4"/>
    <n v="396"/>
  </r>
  <r>
    <x v="332"/>
    <x v="4"/>
    <n v="162"/>
  </r>
  <r>
    <x v="149"/>
    <x v="4"/>
    <n v="566.99999906122684"/>
  </r>
  <r>
    <x v="25"/>
    <x v="4"/>
    <n v="450"/>
  </r>
  <r>
    <x v="225"/>
    <x v="4"/>
    <n v="215.9999991953373"/>
  </r>
  <r>
    <x v="29"/>
    <x v="4"/>
    <n v="54"/>
  </r>
  <r>
    <x v="111"/>
    <x v="4"/>
    <n v="90"/>
  </r>
  <r>
    <x v="73"/>
    <x v="4"/>
    <n v="18"/>
  </r>
  <r>
    <x v="441"/>
    <x v="4"/>
    <n v="98"/>
  </r>
  <r>
    <x v="186"/>
    <x v="4"/>
    <n v="22.4"/>
  </r>
  <r>
    <x v="336"/>
    <x v="4"/>
    <n v="67.2"/>
  </r>
  <r>
    <x v="379"/>
    <x v="4"/>
    <n v="89.599999666213989"/>
  </r>
  <r>
    <x v="293"/>
    <x v="4"/>
    <n v="100.8"/>
  </r>
  <r>
    <x v="338"/>
    <x v="4"/>
    <n v="425.59999966621399"/>
  </r>
  <r>
    <x v="190"/>
    <x v="4"/>
    <n v="560"/>
  </r>
  <r>
    <x v="370"/>
    <x v="4"/>
    <n v="212.79999983310699"/>
  </r>
  <r>
    <x v="87"/>
    <x v="4"/>
    <n v="420"/>
  </r>
  <r>
    <x v="213"/>
    <x v="4"/>
    <n v="280"/>
  </r>
  <r>
    <x v="411"/>
    <x v="4"/>
    <n v="333.19999766349792"/>
  </r>
  <r>
    <x v="446"/>
    <x v="4"/>
    <n v="1119.9999958276749"/>
  </r>
  <r>
    <x v="435"/>
    <x v="4"/>
    <n v="70"/>
  </r>
  <r>
    <x v="350"/>
    <x v="4"/>
    <n v="280"/>
  </r>
  <r>
    <x v="319"/>
    <x v="4"/>
    <n v="398.99999968707561"/>
  </r>
  <r>
    <x v="195"/>
    <x v="4"/>
    <n v="84"/>
  </r>
  <r>
    <x v="343"/>
    <x v="4"/>
    <n v="420"/>
  </r>
  <r>
    <x v="312"/>
    <x v="4"/>
    <n v="392"/>
  </r>
  <r>
    <x v="58"/>
    <x v="4"/>
    <n v="28"/>
  </r>
  <r>
    <x v="423"/>
    <x v="4"/>
    <n v="159.59999987483025"/>
  </r>
  <r>
    <x v="423"/>
    <x v="4"/>
    <n v="223.99999916553497"/>
  </r>
  <r>
    <x v="149"/>
    <x v="4"/>
    <n v="529.19999912381172"/>
  </r>
  <r>
    <x v="65"/>
    <x v="4"/>
    <n v="280"/>
  </r>
  <r>
    <x v="388"/>
    <x v="4"/>
    <n v="350"/>
  </r>
  <r>
    <x v="103"/>
    <x v="4"/>
    <n v="111.99999958276749"/>
  </r>
  <r>
    <x v="432"/>
    <x v="4"/>
    <n v="560"/>
  </r>
  <r>
    <x v="30"/>
    <x v="4"/>
    <n v="285.59999799728394"/>
  </r>
  <r>
    <x v="110"/>
    <x v="4"/>
    <n v="196"/>
  </r>
  <r>
    <x v="111"/>
    <x v="4"/>
    <n v="56"/>
  </r>
  <r>
    <x v="34"/>
    <x v="4"/>
    <n v="420"/>
  </r>
  <r>
    <x v="447"/>
    <x v="4"/>
    <n v="112"/>
  </r>
  <r>
    <x v="403"/>
    <x v="4"/>
    <n v="44.8"/>
  </r>
  <r>
    <x v="448"/>
    <x v="4"/>
    <n v="89.599999666213989"/>
  </r>
  <r>
    <x v="83"/>
    <x v="4"/>
    <n v="75.599999874830246"/>
  </r>
  <r>
    <x v="395"/>
    <x v="4"/>
    <n v="112"/>
  </r>
  <r>
    <x v="213"/>
    <x v="4"/>
    <n v="42"/>
  </r>
  <r>
    <x v="381"/>
    <x v="4"/>
    <n v="210"/>
  </r>
  <r>
    <x v="419"/>
    <x v="4"/>
    <n v="490"/>
  </r>
  <r>
    <x v="139"/>
    <x v="4"/>
    <n v="23.799999833106995"/>
  </r>
  <r>
    <x v="266"/>
    <x v="4"/>
    <n v="168"/>
  </r>
  <r>
    <x v="95"/>
    <x v="4"/>
    <n v="35"/>
  </r>
  <r>
    <x v="383"/>
    <x v="4"/>
    <n v="63"/>
  </r>
  <r>
    <x v="449"/>
    <x v="4"/>
    <n v="28"/>
  </r>
  <r>
    <x v="273"/>
    <x v="4"/>
    <n v="175"/>
  </r>
  <r>
    <x v="345"/>
    <x v="4"/>
    <n v="126"/>
  </r>
  <r>
    <x v="219"/>
    <x v="4"/>
    <n v="420"/>
  </r>
  <r>
    <x v="308"/>
    <x v="4"/>
    <n v="99.749999921768904"/>
  </r>
  <r>
    <x v="346"/>
    <x v="4"/>
    <n v="56"/>
  </r>
  <r>
    <x v="221"/>
    <x v="4"/>
    <n v="140"/>
  </r>
  <r>
    <x v="368"/>
    <x v="4"/>
    <n v="56"/>
  </r>
  <r>
    <x v="27"/>
    <x v="4"/>
    <n v="93.09999992698431"/>
  </r>
  <r>
    <x v="246"/>
    <x v="4"/>
    <n v="71.399999499320984"/>
  </r>
  <r>
    <x v="247"/>
    <x v="4"/>
    <n v="35"/>
  </r>
  <r>
    <x v="105"/>
    <x v="4"/>
    <n v="39.899999968707561"/>
  </r>
  <r>
    <x v="251"/>
    <x v="4"/>
    <n v="223.99999916553497"/>
  </r>
  <r>
    <x v="109"/>
    <x v="4"/>
    <n v="105"/>
  </r>
  <r>
    <x v="30"/>
    <x v="4"/>
    <n v="70"/>
  </r>
  <r>
    <x v="151"/>
    <x v="4"/>
    <n v="14"/>
  </r>
  <r>
    <x v="73"/>
    <x v="4"/>
    <n v="14"/>
  </r>
  <r>
    <x v="285"/>
    <x v="4"/>
    <n v="60.8"/>
  </r>
  <r>
    <x v="450"/>
    <x v="4"/>
    <n v="121.6"/>
  </r>
  <r>
    <x v="324"/>
    <x v="4"/>
    <n v="608"/>
  </r>
  <r>
    <x v="153"/>
    <x v="4"/>
    <n v="346.55999972820285"/>
  </r>
  <r>
    <x v="451"/>
    <x v="4"/>
    <n v="608"/>
  </r>
  <r>
    <x v="452"/>
    <x v="4"/>
    <n v="410.40000000000003"/>
  </r>
  <r>
    <x v="357"/>
    <x v="4"/>
    <n v="608"/>
  </r>
  <r>
    <x v="132"/>
    <x v="4"/>
    <n v="2128"/>
  </r>
  <r>
    <x v="453"/>
    <x v="4"/>
    <n v="152"/>
  </r>
  <r>
    <x v="364"/>
    <x v="4"/>
    <n v="912"/>
  </r>
  <r>
    <x v="260"/>
    <x v="4"/>
    <n v="851.2"/>
  </r>
  <r>
    <x v="230"/>
    <x v="4"/>
    <n v="1094.3999981880188"/>
  </r>
  <r>
    <x v="189"/>
    <x v="4"/>
    <n v="456"/>
  </r>
  <r>
    <x v="190"/>
    <x v="4"/>
    <n v="729.5999972820282"/>
  </r>
  <r>
    <x v="445"/>
    <x v="4"/>
    <n v="608"/>
  </r>
  <r>
    <x v="317"/>
    <x v="4"/>
    <n v="912"/>
  </r>
  <r>
    <x v="329"/>
    <x v="4"/>
    <n v="425.6"/>
  </r>
  <r>
    <x v="235"/>
    <x v="4"/>
    <n v="2660"/>
  </r>
  <r>
    <x v="434"/>
    <x v="4"/>
    <n v="1520"/>
  </r>
  <r>
    <x v="10"/>
    <x v="4"/>
    <n v="968.9999932050705"/>
  </r>
  <r>
    <x v="92"/>
    <x v="4"/>
    <n v="1215.999995470047"/>
  </r>
  <r>
    <x v="411"/>
    <x v="4"/>
    <n v="2165.9999983012676"/>
  </r>
  <r>
    <x v="94"/>
    <x v="4"/>
    <n v="151.99999943375587"/>
  </r>
  <r>
    <x v="454"/>
    <x v="4"/>
    <n v="1064"/>
  </r>
  <r>
    <x v="160"/>
    <x v="4"/>
    <n v="532"/>
  </r>
  <r>
    <x v="290"/>
    <x v="4"/>
    <n v="760"/>
  </r>
  <r>
    <x v="283"/>
    <x v="4"/>
    <n v="2165.9999983012676"/>
  </r>
  <r>
    <x v="297"/>
    <x v="4"/>
    <n v="1710"/>
  </r>
  <r>
    <x v="319"/>
    <x v="4"/>
    <n v="387.5999972820282"/>
  </r>
  <r>
    <x v="331"/>
    <x v="4"/>
    <n v="570"/>
  </r>
  <r>
    <x v="352"/>
    <x v="4"/>
    <n v="1140"/>
  </r>
  <r>
    <x v="55"/>
    <x v="4"/>
    <n v="513"/>
  </r>
  <r>
    <x v="284"/>
    <x v="4"/>
    <n v="360.99999971687794"/>
  </r>
  <r>
    <x v="144"/>
    <x v="4"/>
    <n v="425.59999841451645"/>
  </r>
  <r>
    <x v="274"/>
    <x v="4"/>
    <n v="1064"/>
  </r>
  <r>
    <x v="274"/>
    <x v="4"/>
    <n v="570"/>
  </r>
  <r>
    <x v="385"/>
    <x v="4"/>
    <n v="855"/>
  </r>
  <r>
    <x v="180"/>
    <x v="4"/>
    <n v="2280"/>
  </r>
  <r>
    <x v="424"/>
    <x v="4"/>
    <n v="607.9999977350235"/>
  </r>
  <r>
    <x v="145"/>
    <x v="4"/>
    <n v="645.999995470047"/>
  </r>
  <r>
    <x v="221"/>
    <x v="4"/>
    <n v="645.999995470047"/>
  </r>
  <r>
    <x v="198"/>
    <x v="4"/>
    <n v="1140"/>
  </r>
  <r>
    <x v="199"/>
    <x v="4"/>
    <n v="1140"/>
  </r>
  <r>
    <x v="323"/>
    <x v="4"/>
    <n v="912"/>
  </r>
  <r>
    <x v="67"/>
    <x v="4"/>
    <n v="758.09999940544367"/>
  </r>
  <r>
    <x v="455"/>
    <x v="4"/>
    <n v="608"/>
  </r>
  <r>
    <x v="104"/>
    <x v="4"/>
    <n v="684"/>
  </r>
  <r>
    <x v="249"/>
    <x v="4"/>
    <n v="38"/>
  </r>
  <r>
    <x v="164"/>
    <x v="4"/>
    <n v="387.5999972820282"/>
  </r>
  <r>
    <x v="226"/>
    <x v="4"/>
    <n v="190"/>
  </r>
  <r>
    <x v="112"/>
    <x v="4"/>
    <n v="760"/>
  </r>
  <r>
    <x v="313"/>
    <x v="4"/>
    <n v="222.29999982565641"/>
  </r>
  <r>
    <x v="126"/>
    <x v="4"/>
    <n v="780"/>
  </r>
  <r>
    <x v="456"/>
    <x v="4"/>
    <n v="31.2"/>
  </r>
  <r>
    <x v="228"/>
    <x v="4"/>
    <n v="249.6"/>
  </r>
  <r>
    <x v="80"/>
    <x v="4"/>
    <n v="390"/>
  </r>
  <r>
    <x v="361"/>
    <x v="4"/>
    <n v="390"/>
  </r>
  <r>
    <x v="158"/>
    <x v="4"/>
    <n v="312"/>
  </r>
  <r>
    <x v="118"/>
    <x v="4"/>
    <n v="187.19999930262566"/>
  </r>
  <r>
    <x v="408"/>
    <x v="4"/>
    <n v="87.749999854713678"/>
  </r>
  <r>
    <x v="138"/>
    <x v="4"/>
    <n v="117"/>
  </r>
  <r>
    <x v="265"/>
    <x v="4"/>
    <n v="78"/>
  </r>
  <r>
    <x v="94"/>
    <x v="4"/>
    <n v="390"/>
  </r>
  <r>
    <x v="196"/>
    <x v="4"/>
    <n v="780"/>
  </r>
  <r>
    <x v="385"/>
    <x v="4"/>
    <n v="204.75"/>
  </r>
  <r>
    <x v="222"/>
    <x v="4"/>
    <n v="292.5"/>
  </r>
  <r>
    <x v="181"/>
    <x v="4"/>
    <n v="292.5"/>
  </r>
  <r>
    <x v="148"/>
    <x v="4"/>
    <n v="468"/>
  </r>
  <r>
    <x v="64"/>
    <x v="4"/>
    <n v="185.24999985471368"/>
  </r>
  <r>
    <x v="348"/>
    <x v="4"/>
    <n v="390"/>
  </r>
  <r>
    <x v="248"/>
    <x v="4"/>
    <n v="585"/>
  </r>
  <r>
    <x v="165"/>
    <x v="4"/>
    <n v="292.5"/>
  </r>
  <r>
    <x v="151"/>
    <x v="4"/>
    <n v="546"/>
  </r>
  <r>
    <x v="114"/>
    <x v="4"/>
    <n v="390"/>
  </r>
  <r>
    <x v="275"/>
    <x v="4"/>
    <n v="239.4"/>
  </r>
  <r>
    <x v="257"/>
    <x v="4"/>
    <n v="1330"/>
  </r>
  <r>
    <x v="361"/>
    <x v="4"/>
    <n v="837.89999861270189"/>
  </r>
  <r>
    <x v="5"/>
    <x v="4"/>
    <n v="798"/>
  </r>
  <r>
    <x v="453"/>
    <x v="4"/>
    <n v="186.2"/>
  </r>
  <r>
    <x v="230"/>
    <x v="4"/>
    <n v="718.19999881088734"/>
  </r>
  <r>
    <x v="339"/>
    <x v="4"/>
    <n v="159.6"/>
  </r>
  <r>
    <x v="316"/>
    <x v="4"/>
    <n v="837.89999861270189"/>
  </r>
  <r>
    <x v="445"/>
    <x v="4"/>
    <n v="212.8"/>
  </r>
  <r>
    <x v="159"/>
    <x v="4"/>
    <n v="798"/>
  </r>
  <r>
    <x v="237"/>
    <x v="4"/>
    <n v="997.5"/>
  </r>
  <r>
    <x v="93"/>
    <x v="4"/>
    <n v="538.6499991081655"/>
  </r>
  <r>
    <x v="121"/>
    <x v="4"/>
    <n v="199.5"/>
  </r>
  <r>
    <x v="15"/>
    <x v="4"/>
    <n v="299.25"/>
  </r>
  <r>
    <x v="421"/>
    <x v="4"/>
    <n v="448.87499925680459"/>
  </r>
  <r>
    <x v="242"/>
    <x v="4"/>
    <n v="931"/>
  </r>
  <r>
    <x v="122"/>
    <x v="4"/>
    <n v="798"/>
  </r>
  <r>
    <x v="304"/>
    <x v="4"/>
    <n v="930.99999653175473"/>
  </r>
  <r>
    <x v="147"/>
    <x v="4"/>
    <n v="99.75"/>
  </r>
  <r>
    <x v="148"/>
    <x v="4"/>
    <n v="997.5"/>
  </r>
  <r>
    <x v="149"/>
    <x v="4"/>
    <n v="1596"/>
  </r>
  <r>
    <x v="101"/>
    <x v="4"/>
    <n v="748.125"/>
  </r>
  <r>
    <x v="291"/>
    <x v="4"/>
    <n v="473.81249962840229"/>
  </r>
  <r>
    <x v="347"/>
    <x v="4"/>
    <n v="665"/>
  </r>
  <r>
    <x v="150"/>
    <x v="4"/>
    <n v="266"/>
  </r>
  <r>
    <x v="106"/>
    <x v="4"/>
    <n v="133"/>
  </r>
  <r>
    <x v="33"/>
    <x v="4"/>
    <n v="665"/>
  </r>
  <r>
    <x v="113"/>
    <x v="4"/>
    <n v="664.99999752268195"/>
  </r>
  <r>
    <x v="36"/>
    <x v="4"/>
    <n v="4322.5"/>
  </r>
  <r>
    <x v="73"/>
    <x v="4"/>
    <n v="64.505000044591725"/>
  </r>
  <r>
    <x v="211"/>
    <x v="5"/>
    <n v="1396.7999976873398"/>
  </r>
  <r>
    <x v="341"/>
    <x v="5"/>
    <n v="1319.1999907493591"/>
  </r>
  <r>
    <x v="377"/>
    <x v="5"/>
    <n v="3637.5"/>
  </r>
  <r>
    <x v="217"/>
    <x v="5"/>
    <n v="582"/>
  </r>
  <r>
    <x v="224"/>
    <x v="5"/>
    <n v="291"/>
  </r>
  <r>
    <x v="441"/>
    <x v="5"/>
    <n v="168"/>
  </r>
  <r>
    <x v="206"/>
    <x v="5"/>
    <n v="936"/>
  </r>
  <r>
    <x v="457"/>
    <x v="5"/>
    <n v="351"/>
  </r>
  <r>
    <x v="1"/>
    <x v="5"/>
    <n v="468"/>
  </r>
  <r>
    <x v="185"/>
    <x v="5"/>
    <n v="1248"/>
  </r>
  <r>
    <x v="256"/>
    <x v="5"/>
    <n v="249.6"/>
  </r>
  <r>
    <x v="458"/>
    <x v="5"/>
    <n v="624"/>
  </r>
  <r>
    <x v="278"/>
    <x v="5"/>
    <n v="2074.7999983727932"/>
  </r>
  <r>
    <x v="451"/>
    <x v="5"/>
    <n v="1010.8799983263016"/>
  </r>
  <r>
    <x v="426"/>
    <x v="5"/>
    <n v="62.4"/>
  </r>
  <r>
    <x v="364"/>
    <x v="5"/>
    <n v="1123.1999958157539"/>
  </r>
  <r>
    <x v="364"/>
    <x v="5"/>
    <n v="1170"/>
  </r>
  <r>
    <x v="134"/>
    <x v="5"/>
    <n v="312"/>
  </r>
  <r>
    <x v="193"/>
    <x v="5"/>
    <n v="877.49999854713678"/>
  </r>
  <r>
    <x v="194"/>
    <x v="5"/>
    <n v="1560"/>
  </r>
  <r>
    <x v="136"/>
    <x v="5"/>
    <n v="280.79999953508377"/>
  </r>
  <r>
    <x v="419"/>
    <x v="5"/>
    <n v="592.79999953508377"/>
  </r>
  <r>
    <x v="121"/>
    <x v="5"/>
    <n v="702"/>
  </r>
  <r>
    <x v="281"/>
    <x v="5"/>
    <n v="3900"/>
  </r>
  <r>
    <x v="377"/>
    <x v="5"/>
    <n v="935.99999651312828"/>
  </r>
  <r>
    <x v="142"/>
    <x v="5"/>
    <n v="780"/>
  </r>
  <r>
    <x v="218"/>
    <x v="5"/>
    <n v="296.39999976754189"/>
  </r>
  <r>
    <x v="55"/>
    <x v="5"/>
    <n v="789.75"/>
  </r>
  <r>
    <x v="284"/>
    <x v="5"/>
    <n v="740.99999941885471"/>
  </r>
  <r>
    <x v="244"/>
    <x v="5"/>
    <n v="1287"/>
  </r>
  <r>
    <x v="346"/>
    <x v="5"/>
    <n v="1023.75"/>
  </r>
  <r>
    <x v="400"/>
    <x v="5"/>
    <n v="1170"/>
  </r>
  <r>
    <x v="64"/>
    <x v="5"/>
    <n v="234"/>
  </r>
  <r>
    <x v="368"/>
    <x v="5"/>
    <n v="1638"/>
  </r>
  <r>
    <x v="291"/>
    <x v="5"/>
    <n v="592.79999953508377"/>
  </r>
  <r>
    <x v="68"/>
    <x v="5"/>
    <n v="585"/>
  </r>
  <r>
    <x v="27"/>
    <x v="5"/>
    <n v="468"/>
  </r>
  <r>
    <x v="348"/>
    <x v="5"/>
    <n v="390"/>
  </r>
  <r>
    <x v="103"/>
    <x v="5"/>
    <n v="585"/>
  </r>
  <r>
    <x v="292"/>
    <x v="5"/>
    <n v="234"/>
  </r>
  <r>
    <x v="251"/>
    <x v="5"/>
    <n v="234"/>
  </r>
  <r>
    <x v="227"/>
    <x v="5"/>
    <n v="468"/>
  </r>
  <r>
    <x v="125"/>
    <x v="5"/>
    <n v="2702.6999955251813"/>
  </r>
  <r>
    <x v="442"/>
    <x v="5"/>
    <n v="990"/>
  </r>
  <r>
    <x v="286"/>
    <x v="5"/>
    <n v="1485"/>
  </r>
  <r>
    <x v="169"/>
    <x v="5"/>
    <n v="2227.4999963119626"/>
  </r>
  <r>
    <x v="4"/>
    <x v="5"/>
    <n v="396"/>
  </r>
  <r>
    <x v="156"/>
    <x v="5"/>
    <n v="3465"/>
  </r>
  <r>
    <x v="452"/>
    <x v="5"/>
    <n v="1980"/>
  </r>
  <r>
    <x v="287"/>
    <x v="5"/>
    <n v="1386"/>
  </r>
  <r>
    <x v="132"/>
    <x v="5"/>
    <n v="2079"/>
  </r>
  <r>
    <x v="47"/>
    <x v="5"/>
    <n v="2019.5999858379364"/>
  </r>
  <r>
    <x v="84"/>
    <x v="5"/>
    <n v="1603.7999973446131"/>
  </r>
  <r>
    <x v="234"/>
    <x v="5"/>
    <n v="4456.4399999999996"/>
  </r>
  <r>
    <x v="420"/>
    <x v="5"/>
    <n v="1237.9000000000001"/>
  </r>
  <r>
    <x v="96"/>
    <x v="5"/>
    <n v="742.74"/>
  </r>
  <r>
    <x v="15"/>
    <x v="5"/>
    <n v="2475.8000000000002"/>
  </r>
  <r>
    <x v="320"/>
    <x v="5"/>
    <n v="4456.4399999999996"/>
  </r>
  <r>
    <x v="377"/>
    <x v="5"/>
    <n v="1237.9000000000001"/>
  </r>
  <r>
    <x v="18"/>
    <x v="5"/>
    <n v="4951.6000000000004"/>
  </r>
  <r>
    <x v="218"/>
    <x v="5"/>
    <n v="1411.2059988932313"/>
  </r>
  <r>
    <x v="430"/>
    <x v="5"/>
    <n v="2228.2199999999998"/>
  </r>
  <r>
    <x v="59"/>
    <x v="5"/>
    <n v="2352.0099981553853"/>
  </r>
  <r>
    <x v="60"/>
    <x v="5"/>
    <n v="1646.4069987087696"/>
  </r>
  <r>
    <x v="400"/>
    <x v="5"/>
    <n v="1856.8500000000001"/>
  </r>
  <r>
    <x v="223"/>
    <x v="5"/>
    <n v="940.80399926215409"/>
  </r>
  <r>
    <x v="65"/>
    <x v="5"/>
    <n v="928.42500000000007"/>
  </r>
  <r>
    <x v="102"/>
    <x v="5"/>
    <n v="2970.96"/>
  </r>
  <r>
    <x v="455"/>
    <x v="5"/>
    <n v="9903.2000000000007"/>
  </r>
  <r>
    <x v="27"/>
    <x v="5"/>
    <n v="5570.5499999999993"/>
  </r>
  <r>
    <x v="251"/>
    <x v="5"/>
    <n v="1733.06"/>
  </r>
  <r>
    <x v="70"/>
    <x v="5"/>
    <n v="4642.125"/>
  </r>
  <r>
    <x v="31"/>
    <x v="5"/>
    <n v="185.685"/>
  </r>
  <r>
    <x v="110"/>
    <x v="5"/>
    <n v="1237.9000000000001"/>
  </r>
  <r>
    <x v="33"/>
    <x v="5"/>
    <n v="5570.5499999999993"/>
  </r>
  <r>
    <x v="327"/>
    <x v="5"/>
    <n v="393"/>
  </r>
  <r>
    <x v="0"/>
    <x v="5"/>
    <n v="754.55999718904502"/>
  </r>
  <r>
    <x v="459"/>
    <x v="5"/>
    <n v="262"/>
  </r>
  <r>
    <x v="187"/>
    <x v="5"/>
    <n v="524"/>
  </r>
  <r>
    <x v="209"/>
    <x v="5"/>
    <n v="471.59999921917915"/>
  </r>
  <r>
    <x v="448"/>
    <x v="5"/>
    <n v="1048"/>
  </r>
  <r>
    <x v="437"/>
    <x v="5"/>
    <n v="1650.599997267127"/>
  </r>
  <r>
    <x v="158"/>
    <x v="5"/>
    <n v="262"/>
  </r>
  <r>
    <x v="211"/>
    <x v="5"/>
    <n v="334.04999765753746"/>
  </r>
  <r>
    <x v="230"/>
    <x v="5"/>
    <n v="393"/>
  </r>
  <r>
    <x v="174"/>
    <x v="5"/>
    <n v="1310"/>
  </r>
  <r>
    <x v="159"/>
    <x v="5"/>
    <n v="733.6"/>
  </r>
  <r>
    <x v="202"/>
    <x v="5"/>
    <n v="196.8"/>
  </r>
  <r>
    <x v="50"/>
    <x v="5"/>
    <n v="328"/>
  </r>
  <r>
    <x v="90"/>
    <x v="5"/>
    <n v="164"/>
  </r>
  <r>
    <x v="381"/>
    <x v="5"/>
    <n v="590.4"/>
  </r>
  <r>
    <x v="121"/>
    <x v="5"/>
    <n v="820"/>
  </r>
  <r>
    <x v="399"/>
    <x v="5"/>
    <n v="393.6"/>
  </r>
  <r>
    <x v="460"/>
    <x v="5"/>
    <n v="778.99999938905239"/>
  </r>
  <r>
    <x v="461"/>
    <x v="5"/>
    <n v="328"/>
  </r>
  <r>
    <x v="352"/>
    <x v="5"/>
    <n v="3936"/>
  </r>
  <r>
    <x v="352"/>
    <x v="5"/>
    <n v="93.47999992668629"/>
  </r>
  <r>
    <x v="222"/>
    <x v="5"/>
    <n v="656"/>
  </r>
  <r>
    <x v="223"/>
    <x v="5"/>
    <n v="265.67999956011772"/>
  </r>
  <r>
    <x v="66"/>
    <x v="5"/>
    <n v="98.4"/>
  </r>
  <r>
    <x v="248"/>
    <x v="5"/>
    <n v="65.599999999999994"/>
  </r>
  <r>
    <x v="105"/>
    <x v="5"/>
    <n v="656"/>
  </r>
  <r>
    <x v="33"/>
    <x v="5"/>
    <n v="2066.3999965786934"/>
  </r>
  <r>
    <x v="124"/>
    <x v="5"/>
    <n v="262.39999902248383"/>
  </r>
  <r>
    <x v="125"/>
    <x v="5"/>
    <n v="737.99999877810478"/>
  </r>
  <r>
    <x v="402"/>
    <x v="5"/>
    <n v="53.099999912083149"/>
  </r>
  <r>
    <x v="459"/>
    <x v="5"/>
    <n v="29.5"/>
  </r>
  <r>
    <x v="371"/>
    <x v="5"/>
    <n v="88.5"/>
  </r>
  <r>
    <x v="462"/>
    <x v="5"/>
    <n v="141.6"/>
  </r>
  <r>
    <x v="79"/>
    <x v="5"/>
    <n v="100.29999929666519"/>
  </r>
  <r>
    <x v="156"/>
    <x v="5"/>
    <n v="165.2"/>
  </r>
  <r>
    <x v="369"/>
    <x v="5"/>
    <n v="141.6"/>
  </r>
  <r>
    <x v="117"/>
    <x v="5"/>
    <n v="106.2"/>
  </r>
  <r>
    <x v="463"/>
    <x v="5"/>
    <n v="59"/>
  </r>
  <r>
    <x v="394"/>
    <x v="5"/>
    <n v="35.4"/>
  </r>
  <r>
    <x v="375"/>
    <x v="5"/>
    <n v="236"/>
  </r>
  <r>
    <x v="325"/>
    <x v="5"/>
    <n v="472"/>
  </r>
  <r>
    <x v="173"/>
    <x v="5"/>
    <n v="88.5"/>
  </r>
  <r>
    <x v="316"/>
    <x v="5"/>
    <n v="28.319999894499777"/>
  </r>
  <r>
    <x v="349"/>
    <x v="5"/>
    <n v="106.19999999999999"/>
  </r>
  <r>
    <x v="295"/>
    <x v="5"/>
    <n v="149"/>
  </r>
  <r>
    <x v="193"/>
    <x v="5"/>
    <n v="111.75"/>
  </r>
  <r>
    <x v="280"/>
    <x v="5"/>
    <n v="59.599999777972698"/>
  </r>
  <r>
    <x v="409"/>
    <x v="5"/>
    <n v="169.85999986678362"/>
  </r>
  <r>
    <x v="12"/>
    <x v="5"/>
    <n v="372.5"/>
  </r>
  <r>
    <x v="428"/>
    <x v="5"/>
    <n v="29.8"/>
  </r>
  <r>
    <x v="460"/>
    <x v="5"/>
    <n v="223.5"/>
  </r>
  <r>
    <x v="178"/>
    <x v="5"/>
    <n v="40.229999933391809"/>
  </r>
  <r>
    <x v="415"/>
    <x v="5"/>
    <n v="223.5"/>
  </r>
  <r>
    <x v="217"/>
    <x v="5"/>
    <n v="379.94999733567238"/>
  </r>
  <r>
    <x v="305"/>
    <x v="5"/>
    <n v="111.75"/>
  </r>
  <r>
    <x v="344"/>
    <x v="5"/>
    <n v="223.5"/>
  </r>
  <r>
    <x v="424"/>
    <x v="5"/>
    <n v="17.879999933391812"/>
  </r>
  <r>
    <x v="60"/>
    <x v="5"/>
    <n v="22.35"/>
  </r>
  <r>
    <x v="346"/>
    <x v="5"/>
    <n v="35.759999866783623"/>
  </r>
  <r>
    <x v="100"/>
    <x v="5"/>
    <n v="46.934999922290444"/>
  </r>
  <r>
    <x v="101"/>
    <x v="5"/>
    <n v="195.5625"/>
  </r>
  <r>
    <x v="388"/>
    <x v="5"/>
    <n v="202.63999857902527"/>
  </r>
  <r>
    <x v="348"/>
    <x v="5"/>
    <n v="74.5"/>
  </r>
  <r>
    <x v="34"/>
    <x v="5"/>
    <n v="74.5"/>
  </r>
  <r>
    <x v="125"/>
    <x v="5"/>
    <n v="111.75"/>
  </r>
  <r>
    <x v="74"/>
    <x v="5"/>
    <n v="342.71999759674071"/>
  </r>
  <r>
    <x v="77"/>
    <x v="5"/>
    <n v="384"/>
  </r>
  <r>
    <x v="43"/>
    <x v="5"/>
    <n v="614.39999771118164"/>
  </r>
  <r>
    <x v="416"/>
    <x v="5"/>
    <n v="230.4"/>
  </r>
  <r>
    <x v="210"/>
    <x v="5"/>
    <n v="288"/>
  </r>
  <r>
    <x v="131"/>
    <x v="5"/>
    <n v="2073.5999965667725"/>
  </r>
  <r>
    <x v="259"/>
    <x v="5"/>
    <n v="144"/>
  </r>
  <r>
    <x v="316"/>
    <x v="5"/>
    <n v="2073.5999965667725"/>
  </r>
  <r>
    <x v="231"/>
    <x v="5"/>
    <n v="864"/>
  </r>
  <r>
    <x v="8"/>
    <x v="5"/>
    <n v="36.479999971389766"/>
  </r>
  <r>
    <x v="49"/>
    <x v="5"/>
    <n v="518.39999914169312"/>
  </r>
  <r>
    <x v="405"/>
    <x v="5"/>
    <n v="336"/>
  </r>
  <r>
    <x v="464"/>
    <x v="5"/>
    <n v="410.39999967813492"/>
  </r>
  <r>
    <x v="419"/>
    <x v="5"/>
    <n v="569.99999955296516"/>
  </r>
  <r>
    <x v="281"/>
    <x v="5"/>
    <n v="383.99999856948853"/>
  </r>
  <r>
    <x v="465"/>
    <x v="5"/>
    <n v="120"/>
  </r>
  <r>
    <x v="269"/>
    <x v="5"/>
    <n v="273.59999978542328"/>
  </r>
  <r>
    <x v="421"/>
    <x v="5"/>
    <n v="86.399999856948853"/>
  </r>
  <r>
    <x v="196"/>
    <x v="5"/>
    <n v="504"/>
  </r>
  <r>
    <x v="449"/>
    <x v="5"/>
    <n v="144"/>
  </r>
  <r>
    <x v="20"/>
    <x v="5"/>
    <n v="288"/>
  </r>
  <r>
    <x v="400"/>
    <x v="5"/>
    <n v="1080"/>
  </r>
  <r>
    <x v="291"/>
    <x v="5"/>
    <n v="227.99999982118607"/>
  </r>
  <r>
    <x v="401"/>
    <x v="5"/>
    <n v="611.99999570846558"/>
  </r>
  <r>
    <x v="248"/>
    <x v="5"/>
    <n v="479.99999821186066"/>
  </r>
  <r>
    <x v="292"/>
    <x v="5"/>
    <n v="96"/>
  </r>
  <r>
    <x v="70"/>
    <x v="5"/>
    <n v="1325.9999907016754"/>
  </r>
  <r>
    <x v="30"/>
    <x v="5"/>
    <n v="144"/>
  </r>
  <r>
    <x v="30"/>
    <x v="5"/>
    <n v="960"/>
  </r>
  <r>
    <x v="112"/>
    <x v="5"/>
    <n v="840"/>
  </r>
  <r>
    <x v="114"/>
    <x v="5"/>
    <n v="840"/>
  </r>
  <r>
    <x v="125"/>
    <x v="5"/>
    <n v="86.399999856948853"/>
  </r>
  <r>
    <x v="73"/>
    <x v="5"/>
    <n v="48"/>
  </r>
  <r>
    <x v="285"/>
    <x v="6"/>
    <n v="360"/>
  </r>
  <r>
    <x v="404"/>
    <x v="6"/>
    <n v="191.99999928474426"/>
  </r>
  <r>
    <x v="443"/>
    <x v="6"/>
    <n v="364.79999971389771"/>
  </r>
  <r>
    <x v="445"/>
    <x v="6"/>
    <n v="720"/>
  </r>
  <r>
    <x v="234"/>
    <x v="6"/>
    <n v="1274.9999910593033"/>
  </r>
  <r>
    <x v="135"/>
    <x v="6"/>
    <n v="300"/>
  </r>
  <r>
    <x v="12"/>
    <x v="6"/>
    <n v="300"/>
  </r>
  <r>
    <x v="281"/>
    <x v="6"/>
    <n v="1350"/>
  </r>
  <r>
    <x v="241"/>
    <x v="6"/>
    <n v="1050"/>
  </r>
  <r>
    <x v="217"/>
    <x v="6"/>
    <n v="2700"/>
  </r>
  <r>
    <x v="58"/>
    <x v="6"/>
    <n v="1050"/>
  </r>
  <r>
    <x v="145"/>
    <x v="6"/>
    <n v="76.499999463558197"/>
  </r>
  <r>
    <x v="223"/>
    <x v="6"/>
    <n v="539.99999910593033"/>
  </r>
  <r>
    <x v="101"/>
    <x v="6"/>
    <n v="150"/>
  </r>
  <r>
    <x v="27"/>
    <x v="6"/>
    <n v="569.99999955296516"/>
  </r>
  <r>
    <x v="27"/>
    <x v="6"/>
    <n v="360"/>
  </r>
  <r>
    <x v="389"/>
    <x v="6"/>
    <n v="240"/>
  </r>
  <r>
    <x v="150"/>
    <x v="6"/>
    <n v="180"/>
  </r>
  <r>
    <x v="105"/>
    <x v="6"/>
    <n v="1350"/>
  </r>
  <r>
    <x v="107"/>
    <x v="6"/>
    <n v="540"/>
  </r>
  <r>
    <x v="165"/>
    <x v="6"/>
    <n v="600"/>
  </r>
  <r>
    <x v="200"/>
    <x v="6"/>
    <n v="1800"/>
  </r>
  <r>
    <x v="200"/>
    <x v="6"/>
    <n v="1800"/>
  </r>
  <r>
    <x v="30"/>
    <x v="6"/>
    <n v="1800"/>
  </r>
  <r>
    <x v="111"/>
    <x v="6"/>
    <n v="600"/>
  </r>
  <r>
    <x v="71"/>
    <x v="6"/>
    <n v="120"/>
  </r>
  <r>
    <x v="114"/>
    <x v="6"/>
    <n v="1200"/>
  </r>
  <r>
    <x v="36"/>
    <x v="6"/>
    <n v="427.49999966472387"/>
  </r>
  <r>
    <x v="73"/>
    <x v="6"/>
    <n v="28.499999977648258"/>
  </r>
  <r>
    <x v="466"/>
    <x v="6"/>
    <n v="167.4"/>
  </r>
  <r>
    <x v="289"/>
    <x v="6"/>
    <n v="167.4"/>
  </r>
  <r>
    <x v="360"/>
    <x v="6"/>
    <n v="186"/>
  </r>
  <r>
    <x v="463"/>
    <x v="6"/>
    <n v="279"/>
  </r>
  <r>
    <x v="44"/>
    <x v="6"/>
    <n v="585.90000000000009"/>
  </r>
  <r>
    <x v="363"/>
    <x v="6"/>
    <n v="223.2"/>
  </r>
  <r>
    <x v="467"/>
    <x v="6"/>
    <n v="334.7999994456768"/>
  </r>
  <r>
    <x v="453"/>
    <x v="6"/>
    <n v="651"/>
  </r>
  <r>
    <x v="232"/>
    <x v="6"/>
    <n v="223.2"/>
  </r>
  <r>
    <x v="50"/>
    <x v="6"/>
    <n v="1627.5"/>
  </r>
  <r>
    <x v="92"/>
    <x v="6"/>
    <n v="557.99999792128801"/>
  </r>
  <r>
    <x v="411"/>
    <x v="6"/>
    <n v="217.38749847561121"/>
  </r>
  <r>
    <x v="240"/>
    <x v="6"/>
    <n v="331.312499740161"/>
  </r>
  <r>
    <x v="96"/>
    <x v="6"/>
    <n v="488.25"/>
  </r>
  <r>
    <x v="435"/>
    <x v="6"/>
    <n v="69.75"/>
  </r>
  <r>
    <x v="297"/>
    <x v="6"/>
    <n v="62.774999896064401"/>
  </r>
  <r>
    <x v="461"/>
    <x v="6"/>
    <n v="697.5"/>
  </r>
  <r>
    <x v="273"/>
    <x v="6"/>
    <n v="372"/>
  </r>
  <r>
    <x v="429"/>
    <x v="6"/>
    <n v="98.812499307096004"/>
  </r>
  <r>
    <x v="346"/>
    <x v="6"/>
    <n v="278.99999896064401"/>
  </r>
  <r>
    <x v="73"/>
    <x v="6"/>
    <n v="348.75"/>
  </r>
  <r>
    <x v="73"/>
    <x v="6"/>
    <n v="22.55250001559034"/>
  </r>
  <r>
    <x v="390"/>
    <x v="6"/>
    <n v="728"/>
  </r>
  <r>
    <x v="185"/>
    <x v="6"/>
    <n v="1019.2"/>
  </r>
  <r>
    <x v="187"/>
    <x v="6"/>
    <n v="145.6"/>
  </r>
  <r>
    <x v="256"/>
    <x v="6"/>
    <n v="509.6"/>
  </r>
  <r>
    <x v="156"/>
    <x v="6"/>
    <n v="1092"/>
  </r>
  <r>
    <x v="361"/>
    <x v="6"/>
    <n v="425.87999929487705"/>
  </r>
  <r>
    <x v="172"/>
    <x v="6"/>
    <n v="618.79999566078186"/>
  </r>
  <r>
    <x v="82"/>
    <x v="6"/>
    <n v="218.4"/>
  </r>
  <r>
    <x v="6"/>
    <x v="6"/>
    <n v="1375.9199977219105"/>
  </r>
  <r>
    <x v="134"/>
    <x v="6"/>
    <n v="436.8"/>
  </r>
  <r>
    <x v="300"/>
    <x v="6"/>
    <n v="546"/>
  </r>
  <r>
    <x v="189"/>
    <x v="6"/>
    <n v="1092"/>
  </r>
  <r>
    <x v="232"/>
    <x v="6"/>
    <n v="655.20000000000005"/>
  </r>
  <r>
    <x v="387"/>
    <x v="6"/>
    <n v="912"/>
  </r>
  <r>
    <x v="295"/>
    <x v="6"/>
    <n v="346.55999972820285"/>
  </r>
  <r>
    <x v="468"/>
    <x v="6"/>
    <n v="136.80000000000001"/>
  </r>
  <r>
    <x v="235"/>
    <x v="6"/>
    <n v="1596"/>
  </r>
  <r>
    <x v="203"/>
    <x v="6"/>
    <n v="319.2"/>
  </r>
  <r>
    <x v="96"/>
    <x v="6"/>
    <n v="456"/>
  </r>
  <r>
    <x v="177"/>
    <x v="6"/>
    <n v="513"/>
  </r>
  <r>
    <x v="97"/>
    <x v="6"/>
    <n v="912"/>
  </r>
  <r>
    <x v="17"/>
    <x v="6"/>
    <n v="2462.3999959230423"/>
  </r>
  <r>
    <x v="273"/>
    <x v="6"/>
    <n v="912"/>
  </r>
  <r>
    <x v="144"/>
    <x v="6"/>
    <n v="182.39999932050705"/>
  </r>
  <r>
    <x v="123"/>
    <x v="6"/>
    <n v="1094.4000000000001"/>
  </r>
  <r>
    <x v="353"/>
    <x v="6"/>
    <n v="136.80000000000001"/>
  </r>
  <r>
    <x v="246"/>
    <x v="6"/>
    <n v="1231.1999979615211"/>
  </r>
  <r>
    <x v="69"/>
    <x v="6"/>
    <n v="364.8"/>
  </r>
  <r>
    <x v="249"/>
    <x v="6"/>
    <n v="91.2"/>
  </r>
  <r>
    <x v="252"/>
    <x v="6"/>
    <n v="912"/>
  </r>
  <r>
    <x v="110"/>
    <x v="6"/>
    <n v="3032.3999976217747"/>
  </r>
  <r>
    <x v="151"/>
    <x v="6"/>
    <n v="912"/>
  </r>
  <r>
    <x v="183"/>
    <x v="6"/>
    <n v="310.07999782562257"/>
  </r>
  <r>
    <x v="466"/>
    <x v="6"/>
    <n v="1696"/>
  </r>
  <r>
    <x v="313"/>
    <x v="6"/>
    <n v="1261.3999911546707"/>
  </r>
  <r>
    <x v="286"/>
    <x v="6"/>
    <n v="76.319999873638153"/>
  </r>
  <r>
    <x v="42"/>
    <x v="6"/>
    <n v="1628.1599939346313"/>
  </r>
  <r>
    <x v="369"/>
    <x v="6"/>
    <n v="848"/>
  </r>
  <r>
    <x v="362"/>
    <x v="6"/>
    <n v="648.71999545097356"/>
  </r>
  <r>
    <x v="86"/>
    <x v="6"/>
    <n v="763.2"/>
  </r>
  <r>
    <x v="119"/>
    <x v="6"/>
    <n v="127.2"/>
  </r>
  <r>
    <x v="349"/>
    <x v="6"/>
    <n v="1060"/>
  </r>
  <r>
    <x v="414"/>
    <x v="6"/>
    <n v="318"/>
  </r>
  <r>
    <x v="418"/>
    <x v="6"/>
    <n v="2162.3999848365784"/>
  </r>
  <r>
    <x v="92"/>
    <x v="6"/>
    <n v="847.99999684095383"/>
  </r>
  <r>
    <x v="381"/>
    <x v="6"/>
    <n v="1060"/>
  </r>
  <r>
    <x v="301"/>
    <x v="6"/>
    <n v="2650"/>
  </r>
  <r>
    <x v="262"/>
    <x v="6"/>
    <n v="159"/>
  </r>
  <r>
    <x v="241"/>
    <x v="6"/>
    <n v="795"/>
  </r>
  <r>
    <x v="319"/>
    <x v="6"/>
    <n v="1006.9999992102385"/>
  </r>
  <r>
    <x v="270"/>
    <x v="6"/>
    <n v="1060"/>
  </r>
  <r>
    <x v="288"/>
    <x v="6"/>
    <n v="1484"/>
  </r>
  <r>
    <x v="305"/>
    <x v="6"/>
    <n v="371"/>
  </r>
  <r>
    <x v="272"/>
    <x v="6"/>
    <n v="1510.4999988153577"/>
  </r>
  <r>
    <x v="180"/>
    <x v="6"/>
    <n v="1484"/>
  </r>
  <r>
    <x v="423"/>
    <x v="6"/>
    <n v="6041.9999952614307"/>
  </r>
  <r>
    <x v="100"/>
    <x v="6"/>
    <n v="476.99999921023846"/>
  </r>
  <r>
    <x v="400"/>
    <x v="6"/>
    <n v="1192.5"/>
  </r>
  <r>
    <x v="146"/>
    <x v="6"/>
    <n v="318"/>
  </r>
  <r>
    <x v="149"/>
    <x v="6"/>
    <n v="159"/>
  </r>
  <r>
    <x v="101"/>
    <x v="6"/>
    <n v="159"/>
  </r>
  <r>
    <x v="25"/>
    <x v="6"/>
    <n v="106"/>
  </r>
  <r>
    <x v="292"/>
    <x v="6"/>
    <n v="2120"/>
  </r>
  <r>
    <x v="250"/>
    <x v="6"/>
    <n v="424"/>
  </r>
  <r>
    <x v="164"/>
    <x v="6"/>
    <n v="848"/>
  </r>
  <r>
    <x v="107"/>
    <x v="6"/>
    <n v="530"/>
  </r>
  <r>
    <x v="432"/>
    <x v="6"/>
    <n v="1060"/>
  </r>
  <r>
    <x v="109"/>
    <x v="6"/>
    <n v="755.24999940767884"/>
  </r>
  <r>
    <x v="71"/>
    <x v="6"/>
    <n v="1749"/>
  </r>
  <r>
    <x v="32"/>
    <x v="6"/>
    <n v="530"/>
  </r>
  <r>
    <x v="152"/>
    <x v="6"/>
    <n v="1272"/>
  </r>
  <r>
    <x v="114"/>
    <x v="6"/>
    <n v="1060"/>
  </r>
  <r>
    <x v="74"/>
    <x v="6"/>
    <n v="168"/>
  </r>
  <r>
    <x v="75"/>
    <x v="6"/>
    <n v="216"/>
  </r>
  <r>
    <x v="5"/>
    <x v="6"/>
    <n v="135.99999904632568"/>
  </r>
  <r>
    <x v="209"/>
    <x v="6"/>
    <n v="112"/>
  </r>
  <r>
    <x v="287"/>
    <x v="6"/>
    <n v="400"/>
  </r>
  <r>
    <x v="45"/>
    <x v="6"/>
    <n v="120"/>
  </r>
  <r>
    <x v="339"/>
    <x v="6"/>
    <n v="240"/>
  </r>
  <r>
    <x v="349"/>
    <x v="6"/>
    <n v="128"/>
  </r>
  <r>
    <x v="469"/>
    <x v="6"/>
    <n v="50"/>
  </r>
  <r>
    <x v="424"/>
    <x v="6"/>
    <n v="350"/>
  </r>
  <r>
    <x v="61"/>
    <x v="6"/>
    <n v="112.5"/>
  </r>
  <r>
    <x v="23"/>
    <x v="6"/>
    <n v="200"/>
  </r>
  <r>
    <x v="109"/>
    <x v="6"/>
    <n v="200"/>
  </r>
  <r>
    <x v="254"/>
    <x v="7"/>
    <n v="565.43999955654147"/>
  </r>
  <r>
    <x v="470"/>
    <x v="7"/>
    <n v="372"/>
  </r>
  <r>
    <x v="373"/>
    <x v="7"/>
    <n v="595.19999778270721"/>
  </r>
  <r>
    <x v="210"/>
    <x v="7"/>
    <n v="396.8"/>
  </r>
  <r>
    <x v="395"/>
    <x v="7"/>
    <n v="347.2"/>
  </r>
  <r>
    <x v="316"/>
    <x v="7"/>
    <n v="396.79999852180481"/>
  </r>
  <r>
    <x v="471"/>
    <x v="7"/>
    <n v="471.1999996304512"/>
  </r>
  <r>
    <x v="434"/>
    <x v="7"/>
    <n v="471.1999996304512"/>
  </r>
  <r>
    <x v="193"/>
    <x v="7"/>
    <n v="62"/>
  </r>
  <r>
    <x v="472"/>
    <x v="7"/>
    <n v="155"/>
  </r>
  <r>
    <x v="13"/>
    <x v="7"/>
    <n v="310"/>
  </r>
  <r>
    <x v="268"/>
    <x v="7"/>
    <n v="2170"/>
  </r>
  <r>
    <x v="16"/>
    <x v="7"/>
    <n v="418.5"/>
  </r>
  <r>
    <x v="319"/>
    <x v="7"/>
    <n v="632.39999556541443"/>
  </r>
  <r>
    <x v="302"/>
    <x v="7"/>
    <n v="62"/>
  </r>
  <r>
    <x v="384"/>
    <x v="7"/>
    <n v="620"/>
  </r>
  <r>
    <x v="17"/>
    <x v="7"/>
    <n v="502.19999916851521"/>
  </r>
  <r>
    <x v="55"/>
    <x v="7"/>
    <n v="558"/>
  </r>
  <r>
    <x v="440"/>
    <x v="7"/>
    <n v="651"/>
  </r>
  <r>
    <x v="306"/>
    <x v="7"/>
    <n v="496"/>
  </r>
  <r>
    <x v="205"/>
    <x v="7"/>
    <n v="186"/>
  </r>
  <r>
    <x v="162"/>
    <x v="7"/>
    <n v="310"/>
  </r>
  <r>
    <x v="123"/>
    <x v="7"/>
    <n v="1116"/>
  </r>
  <r>
    <x v="181"/>
    <x v="7"/>
    <n v="465"/>
  </r>
  <r>
    <x v="199"/>
    <x v="7"/>
    <n v="496"/>
  </r>
  <r>
    <x v="323"/>
    <x v="7"/>
    <n v="2634.9999815225601"/>
  </r>
  <r>
    <x v="353"/>
    <x v="7"/>
    <n v="310"/>
  </r>
  <r>
    <x v="333"/>
    <x v="7"/>
    <n v="2170"/>
  </r>
  <r>
    <x v="246"/>
    <x v="7"/>
    <n v="557.99999907612801"/>
  </r>
  <r>
    <x v="104"/>
    <x v="7"/>
    <n v="775"/>
  </r>
  <r>
    <x v="292"/>
    <x v="7"/>
    <n v="930"/>
  </r>
  <r>
    <x v="71"/>
    <x v="7"/>
    <n v="632.39999556541443"/>
  </r>
  <r>
    <x v="73"/>
    <x v="7"/>
    <n v="31"/>
  </r>
  <r>
    <x v="470"/>
    <x v="7"/>
    <n v="48"/>
  </r>
  <r>
    <x v="286"/>
    <x v="7"/>
    <n v="86.399999856948853"/>
  </r>
  <r>
    <x v="289"/>
    <x v="7"/>
    <n v="57.6"/>
  </r>
  <r>
    <x v="357"/>
    <x v="7"/>
    <n v="96"/>
  </r>
  <r>
    <x v="130"/>
    <x v="7"/>
    <n v="86.4"/>
  </r>
  <r>
    <x v="44"/>
    <x v="7"/>
    <n v="48"/>
  </r>
  <r>
    <x v="211"/>
    <x v="7"/>
    <n v="8.6399999856948853"/>
  </r>
  <r>
    <x v="444"/>
    <x v="7"/>
    <n v="4.8"/>
  </r>
  <r>
    <x v="175"/>
    <x v="7"/>
    <n v="60"/>
  </r>
  <r>
    <x v="10"/>
    <x v="7"/>
    <n v="60"/>
  </r>
  <r>
    <x v="366"/>
    <x v="7"/>
    <n v="48"/>
  </r>
  <r>
    <x v="428"/>
    <x v="7"/>
    <n v="360"/>
  </r>
  <r>
    <x v="176"/>
    <x v="7"/>
    <n v="43.199999928474426"/>
  </r>
  <r>
    <x v="241"/>
    <x v="7"/>
    <n v="66.299999535083771"/>
  </r>
  <r>
    <x v="243"/>
    <x v="7"/>
    <n v="24"/>
  </r>
  <r>
    <x v="312"/>
    <x v="7"/>
    <n v="36"/>
  </r>
  <r>
    <x v="100"/>
    <x v="7"/>
    <n v="101.99999928474426"/>
  </r>
  <r>
    <x v="221"/>
    <x v="7"/>
    <n v="42"/>
  </r>
  <r>
    <x v="63"/>
    <x v="7"/>
    <n v="60"/>
  </r>
  <r>
    <x v="147"/>
    <x v="7"/>
    <n v="14.39999994635582"/>
  </r>
  <r>
    <x v="148"/>
    <x v="7"/>
    <n v="36"/>
  </r>
  <r>
    <x v="323"/>
    <x v="7"/>
    <n v="331.49999767541885"/>
  </r>
  <r>
    <x v="102"/>
    <x v="7"/>
    <n v="159.59999987483025"/>
  </r>
  <r>
    <x v="182"/>
    <x v="7"/>
    <n v="30"/>
  </r>
  <r>
    <x v="26"/>
    <x v="7"/>
    <n v="240"/>
  </r>
  <r>
    <x v="246"/>
    <x v="7"/>
    <n v="60"/>
  </r>
  <r>
    <x v="248"/>
    <x v="7"/>
    <n v="214.19999849796295"/>
  </r>
  <r>
    <x v="69"/>
    <x v="7"/>
    <n v="90"/>
  </r>
  <r>
    <x v="389"/>
    <x v="7"/>
    <n v="120"/>
  </r>
  <r>
    <x v="389"/>
    <x v="7"/>
    <n v="90"/>
  </r>
  <r>
    <x v="104"/>
    <x v="7"/>
    <n v="120"/>
  </r>
  <r>
    <x v="105"/>
    <x v="7"/>
    <n v="462"/>
  </r>
  <r>
    <x v="165"/>
    <x v="7"/>
    <n v="428.3999969959259"/>
  </r>
  <r>
    <x v="30"/>
    <x v="7"/>
    <n v="336"/>
  </r>
  <r>
    <x v="32"/>
    <x v="7"/>
    <n v="107.99999982118607"/>
  </r>
  <r>
    <x v="33"/>
    <x v="7"/>
    <n v="480"/>
  </r>
  <r>
    <x v="34"/>
    <x v="7"/>
    <n v="42"/>
  </r>
  <r>
    <x v="227"/>
    <x v="7"/>
    <n v="180"/>
  </r>
  <r>
    <x v="36"/>
    <x v="7"/>
    <n v="56.999999955296516"/>
  </r>
  <r>
    <x v="73"/>
    <x v="7"/>
    <n v="24"/>
  </r>
  <r>
    <x v="78"/>
    <x v="7"/>
    <n v="600"/>
  </r>
  <r>
    <x v="169"/>
    <x v="7"/>
    <n v="1124.9999981373549"/>
  </r>
  <r>
    <x v="379"/>
    <x v="7"/>
    <n v="1599.9999940395355"/>
  </r>
  <r>
    <x v="188"/>
    <x v="7"/>
    <n v="949.99999925494194"/>
  </r>
  <r>
    <x v="287"/>
    <x v="7"/>
    <n v="450"/>
  </r>
  <r>
    <x v="445"/>
    <x v="7"/>
    <n v="1500"/>
  </r>
  <r>
    <x v="213"/>
    <x v="7"/>
    <n v="1406.2499976716936"/>
  </r>
  <r>
    <x v="262"/>
    <x v="7"/>
    <n v="956.24999329447746"/>
  </r>
  <r>
    <x v="446"/>
    <x v="7"/>
    <n v="1999.9999925494194"/>
  </r>
  <r>
    <x v="241"/>
    <x v="7"/>
    <n v="3125"/>
  </r>
  <r>
    <x v="318"/>
    <x v="7"/>
    <n v="500"/>
  </r>
  <r>
    <x v="177"/>
    <x v="7"/>
    <n v="224.99999962747097"/>
  </r>
  <r>
    <x v="473"/>
    <x v="7"/>
    <n v="1250"/>
  </r>
  <r>
    <x v="344"/>
    <x v="7"/>
    <n v="562.5"/>
  </r>
  <r>
    <x v="303"/>
    <x v="7"/>
    <n v="1500"/>
  </r>
  <r>
    <x v="122"/>
    <x v="7"/>
    <n v="1049.9999960884452"/>
  </r>
  <r>
    <x v="145"/>
    <x v="7"/>
    <n v="1875"/>
  </r>
  <r>
    <x v="22"/>
    <x v="7"/>
    <n v="1171.875"/>
  </r>
  <r>
    <x v="323"/>
    <x v="7"/>
    <n v="625"/>
  </r>
  <r>
    <x v="368"/>
    <x v="7"/>
    <n v="1250"/>
  </r>
  <r>
    <x v="347"/>
    <x v="7"/>
    <n v="1562.5"/>
  </r>
  <r>
    <x v="29"/>
    <x v="7"/>
    <n v="187.5"/>
  </r>
  <r>
    <x v="164"/>
    <x v="7"/>
    <n v="375"/>
  </r>
  <r>
    <x v="108"/>
    <x v="7"/>
    <n v="449.99999925494194"/>
  </r>
  <r>
    <x v="226"/>
    <x v="7"/>
    <n v="625"/>
  </r>
  <r>
    <x v="32"/>
    <x v="7"/>
    <n v="500"/>
  </r>
  <r>
    <x v="113"/>
    <x v="7"/>
    <n v="1749.999993480742"/>
  </r>
  <r>
    <x v="75"/>
    <x v="7"/>
    <n v="931.5"/>
  </r>
  <r>
    <x v="456"/>
    <x v="7"/>
    <n v="124.2"/>
  </r>
  <r>
    <x v="459"/>
    <x v="7"/>
    <n v="207"/>
  </r>
  <r>
    <x v="41"/>
    <x v="7"/>
    <n v="579.59999784082174"/>
  </r>
  <r>
    <x v="153"/>
    <x v="7"/>
    <n v="157.31999987661837"/>
  </r>
  <r>
    <x v="458"/>
    <x v="7"/>
    <n v="310.5"/>
  </r>
  <r>
    <x v="209"/>
    <x v="7"/>
    <n v="335.33999944478273"/>
  </r>
  <r>
    <x v="132"/>
    <x v="7"/>
    <n v="372.6"/>
  </r>
  <r>
    <x v="231"/>
    <x v="7"/>
    <n v="434.70000000000005"/>
  </r>
  <r>
    <x v="191"/>
    <x v="7"/>
    <n v="165.6"/>
  </r>
  <r>
    <x v="9"/>
    <x v="7"/>
    <n v="414.23999845683574"/>
  </r>
  <r>
    <x v="193"/>
    <x v="7"/>
    <n v="258.89999999999998"/>
  </r>
  <r>
    <x v="326"/>
    <x v="7"/>
    <n v="388.35"/>
  </r>
  <r>
    <x v="280"/>
    <x v="7"/>
    <n v="258.89999999999998"/>
  </r>
  <r>
    <x v="301"/>
    <x v="7"/>
    <n v="517.79999999999995"/>
  </r>
  <r>
    <x v="460"/>
    <x v="7"/>
    <n v="776.7"/>
  </r>
  <r>
    <x v="350"/>
    <x v="7"/>
    <n v="38.835000000000001"/>
  </r>
  <r>
    <x v="344"/>
    <x v="7"/>
    <n v="58.252499999999998"/>
  </r>
  <r>
    <x v="20"/>
    <x v="7"/>
    <n v="388.35"/>
  </r>
  <r>
    <x v="273"/>
    <x v="7"/>
    <n v="388.35"/>
  </r>
  <r>
    <x v="21"/>
    <x v="7"/>
    <n v="776.7"/>
  </r>
  <r>
    <x v="59"/>
    <x v="7"/>
    <n v="310.67999884262684"/>
  </r>
  <r>
    <x v="400"/>
    <x v="7"/>
    <n v="485.4375"/>
  </r>
  <r>
    <x v="223"/>
    <x v="7"/>
    <n v="491.90999961420891"/>
  </r>
  <r>
    <x v="66"/>
    <x v="7"/>
    <n v="776.69999999999993"/>
  </r>
  <r>
    <x v="431"/>
    <x v="7"/>
    <n v="368.93249971065671"/>
  </r>
  <r>
    <x v="102"/>
    <x v="7"/>
    <n v="906.15"/>
  </r>
  <r>
    <x v="455"/>
    <x v="7"/>
    <n v="932.04"/>
  </r>
  <r>
    <x v="28"/>
    <x v="7"/>
    <n v="25.89"/>
  </r>
  <r>
    <x v="150"/>
    <x v="7"/>
    <n v="776.7"/>
  </r>
  <r>
    <x v="334"/>
    <x v="7"/>
    <n v="388.35"/>
  </r>
  <r>
    <x v="125"/>
    <x v="7"/>
    <n v="77.67"/>
  </r>
  <r>
    <x v="37"/>
    <x v="7"/>
    <n v="380"/>
  </r>
  <r>
    <x v="184"/>
    <x v="7"/>
    <n v="456"/>
  </r>
  <r>
    <x v="40"/>
    <x v="7"/>
    <n v="456"/>
  </r>
  <r>
    <x v="474"/>
    <x v="7"/>
    <n v="182.4"/>
  </r>
  <r>
    <x v="372"/>
    <x v="7"/>
    <n v="304"/>
  </r>
  <r>
    <x v="43"/>
    <x v="7"/>
    <n v="486.3999981880188"/>
  </r>
  <r>
    <x v="81"/>
    <x v="7"/>
    <n v="288.79999977350235"/>
  </r>
  <r>
    <x v="5"/>
    <x v="7"/>
    <n v="72.959999728202817"/>
  </r>
  <r>
    <x v="6"/>
    <x v="7"/>
    <n v="68.399999886751175"/>
  </r>
  <r>
    <x v="475"/>
    <x v="7"/>
    <n v="570"/>
  </r>
  <r>
    <x v="10"/>
    <x v="7"/>
    <n v="512.99999915063381"/>
  </r>
  <r>
    <x v="135"/>
    <x v="7"/>
    <n v="1140"/>
  </r>
  <r>
    <x v="419"/>
    <x v="7"/>
    <n v="475"/>
  </r>
  <r>
    <x v="14"/>
    <x v="7"/>
    <n v="299.25"/>
  </r>
  <r>
    <x v="268"/>
    <x v="7"/>
    <n v="1045"/>
  </r>
  <r>
    <x v="473"/>
    <x v="7"/>
    <n v="285"/>
  </r>
  <r>
    <x v="421"/>
    <x v="7"/>
    <n v="570"/>
  </r>
  <r>
    <x v="377"/>
    <x v="7"/>
    <n v="85.5"/>
  </r>
  <r>
    <x v="288"/>
    <x v="7"/>
    <n v="95"/>
  </r>
  <r>
    <x v="344"/>
    <x v="7"/>
    <n v="760"/>
  </r>
  <r>
    <x v="345"/>
    <x v="7"/>
    <n v="114"/>
  </r>
  <r>
    <x v="122"/>
    <x v="7"/>
    <n v="303.99999886751175"/>
  </r>
  <r>
    <x v="162"/>
    <x v="7"/>
    <n v="570"/>
  </r>
  <r>
    <x v="22"/>
    <x v="7"/>
    <n v="712.5"/>
  </r>
  <r>
    <x v="102"/>
    <x v="7"/>
    <n v="380"/>
  </r>
  <r>
    <x v="246"/>
    <x v="7"/>
    <n v="403.74999716877937"/>
  </r>
  <r>
    <x v="29"/>
    <x v="7"/>
    <n v="455.99999830126762"/>
  </r>
  <r>
    <x v="108"/>
    <x v="7"/>
    <n v="760"/>
  </r>
  <r>
    <x v="110"/>
    <x v="7"/>
    <n v="256.5"/>
  </r>
  <r>
    <x v="334"/>
    <x v="7"/>
    <n v="304"/>
  </r>
  <r>
    <x v="33"/>
    <x v="7"/>
    <n v="665"/>
  </r>
  <r>
    <x v="359"/>
    <x v="7"/>
    <n v="20.8"/>
  </r>
  <r>
    <x v="372"/>
    <x v="7"/>
    <n v="582.4"/>
  </r>
  <r>
    <x v="394"/>
    <x v="7"/>
    <n v="208"/>
  </r>
  <r>
    <x v="193"/>
    <x v="7"/>
    <n v="421.19999930262566"/>
  </r>
  <r>
    <x v="23"/>
    <x v="7"/>
    <n v="1247.9999953508377"/>
  </r>
  <r>
    <x v="164"/>
    <x v="7"/>
    <n v="208"/>
  </r>
  <r>
    <x v="253"/>
    <x v="7"/>
    <n v="735"/>
  </r>
  <r>
    <x v="254"/>
    <x v="7"/>
    <n v="837.89999934285879"/>
  </r>
  <r>
    <x v="0"/>
    <x v="7"/>
    <n v="470.39999824762344"/>
  </r>
  <r>
    <x v="324"/>
    <x v="7"/>
    <n v="147"/>
  </r>
  <r>
    <x v="314"/>
    <x v="7"/>
    <n v="529.19999912381172"/>
  </r>
  <r>
    <x v="171"/>
    <x v="7"/>
    <n v="58.8"/>
  </r>
  <r>
    <x v="6"/>
    <x v="7"/>
    <n v="26.459999956190586"/>
  </r>
  <r>
    <x v="364"/>
    <x v="7"/>
    <n v="551.25"/>
  </r>
  <r>
    <x v="376"/>
    <x v="7"/>
    <n v="294"/>
  </r>
  <r>
    <x v="84"/>
    <x v="7"/>
    <n v="294"/>
  </r>
  <r>
    <x v="232"/>
    <x v="7"/>
    <n v="308.7"/>
  </r>
  <r>
    <x v="476"/>
    <x v="7"/>
    <n v="147"/>
  </r>
  <r>
    <x v="119"/>
    <x v="7"/>
    <n v="147"/>
  </r>
  <r>
    <x v="87"/>
    <x v="7"/>
    <n v="92"/>
  </r>
  <r>
    <x v="9"/>
    <x v="7"/>
    <n v="367.99999862909317"/>
  </r>
  <r>
    <x v="475"/>
    <x v="7"/>
    <n v="248.39999958872795"/>
  </r>
  <r>
    <x v="280"/>
    <x v="7"/>
    <n v="147.19999945163727"/>
  </r>
  <r>
    <x v="408"/>
    <x v="7"/>
    <n v="165.59999972581863"/>
  </r>
  <r>
    <x v="238"/>
    <x v="7"/>
    <n v="920"/>
  </r>
  <r>
    <x v="121"/>
    <x v="7"/>
    <n v="36.799999999999997"/>
  </r>
  <r>
    <x v="281"/>
    <x v="7"/>
    <n v="772.8"/>
  </r>
  <r>
    <x v="53"/>
    <x v="7"/>
    <n v="1104"/>
  </r>
  <r>
    <x v="216"/>
    <x v="7"/>
    <n v="1223.5999990403652"/>
  </r>
  <r>
    <x v="216"/>
    <x v="7"/>
    <n v="419.51999967098237"/>
  </r>
  <r>
    <x v="319"/>
    <x v="7"/>
    <n v="524.39999958872795"/>
  </r>
  <r>
    <x v="383"/>
    <x v="7"/>
    <n v="368"/>
  </r>
  <r>
    <x v="20"/>
    <x v="7"/>
    <n v="110.4"/>
  </r>
  <r>
    <x v="477"/>
    <x v="7"/>
    <n v="735.99999725818634"/>
  </r>
  <r>
    <x v="274"/>
    <x v="7"/>
    <n v="736"/>
  </r>
  <r>
    <x v="469"/>
    <x v="7"/>
    <n v="55.2"/>
  </r>
  <r>
    <x v="61"/>
    <x v="7"/>
    <n v="18.399999999999999"/>
  </r>
  <r>
    <x v="332"/>
    <x v="7"/>
    <n v="552"/>
  </r>
  <r>
    <x v="163"/>
    <x v="7"/>
    <n v="938.39999341964722"/>
  </r>
  <r>
    <x v="148"/>
    <x v="7"/>
    <n v="460"/>
  </r>
  <r>
    <x v="225"/>
    <x v="7"/>
    <n v="220.8"/>
  </r>
  <r>
    <x v="102"/>
    <x v="7"/>
    <n v="1674.4"/>
  </r>
  <r>
    <x v="28"/>
    <x v="7"/>
    <n v="368"/>
  </r>
  <r>
    <x v="107"/>
    <x v="7"/>
    <n v="184"/>
  </r>
  <r>
    <x v="30"/>
    <x v="7"/>
    <n v="184"/>
  </r>
  <r>
    <x v="151"/>
    <x v="7"/>
    <n v="73.599999725818634"/>
  </r>
  <r>
    <x v="124"/>
    <x v="7"/>
    <n v="662.39999890327454"/>
  </r>
  <r>
    <x v="313"/>
    <x v="7"/>
    <n v="77"/>
  </r>
  <r>
    <x v="126"/>
    <x v="7"/>
    <n v="92.4"/>
  </r>
  <r>
    <x v="39"/>
    <x v="7"/>
    <n v="163.62499885261059"/>
  </r>
  <r>
    <x v="393"/>
    <x v="7"/>
    <n v="77"/>
  </r>
  <r>
    <x v="255"/>
    <x v="7"/>
    <n v="154"/>
  </r>
  <r>
    <x v="188"/>
    <x v="7"/>
    <n v="87.779999931156638"/>
  </r>
  <r>
    <x v="154"/>
    <x v="7"/>
    <n v="100.1"/>
  </r>
  <r>
    <x v="309"/>
    <x v="7"/>
    <n v="55.439999908208847"/>
  </r>
  <r>
    <x v="299"/>
    <x v="7"/>
    <n v="153.99999942630529"/>
  </r>
  <r>
    <x v="134"/>
    <x v="7"/>
    <n v="231"/>
  </r>
  <r>
    <x v="328"/>
    <x v="7"/>
    <n v="154"/>
  </r>
  <r>
    <x v="213"/>
    <x v="7"/>
    <n v="694.79999884963036"/>
  </r>
  <r>
    <x v="90"/>
    <x v="7"/>
    <n v="96.5"/>
  </r>
  <r>
    <x v="193"/>
    <x v="7"/>
    <n v="52.109999913722277"/>
  </r>
  <r>
    <x v="120"/>
    <x v="7"/>
    <n v="135.1"/>
  </r>
  <r>
    <x v="464"/>
    <x v="7"/>
    <n v="110.00999991372227"/>
  </r>
  <r>
    <x v="240"/>
    <x v="7"/>
    <n v="82.507499935291705"/>
  </r>
  <r>
    <x v="478"/>
    <x v="7"/>
    <n v="154.39999942481518"/>
  </r>
  <r>
    <x v="297"/>
    <x v="7"/>
    <n v="231.6"/>
  </r>
  <r>
    <x v="415"/>
    <x v="7"/>
    <n v="1158"/>
  </r>
  <r>
    <x v="384"/>
    <x v="7"/>
    <n v="38.6"/>
  </r>
  <r>
    <x v="352"/>
    <x v="7"/>
    <n v="405.3"/>
  </r>
  <r>
    <x v="449"/>
    <x v="7"/>
    <n v="115.8"/>
  </r>
  <r>
    <x v="243"/>
    <x v="7"/>
    <n v="115.8"/>
  </r>
  <r>
    <x v="312"/>
    <x v="7"/>
    <n v="337.75"/>
  </r>
  <r>
    <x v="308"/>
    <x v="7"/>
    <n v="275.02499978430569"/>
  </r>
  <r>
    <x v="220"/>
    <x v="7"/>
    <n v="96.5"/>
  </r>
  <r>
    <x v="60"/>
    <x v="7"/>
    <n v="183.34999985620379"/>
  </r>
  <r>
    <x v="346"/>
    <x v="7"/>
    <n v="135.1"/>
  </r>
  <r>
    <x v="62"/>
    <x v="7"/>
    <n v="193"/>
  </r>
  <r>
    <x v="198"/>
    <x v="7"/>
    <n v="193"/>
  </r>
  <r>
    <x v="222"/>
    <x v="7"/>
    <n v="115.8"/>
  </r>
  <r>
    <x v="68"/>
    <x v="7"/>
    <n v="135.1"/>
  </r>
  <r>
    <x v="401"/>
    <x v="7"/>
    <n v="289.5"/>
  </r>
  <r>
    <x v="27"/>
    <x v="7"/>
    <n v="48.25"/>
  </r>
  <r>
    <x v="249"/>
    <x v="7"/>
    <n v="55.004999956861134"/>
  </r>
  <r>
    <x v="105"/>
    <x v="7"/>
    <n v="231.6"/>
  </r>
  <r>
    <x v="251"/>
    <x v="7"/>
    <n v="57.9"/>
  </r>
  <r>
    <x v="200"/>
    <x v="7"/>
    <n v="38.6"/>
  </r>
  <r>
    <x v="70"/>
    <x v="7"/>
    <n v="253.3125"/>
  </r>
  <r>
    <x v="109"/>
    <x v="7"/>
    <n v="183.34999985620379"/>
  </r>
  <r>
    <x v="334"/>
    <x v="7"/>
    <n v="243.17999959737062"/>
  </r>
  <r>
    <x v="124"/>
    <x v="7"/>
    <n v="260.54999956861138"/>
  </r>
  <r>
    <x v="125"/>
    <x v="7"/>
    <n v="115.8"/>
  </r>
  <r>
    <x v="183"/>
    <x v="7"/>
    <n v="86.85"/>
  </r>
  <r>
    <x v="36"/>
    <x v="7"/>
    <n v="386"/>
  </r>
  <r>
    <x v="73"/>
    <x v="7"/>
    <n v="28.95"/>
  </r>
  <r>
    <x v="448"/>
    <x v="7"/>
    <n v="91.199999660253525"/>
  </r>
  <r>
    <x v="84"/>
    <x v="7"/>
    <n v="205.19999966025352"/>
  </r>
  <r>
    <x v="202"/>
    <x v="7"/>
    <n v="199.5"/>
  </r>
  <r>
    <x v="418"/>
    <x v="7"/>
    <n v="807.49999433755875"/>
  </r>
  <r>
    <x v="318"/>
    <x v="7"/>
    <n v="190"/>
  </r>
  <r>
    <x v="55"/>
    <x v="7"/>
    <n v="1045"/>
  </r>
  <r>
    <x v="144"/>
    <x v="7"/>
    <n v="303.99999886751175"/>
  </r>
  <r>
    <x v="429"/>
    <x v="7"/>
    <n v="322.9999977350235"/>
  </r>
  <r>
    <x v="469"/>
    <x v="7"/>
    <n v="38"/>
  </r>
  <r>
    <x v="423"/>
    <x v="7"/>
    <n v="243.67499980889261"/>
  </r>
  <r>
    <x v="23"/>
    <x v="7"/>
    <n v="273.59999898076057"/>
  </r>
  <r>
    <x v="455"/>
    <x v="7"/>
    <n v="142.5"/>
  </r>
  <r>
    <x v="250"/>
    <x v="7"/>
    <n v="285"/>
  </r>
  <r>
    <x v="111"/>
    <x v="7"/>
    <n v="190"/>
  </r>
  <r>
    <x v="115"/>
    <x v="7"/>
    <n v="122.39999914169312"/>
  </r>
  <r>
    <x v="129"/>
    <x v="7"/>
    <n v="288"/>
  </r>
  <r>
    <x v="130"/>
    <x v="7"/>
    <n v="432"/>
  </r>
  <r>
    <x v="437"/>
    <x v="7"/>
    <n v="241.91999959945679"/>
  </r>
  <r>
    <x v="158"/>
    <x v="7"/>
    <n v="14.399999999999999"/>
  </r>
  <r>
    <x v="479"/>
    <x v="7"/>
    <n v="192"/>
  </r>
  <r>
    <x v="230"/>
    <x v="7"/>
    <n v="48"/>
  </r>
  <r>
    <x v="212"/>
    <x v="7"/>
    <n v="76.799999713897705"/>
  </r>
  <r>
    <x v="443"/>
    <x v="7"/>
    <n v="182.39999985694885"/>
  </r>
  <r>
    <x v="85"/>
    <x v="7"/>
    <n v="48"/>
  </r>
  <r>
    <x v="88"/>
    <x v="7"/>
    <n v="91.799999356269836"/>
  </r>
  <r>
    <x v="177"/>
    <x v="7"/>
    <n v="18"/>
  </r>
  <r>
    <x v="177"/>
    <x v="7"/>
    <n v="226.79999962449074"/>
  </r>
  <r>
    <x v="297"/>
    <x v="7"/>
    <n v="540"/>
  </r>
  <r>
    <x v="204"/>
    <x v="7"/>
    <n v="720"/>
  </r>
  <r>
    <x v="142"/>
    <x v="7"/>
    <n v="216"/>
  </r>
  <r>
    <x v="55"/>
    <x v="7"/>
    <n v="288"/>
  </r>
  <r>
    <x v="477"/>
    <x v="7"/>
    <n v="319.19999974966049"/>
  </r>
  <r>
    <x v="62"/>
    <x v="7"/>
    <n v="420"/>
  </r>
  <r>
    <x v="347"/>
    <x v="7"/>
    <n v="252"/>
  </r>
  <r>
    <x v="389"/>
    <x v="7"/>
    <n v="180"/>
  </r>
  <r>
    <x v="106"/>
    <x v="7"/>
    <n v="108"/>
  </r>
  <r>
    <x v="109"/>
    <x v="7"/>
    <n v="180"/>
  </r>
  <r>
    <x v="30"/>
    <x v="7"/>
    <n v="300"/>
  </r>
  <r>
    <x v="226"/>
    <x v="7"/>
    <n v="36"/>
  </r>
  <r>
    <x v="73"/>
    <x v="7"/>
    <n v="305.99999785423279"/>
  </r>
  <r>
    <x v="73"/>
    <x v="7"/>
    <n v="35.280000016093254"/>
  </r>
  <r>
    <x v="392"/>
    <x v="7"/>
    <n v="286.19999952614307"/>
  </r>
  <r>
    <x v="41"/>
    <x v="7"/>
    <n v="254.39999905228615"/>
  </r>
  <r>
    <x v="417"/>
    <x v="7"/>
    <n v="678.39999747276306"/>
  </r>
  <r>
    <x v="417"/>
    <x v="7"/>
    <n v="159"/>
  </r>
  <r>
    <x v="414"/>
    <x v="7"/>
    <n v="265"/>
  </r>
  <r>
    <x v="266"/>
    <x v="7"/>
    <n v="397.5"/>
  </r>
  <r>
    <x v="283"/>
    <x v="7"/>
    <n v="79.5"/>
  </r>
  <r>
    <x v="179"/>
    <x v="7"/>
    <n v="519.39999806508422"/>
  </r>
  <r>
    <x v="461"/>
    <x v="7"/>
    <n v="397.5"/>
  </r>
  <r>
    <x v="142"/>
    <x v="7"/>
    <n v="298.125"/>
  </r>
  <r>
    <x v="55"/>
    <x v="7"/>
    <n v="119.25"/>
  </r>
  <r>
    <x v="22"/>
    <x v="7"/>
    <n v="357.74999940767884"/>
  </r>
  <r>
    <x v="149"/>
    <x v="7"/>
    <n v="715.49999881535769"/>
  </r>
  <r>
    <x v="24"/>
    <x v="7"/>
    <n v="135.14999905228615"/>
  </r>
  <r>
    <x v="26"/>
    <x v="7"/>
    <n v="198.75"/>
  </r>
  <r>
    <x v="27"/>
    <x v="7"/>
    <n v="198.75"/>
  </r>
  <r>
    <x v="248"/>
    <x v="7"/>
    <n v="317.99999881535769"/>
  </r>
  <r>
    <x v="111"/>
    <x v="7"/>
    <n v="503.49999960511923"/>
  </r>
  <r>
    <x v="298"/>
    <x v="7"/>
    <n v="300"/>
  </r>
  <r>
    <x v="211"/>
    <x v="7"/>
    <n v="215.99999964237213"/>
  </r>
  <r>
    <x v="427"/>
    <x v="7"/>
    <n v="191.99999928474426"/>
  </r>
  <r>
    <x v="280"/>
    <x v="7"/>
    <n v="341.9999997317791"/>
  </r>
  <r>
    <x v="414"/>
    <x v="7"/>
    <n v="135"/>
  </r>
  <r>
    <x v="381"/>
    <x v="7"/>
    <n v="45"/>
  </r>
  <r>
    <x v="428"/>
    <x v="7"/>
    <n v="450"/>
  </r>
  <r>
    <x v="399"/>
    <x v="7"/>
    <n v="446.24999687075615"/>
  </r>
  <r>
    <x v="204"/>
    <x v="7"/>
    <n v="750"/>
  </r>
  <r>
    <x v="217"/>
    <x v="7"/>
    <n v="191.24999865889549"/>
  </r>
  <r>
    <x v="54"/>
    <x v="7"/>
    <n v="525"/>
  </r>
  <r>
    <x v="21"/>
    <x v="7"/>
    <n v="225"/>
  </r>
  <r>
    <x v="388"/>
    <x v="7"/>
    <n v="150"/>
  </r>
  <r>
    <x v="73"/>
    <x v="7"/>
    <n v="29.7000000067055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76DF11-3A91-4F60-8B56-3632A1F64672}" name="数据透视表1" cacheId="4"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fieldListSortAscending="1">
  <location ref="I12:K23" firstHeaderRow="0" firstDataRow="1" firstDataCol="1" rowPageCount="1" colPageCount="1"/>
  <pivotFields count="6">
    <pivotField showAll="0">
      <items count="15">
        <item x="0"/>
        <item x="1"/>
        <item x="2"/>
        <item x="3"/>
        <item x="4"/>
        <item x="5"/>
        <item x="6"/>
        <item x="7"/>
        <item x="8"/>
        <item x="9"/>
        <item x="10"/>
        <item x="11"/>
        <item x="12"/>
        <item x="13"/>
        <item t="default"/>
      </items>
    </pivotField>
    <pivotField axis="axisRow" showAll="0" sortType="descending">
      <items count="9">
        <item x="0"/>
        <item x="6"/>
        <item x="5"/>
        <item x="3"/>
        <item x="7"/>
        <item x="4"/>
        <item x="1"/>
        <item x="2"/>
        <item t="default"/>
      </items>
      <autoSortScope>
        <pivotArea dataOnly="0" outline="0" fieldPosition="0">
          <references count="1">
            <reference field="4294967294" count="1" selected="0">
              <x v="0"/>
            </reference>
          </references>
        </pivotArea>
      </autoSortScope>
    </pivotField>
    <pivotField dataField="1" showAll="0"/>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axis="axisRow" showAll="0">
      <items count="3">
        <item n="畅销商品" x="0"/>
        <item n="普通商品" x="1"/>
        <item t="default"/>
      </items>
    </pivotField>
  </pivotFields>
  <rowFields count="2">
    <field x="5"/>
    <field x="1"/>
  </rowFields>
  <rowItems count="11">
    <i>
      <x/>
    </i>
    <i r="1">
      <x/>
    </i>
    <i r="1">
      <x v="3"/>
    </i>
    <i r="1">
      <x v="7"/>
    </i>
    <i r="1">
      <x v="2"/>
    </i>
    <i>
      <x v="1"/>
    </i>
    <i r="1">
      <x v="4"/>
    </i>
    <i r="1">
      <x v="6"/>
    </i>
    <i r="1">
      <x v="1"/>
    </i>
    <i r="1">
      <x v="5"/>
    </i>
    <i t="grand">
      <x/>
    </i>
  </rowItems>
  <colFields count="1">
    <field x="-2"/>
  </colFields>
  <colItems count="2">
    <i>
      <x/>
    </i>
    <i i="1">
      <x v="1"/>
    </i>
  </colItems>
  <pageFields count="1">
    <pageField fld="4" item="3" hier="-1"/>
  </pageFields>
  <dataFields count="2">
    <dataField name="销售额总计" fld="2" showDataAs="percentOfCol" baseField="1" baseItem="1" numFmtId="10"/>
    <dataField name="销售额平均值" fld="2"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4.bin"/><Relationship Id="rId3" Type="http://schemas.openxmlformats.org/officeDocument/2006/relationships/oleObject" Target="../embeddings/oleObject1.bin"/><Relationship Id="rId7" Type="http://schemas.openxmlformats.org/officeDocument/2006/relationships/oleObject" Target="../embeddings/oleObject3.bin"/><Relationship Id="rId2" Type="http://schemas.openxmlformats.org/officeDocument/2006/relationships/vmlDrawing" Target="../drawings/vmlDrawing2.vml"/><Relationship Id="rId1" Type="http://schemas.openxmlformats.org/officeDocument/2006/relationships/drawing" Target="../drawings/drawing4.xml"/><Relationship Id="rId6" Type="http://schemas.openxmlformats.org/officeDocument/2006/relationships/image" Target="../media/image4.emf"/><Relationship Id="rId5" Type="http://schemas.openxmlformats.org/officeDocument/2006/relationships/oleObject" Target="../embeddings/oleObject2.bin"/><Relationship Id="rId4" Type="http://schemas.openxmlformats.org/officeDocument/2006/relationships/image" Target="../media/image3.emf"/></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J1628"/>
  <sheetViews>
    <sheetView showGridLines="0" topLeftCell="G1" zoomScaleNormal="100" workbookViewId="0">
      <selection activeCell="K12" sqref="K12"/>
    </sheetView>
  </sheetViews>
  <sheetFormatPr defaultColWidth="9.109375" defaultRowHeight="15.6" x14ac:dyDescent="0.25"/>
  <cols>
    <col min="1" max="1" width="11.77734375" style="38" customWidth="1"/>
    <col min="2" max="2" width="14.88671875" style="38" customWidth="1"/>
    <col min="3" max="3" width="14.44140625" style="38" customWidth="1"/>
    <col min="4" max="4" width="12.21875" style="38" customWidth="1"/>
    <col min="5" max="5" width="16.6640625" style="38" customWidth="1"/>
    <col min="6" max="6" width="14.44140625" style="38" customWidth="1"/>
    <col min="7" max="7" width="12.21875" style="38" customWidth="1"/>
    <col min="8" max="8" width="16.6640625" style="38" customWidth="1"/>
    <col min="9" max="9" width="16.5546875" style="38" bestFit="1" customWidth="1"/>
    <col min="10" max="10" width="18.33203125" style="38" bestFit="1" customWidth="1"/>
    <col min="11" max="11" width="21.77734375" style="38" bestFit="1" customWidth="1"/>
    <col min="12" max="12" width="22.21875" style="38" bestFit="1" customWidth="1"/>
    <col min="13" max="16" width="15.44140625" style="38" bestFit="1" customWidth="1"/>
    <col min="17" max="17" width="23.21875" style="38" bestFit="1" customWidth="1"/>
    <col min="18" max="18" width="23.44140625" style="38" bestFit="1" customWidth="1"/>
    <col min="19" max="19" width="15.44140625" style="38" customWidth="1"/>
    <col min="20" max="24" width="15.44140625" style="38" bestFit="1" customWidth="1"/>
    <col min="25" max="25" width="23.21875" style="38" bestFit="1" customWidth="1"/>
    <col min="26" max="26" width="23.44140625" style="38" bestFit="1" customWidth="1"/>
    <col min="27" max="32" width="15.44140625" style="38" bestFit="1" customWidth="1"/>
    <col min="33" max="33" width="23.21875" style="38" bestFit="1" customWidth="1"/>
    <col min="34" max="34" width="23.44140625" style="38" bestFit="1" customWidth="1"/>
    <col min="35" max="35" width="19.77734375" style="38" bestFit="1" customWidth="1"/>
    <col min="36" max="36" width="20.109375" style="38" bestFit="1" customWidth="1"/>
    <col min="37" max="16384" width="9.109375" style="38"/>
  </cols>
  <sheetData>
    <row r="1" spans="2:36" x14ac:dyDescent="0.25">
      <c r="B1"/>
      <c r="C1"/>
      <c r="D1"/>
    </row>
    <row r="2" spans="2:36" x14ac:dyDescent="0.25">
      <c r="B2"/>
      <c r="C2"/>
      <c r="D2"/>
    </row>
    <row r="3" spans="2:36" x14ac:dyDescent="0.25">
      <c r="B3"/>
    </row>
    <row r="4" spans="2:36" x14ac:dyDescent="0.25">
      <c r="B4"/>
    </row>
    <row r="5" spans="2:36" x14ac:dyDescent="0.25">
      <c r="B5"/>
    </row>
    <row r="6" spans="2:36" x14ac:dyDescent="0.25">
      <c r="B6"/>
    </row>
    <row r="7" spans="2:36" x14ac:dyDescent="0.25">
      <c r="B7"/>
    </row>
    <row r="8" spans="2:36" x14ac:dyDescent="0.25">
      <c r="B8"/>
    </row>
    <row r="9" spans="2:36" x14ac:dyDescent="0.25">
      <c r="B9"/>
    </row>
    <row r="10" spans="2:36" x14ac:dyDescent="0.25">
      <c r="B10"/>
      <c r="I10" s="117" t="s">
        <v>132</v>
      </c>
      <c r="J10" t="s">
        <v>131</v>
      </c>
    </row>
    <row r="11" spans="2:36" x14ac:dyDescent="0.25">
      <c r="B11"/>
    </row>
    <row r="12" spans="2:36" x14ac:dyDescent="0.25">
      <c r="B12"/>
      <c r="I12" s="117" t="s">
        <v>121</v>
      </c>
      <c r="J12" t="s">
        <v>135</v>
      </c>
      <c r="K12" t="s">
        <v>136</v>
      </c>
    </row>
    <row r="13" spans="2:36" x14ac:dyDescent="0.25">
      <c r="B13"/>
      <c r="I13" s="119" t="s">
        <v>133</v>
      </c>
      <c r="J13" s="121">
        <v>0.68632299059753266</v>
      </c>
      <c r="K13" s="118">
        <v>746.77798959453798</v>
      </c>
    </row>
    <row r="14" spans="2:36" x14ac:dyDescent="0.25">
      <c r="B14"/>
      <c r="I14" s="120" t="s">
        <v>129</v>
      </c>
      <c r="J14" s="121">
        <v>0.26334370972161159</v>
      </c>
      <c r="K14" s="118">
        <v>768.5355953744039</v>
      </c>
    </row>
    <row r="15" spans="2:36" x14ac:dyDescent="0.25">
      <c r="B15"/>
      <c r="I15" s="120" t="s">
        <v>126</v>
      </c>
      <c r="J15" s="121">
        <v>0.17731723374430283</v>
      </c>
      <c r="K15" s="118">
        <v>758.63296082286354</v>
      </c>
    </row>
    <row r="16" spans="2:36" x14ac:dyDescent="0.25">
      <c r="B16"/>
      <c r="I16" s="120" t="s">
        <v>122</v>
      </c>
      <c r="J16" s="121">
        <v>0.12486181126798206</v>
      </c>
      <c r="K16" s="118">
        <v>524.03261379387516</v>
      </c>
      <c r="M16" s="39"/>
      <c r="N16" s="39"/>
      <c r="O16" s="39"/>
      <c r="P16" s="39"/>
      <c r="Q16" s="39"/>
      <c r="R16" s="39"/>
      <c r="S16" s="39"/>
      <c r="T16" s="39"/>
      <c r="U16" s="39"/>
      <c r="V16" s="39"/>
      <c r="W16" s="39"/>
      <c r="X16" s="39"/>
      <c r="Y16" s="39"/>
      <c r="Z16" s="39"/>
      <c r="AA16" s="39"/>
      <c r="AB16" s="39"/>
      <c r="AC16" s="39"/>
      <c r="AD16" s="39"/>
      <c r="AE16" s="39"/>
      <c r="AF16" s="39"/>
      <c r="AG16" s="39"/>
      <c r="AH16" s="39"/>
      <c r="AI16" s="39"/>
      <c r="AJ16" s="39"/>
    </row>
    <row r="17" spans="2:36" x14ac:dyDescent="0.25">
      <c r="B17"/>
      <c r="I17" s="120" t="s">
        <v>127</v>
      </c>
      <c r="J17" s="121">
        <v>0.12080023586363595</v>
      </c>
      <c r="K17" s="118">
        <v>1157.2519885030649</v>
      </c>
      <c r="M17" s="39"/>
      <c r="N17" s="39"/>
      <c r="O17" s="39"/>
      <c r="P17" s="39"/>
      <c r="Q17" s="39"/>
      <c r="R17" s="39"/>
      <c r="S17" s="39"/>
      <c r="T17" s="39"/>
      <c r="U17" s="39"/>
      <c r="V17" s="39"/>
      <c r="W17" s="39"/>
      <c r="X17" s="39"/>
      <c r="Y17" s="39"/>
      <c r="Z17" s="39"/>
      <c r="AA17" s="39"/>
      <c r="AB17" s="39"/>
      <c r="AC17" s="39"/>
      <c r="AD17" s="39"/>
      <c r="AE17" s="39"/>
      <c r="AF17" s="39"/>
      <c r="AG17" s="39"/>
      <c r="AH17" s="39"/>
      <c r="AI17" s="39"/>
      <c r="AJ17" s="39"/>
    </row>
    <row r="18" spans="2:36" x14ac:dyDescent="0.25">
      <c r="B18"/>
      <c r="I18" s="119" t="s">
        <v>134</v>
      </c>
      <c r="J18" s="121">
        <v>0.3136770094024674</v>
      </c>
      <c r="K18" s="118">
        <v>479.96347179430188</v>
      </c>
      <c r="M18" s="39"/>
      <c r="N18" s="39"/>
      <c r="O18" s="39"/>
      <c r="P18" s="39"/>
      <c r="Q18" s="39"/>
      <c r="R18" s="39"/>
      <c r="S18" s="39"/>
      <c r="T18" s="39"/>
      <c r="U18" s="39"/>
      <c r="V18" s="39"/>
      <c r="W18" s="39"/>
      <c r="X18" s="39"/>
      <c r="Y18" s="39"/>
      <c r="Z18" s="39"/>
      <c r="AA18" s="39"/>
      <c r="AB18" s="39"/>
      <c r="AC18" s="39"/>
      <c r="AD18" s="39"/>
      <c r="AE18" s="39"/>
      <c r="AF18" s="39"/>
      <c r="AG18" s="39"/>
      <c r="AH18" s="39"/>
      <c r="AI18" s="39"/>
      <c r="AJ18" s="39"/>
    </row>
    <row r="19" spans="2:36" x14ac:dyDescent="0.25">
      <c r="B19"/>
      <c r="I19" s="120" t="s">
        <v>125</v>
      </c>
      <c r="J19" s="121">
        <v>0.10191487876744261</v>
      </c>
      <c r="K19" s="118">
        <v>400.99370478030261</v>
      </c>
    </row>
    <row r="20" spans="2:36" x14ac:dyDescent="0.25">
      <c r="B20"/>
      <c r="I20" s="120" t="s">
        <v>123</v>
      </c>
      <c r="J20" s="121">
        <v>7.4334469288584185E-2</v>
      </c>
      <c r="K20" s="118">
        <v>467.96157096432518</v>
      </c>
    </row>
    <row r="21" spans="2:36" x14ac:dyDescent="0.25">
      <c r="B21"/>
      <c r="I21" s="120" t="s">
        <v>128</v>
      </c>
      <c r="J21" s="121">
        <v>7.0705311626705458E-2</v>
      </c>
      <c r="K21" s="118">
        <v>724.60540677054541</v>
      </c>
    </row>
    <row r="22" spans="2:36" x14ac:dyDescent="0.25">
      <c r="B22"/>
      <c r="I22" s="120" t="s">
        <v>124</v>
      </c>
      <c r="J22" s="121">
        <v>6.6722349719735244E-2</v>
      </c>
      <c r="K22" s="118">
        <v>466.711785440141</v>
      </c>
    </row>
    <row r="23" spans="2:36" x14ac:dyDescent="0.25">
      <c r="B23"/>
      <c r="I23" s="119" t="s">
        <v>130</v>
      </c>
      <c r="J23" s="121">
        <v>1</v>
      </c>
      <c r="K23" s="118">
        <v>635.89403414508922</v>
      </c>
    </row>
    <row r="24" spans="2:36" x14ac:dyDescent="0.25">
      <c r="B24"/>
      <c r="I24"/>
      <c r="J24"/>
      <c r="K24"/>
    </row>
    <row r="25" spans="2:36" x14ac:dyDescent="0.25">
      <c r="B25"/>
      <c r="I25"/>
      <c r="J25"/>
      <c r="K25"/>
    </row>
    <row r="26" spans="2:36" x14ac:dyDescent="0.25">
      <c r="B26"/>
      <c r="I26"/>
      <c r="J26"/>
      <c r="K26"/>
    </row>
    <row r="27" spans="2:36" x14ac:dyDescent="0.25">
      <c r="B27"/>
      <c r="I27"/>
      <c r="J27"/>
      <c r="K27"/>
    </row>
    <row r="28" spans="2:36" x14ac:dyDescent="0.25">
      <c r="B28"/>
      <c r="I28"/>
      <c r="J28"/>
      <c r="K28"/>
    </row>
    <row r="29" spans="2:36" x14ac:dyDescent="0.25">
      <c r="B29"/>
      <c r="I29"/>
      <c r="J29"/>
      <c r="K29"/>
    </row>
    <row r="30" spans="2:36" x14ac:dyDescent="0.25">
      <c r="B30"/>
      <c r="I30"/>
      <c r="J30"/>
    </row>
    <row r="31" spans="2:36" x14ac:dyDescent="0.25">
      <c r="B31"/>
      <c r="I31"/>
      <c r="J31"/>
    </row>
    <row r="32" spans="2:36" x14ac:dyDescent="0.25">
      <c r="B32"/>
      <c r="I32"/>
      <c r="J32"/>
    </row>
    <row r="33" spans="2:10" x14ac:dyDescent="0.25">
      <c r="B33"/>
      <c r="I33"/>
      <c r="J33"/>
    </row>
    <row r="34" spans="2:10" x14ac:dyDescent="0.25">
      <c r="B34"/>
      <c r="I34"/>
      <c r="J34"/>
    </row>
    <row r="35" spans="2:10" x14ac:dyDescent="0.25">
      <c r="B35"/>
      <c r="I35"/>
      <c r="J35"/>
    </row>
    <row r="36" spans="2:10" x14ac:dyDescent="0.25">
      <c r="B36"/>
      <c r="I36"/>
      <c r="J36"/>
    </row>
    <row r="37" spans="2:10" x14ac:dyDescent="0.25">
      <c r="B37"/>
      <c r="I37"/>
      <c r="J37"/>
    </row>
    <row r="38" spans="2:10" x14ac:dyDescent="0.25">
      <c r="B38"/>
      <c r="I38"/>
      <c r="J38"/>
    </row>
    <row r="39" spans="2:10" x14ac:dyDescent="0.25">
      <c r="B39"/>
      <c r="I39"/>
      <c r="J39"/>
    </row>
    <row r="40" spans="2:10" x14ac:dyDescent="0.25">
      <c r="B40"/>
      <c r="I40"/>
      <c r="J40"/>
    </row>
    <row r="41" spans="2:10" x14ac:dyDescent="0.25">
      <c r="B41"/>
      <c r="I41"/>
      <c r="J41"/>
    </row>
    <row r="42" spans="2:10" x14ac:dyDescent="0.25">
      <c r="B42"/>
      <c r="I42"/>
      <c r="J42"/>
    </row>
    <row r="43" spans="2:10" x14ac:dyDescent="0.25">
      <c r="B43"/>
      <c r="I43"/>
      <c r="J43"/>
    </row>
    <row r="44" spans="2:10" x14ac:dyDescent="0.25">
      <c r="B44"/>
      <c r="I44"/>
      <c r="J44"/>
    </row>
    <row r="45" spans="2:10" x14ac:dyDescent="0.25">
      <c r="B45"/>
      <c r="I45"/>
      <c r="J45"/>
    </row>
    <row r="46" spans="2:10" x14ac:dyDescent="0.25">
      <c r="B46"/>
      <c r="I46"/>
      <c r="J46"/>
    </row>
    <row r="47" spans="2:10" x14ac:dyDescent="0.25">
      <c r="B47"/>
      <c r="I47"/>
      <c r="J47"/>
    </row>
    <row r="48" spans="2:10" x14ac:dyDescent="0.25">
      <c r="B48"/>
      <c r="I48"/>
      <c r="J48"/>
    </row>
    <row r="49" spans="2:10" x14ac:dyDescent="0.25">
      <c r="B49"/>
      <c r="I49"/>
      <c r="J49"/>
    </row>
    <row r="50" spans="2:10" x14ac:dyDescent="0.25">
      <c r="B50"/>
      <c r="I50"/>
      <c r="J50"/>
    </row>
    <row r="51" spans="2:10" x14ac:dyDescent="0.25">
      <c r="B51"/>
      <c r="I51"/>
      <c r="J51"/>
    </row>
    <row r="52" spans="2:10" x14ac:dyDescent="0.25">
      <c r="B52"/>
      <c r="I52"/>
      <c r="J52"/>
    </row>
    <row r="53" spans="2:10" x14ac:dyDescent="0.25">
      <c r="B53"/>
      <c r="I53"/>
      <c r="J53"/>
    </row>
    <row r="54" spans="2:10" x14ac:dyDescent="0.25">
      <c r="B54"/>
      <c r="I54"/>
      <c r="J54"/>
    </row>
    <row r="55" spans="2:10" x14ac:dyDescent="0.25">
      <c r="B55"/>
      <c r="I55"/>
      <c r="J55"/>
    </row>
    <row r="56" spans="2:10" x14ac:dyDescent="0.25">
      <c r="B56"/>
      <c r="I56"/>
      <c r="J56"/>
    </row>
    <row r="57" spans="2:10" x14ac:dyDescent="0.25">
      <c r="B57"/>
      <c r="I57"/>
      <c r="J57"/>
    </row>
    <row r="58" spans="2:10" x14ac:dyDescent="0.25">
      <c r="B58"/>
      <c r="I58"/>
      <c r="J58"/>
    </row>
    <row r="59" spans="2:10" x14ac:dyDescent="0.25">
      <c r="B59"/>
      <c r="I59"/>
      <c r="J59"/>
    </row>
    <row r="60" spans="2:10" x14ac:dyDescent="0.25">
      <c r="B60"/>
      <c r="I60"/>
      <c r="J60"/>
    </row>
    <row r="61" spans="2:10" x14ac:dyDescent="0.25">
      <c r="B61"/>
      <c r="I61"/>
      <c r="J61"/>
    </row>
    <row r="62" spans="2:10" x14ac:dyDescent="0.25">
      <c r="B62"/>
      <c r="I62"/>
      <c r="J62"/>
    </row>
    <row r="63" spans="2:10" x14ac:dyDescent="0.25">
      <c r="B63"/>
      <c r="I63"/>
      <c r="J63"/>
    </row>
    <row r="64" spans="2:10" x14ac:dyDescent="0.25">
      <c r="B64"/>
      <c r="I64"/>
      <c r="J64"/>
    </row>
    <row r="65" spans="2:10" x14ac:dyDescent="0.25">
      <c r="B65"/>
      <c r="I65"/>
      <c r="J65"/>
    </row>
    <row r="66" spans="2:10" x14ac:dyDescent="0.25">
      <c r="B66"/>
      <c r="I66"/>
      <c r="J66"/>
    </row>
    <row r="67" spans="2:10" x14ac:dyDescent="0.25">
      <c r="B67"/>
      <c r="I67"/>
      <c r="J67"/>
    </row>
    <row r="68" spans="2:10" x14ac:dyDescent="0.25">
      <c r="B68"/>
      <c r="I68"/>
      <c r="J68"/>
    </row>
    <row r="69" spans="2:10" x14ac:dyDescent="0.25">
      <c r="B69"/>
      <c r="I69"/>
      <c r="J69"/>
    </row>
    <row r="70" spans="2:10" x14ac:dyDescent="0.25">
      <c r="B70"/>
      <c r="I70"/>
      <c r="J70"/>
    </row>
    <row r="71" spans="2:10" x14ac:dyDescent="0.25">
      <c r="B71"/>
      <c r="I71"/>
      <c r="J71"/>
    </row>
    <row r="72" spans="2:10" x14ac:dyDescent="0.25">
      <c r="B72"/>
      <c r="I72"/>
      <c r="J72"/>
    </row>
    <row r="73" spans="2:10" x14ac:dyDescent="0.25">
      <c r="B73"/>
      <c r="I73"/>
      <c r="J73"/>
    </row>
    <row r="74" spans="2:10" x14ac:dyDescent="0.25">
      <c r="B74"/>
      <c r="I74"/>
      <c r="J74"/>
    </row>
    <row r="75" spans="2:10" x14ac:dyDescent="0.25">
      <c r="B75"/>
      <c r="I75"/>
      <c r="J75"/>
    </row>
    <row r="76" spans="2:10" x14ac:dyDescent="0.25">
      <c r="B76"/>
      <c r="I76"/>
      <c r="J76"/>
    </row>
    <row r="77" spans="2:10" x14ac:dyDescent="0.25">
      <c r="B77"/>
      <c r="I77"/>
      <c r="J77"/>
    </row>
    <row r="78" spans="2:10" x14ac:dyDescent="0.25">
      <c r="B78"/>
      <c r="I78"/>
      <c r="J78"/>
    </row>
    <row r="79" spans="2:10" x14ac:dyDescent="0.25">
      <c r="B79"/>
      <c r="I79"/>
      <c r="J79"/>
    </row>
    <row r="80" spans="2:10" x14ac:dyDescent="0.25">
      <c r="B80"/>
      <c r="I80"/>
      <c r="J80"/>
    </row>
    <row r="81" spans="2:10" x14ac:dyDescent="0.25">
      <c r="B81"/>
      <c r="I81"/>
      <c r="J81"/>
    </row>
    <row r="82" spans="2:10" x14ac:dyDescent="0.25">
      <c r="B82"/>
      <c r="I82"/>
      <c r="J82"/>
    </row>
    <row r="83" spans="2:10" x14ac:dyDescent="0.25">
      <c r="B83"/>
      <c r="I83"/>
      <c r="J83"/>
    </row>
    <row r="84" spans="2:10" x14ac:dyDescent="0.25">
      <c r="B84"/>
      <c r="I84"/>
      <c r="J84"/>
    </row>
    <row r="85" spans="2:10" x14ac:dyDescent="0.25">
      <c r="B85"/>
      <c r="I85"/>
      <c r="J85"/>
    </row>
    <row r="86" spans="2:10" x14ac:dyDescent="0.25">
      <c r="B86"/>
      <c r="I86"/>
      <c r="J86"/>
    </row>
    <row r="87" spans="2:10" x14ac:dyDescent="0.25">
      <c r="B87"/>
      <c r="I87"/>
      <c r="J87"/>
    </row>
    <row r="88" spans="2:10" x14ac:dyDescent="0.25">
      <c r="B88"/>
      <c r="I88"/>
      <c r="J88"/>
    </row>
    <row r="89" spans="2:10" x14ac:dyDescent="0.25">
      <c r="B89"/>
      <c r="I89"/>
      <c r="J89"/>
    </row>
    <row r="90" spans="2:10" x14ac:dyDescent="0.25">
      <c r="B90"/>
      <c r="I90"/>
      <c r="J90"/>
    </row>
    <row r="91" spans="2:10" x14ac:dyDescent="0.25">
      <c r="B91"/>
      <c r="I91"/>
      <c r="J91"/>
    </row>
    <row r="92" spans="2:10" x14ac:dyDescent="0.25">
      <c r="B92"/>
      <c r="I92"/>
      <c r="J92"/>
    </row>
    <row r="93" spans="2:10" x14ac:dyDescent="0.25">
      <c r="B93"/>
      <c r="I93"/>
      <c r="J93"/>
    </row>
    <row r="94" spans="2:10" x14ac:dyDescent="0.25">
      <c r="B94"/>
      <c r="I94"/>
      <c r="J94"/>
    </row>
    <row r="95" spans="2:10" x14ac:dyDescent="0.25">
      <c r="B95"/>
      <c r="I95"/>
      <c r="J95"/>
    </row>
    <row r="96" spans="2:10" x14ac:dyDescent="0.25">
      <c r="B96"/>
      <c r="I96"/>
      <c r="J96"/>
    </row>
    <row r="97" spans="2:10" x14ac:dyDescent="0.25">
      <c r="B97"/>
      <c r="I97"/>
      <c r="J97"/>
    </row>
    <row r="98" spans="2:10" x14ac:dyDescent="0.25">
      <c r="B98"/>
      <c r="I98"/>
      <c r="J98"/>
    </row>
    <row r="99" spans="2:10" x14ac:dyDescent="0.25">
      <c r="B99"/>
      <c r="I99"/>
      <c r="J99"/>
    </row>
    <row r="100" spans="2:10" x14ac:dyDescent="0.25">
      <c r="B100"/>
      <c r="I100"/>
      <c r="J100"/>
    </row>
    <row r="101" spans="2:10" x14ac:dyDescent="0.25">
      <c r="B101"/>
      <c r="I101"/>
      <c r="J101"/>
    </row>
    <row r="102" spans="2:10" x14ac:dyDescent="0.25">
      <c r="B102"/>
      <c r="I102"/>
      <c r="J102"/>
    </row>
    <row r="103" spans="2:10" x14ac:dyDescent="0.25">
      <c r="B103"/>
      <c r="I103"/>
      <c r="J103"/>
    </row>
    <row r="104" spans="2:10" x14ac:dyDescent="0.25">
      <c r="B104"/>
      <c r="I104"/>
      <c r="J104"/>
    </row>
    <row r="105" spans="2:10" x14ac:dyDescent="0.25">
      <c r="B105"/>
      <c r="I105"/>
      <c r="J105"/>
    </row>
    <row r="106" spans="2:10" x14ac:dyDescent="0.25">
      <c r="B106"/>
      <c r="I106"/>
      <c r="J106"/>
    </row>
    <row r="107" spans="2:10" x14ac:dyDescent="0.25">
      <c r="B107"/>
      <c r="I107"/>
      <c r="J107"/>
    </row>
    <row r="108" spans="2:10" x14ac:dyDescent="0.25">
      <c r="B108"/>
      <c r="I108"/>
      <c r="J108"/>
    </row>
    <row r="109" spans="2:10" x14ac:dyDescent="0.25">
      <c r="B109"/>
      <c r="I109"/>
      <c r="J109"/>
    </row>
    <row r="110" spans="2:10" x14ac:dyDescent="0.25">
      <c r="B110"/>
      <c r="I110"/>
      <c r="J110"/>
    </row>
    <row r="111" spans="2:10" x14ac:dyDescent="0.25">
      <c r="B111"/>
      <c r="I111"/>
      <c r="J111"/>
    </row>
    <row r="112" spans="2:10" x14ac:dyDescent="0.25">
      <c r="B112"/>
      <c r="I112"/>
      <c r="J112"/>
    </row>
    <row r="113" spans="2:10" x14ac:dyDescent="0.25">
      <c r="B113"/>
      <c r="I113"/>
      <c r="J113"/>
    </row>
    <row r="114" spans="2:10" x14ac:dyDescent="0.25">
      <c r="B114"/>
      <c r="I114"/>
      <c r="J114"/>
    </row>
    <row r="115" spans="2:10" x14ac:dyDescent="0.25">
      <c r="B115"/>
      <c r="I115"/>
      <c r="J115"/>
    </row>
    <row r="116" spans="2:10" x14ac:dyDescent="0.25">
      <c r="B116"/>
      <c r="I116"/>
      <c r="J116"/>
    </row>
    <row r="117" spans="2:10" x14ac:dyDescent="0.25">
      <c r="B117"/>
      <c r="I117"/>
      <c r="J117"/>
    </row>
    <row r="118" spans="2:10" x14ac:dyDescent="0.25">
      <c r="B118"/>
      <c r="I118"/>
      <c r="J118"/>
    </row>
    <row r="119" spans="2:10" x14ac:dyDescent="0.25">
      <c r="B119"/>
      <c r="I119"/>
      <c r="J119"/>
    </row>
    <row r="120" spans="2:10" x14ac:dyDescent="0.25">
      <c r="B120"/>
      <c r="I120"/>
      <c r="J120"/>
    </row>
    <row r="121" spans="2:10" x14ac:dyDescent="0.25">
      <c r="B121"/>
      <c r="I121"/>
      <c r="J121"/>
    </row>
    <row r="122" spans="2:10" x14ac:dyDescent="0.25">
      <c r="B122"/>
      <c r="I122"/>
      <c r="J122"/>
    </row>
    <row r="123" spans="2:10" x14ac:dyDescent="0.25">
      <c r="B123"/>
      <c r="I123"/>
      <c r="J123"/>
    </row>
    <row r="124" spans="2:10" x14ac:dyDescent="0.25">
      <c r="B124"/>
      <c r="I124"/>
      <c r="J124"/>
    </row>
    <row r="125" spans="2:10" x14ac:dyDescent="0.25">
      <c r="B125"/>
      <c r="I125"/>
      <c r="J125"/>
    </row>
    <row r="126" spans="2:10" x14ac:dyDescent="0.25">
      <c r="B126"/>
      <c r="I126"/>
      <c r="J126"/>
    </row>
    <row r="127" spans="2:10" x14ac:dyDescent="0.25">
      <c r="B127"/>
      <c r="I127"/>
      <c r="J127"/>
    </row>
    <row r="128" spans="2:10" x14ac:dyDescent="0.25">
      <c r="B128"/>
      <c r="I128"/>
      <c r="J128"/>
    </row>
    <row r="129" spans="2:10" x14ac:dyDescent="0.25">
      <c r="B129"/>
      <c r="I129"/>
      <c r="J129"/>
    </row>
    <row r="130" spans="2:10" x14ac:dyDescent="0.25">
      <c r="B130"/>
      <c r="I130"/>
      <c r="J130"/>
    </row>
    <row r="131" spans="2:10" x14ac:dyDescent="0.25">
      <c r="B131"/>
      <c r="I131"/>
      <c r="J131"/>
    </row>
    <row r="132" spans="2:10" x14ac:dyDescent="0.25">
      <c r="B132"/>
      <c r="I132"/>
      <c r="J132"/>
    </row>
    <row r="133" spans="2:10" x14ac:dyDescent="0.25">
      <c r="B133"/>
      <c r="I133"/>
      <c r="J133"/>
    </row>
    <row r="134" spans="2:10" x14ac:dyDescent="0.25">
      <c r="B134"/>
      <c r="I134"/>
      <c r="J134"/>
    </row>
    <row r="135" spans="2:10" x14ac:dyDescent="0.25">
      <c r="B135"/>
      <c r="I135"/>
      <c r="J135"/>
    </row>
    <row r="136" spans="2:10" x14ac:dyDescent="0.25">
      <c r="B136"/>
      <c r="I136"/>
      <c r="J136"/>
    </row>
    <row r="137" spans="2:10" x14ac:dyDescent="0.25">
      <c r="B137"/>
      <c r="I137"/>
      <c r="J137"/>
    </row>
    <row r="138" spans="2:10" x14ac:dyDescent="0.25">
      <c r="B138"/>
      <c r="I138"/>
      <c r="J138"/>
    </row>
    <row r="139" spans="2:10" x14ac:dyDescent="0.25">
      <c r="B139"/>
      <c r="I139"/>
      <c r="J139"/>
    </row>
    <row r="140" spans="2:10" x14ac:dyDescent="0.25">
      <c r="B140"/>
      <c r="I140"/>
      <c r="J140"/>
    </row>
    <row r="141" spans="2:10" x14ac:dyDescent="0.25">
      <c r="B141"/>
      <c r="I141"/>
      <c r="J141"/>
    </row>
    <row r="142" spans="2:10" x14ac:dyDescent="0.25">
      <c r="B142"/>
      <c r="I142"/>
      <c r="J142"/>
    </row>
    <row r="143" spans="2:10" x14ac:dyDescent="0.25">
      <c r="B143"/>
      <c r="I143"/>
      <c r="J143"/>
    </row>
    <row r="144" spans="2:10" x14ac:dyDescent="0.25">
      <c r="B144"/>
      <c r="I144"/>
      <c r="J144"/>
    </row>
    <row r="145" spans="2:10" x14ac:dyDescent="0.25">
      <c r="B145"/>
      <c r="I145"/>
      <c r="J145"/>
    </row>
    <row r="146" spans="2:10" x14ac:dyDescent="0.25">
      <c r="B146"/>
      <c r="I146"/>
      <c r="J146"/>
    </row>
    <row r="147" spans="2:10" x14ac:dyDescent="0.25">
      <c r="B147"/>
      <c r="I147"/>
      <c r="J147"/>
    </row>
    <row r="148" spans="2:10" x14ac:dyDescent="0.25">
      <c r="B148"/>
      <c r="I148"/>
      <c r="J148"/>
    </row>
    <row r="149" spans="2:10" x14ac:dyDescent="0.25">
      <c r="B149"/>
      <c r="I149"/>
      <c r="J149"/>
    </row>
    <row r="150" spans="2:10" x14ac:dyDescent="0.25">
      <c r="B150"/>
      <c r="I150"/>
      <c r="J150"/>
    </row>
    <row r="151" spans="2:10" x14ac:dyDescent="0.25">
      <c r="B151"/>
      <c r="I151"/>
      <c r="J151"/>
    </row>
    <row r="152" spans="2:10" x14ac:dyDescent="0.25">
      <c r="B152"/>
      <c r="I152"/>
      <c r="J152"/>
    </row>
    <row r="153" spans="2:10" x14ac:dyDescent="0.25">
      <c r="B153"/>
      <c r="I153"/>
      <c r="J153"/>
    </row>
    <row r="154" spans="2:10" x14ac:dyDescent="0.25">
      <c r="B154"/>
      <c r="I154"/>
      <c r="J154"/>
    </row>
    <row r="155" spans="2:10" x14ac:dyDescent="0.25">
      <c r="B155"/>
      <c r="I155"/>
      <c r="J155"/>
    </row>
    <row r="156" spans="2:10" x14ac:dyDescent="0.25">
      <c r="B156"/>
      <c r="I156"/>
      <c r="J156"/>
    </row>
    <row r="157" spans="2:10" x14ac:dyDescent="0.25">
      <c r="B157"/>
      <c r="I157"/>
      <c r="J157"/>
    </row>
    <row r="158" spans="2:10" x14ac:dyDescent="0.25">
      <c r="B158"/>
      <c r="I158"/>
      <c r="J158"/>
    </row>
    <row r="159" spans="2:10" x14ac:dyDescent="0.25">
      <c r="B159"/>
      <c r="I159"/>
      <c r="J159"/>
    </row>
    <row r="160" spans="2:10" x14ac:dyDescent="0.25">
      <c r="B160"/>
      <c r="I160"/>
      <c r="J160"/>
    </row>
    <row r="161" spans="2:10" x14ac:dyDescent="0.25">
      <c r="B161"/>
      <c r="I161"/>
      <c r="J161"/>
    </row>
    <row r="162" spans="2:10" x14ac:dyDescent="0.25">
      <c r="B162"/>
      <c r="I162"/>
      <c r="J162"/>
    </row>
    <row r="163" spans="2:10" x14ac:dyDescent="0.25">
      <c r="B163"/>
      <c r="I163"/>
      <c r="J163"/>
    </row>
    <row r="164" spans="2:10" x14ac:dyDescent="0.25">
      <c r="B164"/>
      <c r="I164"/>
      <c r="J164"/>
    </row>
    <row r="165" spans="2:10" x14ac:dyDescent="0.25">
      <c r="B165"/>
      <c r="I165"/>
      <c r="J165"/>
    </row>
    <row r="166" spans="2:10" x14ac:dyDescent="0.25">
      <c r="B166"/>
      <c r="I166"/>
      <c r="J166"/>
    </row>
    <row r="167" spans="2:10" x14ac:dyDescent="0.25">
      <c r="B167"/>
      <c r="I167"/>
      <c r="J167"/>
    </row>
    <row r="168" spans="2:10" x14ac:dyDescent="0.25">
      <c r="B168"/>
      <c r="I168"/>
      <c r="J168"/>
    </row>
    <row r="169" spans="2:10" x14ac:dyDescent="0.25">
      <c r="B169"/>
      <c r="I169"/>
      <c r="J169"/>
    </row>
    <row r="170" spans="2:10" x14ac:dyDescent="0.25">
      <c r="B170"/>
      <c r="I170"/>
      <c r="J170"/>
    </row>
    <row r="171" spans="2:10" x14ac:dyDescent="0.25">
      <c r="B171"/>
      <c r="I171"/>
      <c r="J171"/>
    </row>
    <row r="172" spans="2:10" x14ac:dyDescent="0.25">
      <c r="B172"/>
      <c r="I172"/>
      <c r="J172"/>
    </row>
    <row r="173" spans="2:10" x14ac:dyDescent="0.25">
      <c r="B173"/>
      <c r="I173"/>
      <c r="J173"/>
    </row>
    <row r="174" spans="2:10" x14ac:dyDescent="0.25">
      <c r="B174"/>
      <c r="I174"/>
      <c r="J174"/>
    </row>
    <row r="175" spans="2:10" x14ac:dyDescent="0.25">
      <c r="B175"/>
      <c r="I175"/>
      <c r="J175"/>
    </row>
    <row r="176" spans="2:10" x14ac:dyDescent="0.25">
      <c r="B176"/>
      <c r="I176"/>
      <c r="J176"/>
    </row>
    <row r="177" spans="2:10" x14ac:dyDescent="0.25">
      <c r="B177"/>
      <c r="I177"/>
      <c r="J177"/>
    </row>
    <row r="178" spans="2:10" x14ac:dyDescent="0.25">
      <c r="B178"/>
      <c r="I178"/>
      <c r="J178"/>
    </row>
    <row r="179" spans="2:10" x14ac:dyDescent="0.25">
      <c r="B179"/>
      <c r="I179"/>
      <c r="J179"/>
    </row>
    <row r="180" spans="2:10" x14ac:dyDescent="0.25">
      <c r="B180"/>
      <c r="I180"/>
      <c r="J180"/>
    </row>
    <row r="181" spans="2:10" x14ac:dyDescent="0.25">
      <c r="B181"/>
      <c r="I181"/>
      <c r="J181"/>
    </row>
    <row r="182" spans="2:10" x14ac:dyDescent="0.25">
      <c r="B182"/>
      <c r="I182"/>
      <c r="J182"/>
    </row>
    <row r="183" spans="2:10" x14ac:dyDescent="0.25">
      <c r="B183"/>
      <c r="I183"/>
      <c r="J183"/>
    </row>
    <row r="184" spans="2:10" x14ac:dyDescent="0.25">
      <c r="B184"/>
      <c r="I184"/>
      <c r="J184"/>
    </row>
    <row r="185" spans="2:10" x14ac:dyDescent="0.25">
      <c r="B185"/>
      <c r="I185"/>
      <c r="J185"/>
    </row>
    <row r="186" spans="2:10" x14ac:dyDescent="0.25">
      <c r="B186"/>
      <c r="I186"/>
      <c r="J186"/>
    </row>
    <row r="187" spans="2:10" x14ac:dyDescent="0.25">
      <c r="B187"/>
      <c r="I187"/>
      <c r="J187"/>
    </row>
    <row r="188" spans="2:10" x14ac:dyDescent="0.25">
      <c r="B188"/>
      <c r="I188"/>
      <c r="J188"/>
    </row>
    <row r="189" spans="2:10" x14ac:dyDescent="0.25">
      <c r="B189"/>
      <c r="I189"/>
      <c r="J189"/>
    </row>
    <row r="190" spans="2:10" x14ac:dyDescent="0.25">
      <c r="B190"/>
      <c r="I190"/>
      <c r="J190"/>
    </row>
    <row r="191" spans="2:10" x14ac:dyDescent="0.25">
      <c r="B191"/>
      <c r="I191"/>
      <c r="J191"/>
    </row>
    <row r="192" spans="2:10" x14ac:dyDescent="0.25">
      <c r="B192"/>
      <c r="I192"/>
      <c r="J192"/>
    </row>
    <row r="193" spans="2:10" x14ac:dyDescent="0.25">
      <c r="B193"/>
      <c r="I193"/>
      <c r="J193"/>
    </row>
    <row r="194" spans="2:10" x14ac:dyDescent="0.25">
      <c r="B194"/>
      <c r="I194"/>
      <c r="J194"/>
    </row>
    <row r="195" spans="2:10" x14ac:dyDescent="0.25">
      <c r="B195"/>
      <c r="I195"/>
      <c r="J195"/>
    </row>
    <row r="196" spans="2:10" x14ac:dyDescent="0.25">
      <c r="B196"/>
      <c r="I196"/>
      <c r="J196"/>
    </row>
    <row r="197" spans="2:10" x14ac:dyDescent="0.25">
      <c r="B197"/>
      <c r="I197"/>
      <c r="J197"/>
    </row>
    <row r="198" spans="2:10" x14ac:dyDescent="0.25">
      <c r="B198"/>
      <c r="I198"/>
      <c r="J198"/>
    </row>
    <row r="199" spans="2:10" x14ac:dyDescent="0.25">
      <c r="B199"/>
      <c r="I199"/>
      <c r="J199"/>
    </row>
    <row r="200" spans="2:10" x14ac:dyDescent="0.25">
      <c r="B200"/>
      <c r="I200"/>
      <c r="J200"/>
    </row>
    <row r="201" spans="2:10" x14ac:dyDescent="0.25">
      <c r="B201"/>
      <c r="I201"/>
      <c r="J201"/>
    </row>
    <row r="202" spans="2:10" x14ac:dyDescent="0.25">
      <c r="B202"/>
      <c r="I202"/>
      <c r="J202"/>
    </row>
    <row r="203" spans="2:10" x14ac:dyDescent="0.25">
      <c r="B203"/>
      <c r="I203"/>
      <c r="J203"/>
    </row>
    <row r="204" spans="2:10" x14ac:dyDescent="0.25">
      <c r="B204"/>
      <c r="I204"/>
      <c r="J204"/>
    </row>
    <row r="205" spans="2:10" x14ac:dyDescent="0.25">
      <c r="B205"/>
      <c r="I205"/>
      <c r="J205"/>
    </row>
    <row r="206" spans="2:10" x14ac:dyDescent="0.25">
      <c r="B206"/>
      <c r="I206"/>
      <c r="J206"/>
    </row>
    <row r="207" spans="2:10" x14ac:dyDescent="0.25">
      <c r="B207"/>
      <c r="I207"/>
      <c r="J207"/>
    </row>
    <row r="208" spans="2:10" x14ac:dyDescent="0.25">
      <c r="B208"/>
      <c r="I208"/>
      <c r="J208"/>
    </row>
    <row r="209" spans="2:10" x14ac:dyDescent="0.25">
      <c r="B209"/>
      <c r="I209"/>
      <c r="J209"/>
    </row>
    <row r="210" spans="2:10" x14ac:dyDescent="0.25">
      <c r="B210"/>
      <c r="I210"/>
      <c r="J210"/>
    </row>
    <row r="211" spans="2:10" x14ac:dyDescent="0.25">
      <c r="B211"/>
      <c r="I211"/>
      <c r="J211"/>
    </row>
    <row r="212" spans="2:10" x14ac:dyDescent="0.25">
      <c r="B212"/>
      <c r="I212"/>
      <c r="J212"/>
    </row>
    <row r="213" spans="2:10" x14ac:dyDescent="0.25">
      <c r="B213"/>
      <c r="I213"/>
      <c r="J213"/>
    </row>
    <row r="214" spans="2:10" x14ac:dyDescent="0.25">
      <c r="B214"/>
      <c r="I214"/>
      <c r="J214"/>
    </row>
    <row r="215" spans="2:10" x14ac:dyDescent="0.25">
      <c r="B215"/>
      <c r="I215"/>
      <c r="J215"/>
    </row>
    <row r="216" spans="2:10" x14ac:dyDescent="0.25">
      <c r="B216"/>
      <c r="I216"/>
      <c r="J216"/>
    </row>
    <row r="217" spans="2:10" x14ac:dyDescent="0.25">
      <c r="B217"/>
      <c r="I217"/>
      <c r="J217"/>
    </row>
    <row r="218" spans="2:10" x14ac:dyDescent="0.25">
      <c r="B218"/>
      <c r="I218"/>
      <c r="J218"/>
    </row>
    <row r="219" spans="2:10" x14ac:dyDescent="0.25">
      <c r="B219"/>
      <c r="I219"/>
      <c r="J219"/>
    </row>
    <row r="220" spans="2:10" x14ac:dyDescent="0.25">
      <c r="B220"/>
      <c r="I220"/>
      <c r="J220"/>
    </row>
    <row r="221" spans="2:10" x14ac:dyDescent="0.25">
      <c r="B221"/>
      <c r="I221"/>
      <c r="J221"/>
    </row>
    <row r="222" spans="2:10" x14ac:dyDescent="0.25">
      <c r="B222"/>
      <c r="I222"/>
      <c r="J222"/>
    </row>
    <row r="223" spans="2:10" x14ac:dyDescent="0.25">
      <c r="B223"/>
      <c r="I223"/>
      <c r="J223"/>
    </row>
    <row r="224" spans="2:10" x14ac:dyDescent="0.25">
      <c r="B224"/>
      <c r="I224"/>
      <c r="J224"/>
    </row>
    <row r="225" spans="2:10" x14ac:dyDescent="0.25">
      <c r="B225"/>
      <c r="I225"/>
      <c r="J225"/>
    </row>
    <row r="226" spans="2:10" x14ac:dyDescent="0.25">
      <c r="B226"/>
      <c r="I226"/>
      <c r="J226"/>
    </row>
    <row r="227" spans="2:10" x14ac:dyDescent="0.25">
      <c r="B227"/>
      <c r="I227"/>
      <c r="J227"/>
    </row>
    <row r="228" spans="2:10" x14ac:dyDescent="0.25">
      <c r="B228"/>
      <c r="I228"/>
      <c r="J228"/>
    </row>
    <row r="229" spans="2:10" x14ac:dyDescent="0.25">
      <c r="B229"/>
      <c r="I229"/>
      <c r="J229"/>
    </row>
    <row r="230" spans="2:10" x14ac:dyDescent="0.25">
      <c r="B230"/>
      <c r="I230"/>
      <c r="J230"/>
    </row>
    <row r="231" spans="2:10" x14ac:dyDescent="0.25">
      <c r="B231"/>
      <c r="I231"/>
      <c r="J231"/>
    </row>
    <row r="232" spans="2:10" x14ac:dyDescent="0.25">
      <c r="B232"/>
      <c r="I232"/>
      <c r="J232"/>
    </row>
    <row r="233" spans="2:10" x14ac:dyDescent="0.25">
      <c r="B233"/>
      <c r="I233"/>
      <c r="J233"/>
    </row>
    <row r="234" spans="2:10" x14ac:dyDescent="0.25">
      <c r="B234"/>
      <c r="I234"/>
      <c r="J234"/>
    </row>
    <row r="235" spans="2:10" x14ac:dyDescent="0.25">
      <c r="B235"/>
      <c r="I235"/>
      <c r="J235"/>
    </row>
    <row r="236" spans="2:10" x14ac:dyDescent="0.25">
      <c r="B236"/>
      <c r="I236"/>
      <c r="J236"/>
    </row>
    <row r="237" spans="2:10" x14ac:dyDescent="0.25">
      <c r="B237"/>
      <c r="I237"/>
      <c r="J237"/>
    </row>
    <row r="238" spans="2:10" x14ac:dyDescent="0.25">
      <c r="B238"/>
      <c r="I238"/>
      <c r="J238"/>
    </row>
    <row r="239" spans="2:10" x14ac:dyDescent="0.25">
      <c r="B239"/>
      <c r="I239"/>
      <c r="J239"/>
    </row>
    <row r="240" spans="2:10" x14ac:dyDescent="0.25">
      <c r="B240"/>
      <c r="I240"/>
      <c r="J240"/>
    </row>
    <row r="241" spans="2:10" x14ac:dyDescent="0.25">
      <c r="B241"/>
      <c r="I241"/>
      <c r="J241"/>
    </row>
    <row r="242" spans="2:10" x14ac:dyDescent="0.25">
      <c r="B242"/>
      <c r="I242"/>
      <c r="J242"/>
    </row>
    <row r="243" spans="2:10" x14ac:dyDescent="0.25">
      <c r="B243"/>
      <c r="I243"/>
      <c r="J243"/>
    </row>
    <row r="244" spans="2:10" x14ac:dyDescent="0.25">
      <c r="B244"/>
      <c r="I244"/>
      <c r="J244"/>
    </row>
    <row r="245" spans="2:10" x14ac:dyDescent="0.25">
      <c r="B245"/>
      <c r="I245"/>
      <c r="J245"/>
    </row>
    <row r="246" spans="2:10" x14ac:dyDescent="0.25">
      <c r="B246"/>
      <c r="I246"/>
      <c r="J246"/>
    </row>
    <row r="247" spans="2:10" x14ac:dyDescent="0.25">
      <c r="B247"/>
      <c r="I247"/>
      <c r="J247"/>
    </row>
    <row r="248" spans="2:10" x14ac:dyDescent="0.25">
      <c r="B248"/>
      <c r="I248"/>
      <c r="J248"/>
    </row>
    <row r="249" spans="2:10" x14ac:dyDescent="0.25">
      <c r="B249"/>
      <c r="I249"/>
      <c r="J249"/>
    </row>
    <row r="250" spans="2:10" x14ac:dyDescent="0.25">
      <c r="B250"/>
      <c r="I250"/>
      <c r="J250"/>
    </row>
    <row r="251" spans="2:10" x14ac:dyDescent="0.25">
      <c r="B251"/>
      <c r="I251"/>
      <c r="J251"/>
    </row>
    <row r="252" spans="2:10" x14ac:dyDescent="0.25">
      <c r="B252"/>
      <c r="I252"/>
      <c r="J252"/>
    </row>
    <row r="253" spans="2:10" x14ac:dyDescent="0.25">
      <c r="B253"/>
      <c r="I253"/>
      <c r="J253"/>
    </row>
    <row r="254" spans="2:10" x14ac:dyDescent="0.25">
      <c r="B254"/>
      <c r="I254"/>
      <c r="J254"/>
    </row>
    <row r="255" spans="2:10" x14ac:dyDescent="0.25">
      <c r="B255"/>
      <c r="I255"/>
      <c r="J255"/>
    </row>
    <row r="256" spans="2:10" x14ac:dyDescent="0.25">
      <c r="B256"/>
      <c r="I256"/>
      <c r="J256"/>
    </row>
    <row r="257" spans="2:10" x14ac:dyDescent="0.25">
      <c r="B257"/>
      <c r="I257"/>
      <c r="J257"/>
    </row>
    <row r="258" spans="2:10" x14ac:dyDescent="0.25">
      <c r="B258"/>
      <c r="I258"/>
      <c r="J258"/>
    </row>
    <row r="259" spans="2:10" x14ac:dyDescent="0.25">
      <c r="B259"/>
      <c r="I259"/>
      <c r="J259"/>
    </row>
    <row r="260" spans="2:10" x14ac:dyDescent="0.25">
      <c r="B260"/>
      <c r="I260"/>
      <c r="J260"/>
    </row>
    <row r="261" spans="2:10" x14ac:dyDescent="0.25">
      <c r="B261"/>
      <c r="I261"/>
      <c r="J261"/>
    </row>
    <row r="262" spans="2:10" x14ac:dyDescent="0.25">
      <c r="B262"/>
      <c r="I262"/>
      <c r="J262"/>
    </row>
    <row r="263" spans="2:10" x14ac:dyDescent="0.25">
      <c r="B263"/>
      <c r="I263"/>
      <c r="J263"/>
    </row>
    <row r="264" spans="2:10" x14ac:dyDescent="0.25">
      <c r="B264"/>
      <c r="I264"/>
      <c r="J264"/>
    </row>
    <row r="265" spans="2:10" x14ac:dyDescent="0.25">
      <c r="B265"/>
      <c r="I265"/>
      <c r="J265"/>
    </row>
    <row r="266" spans="2:10" x14ac:dyDescent="0.25">
      <c r="B266"/>
      <c r="I266"/>
      <c r="J266"/>
    </row>
    <row r="267" spans="2:10" x14ac:dyDescent="0.25">
      <c r="B267"/>
      <c r="I267"/>
      <c r="J267"/>
    </row>
    <row r="268" spans="2:10" x14ac:dyDescent="0.25">
      <c r="B268"/>
      <c r="I268"/>
      <c r="J268"/>
    </row>
    <row r="269" spans="2:10" x14ac:dyDescent="0.25">
      <c r="B269"/>
      <c r="I269"/>
      <c r="J269"/>
    </row>
    <row r="270" spans="2:10" x14ac:dyDescent="0.25">
      <c r="B270"/>
      <c r="I270"/>
      <c r="J270"/>
    </row>
    <row r="271" spans="2:10" x14ac:dyDescent="0.25">
      <c r="B271"/>
      <c r="I271"/>
      <c r="J271"/>
    </row>
    <row r="272" spans="2:10" x14ac:dyDescent="0.25">
      <c r="B272"/>
      <c r="I272"/>
      <c r="J272"/>
    </row>
    <row r="273" spans="2:10" x14ac:dyDescent="0.25">
      <c r="B273"/>
      <c r="I273"/>
      <c r="J273"/>
    </row>
    <row r="274" spans="2:10" x14ac:dyDescent="0.25">
      <c r="B274"/>
      <c r="I274"/>
      <c r="J274"/>
    </row>
    <row r="275" spans="2:10" x14ac:dyDescent="0.25">
      <c r="B275"/>
      <c r="I275"/>
      <c r="J275"/>
    </row>
    <row r="276" spans="2:10" x14ac:dyDescent="0.25">
      <c r="B276"/>
      <c r="I276"/>
      <c r="J276"/>
    </row>
    <row r="277" spans="2:10" x14ac:dyDescent="0.25">
      <c r="B277"/>
      <c r="I277"/>
      <c r="J277"/>
    </row>
    <row r="278" spans="2:10" x14ac:dyDescent="0.25">
      <c r="B278"/>
      <c r="I278"/>
      <c r="J278"/>
    </row>
    <row r="279" spans="2:10" x14ac:dyDescent="0.25">
      <c r="B279"/>
      <c r="I279"/>
      <c r="J279"/>
    </row>
    <row r="280" spans="2:10" x14ac:dyDescent="0.25">
      <c r="B280"/>
      <c r="I280"/>
      <c r="J280"/>
    </row>
    <row r="281" spans="2:10" x14ac:dyDescent="0.25">
      <c r="B281"/>
      <c r="I281"/>
      <c r="J281"/>
    </row>
    <row r="282" spans="2:10" x14ac:dyDescent="0.25">
      <c r="B282"/>
      <c r="I282"/>
      <c r="J282"/>
    </row>
    <row r="283" spans="2:10" x14ac:dyDescent="0.25">
      <c r="B283"/>
      <c r="I283"/>
      <c r="J283"/>
    </row>
    <row r="284" spans="2:10" x14ac:dyDescent="0.25">
      <c r="B284"/>
      <c r="I284"/>
      <c r="J284"/>
    </row>
    <row r="285" spans="2:10" x14ac:dyDescent="0.25">
      <c r="B285"/>
      <c r="I285"/>
      <c r="J285"/>
    </row>
    <row r="286" spans="2:10" x14ac:dyDescent="0.25">
      <c r="B286"/>
      <c r="I286"/>
      <c r="J286"/>
    </row>
    <row r="287" spans="2:10" x14ac:dyDescent="0.25">
      <c r="B287"/>
      <c r="I287"/>
      <c r="J287"/>
    </row>
    <row r="288" spans="2:10" x14ac:dyDescent="0.25">
      <c r="B288"/>
      <c r="I288"/>
      <c r="J288"/>
    </row>
    <row r="289" spans="2:10" x14ac:dyDescent="0.25">
      <c r="B289"/>
      <c r="I289"/>
      <c r="J289"/>
    </row>
    <row r="290" spans="2:10" x14ac:dyDescent="0.25">
      <c r="B290"/>
      <c r="I290"/>
      <c r="J290"/>
    </row>
    <row r="291" spans="2:10" x14ac:dyDescent="0.25">
      <c r="B291"/>
      <c r="I291"/>
      <c r="J291"/>
    </row>
    <row r="292" spans="2:10" x14ac:dyDescent="0.25">
      <c r="B292"/>
      <c r="I292"/>
      <c r="J292"/>
    </row>
    <row r="293" spans="2:10" x14ac:dyDescent="0.25">
      <c r="B293"/>
      <c r="I293"/>
      <c r="J293"/>
    </row>
    <row r="294" spans="2:10" x14ac:dyDescent="0.25">
      <c r="B294"/>
      <c r="I294"/>
      <c r="J294"/>
    </row>
    <row r="295" spans="2:10" x14ac:dyDescent="0.25">
      <c r="B295"/>
      <c r="I295"/>
      <c r="J295"/>
    </row>
    <row r="296" spans="2:10" x14ac:dyDescent="0.25">
      <c r="B296"/>
      <c r="I296"/>
      <c r="J296"/>
    </row>
    <row r="297" spans="2:10" x14ac:dyDescent="0.25">
      <c r="B297"/>
      <c r="I297"/>
      <c r="J297"/>
    </row>
    <row r="298" spans="2:10" x14ac:dyDescent="0.25">
      <c r="B298"/>
      <c r="I298"/>
      <c r="J298"/>
    </row>
    <row r="299" spans="2:10" x14ac:dyDescent="0.25">
      <c r="B299"/>
      <c r="I299"/>
      <c r="J299"/>
    </row>
    <row r="300" spans="2:10" x14ac:dyDescent="0.25">
      <c r="B300"/>
      <c r="I300"/>
      <c r="J300"/>
    </row>
    <row r="301" spans="2:10" x14ac:dyDescent="0.25">
      <c r="B301"/>
      <c r="I301"/>
      <c r="J301"/>
    </row>
    <row r="302" spans="2:10" x14ac:dyDescent="0.25">
      <c r="B302"/>
      <c r="I302"/>
      <c r="J302"/>
    </row>
    <row r="303" spans="2:10" x14ac:dyDescent="0.25">
      <c r="B303"/>
      <c r="I303"/>
      <c r="J303"/>
    </row>
    <row r="304" spans="2:10" x14ac:dyDescent="0.25">
      <c r="B304"/>
      <c r="I304"/>
      <c r="J304"/>
    </row>
    <row r="305" spans="2:10" x14ac:dyDescent="0.25">
      <c r="B305"/>
      <c r="I305"/>
      <c r="J305"/>
    </row>
    <row r="306" spans="2:10" x14ac:dyDescent="0.25">
      <c r="B306"/>
      <c r="I306"/>
      <c r="J306"/>
    </row>
    <row r="307" spans="2:10" x14ac:dyDescent="0.25">
      <c r="B307"/>
      <c r="I307"/>
      <c r="J307"/>
    </row>
    <row r="308" spans="2:10" x14ac:dyDescent="0.25">
      <c r="B308"/>
      <c r="I308"/>
      <c r="J308"/>
    </row>
    <row r="309" spans="2:10" x14ac:dyDescent="0.25">
      <c r="B309"/>
      <c r="I309"/>
      <c r="J309"/>
    </row>
    <row r="310" spans="2:10" x14ac:dyDescent="0.25">
      <c r="B310"/>
      <c r="I310"/>
      <c r="J310"/>
    </row>
    <row r="311" spans="2:10" x14ac:dyDescent="0.25">
      <c r="B311"/>
      <c r="I311"/>
      <c r="J311"/>
    </row>
    <row r="312" spans="2:10" x14ac:dyDescent="0.25">
      <c r="B312"/>
      <c r="I312"/>
      <c r="J312"/>
    </row>
    <row r="313" spans="2:10" x14ac:dyDescent="0.25">
      <c r="B313"/>
      <c r="I313"/>
      <c r="J313"/>
    </row>
    <row r="314" spans="2:10" x14ac:dyDescent="0.25">
      <c r="B314"/>
      <c r="I314"/>
      <c r="J314"/>
    </row>
    <row r="315" spans="2:10" x14ac:dyDescent="0.25">
      <c r="B315"/>
      <c r="I315"/>
      <c r="J315"/>
    </row>
    <row r="316" spans="2:10" x14ac:dyDescent="0.25">
      <c r="B316"/>
      <c r="I316"/>
      <c r="J316"/>
    </row>
    <row r="317" spans="2:10" x14ac:dyDescent="0.25">
      <c r="B317"/>
      <c r="I317"/>
      <c r="J317"/>
    </row>
    <row r="318" spans="2:10" x14ac:dyDescent="0.25">
      <c r="B318"/>
      <c r="I318"/>
      <c r="J318"/>
    </row>
    <row r="319" spans="2:10" x14ac:dyDescent="0.25">
      <c r="B319"/>
      <c r="I319"/>
      <c r="J319"/>
    </row>
    <row r="320" spans="2:10" x14ac:dyDescent="0.25">
      <c r="B320"/>
      <c r="I320"/>
      <c r="J320"/>
    </row>
    <row r="321" spans="2:10" x14ac:dyDescent="0.25">
      <c r="B321"/>
      <c r="I321"/>
      <c r="J321"/>
    </row>
    <row r="322" spans="2:10" x14ac:dyDescent="0.25">
      <c r="B322"/>
      <c r="I322"/>
      <c r="J322"/>
    </row>
    <row r="323" spans="2:10" x14ac:dyDescent="0.25">
      <c r="B323"/>
      <c r="I323"/>
      <c r="J323"/>
    </row>
    <row r="324" spans="2:10" x14ac:dyDescent="0.25">
      <c r="B324"/>
      <c r="I324"/>
      <c r="J324"/>
    </row>
    <row r="325" spans="2:10" x14ac:dyDescent="0.25">
      <c r="B325"/>
      <c r="I325"/>
      <c r="J325"/>
    </row>
    <row r="326" spans="2:10" x14ac:dyDescent="0.25">
      <c r="B326"/>
      <c r="I326"/>
      <c r="J326"/>
    </row>
    <row r="327" spans="2:10" x14ac:dyDescent="0.25">
      <c r="B327"/>
      <c r="I327"/>
      <c r="J327"/>
    </row>
    <row r="328" spans="2:10" x14ac:dyDescent="0.25">
      <c r="B328"/>
      <c r="I328"/>
      <c r="J328"/>
    </row>
    <row r="329" spans="2:10" x14ac:dyDescent="0.25">
      <c r="B329"/>
      <c r="I329"/>
      <c r="J329"/>
    </row>
    <row r="330" spans="2:10" x14ac:dyDescent="0.25">
      <c r="B330"/>
      <c r="I330"/>
      <c r="J330"/>
    </row>
    <row r="331" spans="2:10" x14ac:dyDescent="0.25">
      <c r="B331"/>
      <c r="I331"/>
      <c r="J331"/>
    </row>
    <row r="332" spans="2:10" x14ac:dyDescent="0.25">
      <c r="B332"/>
      <c r="I332"/>
      <c r="J332"/>
    </row>
    <row r="333" spans="2:10" x14ac:dyDescent="0.25">
      <c r="B333"/>
      <c r="I333"/>
      <c r="J333"/>
    </row>
    <row r="334" spans="2:10" x14ac:dyDescent="0.25">
      <c r="B334"/>
      <c r="I334"/>
      <c r="J334"/>
    </row>
    <row r="335" spans="2:10" x14ac:dyDescent="0.25">
      <c r="B335"/>
      <c r="I335"/>
      <c r="J335"/>
    </row>
    <row r="336" spans="2:10" x14ac:dyDescent="0.25">
      <c r="B336"/>
      <c r="I336"/>
      <c r="J336"/>
    </row>
    <row r="337" spans="2:10" x14ac:dyDescent="0.25">
      <c r="B337"/>
      <c r="I337"/>
      <c r="J337"/>
    </row>
    <row r="338" spans="2:10" x14ac:dyDescent="0.25">
      <c r="B338"/>
      <c r="I338"/>
      <c r="J338"/>
    </row>
    <row r="339" spans="2:10" x14ac:dyDescent="0.25">
      <c r="B339"/>
      <c r="I339"/>
      <c r="J339"/>
    </row>
    <row r="340" spans="2:10" x14ac:dyDescent="0.25">
      <c r="B340"/>
      <c r="I340"/>
      <c r="J340"/>
    </row>
    <row r="341" spans="2:10" x14ac:dyDescent="0.25">
      <c r="B341"/>
      <c r="I341"/>
      <c r="J341"/>
    </row>
    <row r="342" spans="2:10" x14ac:dyDescent="0.25">
      <c r="B342"/>
      <c r="I342"/>
      <c r="J342"/>
    </row>
    <row r="343" spans="2:10" x14ac:dyDescent="0.25">
      <c r="B343"/>
      <c r="I343"/>
      <c r="J343"/>
    </row>
    <row r="344" spans="2:10" x14ac:dyDescent="0.25">
      <c r="B344"/>
      <c r="I344"/>
      <c r="J344"/>
    </row>
    <row r="345" spans="2:10" x14ac:dyDescent="0.25">
      <c r="B345"/>
      <c r="I345"/>
      <c r="J345"/>
    </row>
    <row r="346" spans="2:10" x14ac:dyDescent="0.25">
      <c r="B346"/>
      <c r="I346"/>
      <c r="J346"/>
    </row>
    <row r="347" spans="2:10" x14ac:dyDescent="0.25">
      <c r="B347"/>
      <c r="I347"/>
      <c r="J347"/>
    </row>
    <row r="348" spans="2:10" x14ac:dyDescent="0.25">
      <c r="B348"/>
      <c r="I348"/>
      <c r="J348"/>
    </row>
    <row r="349" spans="2:10" x14ac:dyDescent="0.25">
      <c r="B349"/>
      <c r="I349"/>
      <c r="J349"/>
    </row>
    <row r="350" spans="2:10" x14ac:dyDescent="0.25">
      <c r="B350"/>
      <c r="I350"/>
      <c r="J350"/>
    </row>
    <row r="351" spans="2:10" x14ac:dyDescent="0.25">
      <c r="B351"/>
      <c r="I351"/>
      <c r="J351"/>
    </row>
    <row r="352" spans="2:10" x14ac:dyDescent="0.25">
      <c r="B352"/>
      <c r="I352"/>
      <c r="J352"/>
    </row>
    <row r="353" spans="2:10" x14ac:dyDescent="0.25">
      <c r="B353"/>
      <c r="I353"/>
      <c r="J353"/>
    </row>
    <row r="354" spans="2:10" x14ac:dyDescent="0.25">
      <c r="B354"/>
      <c r="I354"/>
      <c r="J354"/>
    </row>
    <row r="355" spans="2:10" x14ac:dyDescent="0.25">
      <c r="B355"/>
      <c r="I355"/>
      <c r="J355"/>
    </row>
    <row r="356" spans="2:10" x14ac:dyDescent="0.25">
      <c r="B356"/>
      <c r="I356"/>
      <c r="J356"/>
    </row>
    <row r="357" spans="2:10" x14ac:dyDescent="0.25">
      <c r="B357"/>
      <c r="I357"/>
      <c r="J357"/>
    </row>
    <row r="358" spans="2:10" x14ac:dyDescent="0.25">
      <c r="B358"/>
      <c r="I358"/>
      <c r="J358"/>
    </row>
    <row r="359" spans="2:10" x14ac:dyDescent="0.25">
      <c r="B359"/>
      <c r="I359"/>
      <c r="J359"/>
    </row>
    <row r="360" spans="2:10" x14ac:dyDescent="0.25">
      <c r="B360"/>
      <c r="I360"/>
      <c r="J360"/>
    </row>
    <row r="361" spans="2:10" x14ac:dyDescent="0.25">
      <c r="B361"/>
      <c r="I361"/>
      <c r="J361"/>
    </row>
    <row r="362" spans="2:10" x14ac:dyDescent="0.25">
      <c r="B362"/>
      <c r="I362"/>
      <c r="J362"/>
    </row>
    <row r="363" spans="2:10" x14ac:dyDescent="0.25">
      <c r="B363"/>
      <c r="I363"/>
      <c r="J363"/>
    </row>
    <row r="364" spans="2:10" x14ac:dyDescent="0.25">
      <c r="B364"/>
      <c r="I364"/>
      <c r="J364"/>
    </row>
    <row r="365" spans="2:10" x14ac:dyDescent="0.25">
      <c r="B365"/>
      <c r="I365"/>
      <c r="J365"/>
    </row>
    <row r="366" spans="2:10" x14ac:dyDescent="0.25">
      <c r="B366"/>
      <c r="I366"/>
      <c r="J366"/>
    </row>
    <row r="367" spans="2:10" x14ac:dyDescent="0.25">
      <c r="B367"/>
      <c r="I367"/>
      <c r="J367"/>
    </row>
    <row r="368" spans="2:10" x14ac:dyDescent="0.25">
      <c r="B368"/>
      <c r="I368"/>
      <c r="J368"/>
    </row>
    <row r="369" spans="2:10" x14ac:dyDescent="0.25">
      <c r="B369"/>
      <c r="I369"/>
      <c r="J369"/>
    </row>
    <row r="370" spans="2:10" x14ac:dyDescent="0.25">
      <c r="B370"/>
      <c r="I370"/>
      <c r="J370"/>
    </row>
    <row r="371" spans="2:10" x14ac:dyDescent="0.25">
      <c r="B371"/>
      <c r="I371"/>
      <c r="J371"/>
    </row>
    <row r="372" spans="2:10" x14ac:dyDescent="0.25">
      <c r="B372"/>
      <c r="I372"/>
      <c r="J372"/>
    </row>
    <row r="373" spans="2:10" x14ac:dyDescent="0.25">
      <c r="B373"/>
      <c r="I373"/>
      <c r="J373"/>
    </row>
    <row r="374" spans="2:10" x14ac:dyDescent="0.25">
      <c r="B374"/>
      <c r="I374"/>
      <c r="J374"/>
    </row>
    <row r="375" spans="2:10" x14ac:dyDescent="0.25">
      <c r="B375"/>
      <c r="I375"/>
      <c r="J375"/>
    </row>
    <row r="376" spans="2:10" x14ac:dyDescent="0.25">
      <c r="B376"/>
      <c r="I376"/>
      <c r="J376"/>
    </row>
    <row r="377" spans="2:10" x14ac:dyDescent="0.25">
      <c r="B377"/>
      <c r="I377"/>
      <c r="J377"/>
    </row>
    <row r="378" spans="2:10" x14ac:dyDescent="0.25">
      <c r="B378"/>
      <c r="I378"/>
      <c r="J378"/>
    </row>
    <row r="379" spans="2:10" x14ac:dyDescent="0.25">
      <c r="B379"/>
      <c r="I379"/>
      <c r="J379"/>
    </row>
    <row r="380" spans="2:10" x14ac:dyDescent="0.25">
      <c r="B380"/>
      <c r="I380"/>
      <c r="J380"/>
    </row>
    <row r="381" spans="2:10" x14ac:dyDescent="0.25">
      <c r="B381"/>
      <c r="I381"/>
      <c r="J381"/>
    </row>
    <row r="382" spans="2:10" x14ac:dyDescent="0.25">
      <c r="B382"/>
      <c r="I382"/>
      <c r="J382"/>
    </row>
    <row r="383" spans="2:10" x14ac:dyDescent="0.25">
      <c r="B383"/>
      <c r="I383"/>
      <c r="J383"/>
    </row>
    <row r="384" spans="2:10" x14ac:dyDescent="0.25">
      <c r="B384"/>
      <c r="I384"/>
      <c r="J384"/>
    </row>
    <row r="385" spans="2:10" x14ac:dyDescent="0.25">
      <c r="B385"/>
      <c r="I385"/>
      <c r="J385"/>
    </row>
    <row r="386" spans="2:10" x14ac:dyDescent="0.25">
      <c r="B386"/>
      <c r="I386"/>
      <c r="J386"/>
    </row>
    <row r="387" spans="2:10" x14ac:dyDescent="0.25">
      <c r="B387"/>
      <c r="I387"/>
      <c r="J387"/>
    </row>
    <row r="388" spans="2:10" x14ac:dyDescent="0.25">
      <c r="B388"/>
      <c r="I388"/>
      <c r="J388"/>
    </row>
    <row r="389" spans="2:10" x14ac:dyDescent="0.25">
      <c r="B389"/>
      <c r="I389"/>
      <c r="J389"/>
    </row>
    <row r="390" spans="2:10" x14ac:dyDescent="0.25">
      <c r="B390"/>
      <c r="I390"/>
      <c r="J390"/>
    </row>
    <row r="391" spans="2:10" x14ac:dyDescent="0.25">
      <c r="B391"/>
      <c r="I391"/>
      <c r="J391"/>
    </row>
    <row r="392" spans="2:10" x14ac:dyDescent="0.25">
      <c r="B392"/>
      <c r="I392"/>
      <c r="J392"/>
    </row>
    <row r="393" spans="2:10" x14ac:dyDescent="0.25">
      <c r="B393"/>
      <c r="I393"/>
      <c r="J393"/>
    </row>
    <row r="394" spans="2:10" x14ac:dyDescent="0.25">
      <c r="B394"/>
      <c r="I394"/>
      <c r="J394"/>
    </row>
    <row r="395" spans="2:10" x14ac:dyDescent="0.25">
      <c r="B395"/>
      <c r="I395"/>
      <c r="J395"/>
    </row>
    <row r="396" spans="2:10" x14ac:dyDescent="0.25">
      <c r="B396"/>
      <c r="I396"/>
      <c r="J396"/>
    </row>
    <row r="397" spans="2:10" x14ac:dyDescent="0.25">
      <c r="B397"/>
      <c r="I397"/>
      <c r="J397"/>
    </row>
    <row r="398" spans="2:10" x14ac:dyDescent="0.25">
      <c r="B398"/>
      <c r="I398"/>
      <c r="J398"/>
    </row>
    <row r="399" spans="2:10" x14ac:dyDescent="0.25">
      <c r="B399"/>
      <c r="I399"/>
      <c r="J399"/>
    </row>
    <row r="400" spans="2:10" x14ac:dyDescent="0.25">
      <c r="B400"/>
      <c r="I400"/>
      <c r="J400"/>
    </row>
    <row r="401" spans="2:10" x14ac:dyDescent="0.25">
      <c r="B401"/>
      <c r="I401"/>
      <c r="J401"/>
    </row>
    <row r="402" spans="2:10" x14ac:dyDescent="0.25">
      <c r="B402"/>
      <c r="I402"/>
      <c r="J402"/>
    </row>
    <row r="403" spans="2:10" x14ac:dyDescent="0.25">
      <c r="B403"/>
      <c r="I403"/>
      <c r="J403"/>
    </row>
    <row r="404" spans="2:10" x14ac:dyDescent="0.25">
      <c r="B404"/>
      <c r="I404"/>
      <c r="J404"/>
    </row>
    <row r="405" spans="2:10" x14ac:dyDescent="0.25">
      <c r="B405"/>
      <c r="I405"/>
      <c r="J405"/>
    </row>
    <row r="406" spans="2:10" x14ac:dyDescent="0.25">
      <c r="B406"/>
      <c r="I406"/>
      <c r="J406"/>
    </row>
    <row r="407" spans="2:10" x14ac:dyDescent="0.25">
      <c r="B407"/>
      <c r="I407"/>
      <c r="J407"/>
    </row>
    <row r="408" spans="2:10" x14ac:dyDescent="0.25">
      <c r="B408"/>
      <c r="I408"/>
      <c r="J408"/>
    </row>
    <row r="409" spans="2:10" x14ac:dyDescent="0.25">
      <c r="B409"/>
      <c r="I409"/>
      <c r="J409"/>
    </row>
    <row r="410" spans="2:10" x14ac:dyDescent="0.25">
      <c r="B410"/>
      <c r="I410"/>
      <c r="J410"/>
    </row>
    <row r="411" spans="2:10" x14ac:dyDescent="0.25">
      <c r="B411"/>
      <c r="I411"/>
      <c r="J411"/>
    </row>
    <row r="412" spans="2:10" x14ac:dyDescent="0.25">
      <c r="B412"/>
      <c r="I412"/>
      <c r="J412"/>
    </row>
    <row r="413" spans="2:10" x14ac:dyDescent="0.25">
      <c r="B413"/>
      <c r="I413"/>
      <c r="J413"/>
    </row>
    <row r="414" spans="2:10" x14ac:dyDescent="0.25">
      <c r="B414"/>
      <c r="I414"/>
      <c r="J414"/>
    </row>
    <row r="415" spans="2:10" x14ac:dyDescent="0.25">
      <c r="B415"/>
      <c r="I415"/>
      <c r="J415"/>
    </row>
    <row r="416" spans="2:10" x14ac:dyDescent="0.25">
      <c r="B416"/>
      <c r="I416"/>
      <c r="J416"/>
    </row>
    <row r="417" spans="2:10" x14ac:dyDescent="0.25">
      <c r="B417"/>
      <c r="I417"/>
      <c r="J417"/>
    </row>
    <row r="418" spans="2:10" x14ac:dyDescent="0.25">
      <c r="B418"/>
      <c r="I418"/>
      <c r="J418"/>
    </row>
    <row r="419" spans="2:10" x14ac:dyDescent="0.25">
      <c r="B419"/>
      <c r="I419"/>
      <c r="J419"/>
    </row>
    <row r="420" spans="2:10" x14ac:dyDescent="0.25">
      <c r="B420"/>
      <c r="I420"/>
      <c r="J420"/>
    </row>
    <row r="421" spans="2:10" x14ac:dyDescent="0.25">
      <c r="B421"/>
      <c r="I421"/>
      <c r="J421"/>
    </row>
    <row r="422" spans="2:10" x14ac:dyDescent="0.25">
      <c r="B422"/>
      <c r="I422"/>
      <c r="J422"/>
    </row>
    <row r="423" spans="2:10" x14ac:dyDescent="0.25">
      <c r="B423"/>
      <c r="I423"/>
      <c r="J423"/>
    </row>
    <row r="424" spans="2:10" x14ac:dyDescent="0.25">
      <c r="B424"/>
      <c r="I424"/>
      <c r="J424"/>
    </row>
    <row r="425" spans="2:10" x14ac:dyDescent="0.25">
      <c r="B425"/>
      <c r="I425"/>
      <c r="J425"/>
    </row>
    <row r="426" spans="2:10" x14ac:dyDescent="0.25">
      <c r="B426"/>
      <c r="I426"/>
      <c r="J426"/>
    </row>
    <row r="427" spans="2:10" x14ac:dyDescent="0.25">
      <c r="B427"/>
      <c r="I427"/>
      <c r="J427"/>
    </row>
    <row r="428" spans="2:10" x14ac:dyDescent="0.25">
      <c r="B428"/>
      <c r="I428"/>
      <c r="J428"/>
    </row>
    <row r="429" spans="2:10" x14ac:dyDescent="0.25">
      <c r="B429"/>
      <c r="I429"/>
      <c r="J429"/>
    </row>
    <row r="430" spans="2:10" x14ac:dyDescent="0.25">
      <c r="B430"/>
      <c r="I430"/>
      <c r="J430"/>
    </row>
    <row r="431" spans="2:10" x14ac:dyDescent="0.25">
      <c r="B431"/>
      <c r="I431"/>
      <c r="J431"/>
    </row>
    <row r="432" spans="2:10" x14ac:dyDescent="0.25">
      <c r="B432"/>
      <c r="I432"/>
      <c r="J432"/>
    </row>
    <row r="433" spans="2:10" x14ac:dyDescent="0.25">
      <c r="B433"/>
      <c r="I433"/>
      <c r="J433"/>
    </row>
    <row r="434" spans="2:10" x14ac:dyDescent="0.25">
      <c r="B434"/>
      <c r="I434"/>
      <c r="J434"/>
    </row>
    <row r="435" spans="2:10" x14ac:dyDescent="0.25">
      <c r="B435"/>
      <c r="I435"/>
      <c r="J435"/>
    </row>
    <row r="436" spans="2:10" x14ac:dyDescent="0.25">
      <c r="B436"/>
      <c r="I436"/>
      <c r="J436"/>
    </row>
    <row r="437" spans="2:10" x14ac:dyDescent="0.25">
      <c r="B437"/>
      <c r="I437"/>
      <c r="J437"/>
    </row>
    <row r="438" spans="2:10" x14ac:dyDescent="0.25">
      <c r="B438"/>
      <c r="I438"/>
      <c r="J438"/>
    </row>
    <row r="439" spans="2:10" x14ac:dyDescent="0.25">
      <c r="B439"/>
      <c r="I439"/>
      <c r="J439"/>
    </row>
    <row r="440" spans="2:10" x14ac:dyDescent="0.25">
      <c r="B440"/>
      <c r="I440"/>
      <c r="J440"/>
    </row>
    <row r="441" spans="2:10" x14ac:dyDescent="0.25">
      <c r="B441"/>
      <c r="I441"/>
      <c r="J441"/>
    </row>
    <row r="442" spans="2:10" x14ac:dyDescent="0.25">
      <c r="B442"/>
      <c r="I442"/>
      <c r="J442"/>
    </row>
    <row r="443" spans="2:10" x14ac:dyDescent="0.25">
      <c r="B443"/>
      <c r="I443"/>
      <c r="J443"/>
    </row>
    <row r="444" spans="2:10" x14ac:dyDescent="0.25">
      <c r="B444"/>
      <c r="I444"/>
      <c r="J444"/>
    </row>
    <row r="445" spans="2:10" x14ac:dyDescent="0.25">
      <c r="B445"/>
      <c r="I445"/>
      <c r="J445"/>
    </row>
    <row r="446" spans="2:10" x14ac:dyDescent="0.25">
      <c r="B446"/>
      <c r="I446"/>
      <c r="J446"/>
    </row>
    <row r="447" spans="2:10" x14ac:dyDescent="0.25">
      <c r="B447"/>
      <c r="I447"/>
      <c r="J447"/>
    </row>
    <row r="448" spans="2:10" x14ac:dyDescent="0.25">
      <c r="B448"/>
      <c r="I448"/>
      <c r="J448"/>
    </row>
    <row r="449" spans="2:10" x14ac:dyDescent="0.25">
      <c r="B449"/>
      <c r="I449"/>
      <c r="J449"/>
    </row>
    <row r="450" spans="2:10" x14ac:dyDescent="0.25">
      <c r="B450"/>
      <c r="I450"/>
      <c r="J450"/>
    </row>
    <row r="451" spans="2:10" x14ac:dyDescent="0.25">
      <c r="B451"/>
      <c r="I451"/>
      <c r="J451"/>
    </row>
    <row r="452" spans="2:10" x14ac:dyDescent="0.25">
      <c r="B452"/>
      <c r="I452"/>
      <c r="J452"/>
    </row>
    <row r="453" spans="2:10" x14ac:dyDescent="0.25">
      <c r="B453"/>
      <c r="I453"/>
      <c r="J453"/>
    </row>
    <row r="454" spans="2:10" x14ac:dyDescent="0.25">
      <c r="B454"/>
      <c r="I454"/>
      <c r="J454"/>
    </row>
    <row r="455" spans="2:10" x14ac:dyDescent="0.25">
      <c r="B455"/>
      <c r="I455"/>
      <c r="J455"/>
    </row>
    <row r="456" spans="2:10" x14ac:dyDescent="0.25">
      <c r="B456"/>
      <c r="I456"/>
      <c r="J456"/>
    </row>
    <row r="457" spans="2:10" x14ac:dyDescent="0.25">
      <c r="B457"/>
      <c r="I457"/>
      <c r="J457"/>
    </row>
    <row r="458" spans="2:10" x14ac:dyDescent="0.25">
      <c r="B458"/>
      <c r="I458"/>
      <c r="J458"/>
    </row>
    <row r="459" spans="2:10" x14ac:dyDescent="0.25">
      <c r="B459"/>
      <c r="I459"/>
      <c r="J459"/>
    </row>
    <row r="460" spans="2:10" x14ac:dyDescent="0.25">
      <c r="B460"/>
      <c r="I460"/>
      <c r="J460"/>
    </row>
    <row r="461" spans="2:10" x14ac:dyDescent="0.25">
      <c r="B461"/>
      <c r="I461"/>
      <c r="J461"/>
    </row>
    <row r="462" spans="2:10" x14ac:dyDescent="0.25">
      <c r="B462"/>
      <c r="I462"/>
      <c r="J462"/>
    </row>
    <row r="463" spans="2:10" x14ac:dyDescent="0.25">
      <c r="B463"/>
      <c r="I463"/>
      <c r="J463"/>
    </row>
    <row r="464" spans="2:10" x14ac:dyDescent="0.25">
      <c r="B464"/>
      <c r="I464"/>
      <c r="J464"/>
    </row>
    <row r="465" spans="2:10" x14ac:dyDescent="0.25">
      <c r="B465"/>
      <c r="I465"/>
      <c r="J465"/>
    </row>
    <row r="466" spans="2:10" x14ac:dyDescent="0.25">
      <c r="B466"/>
      <c r="I466"/>
      <c r="J466"/>
    </row>
    <row r="467" spans="2:10" x14ac:dyDescent="0.25">
      <c r="I467"/>
      <c r="J467"/>
    </row>
    <row r="468" spans="2:10" x14ac:dyDescent="0.25">
      <c r="I468"/>
      <c r="J468"/>
    </row>
    <row r="469" spans="2:10" x14ac:dyDescent="0.25">
      <c r="I469"/>
      <c r="J469"/>
    </row>
    <row r="470" spans="2:10" x14ac:dyDescent="0.25">
      <c r="I470"/>
      <c r="J470"/>
    </row>
    <row r="471" spans="2:10" x14ac:dyDescent="0.25">
      <c r="I471"/>
      <c r="J471"/>
    </row>
    <row r="472" spans="2:10" x14ac:dyDescent="0.25">
      <c r="I472"/>
      <c r="J472"/>
    </row>
    <row r="473" spans="2:10" x14ac:dyDescent="0.25">
      <c r="I473"/>
      <c r="J473"/>
    </row>
    <row r="474" spans="2:10" x14ac:dyDescent="0.25">
      <c r="I474"/>
      <c r="J474"/>
    </row>
    <row r="475" spans="2:10" x14ac:dyDescent="0.25">
      <c r="I475"/>
      <c r="J475"/>
    </row>
    <row r="476" spans="2:10" x14ac:dyDescent="0.25">
      <c r="I476"/>
      <c r="J476"/>
    </row>
    <row r="477" spans="2:10" x14ac:dyDescent="0.25">
      <c r="I477"/>
      <c r="J477"/>
    </row>
    <row r="478" spans="2:10" x14ac:dyDescent="0.25">
      <c r="I478"/>
      <c r="J478"/>
    </row>
    <row r="479" spans="2:10" x14ac:dyDescent="0.25">
      <c r="I479"/>
      <c r="J479"/>
    </row>
    <row r="480" spans="2:10" x14ac:dyDescent="0.25">
      <c r="I480"/>
      <c r="J480"/>
    </row>
    <row r="481" spans="9:10" x14ac:dyDescent="0.25">
      <c r="I481"/>
      <c r="J481"/>
    </row>
    <row r="482" spans="9:10" x14ac:dyDescent="0.25">
      <c r="I482"/>
      <c r="J482"/>
    </row>
    <row r="483" spans="9:10" x14ac:dyDescent="0.25">
      <c r="I483"/>
      <c r="J483"/>
    </row>
    <row r="484" spans="9:10" x14ac:dyDescent="0.25">
      <c r="I484"/>
      <c r="J484"/>
    </row>
    <row r="485" spans="9:10" x14ac:dyDescent="0.25">
      <c r="I485"/>
      <c r="J485"/>
    </row>
    <row r="486" spans="9:10" x14ac:dyDescent="0.25">
      <c r="I486"/>
      <c r="J486"/>
    </row>
    <row r="487" spans="9:10" x14ac:dyDescent="0.25">
      <c r="I487"/>
      <c r="J487"/>
    </row>
    <row r="488" spans="9:10" x14ac:dyDescent="0.25">
      <c r="I488"/>
      <c r="J488"/>
    </row>
    <row r="489" spans="9:10" x14ac:dyDescent="0.25">
      <c r="I489"/>
      <c r="J489"/>
    </row>
    <row r="490" spans="9:10" x14ac:dyDescent="0.25">
      <c r="I490"/>
      <c r="J490"/>
    </row>
    <row r="491" spans="9:10" x14ac:dyDescent="0.25">
      <c r="I491"/>
      <c r="J491"/>
    </row>
    <row r="492" spans="9:10" x14ac:dyDescent="0.25">
      <c r="I492"/>
      <c r="J492"/>
    </row>
    <row r="493" spans="9:10" x14ac:dyDescent="0.25">
      <c r="I493"/>
      <c r="J493"/>
    </row>
    <row r="494" spans="9:10" x14ac:dyDescent="0.25">
      <c r="I494"/>
      <c r="J494"/>
    </row>
    <row r="495" spans="9:10" x14ac:dyDescent="0.25">
      <c r="I495"/>
      <c r="J495"/>
    </row>
    <row r="496" spans="9:10" x14ac:dyDescent="0.25">
      <c r="I496"/>
      <c r="J496"/>
    </row>
    <row r="497" spans="9:10" x14ac:dyDescent="0.25">
      <c r="I497"/>
      <c r="J497"/>
    </row>
    <row r="498" spans="9:10" x14ac:dyDescent="0.25">
      <c r="I498"/>
      <c r="J498"/>
    </row>
    <row r="499" spans="9:10" x14ac:dyDescent="0.25">
      <c r="I499"/>
      <c r="J499"/>
    </row>
    <row r="500" spans="9:10" x14ac:dyDescent="0.25">
      <c r="I500"/>
      <c r="J500"/>
    </row>
    <row r="501" spans="9:10" x14ac:dyDescent="0.25">
      <c r="I501"/>
      <c r="J501"/>
    </row>
    <row r="502" spans="9:10" x14ac:dyDescent="0.25">
      <c r="I502"/>
      <c r="J502"/>
    </row>
    <row r="503" spans="9:10" x14ac:dyDescent="0.25">
      <c r="I503"/>
      <c r="J503"/>
    </row>
    <row r="504" spans="9:10" x14ac:dyDescent="0.25">
      <c r="I504"/>
      <c r="J504"/>
    </row>
    <row r="505" spans="9:10" x14ac:dyDescent="0.25">
      <c r="I505"/>
      <c r="J505"/>
    </row>
    <row r="506" spans="9:10" x14ac:dyDescent="0.25">
      <c r="I506"/>
      <c r="J506"/>
    </row>
    <row r="507" spans="9:10" x14ac:dyDescent="0.25">
      <c r="I507"/>
      <c r="J507"/>
    </row>
    <row r="508" spans="9:10" x14ac:dyDescent="0.25">
      <c r="I508"/>
      <c r="J508"/>
    </row>
    <row r="509" spans="9:10" x14ac:dyDescent="0.25">
      <c r="I509"/>
      <c r="J509"/>
    </row>
    <row r="510" spans="9:10" x14ac:dyDescent="0.25">
      <c r="I510"/>
      <c r="J510"/>
    </row>
    <row r="511" spans="9:10" x14ac:dyDescent="0.25">
      <c r="I511"/>
      <c r="J511"/>
    </row>
    <row r="512" spans="9:10" x14ac:dyDescent="0.25">
      <c r="I512"/>
      <c r="J512"/>
    </row>
    <row r="513" spans="9:10" x14ac:dyDescent="0.25">
      <c r="I513"/>
      <c r="J513"/>
    </row>
    <row r="514" spans="9:10" x14ac:dyDescent="0.25">
      <c r="I514"/>
      <c r="J514"/>
    </row>
    <row r="515" spans="9:10" x14ac:dyDescent="0.25">
      <c r="I515"/>
      <c r="J515"/>
    </row>
    <row r="516" spans="9:10" x14ac:dyDescent="0.25">
      <c r="I516"/>
      <c r="J516"/>
    </row>
    <row r="517" spans="9:10" x14ac:dyDescent="0.25">
      <c r="I517"/>
      <c r="J517"/>
    </row>
    <row r="518" spans="9:10" x14ac:dyDescent="0.25">
      <c r="I518"/>
      <c r="J518"/>
    </row>
    <row r="519" spans="9:10" x14ac:dyDescent="0.25">
      <c r="I519"/>
      <c r="J519"/>
    </row>
    <row r="520" spans="9:10" x14ac:dyDescent="0.25">
      <c r="I520"/>
      <c r="J520"/>
    </row>
    <row r="521" spans="9:10" x14ac:dyDescent="0.25">
      <c r="I521"/>
      <c r="J521"/>
    </row>
    <row r="522" spans="9:10" x14ac:dyDescent="0.25">
      <c r="I522"/>
      <c r="J522"/>
    </row>
    <row r="523" spans="9:10" x14ac:dyDescent="0.25">
      <c r="I523"/>
      <c r="J523"/>
    </row>
    <row r="524" spans="9:10" x14ac:dyDescent="0.25">
      <c r="I524"/>
      <c r="J524"/>
    </row>
    <row r="525" spans="9:10" x14ac:dyDescent="0.25">
      <c r="I525"/>
      <c r="J525"/>
    </row>
    <row r="526" spans="9:10" x14ac:dyDescent="0.25">
      <c r="I526"/>
      <c r="J526"/>
    </row>
    <row r="527" spans="9:10" x14ac:dyDescent="0.25">
      <c r="I527"/>
      <c r="J527"/>
    </row>
    <row r="528" spans="9:10" x14ac:dyDescent="0.25">
      <c r="I528"/>
      <c r="J528"/>
    </row>
    <row r="529" spans="9:10" x14ac:dyDescent="0.25">
      <c r="I529"/>
      <c r="J529"/>
    </row>
    <row r="530" spans="9:10" x14ac:dyDescent="0.25">
      <c r="I530"/>
      <c r="J530"/>
    </row>
    <row r="531" spans="9:10" x14ac:dyDescent="0.25">
      <c r="I531"/>
      <c r="J531"/>
    </row>
    <row r="532" spans="9:10" x14ac:dyDescent="0.25">
      <c r="I532"/>
      <c r="J532"/>
    </row>
    <row r="533" spans="9:10" x14ac:dyDescent="0.25">
      <c r="I533"/>
      <c r="J533"/>
    </row>
    <row r="534" spans="9:10" x14ac:dyDescent="0.25">
      <c r="I534"/>
      <c r="J534"/>
    </row>
    <row r="535" spans="9:10" x14ac:dyDescent="0.25">
      <c r="I535"/>
      <c r="J535"/>
    </row>
    <row r="536" spans="9:10" x14ac:dyDescent="0.25">
      <c r="I536"/>
      <c r="J536"/>
    </row>
    <row r="537" spans="9:10" x14ac:dyDescent="0.25">
      <c r="I537"/>
      <c r="J537"/>
    </row>
    <row r="538" spans="9:10" x14ac:dyDescent="0.25">
      <c r="I538"/>
      <c r="J538"/>
    </row>
    <row r="539" spans="9:10" x14ac:dyDescent="0.25">
      <c r="I539"/>
      <c r="J539"/>
    </row>
    <row r="540" spans="9:10" x14ac:dyDescent="0.25">
      <c r="I540"/>
      <c r="J540"/>
    </row>
    <row r="541" spans="9:10" x14ac:dyDescent="0.25">
      <c r="I541"/>
      <c r="J541"/>
    </row>
    <row r="542" spans="9:10" x14ac:dyDescent="0.25">
      <c r="I542"/>
      <c r="J542"/>
    </row>
    <row r="543" spans="9:10" x14ac:dyDescent="0.25">
      <c r="I543"/>
      <c r="J543"/>
    </row>
    <row r="544" spans="9:10" x14ac:dyDescent="0.25">
      <c r="I544"/>
      <c r="J544"/>
    </row>
    <row r="545" spans="9:10" x14ac:dyDescent="0.25">
      <c r="I545"/>
      <c r="J545"/>
    </row>
    <row r="546" spans="9:10" x14ac:dyDescent="0.25">
      <c r="I546"/>
      <c r="J546"/>
    </row>
    <row r="547" spans="9:10" x14ac:dyDescent="0.25">
      <c r="I547"/>
      <c r="J547"/>
    </row>
    <row r="548" spans="9:10" x14ac:dyDescent="0.25">
      <c r="I548"/>
      <c r="J548"/>
    </row>
    <row r="549" spans="9:10" x14ac:dyDescent="0.25">
      <c r="I549"/>
      <c r="J549"/>
    </row>
    <row r="550" spans="9:10" x14ac:dyDescent="0.25">
      <c r="I550"/>
      <c r="J550"/>
    </row>
    <row r="551" spans="9:10" x14ac:dyDescent="0.25">
      <c r="I551"/>
      <c r="J551"/>
    </row>
    <row r="552" spans="9:10" x14ac:dyDescent="0.25">
      <c r="I552"/>
      <c r="J552"/>
    </row>
    <row r="553" spans="9:10" x14ac:dyDescent="0.25">
      <c r="I553"/>
      <c r="J553"/>
    </row>
    <row r="554" spans="9:10" x14ac:dyDescent="0.25">
      <c r="I554"/>
      <c r="J554"/>
    </row>
    <row r="555" spans="9:10" x14ac:dyDescent="0.25">
      <c r="I555"/>
      <c r="J555"/>
    </row>
    <row r="556" spans="9:10" x14ac:dyDescent="0.25">
      <c r="I556"/>
      <c r="J556"/>
    </row>
    <row r="557" spans="9:10" x14ac:dyDescent="0.25">
      <c r="I557"/>
      <c r="J557"/>
    </row>
    <row r="558" spans="9:10" x14ac:dyDescent="0.25">
      <c r="I558"/>
      <c r="J558"/>
    </row>
    <row r="559" spans="9:10" x14ac:dyDescent="0.25">
      <c r="I559"/>
      <c r="J559"/>
    </row>
    <row r="560" spans="9:10" x14ac:dyDescent="0.25">
      <c r="I560"/>
      <c r="J560"/>
    </row>
    <row r="561" spans="9:10" x14ac:dyDescent="0.25">
      <c r="I561"/>
      <c r="J561"/>
    </row>
    <row r="562" spans="9:10" x14ac:dyDescent="0.25">
      <c r="I562"/>
      <c r="J562"/>
    </row>
    <row r="563" spans="9:10" x14ac:dyDescent="0.25">
      <c r="I563"/>
      <c r="J563"/>
    </row>
    <row r="564" spans="9:10" x14ac:dyDescent="0.25">
      <c r="I564"/>
      <c r="J564"/>
    </row>
    <row r="565" spans="9:10" x14ac:dyDescent="0.25">
      <c r="I565"/>
      <c r="J565"/>
    </row>
    <row r="566" spans="9:10" x14ac:dyDescent="0.25">
      <c r="I566"/>
      <c r="J566"/>
    </row>
    <row r="567" spans="9:10" x14ac:dyDescent="0.25">
      <c r="I567"/>
      <c r="J567"/>
    </row>
    <row r="568" spans="9:10" x14ac:dyDescent="0.25">
      <c r="I568"/>
      <c r="J568"/>
    </row>
    <row r="569" spans="9:10" x14ac:dyDescent="0.25">
      <c r="I569"/>
      <c r="J569"/>
    </row>
    <row r="570" spans="9:10" x14ac:dyDescent="0.25">
      <c r="I570"/>
      <c r="J570"/>
    </row>
    <row r="571" spans="9:10" x14ac:dyDescent="0.25">
      <c r="I571"/>
      <c r="J571"/>
    </row>
    <row r="572" spans="9:10" x14ac:dyDescent="0.25">
      <c r="I572"/>
      <c r="J572"/>
    </row>
    <row r="573" spans="9:10" x14ac:dyDescent="0.25">
      <c r="I573"/>
      <c r="J573"/>
    </row>
    <row r="574" spans="9:10" x14ac:dyDescent="0.25">
      <c r="I574"/>
      <c r="J574"/>
    </row>
    <row r="575" spans="9:10" x14ac:dyDescent="0.25">
      <c r="I575"/>
      <c r="J575"/>
    </row>
    <row r="576" spans="9:10" x14ac:dyDescent="0.25">
      <c r="I576"/>
      <c r="J576"/>
    </row>
    <row r="577" spans="9:10" x14ac:dyDescent="0.25">
      <c r="I577"/>
      <c r="J577"/>
    </row>
    <row r="578" spans="9:10" x14ac:dyDescent="0.25">
      <c r="I578"/>
      <c r="J578"/>
    </row>
    <row r="579" spans="9:10" x14ac:dyDescent="0.25">
      <c r="I579"/>
      <c r="J579"/>
    </row>
    <row r="580" spans="9:10" x14ac:dyDescent="0.25">
      <c r="I580"/>
      <c r="J580"/>
    </row>
    <row r="581" spans="9:10" x14ac:dyDescent="0.25">
      <c r="I581"/>
      <c r="J581"/>
    </row>
    <row r="582" spans="9:10" x14ac:dyDescent="0.25">
      <c r="I582"/>
      <c r="J582"/>
    </row>
    <row r="583" spans="9:10" x14ac:dyDescent="0.25">
      <c r="I583"/>
      <c r="J583"/>
    </row>
    <row r="584" spans="9:10" x14ac:dyDescent="0.25">
      <c r="I584"/>
      <c r="J584"/>
    </row>
    <row r="585" spans="9:10" x14ac:dyDescent="0.25">
      <c r="I585"/>
      <c r="J585"/>
    </row>
    <row r="586" spans="9:10" x14ac:dyDescent="0.25">
      <c r="I586"/>
      <c r="J586"/>
    </row>
    <row r="587" spans="9:10" x14ac:dyDescent="0.25">
      <c r="I587"/>
      <c r="J587"/>
    </row>
    <row r="588" spans="9:10" x14ac:dyDescent="0.25">
      <c r="I588"/>
      <c r="J588"/>
    </row>
    <row r="589" spans="9:10" x14ac:dyDescent="0.25">
      <c r="I589"/>
      <c r="J589"/>
    </row>
    <row r="590" spans="9:10" x14ac:dyDescent="0.25">
      <c r="I590"/>
      <c r="J590"/>
    </row>
    <row r="591" spans="9:10" x14ac:dyDescent="0.25">
      <c r="I591"/>
      <c r="J591"/>
    </row>
    <row r="592" spans="9:10" x14ac:dyDescent="0.25">
      <c r="I592"/>
      <c r="J592"/>
    </row>
    <row r="593" spans="9:10" x14ac:dyDescent="0.25">
      <c r="I593"/>
      <c r="J593"/>
    </row>
    <row r="594" spans="9:10" x14ac:dyDescent="0.25">
      <c r="I594"/>
      <c r="J594"/>
    </row>
    <row r="595" spans="9:10" x14ac:dyDescent="0.25">
      <c r="I595"/>
      <c r="J595"/>
    </row>
    <row r="596" spans="9:10" x14ac:dyDescent="0.25">
      <c r="I596"/>
      <c r="J596"/>
    </row>
    <row r="597" spans="9:10" x14ac:dyDescent="0.25">
      <c r="I597"/>
      <c r="J597"/>
    </row>
    <row r="598" spans="9:10" x14ac:dyDescent="0.25">
      <c r="I598"/>
      <c r="J598"/>
    </row>
    <row r="599" spans="9:10" x14ac:dyDescent="0.25">
      <c r="I599"/>
      <c r="J599"/>
    </row>
    <row r="600" spans="9:10" x14ac:dyDescent="0.25">
      <c r="I600"/>
      <c r="J600"/>
    </row>
    <row r="601" spans="9:10" x14ac:dyDescent="0.25">
      <c r="I601"/>
      <c r="J601"/>
    </row>
    <row r="602" spans="9:10" x14ac:dyDescent="0.25">
      <c r="I602"/>
      <c r="J602"/>
    </row>
    <row r="603" spans="9:10" x14ac:dyDescent="0.25">
      <c r="I603"/>
      <c r="J603"/>
    </row>
    <row r="604" spans="9:10" x14ac:dyDescent="0.25">
      <c r="I604"/>
      <c r="J604"/>
    </row>
    <row r="605" spans="9:10" x14ac:dyDescent="0.25">
      <c r="I605"/>
      <c r="J605"/>
    </row>
    <row r="606" spans="9:10" x14ac:dyDescent="0.25">
      <c r="I606"/>
      <c r="J606"/>
    </row>
    <row r="607" spans="9:10" x14ac:dyDescent="0.25">
      <c r="I607"/>
      <c r="J607"/>
    </row>
    <row r="608" spans="9:10" x14ac:dyDescent="0.25">
      <c r="I608"/>
      <c r="J608"/>
    </row>
    <row r="609" spans="9:10" x14ac:dyDescent="0.25">
      <c r="I609"/>
      <c r="J609"/>
    </row>
    <row r="610" spans="9:10" x14ac:dyDescent="0.25">
      <c r="I610"/>
      <c r="J610"/>
    </row>
    <row r="611" spans="9:10" x14ac:dyDescent="0.25">
      <c r="I611"/>
      <c r="J611"/>
    </row>
    <row r="612" spans="9:10" x14ac:dyDescent="0.25">
      <c r="I612"/>
      <c r="J612"/>
    </row>
    <row r="613" spans="9:10" x14ac:dyDescent="0.25">
      <c r="I613"/>
      <c r="J613"/>
    </row>
    <row r="614" spans="9:10" x14ac:dyDescent="0.25">
      <c r="I614"/>
      <c r="J614"/>
    </row>
    <row r="615" spans="9:10" x14ac:dyDescent="0.25">
      <c r="I615"/>
      <c r="J615"/>
    </row>
    <row r="616" spans="9:10" x14ac:dyDescent="0.25">
      <c r="I616"/>
      <c r="J616"/>
    </row>
    <row r="617" spans="9:10" x14ac:dyDescent="0.25">
      <c r="I617"/>
      <c r="J617"/>
    </row>
    <row r="618" spans="9:10" x14ac:dyDescent="0.25">
      <c r="I618"/>
      <c r="J618"/>
    </row>
    <row r="619" spans="9:10" x14ac:dyDescent="0.25">
      <c r="I619"/>
      <c r="J619"/>
    </row>
    <row r="620" spans="9:10" x14ac:dyDescent="0.25">
      <c r="I620"/>
      <c r="J620"/>
    </row>
    <row r="621" spans="9:10" x14ac:dyDescent="0.25">
      <c r="I621"/>
      <c r="J621"/>
    </row>
    <row r="622" spans="9:10" x14ac:dyDescent="0.25">
      <c r="I622"/>
      <c r="J622"/>
    </row>
    <row r="623" spans="9:10" x14ac:dyDescent="0.25">
      <c r="I623"/>
      <c r="J623"/>
    </row>
    <row r="624" spans="9:10" x14ac:dyDescent="0.25">
      <c r="I624"/>
      <c r="J624"/>
    </row>
    <row r="625" spans="9:10" x14ac:dyDescent="0.25">
      <c r="I625"/>
      <c r="J625"/>
    </row>
    <row r="626" spans="9:10" x14ac:dyDescent="0.25">
      <c r="I626"/>
      <c r="J626"/>
    </row>
    <row r="627" spans="9:10" x14ac:dyDescent="0.25">
      <c r="I627"/>
      <c r="J627"/>
    </row>
    <row r="628" spans="9:10" x14ac:dyDescent="0.25">
      <c r="I628"/>
      <c r="J628"/>
    </row>
    <row r="629" spans="9:10" x14ac:dyDescent="0.25">
      <c r="I629"/>
      <c r="J629"/>
    </row>
    <row r="630" spans="9:10" x14ac:dyDescent="0.25">
      <c r="I630"/>
      <c r="J630"/>
    </row>
    <row r="631" spans="9:10" x14ac:dyDescent="0.25">
      <c r="I631"/>
      <c r="J631"/>
    </row>
    <row r="632" spans="9:10" x14ac:dyDescent="0.25">
      <c r="I632"/>
      <c r="J632"/>
    </row>
    <row r="633" spans="9:10" x14ac:dyDescent="0.25">
      <c r="I633"/>
      <c r="J633"/>
    </row>
    <row r="634" spans="9:10" x14ac:dyDescent="0.25">
      <c r="I634"/>
      <c r="J634"/>
    </row>
    <row r="635" spans="9:10" x14ac:dyDescent="0.25">
      <c r="I635"/>
      <c r="J635"/>
    </row>
    <row r="636" spans="9:10" x14ac:dyDescent="0.25">
      <c r="I636"/>
      <c r="J636"/>
    </row>
    <row r="637" spans="9:10" x14ac:dyDescent="0.25">
      <c r="I637"/>
      <c r="J637"/>
    </row>
    <row r="638" spans="9:10" x14ac:dyDescent="0.25">
      <c r="I638"/>
      <c r="J638"/>
    </row>
    <row r="639" spans="9:10" x14ac:dyDescent="0.25">
      <c r="I639"/>
      <c r="J639"/>
    </row>
    <row r="640" spans="9:10" x14ac:dyDescent="0.25">
      <c r="I640"/>
      <c r="J640"/>
    </row>
    <row r="641" spans="9:10" x14ac:dyDescent="0.25">
      <c r="I641"/>
      <c r="J641"/>
    </row>
    <row r="642" spans="9:10" x14ac:dyDescent="0.25">
      <c r="I642"/>
      <c r="J642"/>
    </row>
    <row r="643" spans="9:10" x14ac:dyDescent="0.25">
      <c r="I643"/>
      <c r="J643"/>
    </row>
    <row r="644" spans="9:10" x14ac:dyDescent="0.25">
      <c r="I644"/>
      <c r="J644"/>
    </row>
    <row r="645" spans="9:10" x14ac:dyDescent="0.25">
      <c r="I645"/>
      <c r="J645"/>
    </row>
    <row r="646" spans="9:10" x14ac:dyDescent="0.25">
      <c r="I646"/>
      <c r="J646"/>
    </row>
    <row r="647" spans="9:10" x14ac:dyDescent="0.25">
      <c r="I647"/>
      <c r="J647"/>
    </row>
    <row r="648" spans="9:10" x14ac:dyDescent="0.25">
      <c r="I648"/>
      <c r="J648"/>
    </row>
    <row r="649" spans="9:10" x14ac:dyDescent="0.25">
      <c r="I649"/>
      <c r="J649"/>
    </row>
    <row r="650" spans="9:10" x14ac:dyDescent="0.25">
      <c r="I650"/>
      <c r="J650"/>
    </row>
    <row r="651" spans="9:10" x14ac:dyDescent="0.25">
      <c r="I651"/>
      <c r="J651"/>
    </row>
    <row r="652" spans="9:10" x14ac:dyDescent="0.25">
      <c r="I652"/>
      <c r="J652"/>
    </row>
    <row r="653" spans="9:10" x14ac:dyDescent="0.25">
      <c r="I653"/>
      <c r="J653"/>
    </row>
    <row r="654" spans="9:10" x14ac:dyDescent="0.25">
      <c r="I654"/>
      <c r="J654"/>
    </row>
    <row r="655" spans="9:10" x14ac:dyDescent="0.25">
      <c r="I655"/>
      <c r="J655"/>
    </row>
    <row r="656" spans="9:10" x14ac:dyDescent="0.25">
      <c r="I656"/>
      <c r="J656"/>
    </row>
    <row r="657" spans="9:10" x14ac:dyDescent="0.25">
      <c r="I657"/>
      <c r="J657"/>
    </row>
    <row r="658" spans="9:10" x14ac:dyDescent="0.25">
      <c r="I658"/>
      <c r="J658"/>
    </row>
    <row r="659" spans="9:10" x14ac:dyDescent="0.25">
      <c r="I659"/>
      <c r="J659"/>
    </row>
    <row r="660" spans="9:10" x14ac:dyDescent="0.25">
      <c r="I660"/>
      <c r="J660"/>
    </row>
    <row r="661" spans="9:10" x14ac:dyDescent="0.25">
      <c r="I661"/>
      <c r="J661"/>
    </row>
    <row r="662" spans="9:10" x14ac:dyDescent="0.25">
      <c r="I662"/>
      <c r="J662"/>
    </row>
    <row r="663" spans="9:10" x14ac:dyDescent="0.25">
      <c r="I663"/>
      <c r="J663"/>
    </row>
    <row r="664" spans="9:10" x14ac:dyDescent="0.25">
      <c r="I664"/>
      <c r="J664"/>
    </row>
    <row r="665" spans="9:10" x14ac:dyDescent="0.25">
      <c r="I665"/>
      <c r="J665"/>
    </row>
    <row r="666" spans="9:10" x14ac:dyDescent="0.25">
      <c r="I666"/>
      <c r="J666"/>
    </row>
    <row r="667" spans="9:10" x14ac:dyDescent="0.25">
      <c r="I667"/>
      <c r="J667"/>
    </row>
    <row r="668" spans="9:10" x14ac:dyDescent="0.25">
      <c r="I668"/>
      <c r="J668"/>
    </row>
    <row r="669" spans="9:10" x14ac:dyDescent="0.25">
      <c r="I669"/>
      <c r="J669"/>
    </row>
    <row r="670" spans="9:10" x14ac:dyDescent="0.25">
      <c r="I670"/>
      <c r="J670"/>
    </row>
    <row r="671" spans="9:10" x14ac:dyDescent="0.25">
      <c r="I671"/>
      <c r="J671"/>
    </row>
    <row r="672" spans="9:10" x14ac:dyDescent="0.25">
      <c r="I672"/>
      <c r="J672"/>
    </row>
    <row r="673" spans="9:10" x14ac:dyDescent="0.25">
      <c r="I673"/>
      <c r="J673"/>
    </row>
    <row r="674" spans="9:10" x14ac:dyDescent="0.25">
      <c r="I674"/>
      <c r="J674"/>
    </row>
    <row r="675" spans="9:10" x14ac:dyDescent="0.25">
      <c r="I675"/>
      <c r="J675"/>
    </row>
    <row r="676" spans="9:10" x14ac:dyDescent="0.25">
      <c r="I676"/>
      <c r="J676"/>
    </row>
    <row r="677" spans="9:10" x14ac:dyDescent="0.25">
      <c r="I677"/>
      <c r="J677"/>
    </row>
    <row r="678" spans="9:10" x14ac:dyDescent="0.25">
      <c r="I678"/>
      <c r="J678"/>
    </row>
    <row r="679" spans="9:10" x14ac:dyDescent="0.25">
      <c r="I679"/>
      <c r="J679"/>
    </row>
    <row r="680" spans="9:10" x14ac:dyDescent="0.25">
      <c r="I680"/>
      <c r="J680"/>
    </row>
    <row r="681" spans="9:10" x14ac:dyDescent="0.25">
      <c r="I681"/>
      <c r="J681"/>
    </row>
    <row r="682" spans="9:10" x14ac:dyDescent="0.25">
      <c r="I682"/>
      <c r="J682"/>
    </row>
    <row r="683" spans="9:10" x14ac:dyDescent="0.25">
      <c r="I683"/>
      <c r="J683"/>
    </row>
    <row r="684" spans="9:10" x14ac:dyDescent="0.25">
      <c r="I684"/>
      <c r="J684"/>
    </row>
    <row r="685" spans="9:10" x14ac:dyDescent="0.25">
      <c r="I685"/>
      <c r="J685"/>
    </row>
    <row r="686" spans="9:10" x14ac:dyDescent="0.25">
      <c r="I686"/>
      <c r="J686"/>
    </row>
    <row r="687" spans="9:10" x14ac:dyDescent="0.25">
      <c r="I687"/>
      <c r="J687"/>
    </row>
    <row r="688" spans="9:10" x14ac:dyDescent="0.25">
      <c r="I688"/>
      <c r="J688"/>
    </row>
    <row r="689" spans="9:10" x14ac:dyDescent="0.25">
      <c r="I689"/>
      <c r="J689"/>
    </row>
    <row r="690" spans="9:10" x14ac:dyDescent="0.25">
      <c r="I690"/>
      <c r="J690"/>
    </row>
    <row r="691" spans="9:10" x14ac:dyDescent="0.25">
      <c r="I691"/>
      <c r="J691"/>
    </row>
    <row r="692" spans="9:10" x14ac:dyDescent="0.25">
      <c r="I692"/>
      <c r="J692"/>
    </row>
    <row r="693" spans="9:10" x14ac:dyDescent="0.25">
      <c r="I693"/>
      <c r="J693"/>
    </row>
    <row r="694" spans="9:10" x14ac:dyDescent="0.25">
      <c r="I694"/>
      <c r="J694"/>
    </row>
    <row r="695" spans="9:10" x14ac:dyDescent="0.25">
      <c r="I695"/>
      <c r="J695"/>
    </row>
    <row r="696" spans="9:10" x14ac:dyDescent="0.25">
      <c r="I696"/>
      <c r="J696"/>
    </row>
    <row r="697" spans="9:10" x14ac:dyDescent="0.25">
      <c r="I697"/>
      <c r="J697"/>
    </row>
    <row r="698" spans="9:10" x14ac:dyDescent="0.25">
      <c r="I698"/>
      <c r="J698"/>
    </row>
    <row r="699" spans="9:10" x14ac:dyDescent="0.25">
      <c r="I699"/>
      <c r="J699"/>
    </row>
    <row r="700" spans="9:10" x14ac:dyDescent="0.25">
      <c r="I700"/>
      <c r="J700"/>
    </row>
    <row r="701" spans="9:10" x14ac:dyDescent="0.25">
      <c r="I701"/>
      <c r="J701"/>
    </row>
    <row r="702" spans="9:10" x14ac:dyDescent="0.25">
      <c r="I702"/>
      <c r="J702"/>
    </row>
    <row r="703" spans="9:10" x14ac:dyDescent="0.25">
      <c r="I703"/>
      <c r="J703"/>
    </row>
    <row r="704" spans="9:10" x14ac:dyDescent="0.25">
      <c r="I704"/>
      <c r="J704"/>
    </row>
    <row r="705" spans="9:10" x14ac:dyDescent="0.25">
      <c r="I705"/>
      <c r="J705"/>
    </row>
    <row r="706" spans="9:10" x14ac:dyDescent="0.25">
      <c r="I706"/>
      <c r="J706"/>
    </row>
    <row r="707" spans="9:10" x14ac:dyDescent="0.25">
      <c r="I707"/>
      <c r="J707"/>
    </row>
    <row r="708" spans="9:10" x14ac:dyDescent="0.25">
      <c r="I708"/>
      <c r="J708"/>
    </row>
    <row r="709" spans="9:10" x14ac:dyDescent="0.25">
      <c r="I709"/>
      <c r="J709"/>
    </row>
    <row r="710" spans="9:10" x14ac:dyDescent="0.25">
      <c r="I710"/>
      <c r="J710"/>
    </row>
    <row r="711" spans="9:10" x14ac:dyDescent="0.25">
      <c r="I711"/>
      <c r="J711"/>
    </row>
    <row r="712" spans="9:10" x14ac:dyDescent="0.25">
      <c r="I712"/>
      <c r="J712"/>
    </row>
    <row r="713" spans="9:10" x14ac:dyDescent="0.25">
      <c r="I713"/>
      <c r="J713"/>
    </row>
    <row r="714" spans="9:10" x14ac:dyDescent="0.25">
      <c r="I714"/>
      <c r="J714"/>
    </row>
    <row r="715" spans="9:10" x14ac:dyDescent="0.25">
      <c r="I715"/>
      <c r="J715"/>
    </row>
    <row r="716" spans="9:10" x14ac:dyDescent="0.25">
      <c r="I716"/>
      <c r="J716"/>
    </row>
    <row r="717" spans="9:10" x14ac:dyDescent="0.25">
      <c r="I717"/>
      <c r="J717"/>
    </row>
    <row r="718" spans="9:10" x14ac:dyDescent="0.25">
      <c r="I718"/>
      <c r="J718"/>
    </row>
    <row r="719" spans="9:10" x14ac:dyDescent="0.25">
      <c r="I719"/>
      <c r="J719"/>
    </row>
    <row r="720" spans="9:10" x14ac:dyDescent="0.25">
      <c r="I720"/>
      <c r="J720"/>
    </row>
    <row r="721" spans="9:10" x14ac:dyDescent="0.25">
      <c r="I721"/>
      <c r="J721"/>
    </row>
    <row r="722" spans="9:10" x14ac:dyDescent="0.25">
      <c r="I722"/>
      <c r="J722"/>
    </row>
    <row r="723" spans="9:10" x14ac:dyDescent="0.25">
      <c r="I723"/>
      <c r="J723"/>
    </row>
    <row r="724" spans="9:10" x14ac:dyDescent="0.25">
      <c r="I724"/>
      <c r="J724"/>
    </row>
    <row r="725" spans="9:10" x14ac:dyDescent="0.25">
      <c r="I725"/>
      <c r="J725"/>
    </row>
    <row r="726" spans="9:10" x14ac:dyDescent="0.25">
      <c r="I726"/>
      <c r="J726"/>
    </row>
    <row r="727" spans="9:10" x14ac:dyDescent="0.25">
      <c r="I727"/>
      <c r="J727"/>
    </row>
    <row r="728" spans="9:10" x14ac:dyDescent="0.25">
      <c r="I728"/>
      <c r="J728"/>
    </row>
    <row r="729" spans="9:10" x14ac:dyDescent="0.25">
      <c r="I729"/>
      <c r="J729"/>
    </row>
    <row r="730" spans="9:10" x14ac:dyDescent="0.25">
      <c r="I730"/>
      <c r="J730"/>
    </row>
    <row r="731" spans="9:10" x14ac:dyDescent="0.25">
      <c r="I731"/>
      <c r="J731"/>
    </row>
    <row r="732" spans="9:10" x14ac:dyDescent="0.25">
      <c r="I732"/>
      <c r="J732"/>
    </row>
    <row r="733" spans="9:10" x14ac:dyDescent="0.25">
      <c r="I733"/>
      <c r="J733"/>
    </row>
    <row r="734" spans="9:10" x14ac:dyDescent="0.25">
      <c r="I734"/>
      <c r="J734"/>
    </row>
    <row r="735" spans="9:10" x14ac:dyDescent="0.25">
      <c r="I735"/>
      <c r="J735"/>
    </row>
    <row r="736" spans="9:10" x14ac:dyDescent="0.25">
      <c r="I736"/>
      <c r="J736"/>
    </row>
    <row r="737" spans="9:10" x14ac:dyDescent="0.25">
      <c r="I737"/>
      <c r="J737"/>
    </row>
    <row r="738" spans="9:10" x14ac:dyDescent="0.25">
      <c r="I738"/>
      <c r="J738"/>
    </row>
    <row r="739" spans="9:10" x14ac:dyDescent="0.25">
      <c r="I739"/>
      <c r="J739"/>
    </row>
    <row r="740" spans="9:10" x14ac:dyDescent="0.25">
      <c r="I740"/>
      <c r="J740"/>
    </row>
    <row r="741" spans="9:10" x14ac:dyDescent="0.25">
      <c r="I741"/>
      <c r="J741"/>
    </row>
    <row r="742" spans="9:10" x14ac:dyDescent="0.25">
      <c r="I742"/>
      <c r="J742"/>
    </row>
    <row r="743" spans="9:10" x14ac:dyDescent="0.25">
      <c r="I743"/>
      <c r="J743"/>
    </row>
    <row r="744" spans="9:10" x14ac:dyDescent="0.25">
      <c r="I744"/>
      <c r="J744"/>
    </row>
    <row r="745" spans="9:10" x14ac:dyDescent="0.25">
      <c r="I745"/>
      <c r="J745"/>
    </row>
    <row r="746" spans="9:10" x14ac:dyDescent="0.25">
      <c r="I746"/>
      <c r="J746"/>
    </row>
    <row r="747" spans="9:10" x14ac:dyDescent="0.25">
      <c r="I747"/>
      <c r="J747"/>
    </row>
    <row r="748" spans="9:10" x14ac:dyDescent="0.25">
      <c r="I748"/>
      <c r="J748"/>
    </row>
    <row r="749" spans="9:10" x14ac:dyDescent="0.25">
      <c r="I749"/>
      <c r="J749"/>
    </row>
    <row r="750" spans="9:10" x14ac:dyDescent="0.25">
      <c r="I750"/>
      <c r="J750"/>
    </row>
    <row r="751" spans="9:10" x14ac:dyDescent="0.25">
      <c r="I751"/>
      <c r="J751"/>
    </row>
    <row r="752" spans="9:10" x14ac:dyDescent="0.25">
      <c r="I752"/>
      <c r="J752"/>
    </row>
    <row r="753" spans="9:10" x14ac:dyDescent="0.25">
      <c r="I753"/>
      <c r="J753"/>
    </row>
    <row r="754" spans="9:10" x14ac:dyDescent="0.25">
      <c r="I754"/>
      <c r="J754"/>
    </row>
    <row r="755" spans="9:10" x14ac:dyDescent="0.25">
      <c r="I755"/>
      <c r="J755"/>
    </row>
    <row r="756" spans="9:10" x14ac:dyDescent="0.25">
      <c r="I756"/>
      <c r="J756"/>
    </row>
    <row r="757" spans="9:10" x14ac:dyDescent="0.25">
      <c r="I757"/>
      <c r="J757"/>
    </row>
    <row r="758" spans="9:10" x14ac:dyDescent="0.25">
      <c r="I758"/>
      <c r="J758"/>
    </row>
    <row r="759" spans="9:10" x14ac:dyDescent="0.25">
      <c r="I759"/>
      <c r="J759"/>
    </row>
    <row r="760" spans="9:10" x14ac:dyDescent="0.25">
      <c r="I760"/>
      <c r="J760"/>
    </row>
    <row r="761" spans="9:10" x14ac:dyDescent="0.25">
      <c r="I761"/>
      <c r="J761"/>
    </row>
    <row r="762" spans="9:10" x14ac:dyDescent="0.25">
      <c r="I762"/>
      <c r="J762"/>
    </row>
    <row r="763" spans="9:10" x14ac:dyDescent="0.25">
      <c r="I763"/>
      <c r="J763"/>
    </row>
    <row r="764" spans="9:10" x14ac:dyDescent="0.25">
      <c r="I764"/>
      <c r="J764"/>
    </row>
    <row r="765" spans="9:10" x14ac:dyDescent="0.25">
      <c r="I765"/>
      <c r="J765"/>
    </row>
    <row r="766" spans="9:10" x14ac:dyDescent="0.25">
      <c r="I766"/>
      <c r="J766"/>
    </row>
    <row r="767" spans="9:10" x14ac:dyDescent="0.25">
      <c r="I767"/>
      <c r="J767"/>
    </row>
    <row r="768" spans="9:10" x14ac:dyDescent="0.25">
      <c r="I768"/>
      <c r="J768"/>
    </row>
    <row r="769" spans="9:10" x14ac:dyDescent="0.25">
      <c r="I769"/>
      <c r="J769"/>
    </row>
    <row r="770" spans="9:10" x14ac:dyDescent="0.25">
      <c r="I770"/>
      <c r="J770"/>
    </row>
    <row r="771" spans="9:10" x14ac:dyDescent="0.25">
      <c r="I771"/>
      <c r="J771"/>
    </row>
    <row r="772" spans="9:10" x14ac:dyDescent="0.25">
      <c r="I772"/>
      <c r="J772"/>
    </row>
    <row r="773" spans="9:10" x14ac:dyDescent="0.25">
      <c r="I773"/>
      <c r="J773"/>
    </row>
    <row r="774" spans="9:10" x14ac:dyDescent="0.25">
      <c r="I774"/>
      <c r="J774"/>
    </row>
    <row r="775" spans="9:10" x14ac:dyDescent="0.25">
      <c r="I775"/>
      <c r="J775"/>
    </row>
    <row r="776" spans="9:10" x14ac:dyDescent="0.25">
      <c r="I776"/>
      <c r="J776"/>
    </row>
    <row r="777" spans="9:10" x14ac:dyDescent="0.25">
      <c r="I777"/>
      <c r="J777"/>
    </row>
    <row r="778" spans="9:10" x14ac:dyDescent="0.25">
      <c r="I778"/>
      <c r="J778"/>
    </row>
    <row r="779" spans="9:10" x14ac:dyDescent="0.25">
      <c r="I779"/>
      <c r="J779"/>
    </row>
    <row r="780" spans="9:10" x14ac:dyDescent="0.25">
      <c r="I780"/>
      <c r="J780"/>
    </row>
    <row r="781" spans="9:10" x14ac:dyDescent="0.25">
      <c r="I781"/>
      <c r="J781"/>
    </row>
    <row r="782" spans="9:10" x14ac:dyDescent="0.25">
      <c r="I782"/>
      <c r="J782"/>
    </row>
    <row r="783" spans="9:10" x14ac:dyDescent="0.25">
      <c r="I783"/>
      <c r="J783"/>
    </row>
    <row r="784" spans="9:10" x14ac:dyDescent="0.25">
      <c r="I784"/>
      <c r="J784"/>
    </row>
    <row r="785" spans="9:10" x14ac:dyDescent="0.25">
      <c r="I785"/>
      <c r="J785"/>
    </row>
    <row r="786" spans="9:10" x14ac:dyDescent="0.25">
      <c r="I786"/>
      <c r="J786"/>
    </row>
    <row r="787" spans="9:10" x14ac:dyDescent="0.25">
      <c r="I787"/>
      <c r="J787"/>
    </row>
    <row r="788" spans="9:10" x14ac:dyDescent="0.25">
      <c r="I788"/>
      <c r="J788"/>
    </row>
    <row r="789" spans="9:10" x14ac:dyDescent="0.25">
      <c r="I789"/>
      <c r="J789"/>
    </row>
    <row r="790" spans="9:10" x14ac:dyDescent="0.25">
      <c r="I790"/>
      <c r="J790"/>
    </row>
    <row r="791" spans="9:10" x14ac:dyDescent="0.25">
      <c r="I791"/>
      <c r="J791"/>
    </row>
    <row r="792" spans="9:10" x14ac:dyDescent="0.25">
      <c r="I792"/>
      <c r="J792"/>
    </row>
    <row r="793" spans="9:10" x14ac:dyDescent="0.25">
      <c r="I793"/>
      <c r="J793"/>
    </row>
    <row r="794" spans="9:10" x14ac:dyDescent="0.25">
      <c r="I794"/>
      <c r="J794"/>
    </row>
    <row r="795" spans="9:10" x14ac:dyDescent="0.25">
      <c r="I795"/>
      <c r="J795"/>
    </row>
    <row r="796" spans="9:10" x14ac:dyDescent="0.25">
      <c r="I796"/>
      <c r="J796"/>
    </row>
    <row r="797" spans="9:10" x14ac:dyDescent="0.25">
      <c r="I797"/>
      <c r="J797"/>
    </row>
    <row r="798" spans="9:10" x14ac:dyDescent="0.25">
      <c r="I798"/>
      <c r="J798"/>
    </row>
    <row r="799" spans="9:10" x14ac:dyDescent="0.25">
      <c r="I799"/>
      <c r="J799"/>
    </row>
    <row r="800" spans="9:10" x14ac:dyDescent="0.25">
      <c r="I800"/>
      <c r="J800"/>
    </row>
    <row r="801" spans="9:10" x14ac:dyDescent="0.25">
      <c r="I801"/>
      <c r="J801"/>
    </row>
    <row r="802" spans="9:10" x14ac:dyDescent="0.25">
      <c r="I802"/>
      <c r="J802"/>
    </row>
    <row r="803" spans="9:10" x14ac:dyDescent="0.25">
      <c r="I803"/>
      <c r="J803"/>
    </row>
    <row r="804" spans="9:10" x14ac:dyDescent="0.25">
      <c r="I804"/>
      <c r="J804"/>
    </row>
    <row r="805" spans="9:10" x14ac:dyDescent="0.25">
      <c r="I805"/>
      <c r="J805"/>
    </row>
    <row r="806" spans="9:10" x14ac:dyDescent="0.25">
      <c r="I806"/>
      <c r="J806"/>
    </row>
    <row r="807" spans="9:10" x14ac:dyDescent="0.25">
      <c r="I807"/>
      <c r="J807"/>
    </row>
    <row r="808" spans="9:10" x14ac:dyDescent="0.25">
      <c r="I808"/>
      <c r="J808"/>
    </row>
    <row r="809" spans="9:10" x14ac:dyDescent="0.25">
      <c r="I809"/>
      <c r="J809"/>
    </row>
    <row r="810" spans="9:10" x14ac:dyDescent="0.25">
      <c r="I810"/>
      <c r="J810"/>
    </row>
    <row r="811" spans="9:10" x14ac:dyDescent="0.25">
      <c r="I811"/>
      <c r="J811"/>
    </row>
    <row r="812" spans="9:10" x14ac:dyDescent="0.25">
      <c r="I812"/>
      <c r="J812"/>
    </row>
    <row r="813" spans="9:10" x14ac:dyDescent="0.25">
      <c r="I813"/>
      <c r="J813"/>
    </row>
    <row r="814" spans="9:10" x14ac:dyDescent="0.25">
      <c r="I814"/>
      <c r="J814"/>
    </row>
    <row r="815" spans="9:10" x14ac:dyDescent="0.25">
      <c r="I815"/>
      <c r="J815"/>
    </row>
    <row r="816" spans="9:10" x14ac:dyDescent="0.25">
      <c r="I816"/>
      <c r="J816"/>
    </row>
    <row r="817" spans="9:10" x14ac:dyDescent="0.25">
      <c r="I817"/>
      <c r="J817"/>
    </row>
    <row r="818" spans="9:10" x14ac:dyDescent="0.25">
      <c r="I818"/>
      <c r="J818"/>
    </row>
    <row r="819" spans="9:10" x14ac:dyDescent="0.25">
      <c r="I819"/>
      <c r="J819"/>
    </row>
    <row r="820" spans="9:10" x14ac:dyDescent="0.25">
      <c r="I820"/>
      <c r="J820"/>
    </row>
    <row r="821" spans="9:10" x14ac:dyDescent="0.25">
      <c r="I821"/>
      <c r="J821"/>
    </row>
    <row r="822" spans="9:10" x14ac:dyDescent="0.25">
      <c r="I822"/>
      <c r="J822"/>
    </row>
    <row r="823" spans="9:10" x14ac:dyDescent="0.25">
      <c r="I823"/>
      <c r="J823"/>
    </row>
    <row r="824" spans="9:10" x14ac:dyDescent="0.25">
      <c r="I824"/>
      <c r="J824"/>
    </row>
    <row r="825" spans="9:10" x14ac:dyDescent="0.25">
      <c r="I825"/>
      <c r="J825"/>
    </row>
    <row r="826" spans="9:10" x14ac:dyDescent="0.25">
      <c r="I826"/>
      <c r="J826"/>
    </row>
    <row r="827" spans="9:10" x14ac:dyDescent="0.25">
      <c r="I827"/>
      <c r="J827"/>
    </row>
    <row r="828" spans="9:10" x14ac:dyDescent="0.25">
      <c r="I828"/>
      <c r="J828"/>
    </row>
    <row r="829" spans="9:10" x14ac:dyDescent="0.25">
      <c r="I829"/>
      <c r="J829"/>
    </row>
    <row r="830" spans="9:10" x14ac:dyDescent="0.25">
      <c r="I830"/>
      <c r="J830"/>
    </row>
    <row r="831" spans="9:10" x14ac:dyDescent="0.25">
      <c r="I831"/>
      <c r="J831"/>
    </row>
    <row r="832" spans="9:10" x14ac:dyDescent="0.25">
      <c r="I832"/>
      <c r="J832"/>
    </row>
    <row r="833" spans="9:10" x14ac:dyDescent="0.25">
      <c r="I833"/>
      <c r="J833"/>
    </row>
    <row r="834" spans="9:10" x14ac:dyDescent="0.25">
      <c r="I834"/>
      <c r="J834"/>
    </row>
    <row r="835" spans="9:10" x14ac:dyDescent="0.25">
      <c r="I835"/>
      <c r="J835"/>
    </row>
    <row r="836" spans="9:10" x14ac:dyDescent="0.25">
      <c r="I836"/>
      <c r="J836"/>
    </row>
    <row r="837" spans="9:10" x14ac:dyDescent="0.25">
      <c r="I837"/>
      <c r="J837"/>
    </row>
    <row r="838" spans="9:10" x14ac:dyDescent="0.25">
      <c r="I838"/>
      <c r="J838"/>
    </row>
    <row r="839" spans="9:10" x14ac:dyDescent="0.25">
      <c r="I839"/>
      <c r="J839"/>
    </row>
    <row r="840" spans="9:10" x14ac:dyDescent="0.25">
      <c r="I840"/>
      <c r="J840"/>
    </row>
    <row r="841" spans="9:10" x14ac:dyDescent="0.25">
      <c r="I841"/>
      <c r="J841"/>
    </row>
    <row r="842" spans="9:10" x14ac:dyDescent="0.25">
      <c r="I842"/>
      <c r="J842"/>
    </row>
    <row r="843" spans="9:10" x14ac:dyDescent="0.25">
      <c r="I843"/>
      <c r="J843"/>
    </row>
    <row r="844" spans="9:10" x14ac:dyDescent="0.25">
      <c r="I844"/>
      <c r="J844"/>
    </row>
    <row r="845" spans="9:10" x14ac:dyDescent="0.25">
      <c r="I845"/>
      <c r="J845"/>
    </row>
    <row r="846" spans="9:10" x14ac:dyDescent="0.25">
      <c r="I846"/>
      <c r="J846"/>
    </row>
    <row r="847" spans="9:10" x14ac:dyDescent="0.25">
      <c r="I847"/>
      <c r="J847"/>
    </row>
    <row r="848" spans="9:10" x14ac:dyDescent="0.25">
      <c r="I848"/>
      <c r="J848"/>
    </row>
    <row r="849" spans="9:10" x14ac:dyDescent="0.25">
      <c r="I849"/>
      <c r="J849"/>
    </row>
    <row r="850" spans="9:10" x14ac:dyDescent="0.25">
      <c r="I850"/>
      <c r="J850"/>
    </row>
    <row r="851" spans="9:10" x14ac:dyDescent="0.25">
      <c r="I851"/>
      <c r="J851"/>
    </row>
    <row r="852" spans="9:10" x14ac:dyDescent="0.25">
      <c r="I852"/>
      <c r="J852"/>
    </row>
    <row r="853" spans="9:10" x14ac:dyDescent="0.25">
      <c r="I853"/>
      <c r="J853"/>
    </row>
    <row r="854" spans="9:10" x14ac:dyDescent="0.25">
      <c r="I854"/>
      <c r="J854"/>
    </row>
    <row r="855" spans="9:10" x14ac:dyDescent="0.25">
      <c r="I855"/>
      <c r="J855"/>
    </row>
    <row r="856" spans="9:10" x14ac:dyDescent="0.25">
      <c r="I856"/>
      <c r="J856"/>
    </row>
    <row r="857" spans="9:10" x14ac:dyDescent="0.25">
      <c r="I857"/>
      <c r="J857"/>
    </row>
    <row r="858" spans="9:10" x14ac:dyDescent="0.25">
      <c r="I858"/>
      <c r="J858"/>
    </row>
    <row r="859" spans="9:10" x14ac:dyDescent="0.25">
      <c r="I859"/>
      <c r="J859"/>
    </row>
    <row r="860" spans="9:10" x14ac:dyDescent="0.25">
      <c r="I860"/>
      <c r="J860"/>
    </row>
    <row r="861" spans="9:10" x14ac:dyDescent="0.25">
      <c r="I861"/>
      <c r="J861"/>
    </row>
    <row r="862" spans="9:10" x14ac:dyDescent="0.25">
      <c r="I862"/>
      <c r="J862"/>
    </row>
    <row r="863" spans="9:10" x14ac:dyDescent="0.25">
      <c r="I863"/>
      <c r="J863"/>
    </row>
    <row r="864" spans="9:10" x14ac:dyDescent="0.25">
      <c r="I864"/>
      <c r="J864"/>
    </row>
    <row r="865" spans="9:10" x14ac:dyDescent="0.25">
      <c r="I865"/>
      <c r="J865"/>
    </row>
    <row r="866" spans="9:10" x14ac:dyDescent="0.25">
      <c r="I866"/>
      <c r="J866"/>
    </row>
    <row r="867" spans="9:10" x14ac:dyDescent="0.25">
      <c r="I867"/>
      <c r="J867"/>
    </row>
    <row r="868" spans="9:10" x14ac:dyDescent="0.25">
      <c r="I868"/>
      <c r="J868"/>
    </row>
    <row r="869" spans="9:10" x14ac:dyDescent="0.25">
      <c r="I869"/>
      <c r="J869"/>
    </row>
    <row r="870" spans="9:10" x14ac:dyDescent="0.25">
      <c r="I870"/>
      <c r="J870"/>
    </row>
    <row r="871" spans="9:10" x14ac:dyDescent="0.25">
      <c r="I871"/>
      <c r="J871"/>
    </row>
    <row r="872" spans="9:10" x14ac:dyDescent="0.25">
      <c r="I872"/>
      <c r="J872"/>
    </row>
    <row r="873" spans="9:10" x14ac:dyDescent="0.25">
      <c r="I873"/>
      <c r="J873"/>
    </row>
    <row r="874" spans="9:10" x14ac:dyDescent="0.25">
      <c r="I874"/>
      <c r="J874"/>
    </row>
    <row r="875" spans="9:10" x14ac:dyDescent="0.25">
      <c r="I875"/>
      <c r="J875"/>
    </row>
    <row r="876" spans="9:10" x14ac:dyDescent="0.25">
      <c r="I876"/>
      <c r="J876"/>
    </row>
    <row r="877" spans="9:10" x14ac:dyDescent="0.25">
      <c r="I877"/>
      <c r="J877"/>
    </row>
    <row r="878" spans="9:10" x14ac:dyDescent="0.25">
      <c r="I878"/>
      <c r="J878"/>
    </row>
    <row r="879" spans="9:10" x14ac:dyDescent="0.25">
      <c r="I879"/>
      <c r="J879"/>
    </row>
    <row r="880" spans="9:10" x14ac:dyDescent="0.25">
      <c r="I880"/>
      <c r="J880"/>
    </row>
    <row r="881" spans="9:10" x14ac:dyDescent="0.25">
      <c r="I881"/>
      <c r="J881"/>
    </row>
    <row r="882" spans="9:10" x14ac:dyDescent="0.25">
      <c r="I882"/>
      <c r="J882"/>
    </row>
    <row r="883" spans="9:10" x14ac:dyDescent="0.25">
      <c r="I883"/>
      <c r="J883"/>
    </row>
    <row r="884" spans="9:10" x14ac:dyDescent="0.25">
      <c r="I884"/>
      <c r="J884"/>
    </row>
    <row r="885" spans="9:10" x14ac:dyDescent="0.25">
      <c r="I885"/>
      <c r="J885"/>
    </row>
    <row r="886" spans="9:10" x14ac:dyDescent="0.25">
      <c r="I886"/>
      <c r="J886"/>
    </row>
    <row r="887" spans="9:10" x14ac:dyDescent="0.25">
      <c r="I887"/>
      <c r="J887"/>
    </row>
    <row r="888" spans="9:10" x14ac:dyDescent="0.25">
      <c r="I888"/>
      <c r="J888"/>
    </row>
    <row r="889" spans="9:10" x14ac:dyDescent="0.25">
      <c r="I889"/>
      <c r="J889"/>
    </row>
    <row r="890" spans="9:10" x14ac:dyDescent="0.25">
      <c r="I890"/>
      <c r="J890"/>
    </row>
    <row r="891" spans="9:10" x14ac:dyDescent="0.25">
      <c r="I891"/>
      <c r="J891"/>
    </row>
    <row r="892" spans="9:10" x14ac:dyDescent="0.25">
      <c r="I892"/>
      <c r="J892"/>
    </row>
    <row r="893" spans="9:10" x14ac:dyDescent="0.25">
      <c r="I893"/>
      <c r="J893"/>
    </row>
    <row r="894" spans="9:10" x14ac:dyDescent="0.25">
      <c r="I894"/>
      <c r="J894"/>
    </row>
    <row r="895" spans="9:10" x14ac:dyDescent="0.25">
      <c r="I895"/>
      <c r="J895"/>
    </row>
    <row r="896" spans="9:10" x14ac:dyDescent="0.25">
      <c r="I896"/>
      <c r="J896"/>
    </row>
    <row r="897" spans="9:10" x14ac:dyDescent="0.25">
      <c r="I897"/>
      <c r="J897"/>
    </row>
    <row r="898" spans="9:10" x14ac:dyDescent="0.25">
      <c r="I898"/>
      <c r="J898"/>
    </row>
    <row r="899" spans="9:10" x14ac:dyDescent="0.25">
      <c r="I899"/>
      <c r="J899"/>
    </row>
    <row r="900" spans="9:10" x14ac:dyDescent="0.25">
      <c r="I900"/>
      <c r="J900"/>
    </row>
    <row r="901" spans="9:10" x14ac:dyDescent="0.25">
      <c r="I901"/>
      <c r="J901"/>
    </row>
    <row r="902" spans="9:10" x14ac:dyDescent="0.25">
      <c r="I902"/>
      <c r="J902"/>
    </row>
    <row r="903" spans="9:10" x14ac:dyDescent="0.25">
      <c r="I903"/>
      <c r="J903"/>
    </row>
    <row r="904" spans="9:10" x14ac:dyDescent="0.25">
      <c r="I904"/>
      <c r="J904"/>
    </row>
    <row r="905" spans="9:10" x14ac:dyDescent="0.25">
      <c r="I905"/>
      <c r="J905"/>
    </row>
    <row r="906" spans="9:10" x14ac:dyDescent="0.25">
      <c r="I906"/>
      <c r="J906"/>
    </row>
    <row r="907" spans="9:10" x14ac:dyDescent="0.25">
      <c r="I907"/>
      <c r="J907"/>
    </row>
    <row r="908" spans="9:10" x14ac:dyDescent="0.25">
      <c r="I908"/>
      <c r="J908"/>
    </row>
    <row r="909" spans="9:10" x14ac:dyDescent="0.25">
      <c r="I909"/>
      <c r="J909"/>
    </row>
    <row r="910" spans="9:10" x14ac:dyDescent="0.25">
      <c r="I910"/>
      <c r="J910"/>
    </row>
    <row r="911" spans="9:10" x14ac:dyDescent="0.25">
      <c r="I911"/>
      <c r="J911"/>
    </row>
    <row r="912" spans="9:10" x14ac:dyDescent="0.25">
      <c r="I912"/>
      <c r="J912"/>
    </row>
    <row r="913" spans="9:10" x14ac:dyDescent="0.25">
      <c r="I913"/>
      <c r="J913"/>
    </row>
    <row r="914" spans="9:10" x14ac:dyDescent="0.25">
      <c r="I914"/>
      <c r="J914"/>
    </row>
    <row r="915" spans="9:10" x14ac:dyDescent="0.25">
      <c r="I915"/>
      <c r="J915"/>
    </row>
    <row r="916" spans="9:10" x14ac:dyDescent="0.25">
      <c r="I916"/>
      <c r="J916"/>
    </row>
    <row r="917" spans="9:10" x14ac:dyDescent="0.25">
      <c r="I917"/>
      <c r="J917"/>
    </row>
    <row r="918" spans="9:10" x14ac:dyDescent="0.25">
      <c r="I918"/>
      <c r="J918"/>
    </row>
    <row r="919" spans="9:10" x14ac:dyDescent="0.25">
      <c r="I919"/>
      <c r="J919"/>
    </row>
    <row r="920" spans="9:10" x14ac:dyDescent="0.25">
      <c r="I920"/>
      <c r="J920"/>
    </row>
    <row r="921" spans="9:10" x14ac:dyDescent="0.25">
      <c r="I921"/>
      <c r="J921"/>
    </row>
    <row r="922" spans="9:10" x14ac:dyDescent="0.25">
      <c r="I922"/>
      <c r="J922"/>
    </row>
    <row r="923" spans="9:10" x14ac:dyDescent="0.25">
      <c r="I923"/>
      <c r="J923"/>
    </row>
    <row r="924" spans="9:10" x14ac:dyDescent="0.25">
      <c r="I924"/>
      <c r="J924"/>
    </row>
    <row r="925" spans="9:10" x14ac:dyDescent="0.25">
      <c r="I925"/>
      <c r="J925"/>
    </row>
    <row r="926" spans="9:10" x14ac:dyDescent="0.25">
      <c r="I926"/>
      <c r="J926"/>
    </row>
    <row r="927" spans="9:10" x14ac:dyDescent="0.25">
      <c r="I927"/>
      <c r="J927"/>
    </row>
    <row r="928" spans="9:10" x14ac:dyDescent="0.25">
      <c r="I928"/>
      <c r="J928"/>
    </row>
    <row r="929" spans="9:10" x14ac:dyDescent="0.25">
      <c r="I929"/>
      <c r="J929"/>
    </row>
    <row r="930" spans="9:10" x14ac:dyDescent="0.25">
      <c r="I930"/>
      <c r="J930"/>
    </row>
    <row r="931" spans="9:10" x14ac:dyDescent="0.25">
      <c r="I931"/>
      <c r="J931"/>
    </row>
    <row r="932" spans="9:10" x14ac:dyDescent="0.25">
      <c r="I932"/>
      <c r="J932"/>
    </row>
    <row r="933" spans="9:10" x14ac:dyDescent="0.25">
      <c r="I933"/>
      <c r="J933"/>
    </row>
    <row r="934" spans="9:10" x14ac:dyDescent="0.25">
      <c r="I934"/>
      <c r="J934"/>
    </row>
    <row r="935" spans="9:10" x14ac:dyDescent="0.25">
      <c r="I935"/>
      <c r="J935"/>
    </row>
    <row r="936" spans="9:10" x14ac:dyDescent="0.25">
      <c r="I936"/>
      <c r="J936"/>
    </row>
    <row r="937" spans="9:10" x14ac:dyDescent="0.25">
      <c r="I937"/>
      <c r="J937"/>
    </row>
    <row r="938" spans="9:10" x14ac:dyDescent="0.25">
      <c r="I938"/>
      <c r="J938"/>
    </row>
    <row r="939" spans="9:10" x14ac:dyDescent="0.25">
      <c r="I939"/>
      <c r="J939"/>
    </row>
    <row r="940" spans="9:10" x14ac:dyDescent="0.25">
      <c r="I940"/>
      <c r="J940"/>
    </row>
    <row r="941" spans="9:10" x14ac:dyDescent="0.25">
      <c r="I941"/>
      <c r="J941"/>
    </row>
    <row r="942" spans="9:10" x14ac:dyDescent="0.25">
      <c r="I942"/>
      <c r="J942"/>
    </row>
    <row r="943" spans="9:10" x14ac:dyDescent="0.25">
      <c r="I943"/>
      <c r="J943"/>
    </row>
    <row r="944" spans="9:10" x14ac:dyDescent="0.25">
      <c r="I944"/>
      <c r="J944"/>
    </row>
    <row r="945" spans="9:10" x14ac:dyDescent="0.25">
      <c r="I945"/>
      <c r="J945"/>
    </row>
    <row r="946" spans="9:10" x14ac:dyDescent="0.25">
      <c r="I946"/>
      <c r="J946"/>
    </row>
    <row r="947" spans="9:10" x14ac:dyDescent="0.25">
      <c r="I947"/>
      <c r="J947"/>
    </row>
    <row r="948" spans="9:10" x14ac:dyDescent="0.25">
      <c r="I948"/>
      <c r="J948"/>
    </row>
    <row r="949" spans="9:10" x14ac:dyDescent="0.25">
      <c r="I949"/>
      <c r="J949"/>
    </row>
    <row r="950" spans="9:10" x14ac:dyDescent="0.25">
      <c r="I950"/>
      <c r="J950"/>
    </row>
    <row r="951" spans="9:10" x14ac:dyDescent="0.25">
      <c r="I951"/>
      <c r="J951"/>
    </row>
    <row r="952" spans="9:10" x14ac:dyDescent="0.25">
      <c r="I952"/>
      <c r="J952"/>
    </row>
    <row r="953" spans="9:10" x14ac:dyDescent="0.25">
      <c r="I953"/>
      <c r="J953"/>
    </row>
    <row r="954" spans="9:10" x14ac:dyDescent="0.25">
      <c r="I954"/>
      <c r="J954"/>
    </row>
    <row r="955" spans="9:10" x14ac:dyDescent="0.25">
      <c r="I955"/>
      <c r="J955"/>
    </row>
    <row r="956" spans="9:10" x14ac:dyDescent="0.25">
      <c r="I956"/>
      <c r="J956"/>
    </row>
    <row r="957" spans="9:10" x14ac:dyDescent="0.25">
      <c r="I957"/>
      <c r="J957"/>
    </row>
    <row r="958" spans="9:10" x14ac:dyDescent="0.25">
      <c r="I958"/>
      <c r="J958"/>
    </row>
    <row r="959" spans="9:10" x14ac:dyDescent="0.25">
      <c r="I959"/>
      <c r="J959"/>
    </row>
    <row r="960" spans="9:10" x14ac:dyDescent="0.25">
      <c r="I960"/>
      <c r="J960"/>
    </row>
    <row r="961" spans="9:10" x14ac:dyDescent="0.25">
      <c r="I961"/>
      <c r="J961"/>
    </row>
    <row r="962" spans="9:10" x14ac:dyDescent="0.25">
      <c r="I962"/>
      <c r="J962"/>
    </row>
    <row r="963" spans="9:10" x14ac:dyDescent="0.25">
      <c r="I963"/>
      <c r="J963"/>
    </row>
    <row r="964" spans="9:10" x14ac:dyDescent="0.25">
      <c r="I964"/>
      <c r="J964"/>
    </row>
    <row r="965" spans="9:10" x14ac:dyDescent="0.25">
      <c r="I965"/>
      <c r="J965"/>
    </row>
    <row r="966" spans="9:10" x14ac:dyDescent="0.25">
      <c r="I966"/>
      <c r="J966"/>
    </row>
    <row r="967" spans="9:10" x14ac:dyDescent="0.25">
      <c r="I967"/>
      <c r="J967"/>
    </row>
    <row r="968" spans="9:10" x14ac:dyDescent="0.25">
      <c r="I968"/>
      <c r="J968"/>
    </row>
    <row r="969" spans="9:10" x14ac:dyDescent="0.25">
      <c r="I969"/>
      <c r="J969"/>
    </row>
    <row r="970" spans="9:10" x14ac:dyDescent="0.25">
      <c r="I970"/>
      <c r="J970"/>
    </row>
    <row r="971" spans="9:10" x14ac:dyDescent="0.25">
      <c r="I971"/>
      <c r="J971"/>
    </row>
    <row r="972" spans="9:10" x14ac:dyDescent="0.25">
      <c r="I972"/>
      <c r="J972"/>
    </row>
    <row r="973" spans="9:10" x14ac:dyDescent="0.25">
      <c r="I973"/>
      <c r="J973"/>
    </row>
    <row r="974" spans="9:10" x14ac:dyDescent="0.25">
      <c r="I974"/>
      <c r="J974"/>
    </row>
    <row r="975" spans="9:10" x14ac:dyDescent="0.25">
      <c r="I975"/>
      <c r="J975"/>
    </row>
    <row r="976" spans="9:10" x14ac:dyDescent="0.25">
      <c r="I976"/>
      <c r="J976"/>
    </row>
    <row r="977" spans="9:10" x14ac:dyDescent="0.25">
      <c r="I977"/>
      <c r="J977"/>
    </row>
    <row r="978" spans="9:10" x14ac:dyDescent="0.25">
      <c r="I978"/>
      <c r="J978"/>
    </row>
    <row r="979" spans="9:10" x14ac:dyDescent="0.25">
      <c r="I979"/>
      <c r="J979"/>
    </row>
    <row r="980" spans="9:10" x14ac:dyDescent="0.25">
      <c r="I980"/>
      <c r="J980"/>
    </row>
    <row r="981" spans="9:10" x14ac:dyDescent="0.25">
      <c r="I981"/>
      <c r="J981"/>
    </row>
    <row r="982" spans="9:10" x14ac:dyDescent="0.25">
      <c r="I982"/>
      <c r="J982"/>
    </row>
    <row r="983" spans="9:10" x14ac:dyDescent="0.25">
      <c r="I983"/>
      <c r="J983"/>
    </row>
    <row r="984" spans="9:10" x14ac:dyDescent="0.25">
      <c r="I984"/>
      <c r="J984"/>
    </row>
    <row r="985" spans="9:10" x14ac:dyDescent="0.25">
      <c r="I985"/>
      <c r="J985"/>
    </row>
    <row r="986" spans="9:10" x14ac:dyDescent="0.25">
      <c r="I986"/>
      <c r="J986"/>
    </row>
    <row r="987" spans="9:10" x14ac:dyDescent="0.25">
      <c r="I987"/>
      <c r="J987"/>
    </row>
    <row r="988" spans="9:10" x14ac:dyDescent="0.25">
      <c r="I988"/>
      <c r="J988"/>
    </row>
    <row r="989" spans="9:10" x14ac:dyDescent="0.25">
      <c r="I989"/>
      <c r="J989"/>
    </row>
    <row r="990" spans="9:10" x14ac:dyDescent="0.25">
      <c r="I990"/>
      <c r="J990"/>
    </row>
    <row r="991" spans="9:10" x14ac:dyDescent="0.25">
      <c r="I991"/>
      <c r="J991"/>
    </row>
    <row r="992" spans="9:10" x14ac:dyDescent="0.25">
      <c r="I992"/>
      <c r="J992"/>
    </row>
    <row r="993" spans="9:10" x14ac:dyDescent="0.25">
      <c r="I993"/>
      <c r="J993"/>
    </row>
    <row r="994" spans="9:10" x14ac:dyDescent="0.25">
      <c r="I994"/>
      <c r="J994"/>
    </row>
    <row r="995" spans="9:10" x14ac:dyDescent="0.25">
      <c r="I995"/>
      <c r="J995"/>
    </row>
    <row r="996" spans="9:10" x14ac:dyDescent="0.25">
      <c r="I996"/>
      <c r="J996"/>
    </row>
    <row r="997" spans="9:10" x14ac:dyDescent="0.25">
      <c r="I997"/>
      <c r="J997"/>
    </row>
    <row r="998" spans="9:10" x14ac:dyDescent="0.25">
      <c r="I998"/>
      <c r="J998"/>
    </row>
    <row r="999" spans="9:10" x14ac:dyDescent="0.25">
      <c r="I999"/>
      <c r="J999"/>
    </row>
    <row r="1000" spans="9:10" x14ac:dyDescent="0.25">
      <c r="I1000"/>
      <c r="J1000"/>
    </row>
    <row r="1001" spans="9:10" x14ac:dyDescent="0.25">
      <c r="I1001"/>
      <c r="J1001"/>
    </row>
    <row r="1002" spans="9:10" x14ac:dyDescent="0.25">
      <c r="I1002"/>
      <c r="J1002"/>
    </row>
    <row r="1003" spans="9:10" x14ac:dyDescent="0.25">
      <c r="I1003"/>
      <c r="J1003"/>
    </row>
    <row r="1004" spans="9:10" x14ac:dyDescent="0.25">
      <c r="I1004"/>
      <c r="J1004"/>
    </row>
    <row r="1005" spans="9:10" x14ac:dyDescent="0.25">
      <c r="I1005"/>
      <c r="J1005"/>
    </row>
    <row r="1006" spans="9:10" x14ac:dyDescent="0.25">
      <c r="I1006"/>
      <c r="J1006"/>
    </row>
    <row r="1007" spans="9:10" x14ac:dyDescent="0.25">
      <c r="I1007"/>
      <c r="J1007"/>
    </row>
    <row r="1008" spans="9:10" x14ac:dyDescent="0.25">
      <c r="I1008"/>
      <c r="J1008"/>
    </row>
    <row r="1009" spans="9:10" x14ac:dyDescent="0.25">
      <c r="I1009"/>
      <c r="J1009"/>
    </row>
    <row r="1010" spans="9:10" x14ac:dyDescent="0.25">
      <c r="I1010"/>
      <c r="J1010"/>
    </row>
    <row r="1011" spans="9:10" x14ac:dyDescent="0.25">
      <c r="I1011"/>
      <c r="J1011"/>
    </row>
    <row r="1012" spans="9:10" x14ac:dyDescent="0.25">
      <c r="I1012"/>
      <c r="J1012"/>
    </row>
    <row r="1013" spans="9:10" x14ac:dyDescent="0.25">
      <c r="I1013"/>
      <c r="J1013"/>
    </row>
    <row r="1014" spans="9:10" x14ac:dyDescent="0.25">
      <c r="I1014"/>
      <c r="J1014"/>
    </row>
    <row r="1015" spans="9:10" x14ac:dyDescent="0.25">
      <c r="I1015"/>
      <c r="J1015"/>
    </row>
    <row r="1016" spans="9:10" x14ac:dyDescent="0.25">
      <c r="I1016"/>
      <c r="J1016"/>
    </row>
    <row r="1017" spans="9:10" x14ac:dyDescent="0.25">
      <c r="I1017"/>
      <c r="J1017"/>
    </row>
    <row r="1018" spans="9:10" x14ac:dyDescent="0.25">
      <c r="I1018"/>
      <c r="J1018"/>
    </row>
    <row r="1019" spans="9:10" x14ac:dyDescent="0.25">
      <c r="I1019"/>
      <c r="J1019"/>
    </row>
    <row r="1020" spans="9:10" x14ac:dyDescent="0.25">
      <c r="I1020"/>
      <c r="J1020"/>
    </row>
    <row r="1021" spans="9:10" x14ac:dyDescent="0.25">
      <c r="I1021"/>
      <c r="J1021"/>
    </row>
    <row r="1022" spans="9:10" x14ac:dyDescent="0.25">
      <c r="I1022"/>
      <c r="J1022"/>
    </row>
    <row r="1023" spans="9:10" x14ac:dyDescent="0.25">
      <c r="I1023"/>
      <c r="J1023"/>
    </row>
    <row r="1024" spans="9:10" x14ac:dyDescent="0.25">
      <c r="I1024"/>
      <c r="J1024"/>
    </row>
    <row r="1025" spans="9:10" x14ac:dyDescent="0.25">
      <c r="I1025"/>
      <c r="J1025"/>
    </row>
    <row r="1026" spans="9:10" x14ac:dyDescent="0.25">
      <c r="I1026"/>
      <c r="J1026"/>
    </row>
    <row r="1027" spans="9:10" x14ac:dyDescent="0.25">
      <c r="I1027"/>
      <c r="J1027"/>
    </row>
    <row r="1028" spans="9:10" x14ac:dyDescent="0.25">
      <c r="I1028"/>
      <c r="J1028"/>
    </row>
    <row r="1029" spans="9:10" x14ac:dyDescent="0.25">
      <c r="I1029"/>
      <c r="J1029"/>
    </row>
    <row r="1030" spans="9:10" x14ac:dyDescent="0.25">
      <c r="I1030"/>
      <c r="J1030"/>
    </row>
    <row r="1031" spans="9:10" x14ac:dyDescent="0.25">
      <c r="I1031"/>
      <c r="J1031"/>
    </row>
    <row r="1032" spans="9:10" x14ac:dyDescent="0.25">
      <c r="I1032"/>
      <c r="J1032"/>
    </row>
    <row r="1033" spans="9:10" x14ac:dyDescent="0.25">
      <c r="I1033"/>
      <c r="J1033"/>
    </row>
    <row r="1034" spans="9:10" x14ac:dyDescent="0.25">
      <c r="I1034"/>
      <c r="J1034"/>
    </row>
    <row r="1035" spans="9:10" x14ac:dyDescent="0.25">
      <c r="I1035"/>
      <c r="J1035"/>
    </row>
    <row r="1036" spans="9:10" x14ac:dyDescent="0.25">
      <c r="I1036"/>
      <c r="J1036"/>
    </row>
    <row r="1037" spans="9:10" x14ac:dyDescent="0.25">
      <c r="I1037"/>
      <c r="J1037"/>
    </row>
    <row r="1038" spans="9:10" x14ac:dyDescent="0.25">
      <c r="I1038"/>
      <c r="J1038"/>
    </row>
    <row r="1039" spans="9:10" x14ac:dyDescent="0.25">
      <c r="I1039"/>
      <c r="J1039"/>
    </row>
    <row r="1040" spans="9:10" x14ac:dyDescent="0.25">
      <c r="I1040"/>
      <c r="J1040"/>
    </row>
    <row r="1041" spans="9:10" x14ac:dyDescent="0.25">
      <c r="I1041"/>
      <c r="J1041"/>
    </row>
    <row r="1042" spans="9:10" x14ac:dyDescent="0.25">
      <c r="I1042"/>
      <c r="J1042"/>
    </row>
    <row r="1043" spans="9:10" x14ac:dyDescent="0.25">
      <c r="I1043"/>
      <c r="J1043"/>
    </row>
    <row r="1044" spans="9:10" x14ac:dyDescent="0.25">
      <c r="I1044"/>
      <c r="J1044"/>
    </row>
    <row r="1045" spans="9:10" x14ac:dyDescent="0.25">
      <c r="I1045"/>
      <c r="J1045"/>
    </row>
    <row r="1046" spans="9:10" x14ac:dyDescent="0.25">
      <c r="I1046"/>
      <c r="J1046"/>
    </row>
    <row r="1047" spans="9:10" x14ac:dyDescent="0.25">
      <c r="I1047"/>
      <c r="J1047"/>
    </row>
    <row r="1048" spans="9:10" x14ac:dyDescent="0.25">
      <c r="I1048"/>
      <c r="J1048"/>
    </row>
    <row r="1049" spans="9:10" x14ac:dyDescent="0.25">
      <c r="I1049"/>
      <c r="J1049"/>
    </row>
    <row r="1050" spans="9:10" x14ac:dyDescent="0.25">
      <c r="I1050"/>
      <c r="J1050"/>
    </row>
    <row r="1051" spans="9:10" x14ac:dyDescent="0.25">
      <c r="I1051"/>
      <c r="J1051"/>
    </row>
    <row r="1052" spans="9:10" x14ac:dyDescent="0.25">
      <c r="I1052"/>
      <c r="J1052"/>
    </row>
    <row r="1053" spans="9:10" x14ac:dyDescent="0.25">
      <c r="I1053"/>
      <c r="J1053"/>
    </row>
    <row r="1054" spans="9:10" x14ac:dyDescent="0.25">
      <c r="I1054"/>
      <c r="J1054"/>
    </row>
    <row r="1055" spans="9:10" x14ac:dyDescent="0.25">
      <c r="I1055"/>
      <c r="J1055"/>
    </row>
    <row r="1056" spans="9:10" x14ac:dyDescent="0.25">
      <c r="I1056"/>
      <c r="J1056"/>
    </row>
    <row r="1057" spans="9:10" x14ac:dyDescent="0.25">
      <c r="I1057"/>
      <c r="J1057"/>
    </row>
    <row r="1058" spans="9:10" x14ac:dyDescent="0.25">
      <c r="I1058"/>
      <c r="J1058"/>
    </row>
    <row r="1059" spans="9:10" x14ac:dyDescent="0.25">
      <c r="I1059"/>
      <c r="J1059"/>
    </row>
    <row r="1060" spans="9:10" x14ac:dyDescent="0.25">
      <c r="I1060"/>
      <c r="J1060"/>
    </row>
    <row r="1061" spans="9:10" x14ac:dyDescent="0.25">
      <c r="I1061"/>
      <c r="J1061"/>
    </row>
    <row r="1062" spans="9:10" x14ac:dyDescent="0.25">
      <c r="I1062"/>
      <c r="J1062"/>
    </row>
    <row r="1063" spans="9:10" x14ac:dyDescent="0.25">
      <c r="I1063"/>
      <c r="J1063"/>
    </row>
    <row r="1064" spans="9:10" x14ac:dyDescent="0.25">
      <c r="I1064"/>
      <c r="J1064"/>
    </row>
    <row r="1065" spans="9:10" x14ac:dyDescent="0.25">
      <c r="I1065"/>
      <c r="J1065"/>
    </row>
    <row r="1066" spans="9:10" x14ac:dyDescent="0.25">
      <c r="I1066"/>
      <c r="J1066"/>
    </row>
    <row r="1067" spans="9:10" x14ac:dyDescent="0.25">
      <c r="I1067"/>
      <c r="J1067"/>
    </row>
    <row r="1068" spans="9:10" x14ac:dyDescent="0.25">
      <c r="I1068"/>
      <c r="J1068"/>
    </row>
    <row r="1069" spans="9:10" x14ac:dyDescent="0.25">
      <c r="I1069"/>
      <c r="J1069"/>
    </row>
    <row r="1070" spans="9:10" x14ac:dyDescent="0.25">
      <c r="I1070"/>
      <c r="J1070"/>
    </row>
    <row r="1071" spans="9:10" x14ac:dyDescent="0.25">
      <c r="I1071"/>
      <c r="J1071"/>
    </row>
    <row r="1072" spans="9:10" x14ac:dyDescent="0.25">
      <c r="I1072"/>
      <c r="J1072"/>
    </row>
    <row r="1073" spans="9:10" x14ac:dyDescent="0.25">
      <c r="I1073"/>
      <c r="J1073"/>
    </row>
    <row r="1074" spans="9:10" x14ac:dyDescent="0.25">
      <c r="I1074"/>
      <c r="J1074"/>
    </row>
    <row r="1075" spans="9:10" x14ac:dyDescent="0.25">
      <c r="I1075"/>
      <c r="J1075"/>
    </row>
    <row r="1076" spans="9:10" x14ac:dyDescent="0.25">
      <c r="I1076"/>
      <c r="J1076"/>
    </row>
    <row r="1077" spans="9:10" x14ac:dyDescent="0.25">
      <c r="I1077"/>
      <c r="J1077"/>
    </row>
    <row r="1078" spans="9:10" x14ac:dyDescent="0.25">
      <c r="I1078"/>
      <c r="J1078"/>
    </row>
    <row r="1079" spans="9:10" x14ac:dyDescent="0.25">
      <c r="I1079"/>
      <c r="J1079"/>
    </row>
    <row r="1080" spans="9:10" x14ac:dyDescent="0.25">
      <c r="I1080"/>
      <c r="J1080"/>
    </row>
    <row r="1081" spans="9:10" x14ac:dyDescent="0.25">
      <c r="I1081"/>
      <c r="J1081"/>
    </row>
    <row r="1082" spans="9:10" x14ac:dyDescent="0.25">
      <c r="I1082"/>
      <c r="J1082"/>
    </row>
    <row r="1083" spans="9:10" x14ac:dyDescent="0.25">
      <c r="I1083"/>
      <c r="J1083"/>
    </row>
    <row r="1084" spans="9:10" x14ac:dyDescent="0.25">
      <c r="I1084"/>
      <c r="J1084"/>
    </row>
    <row r="1085" spans="9:10" x14ac:dyDescent="0.25">
      <c r="I1085"/>
      <c r="J1085"/>
    </row>
    <row r="1086" spans="9:10" x14ac:dyDescent="0.25">
      <c r="I1086"/>
      <c r="J1086"/>
    </row>
    <row r="1087" spans="9:10" x14ac:dyDescent="0.25">
      <c r="I1087"/>
      <c r="J1087"/>
    </row>
    <row r="1088" spans="9:10" x14ac:dyDescent="0.25">
      <c r="I1088"/>
      <c r="J1088"/>
    </row>
    <row r="1089" spans="9:10" x14ac:dyDescent="0.25">
      <c r="I1089"/>
      <c r="J1089"/>
    </row>
    <row r="1090" spans="9:10" x14ac:dyDescent="0.25">
      <c r="I1090"/>
      <c r="J1090"/>
    </row>
    <row r="1091" spans="9:10" x14ac:dyDescent="0.25">
      <c r="I1091"/>
      <c r="J1091"/>
    </row>
    <row r="1092" spans="9:10" x14ac:dyDescent="0.25">
      <c r="I1092"/>
      <c r="J1092"/>
    </row>
    <row r="1093" spans="9:10" x14ac:dyDescent="0.25">
      <c r="I1093"/>
      <c r="J1093"/>
    </row>
    <row r="1094" spans="9:10" x14ac:dyDescent="0.25">
      <c r="I1094"/>
      <c r="J1094"/>
    </row>
    <row r="1095" spans="9:10" x14ac:dyDescent="0.25">
      <c r="I1095"/>
      <c r="J1095"/>
    </row>
    <row r="1096" spans="9:10" x14ac:dyDescent="0.25">
      <c r="I1096"/>
      <c r="J1096"/>
    </row>
    <row r="1097" spans="9:10" x14ac:dyDescent="0.25">
      <c r="I1097"/>
      <c r="J1097"/>
    </row>
    <row r="1098" spans="9:10" x14ac:dyDescent="0.25">
      <c r="I1098"/>
      <c r="J1098"/>
    </row>
    <row r="1099" spans="9:10" x14ac:dyDescent="0.25">
      <c r="I1099"/>
      <c r="J1099"/>
    </row>
    <row r="1100" spans="9:10" x14ac:dyDescent="0.25">
      <c r="I1100"/>
      <c r="J1100"/>
    </row>
    <row r="1101" spans="9:10" x14ac:dyDescent="0.25">
      <c r="I1101"/>
      <c r="J1101"/>
    </row>
    <row r="1102" spans="9:10" x14ac:dyDescent="0.25">
      <c r="I1102"/>
      <c r="J1102"/>
    </row>
    <row r="1103" spans="9:10" x14ac:dyDescent="0.25">
      <c r="I1103"/>
      <c r="J1103"/>
    </row>
    <row r="1104" spans="9:10" x14ac:dyDescent="0.25">
      <c r="I1104"/>
      <c r="J1104"/>
    </row>
    <row r="1105" spans="9:10" x14ac:dyDescent="0.25">
      <c r="I1105"/>
      <c r="J1105"/>
    </row>
    <row r="1106" spans="9:10" x14ac:dyDescent="0.25">
      <c r="I1106"/>
      <c r="J1106"/>
    </row>
    <row r="1107" spans="9:10" x14ac:dyDescent="0.25">
      <c r="I1107"/>
      <c r="J1107"/>
    </row>
    <row r="1108" spans="9:10" x14ac:dyDescent="0.25">
      <c r="I1108"/>
      <c r="J1108"/>
    </row>
    <row r="1109" spans="9:10" x14ac:dyDescent="0.25">
      <c r="I1109"/>
      <c r="J1109"/>
    </row>
    <row r="1110" spans="9:10" x14ac:dyDescent="0.25">
      <c r="I1110"/>
      <c r="J1110"/>
    </row>
    <row r="1111" spans="9:10" x14ac:dyDescent="0.25">
      <c r="I1111"/>
      <c r="J1111"/>
    </row>
    <row r="1112" spans="9:10" x14ac:dyDescent="0.25">
      <c r="I1112"/>
      <c r="J1112"/>
    </row>
    <row r="1113" spans="9:10" x14ac:dyDescent="0.25">
      <c r="I1113"/>
      <c r="J1113"/>
    </row>
    <row r="1114" spans="9:10" x14ac:dyDescent="0.25">
      <c r="I1114"/>
      <c r="J1114"/>
    </row>
    <row r="1115" spans="9:10" x14ac:dyDescent="0.25">
      <c r="I1115"/>
      <c r="J1115"/>
    </row>
    <row r="1116" spans="9:10" x14ac:dyDescent="0.25">
      <c r="I1116"/>
      <c r="J1116"/>
    </row>
    <row r="1117" spans="9:10" x14ac:dyDescent="0.25">
      <c r="I1117"/>
      <c r="J1117"/>
    </row>
    <row r="1118" spans="9:10" x14ac:dyDescent="0.25">
      <c r="I1118"/>
      <c r="J1118"/>
    </row>
    <row r="1119" spans="9:10" x14ac:dyDescent="0.25">
      <c r="I1119"/>
      <c r="J1119"/>
    </row>
    <row r="1120" spans="9:10" x14ac:dyDescent="0.25">
      <c r="I1120"/>
      <c r="J1120"/>
    </row>
    <row r="1121" spans="9:10" x14ac:dyDescent="0.25">
      <c r="I1121"/>
      <c r="J1121"/>
    </row>
    <row r="1122" spans="9:10" x14ac:dyDescent="0.25">
      <c r="I1122"/>
      <c r="J1122"/>
    </row>
    <row r="1123" spans="9:10" x14ac:dyDescent="0.25">
      <c r="I1123"/>
      <c r="J1123"/>
    </row>
    <row r="1124" spans="9:10" x14ac:dyDescent="0.25">
      <c r="I1124"/>
      <c r="J1124"/>
    </row>
    <row r="1125" spans="9:10" x14ac:dyDescent="0.25">
      <c r="I1125"/>
      <c r="J1125"/>
    </row>
    <row r="1126" spans="9:10" x14ac:dyDescent="0.25">
      <c r="I1126"/>
      <c r="J1126"/>
    </row>
    <row r="1127" spans="9:10" x14ac:dyDescent="0.25">
      <c r="I1127"/>
      <c r="J1127"/>
    </row>
    <row r="1128" spans="9:10" x14ac:dyDescent="0.25">
      <c r="I1128"/>
      <c r="J1128"/>
    </row>
    <row r="1129" spans="9:10" x14ac:dyDescent="0.25">
      <c r="I1129"/>
      <c r="J1129"/>
    </row>
    <row r="1130" spans="9:10" x14ac:dyDescent="0.25">
      <c r="I1130"/>
      <c r="J1130"/>
    </row>
    <row r="1131" spans="9:10" x14ac:dyDescent="0.25">
      <c r="I1131"/>
      <c r="J1131"/>
    </row>
    <row r="1132" spans="9:10" x14ac:dyDescent="0.25">
      <c r="I1132"/>
      <c r="J1132"/>
    </row>
    <row r="1133" spans="9:10" x14ac:dyDescent="0.25">
      <c r="I1133"/>
      <c r="J1133"/>
    </row>
    <row r="1134" spans="9:10" x14ac:dyDescent="0.25">
      <c r="I1134"/>
      <c r="J1134"/>
    </row>
    <row r="1135" spans="9:10" x14ac:dyDescent="0.25">
      <c r="I1135"/>
      <c r="J1135"/>
    </row>
    <row r="1136" spans="9:10" x14ac:dyDescent="0.25">
      <c r="I1136"/>
      <c r="J1136"/>
    </row>
    <row r="1137" spans="9:10" x14ac:dyDescent="0.25">
      <c r="I1137"/>
      <c r="J1137"/>
    </row>
    <row r="1138" spans="9:10" x14ac:dyDescent="0.25">
      <c r="I1138"/>
      <c r="J1138"/>
    </row>
    <row r="1139" spans="9:10" x14ac:dyDescent="0.25">
      <c r="I1139"/>
      <c r="J1139"/>
    </row>
    <row r="1140" spans="9:10" x14ac:dyDescent="0.25">
      <c r="I1140"/>
      <c r="J1140"/>
    </row>
    <row r="1141" spans="9:10" x14ac:dyDescent="0.25">
      <c r="I1141"/>
      <c r="J1141"/>
    </row>
    <row r="1142" spans="9:10" x14ac:dyDescent="0.25">
      <c r="I1142"/>
      <c r="J1142"/>
    </row>
    <row r="1143" spans="9:10" x14ac:dyDescent="0.25">
      <c r="I1143"/>
      <c r="J1143"/>
    </row>
    <row r="1144" spans="9:10" x14ac:dyDescent="0.25">
      <c r="I1144"/>
      <c r="J1144"/>
    </row>
    <row r="1145" spans="9:10" x14ac:dyDescent="0.25">
      <c r="I1145"/>
      <c r="J1145"/>
    </row>
    <row r="1146" spans="9:10" x14ac:dyDescent="0.25">
      <c r="I1146"/>
      <c r="J1146"/>
    </row>
    <row r="1147" spans="9:10" x14ac:dyDescent="0.25">
      <c r="I1147"/>
      <c r="J1147"/>
    </row>
    <row r="1148" spans="9:10" x14ac:dyDescent="0.25">
      <c r="I1148"/>
      <c r="J1148"/>
    </row>
    <row r="1149" spans="9:10" x14ac:dyDescent="0.25">
      <c r="I1149"/>
      <c r="J1149"/>
    </row>
    <row r="1150" spans="9:10" x14ac:dyDescent="0.25">
      <c r="I1150"/>
      <c r="J1150"/>
    </row>
    <row r="1151" spans="9:10" x14ac:dyDescent="0.25">
      <c r="I1151"/>
      <c r="J1151"/>
    </row>
    <row r="1152" spans="9:10" x14ac:dyDescent="0.25">
      <c r="I1152"/>
      <c r="J1152"/>
    </row>
    <row r="1153" spans="9:10" x14ac:dyDescent="0.25">
      <c r="I1153"/>
      <c r="J1153"/>
    </row>
    <row r="1154" spans="9:10" x14ac:dyDescent="0.25">
      <c r="I1154"/>
      <c r="J1154"/>
    </row>
    <row r="1155" spans="9:10" x14ac:dyDescent="0.25">
      <c r="I1155"/>
      <c r="J1155"/>
    </row>
    <row r="1156" spans="9:10" x14ac:dyDescent="0.25">
      <c r="I1156"/>
      <c r="J1156"/>
    </row>
    <row r="1157" spans="9:10" x14ac:dyDescent="0.25">
      <c r="I1157"/>
      <c r="J1157"/>
    </row>
    <row r="1158" spans="9:10" x14ac:dyDescent="0.25">
      <c r="I1158"/>
      <c r="J1158"/>
    </row>
    <row r="1159" spans="9:10" x14ac:dyDescent="0.25">
      <c r="I1159"/>
      <c r="J1159"/>
    </row>
    <row r="1160" spans="9:10" x14ac:dyDescent="0.25">
      <c r="I1160"/>
      <c r="J1160"/>
    </row>
    <row r="1161" spans="9:10" x14ac:dyDescent="0.25">
      <c r="I1161"/>
      <c r="J1161"/>
    </row>
    <row r="1162" spans="9:10" x14ac:dyDescent="0.25">
      <c r="I1162"/>
      <c r="J1162"/>
    </row>
    <row r="1163" spans="9:10" x14ac:dyDescent="0.25">
      <c r="I1163"/>
      <c r="J1163"/>
    </row>
    <row r="1164" spans="9:10" x14ac:dyDescent="0.25">
      <c r="I1164"/>
      <c r="J1164"/>
    </row>
    <row r="1165" spans="9:10" x14ac:dyDescent="0.25">
      <c r="I1165"/>
      <c r="J1165"/>
    </row>
    <row r="1166" spans="9:10" x14ac:dyDescent="0.25">
      <c r="I1166"/>
      <c r="J1166"/>
    </row>
    <row r="1167" spans="9:10" x14ac:dyDescent="0.25">
      <c r="I1167"/>
      <c r="J1167"/>
    </row>
    <row r="1168" spans="9:10" x14ac:dyDescent="0.25">
      <c r="I1168"/>
      <c r="J1168"/>
    </row>
    <row r="1169" spans="9:10" x14ac:dyDescent="0.25">
      <c r="I1169"/>
      <c r="J1169"/>
    </row>
    <row r="1170" spans="9:10" x14ac:dyDescent="0.25">
      <c r="I1170"/>
      <c r="J1170"/>
    </row>
    <row r="1171" spans="9:10" x14ac:dyDescent="0.25">
      <c r="I1171"/>
      <c r="J1171"/>
    </row>
    <row r="1172" spans="9:10" x14ac:dyDescent="0.25">
      <c r="I1172"/>
      <c r="J1172"/>
    </row>
    <row r="1173" spans="9:10" x14ac:dyDescent="0.25">
      <c r="I1173"/>
      <c r="J1173"/>
    </row>
    <row r="1174" spans="9:10" x14ac:dyDescent="0.25">
      <c r="I1174"/>
      <c r="J1174"/>
    </row>
    <row r="1175" spans="9:10" x14ac:dyDescent="0.25">
      <c r="I1175"/>
      <c r="J1175"/>
    </row>
    <row r="1176" spans="9:10" x14ac:dyDescent="0.25">
      <c r="I1176"/>
      <c r="J1176"/>
    </row>
    <row r="1177" spans="9:10" x14ac:dyDescent="0.25">
      <c r="I1177"/>
      <c r="J1177"/>
    </row>
    <row r="1178" spans="9:10" x14ac:dyDescent="0.25">
      <c r="I1178"/>
      <c r="J1178"/>
    </row>
    <row r="1179" spans="9:10" x14ac:dyDescent="0.25">
      <c r="I1179"/>
      <c r="J1179"/>
    </row>
    <row r="1180" spans="9:10" x14ac:dyDescent="0.25">
      <c r="I1180"/>
      <c r="J1180"/>
    </row>
    <row r="1181" spans="9:10" x14ac:dyDescent="0.25">
      <c r="I1181"/>
      <c r="J1181"/>
    </row>
    <row r="1182" spans="9:10" x14ac:dyDescent="0.25">
      <c r="I1182"/>
      <c r="J1182"/>
    </row>
    <row r="1183" spans="9:10" x14ac:dyDescent="0.25">
      <c r="I1183"/>
      <c r="J1183"/>
    </row>
    <row r="1184" spans="9:10" x14ac:dyDescent="0.25">
      <c r="I1184"/>
      <c r="J1184"/>
    </row>
    <row r="1185" spans="9:10" x14ac:dyDescent="0.25">
      <c r="I1185"/>
      <c r="J1185"/>
    </row>
    <row r="1186" spans="9:10" x14ac:dyDescent="0.25">
      <c r="I1186"/>
      <c r="J1186"/>
    </row>
    <row r="1187" spans="9:10" x14ac:dyDescent="0.25">
      <c r="I1187"/>
      <c r="J1187"/>
    </row>
    <row r="1188" spans="9:10" x14ac:dyDescent="0.25">
      <c r="I1188"/>
      <c r="J1188"/>
    </row>
    <row r="1189" spans="9:10" x14ac:dyDescent="0.25">
      <c r="I1189"/>
      <c r="J1189"/>
    </row>
    <row r="1190" spans="9:10" x14ac:dyDescent="0.25">
      <c r="I1190"/>
      <c r="J1190"/>
    </row>
    <row r="1191" spans="9:10" x14ac:dyDescent="0.25">
      <c r="I1191"/>
      <c r="J1191"/>
    </row>
    <row r="1192" spans="9:10" x14ac:dyDescent="0.25">
      <c r="I1192"/>
      <c r="J1192"/>
    </row>
    <row r="1193" spans="9:10" x14ac:dyDescent="0.25">
      <c r="I1193"/>
      <c r="J1193"/>
    </row>
    <row r="1194" spans="9:10" x14ac:dyDescent="0.25">
      <c r="I1194"/>
      <c r="J1194"/>
    </row>
    <row r="1195" spans="9:10" x14ac:dyDescent="0.25">
      <c r="I1195"/>
      <c r="J1195"/>
    </row>
    <row r="1196" spans="9:10" x14ac:dyDescent="0.25">
      <c r="I1196"/>
      <c r="J1196"/>
    </row>
    <row r="1197" spans="9:10" x14ac:dyDescent="0.25">
      <c r="I1197"/>
      <c r="J1197"/>
    </row>
    <row r="1198" spans="9:10" x14ac:dyDescent="0.25">
      <c r="I1198"/>
      <c r="J1198"/>
    </row>
    <row r="1199" spans="9:10" x14ac:dyDescent="0.25">
      <c r="I1199"/>
      <c r="J1199"/>
    </row>
    <row r="1200" spans="9:10" x14ac:dyDescent="0.25">
      <c r="I1200"/>
      <c r="J1200"/>
    </row>
    <row r="1201" spans="9:10" x14ac:dyDescent="0.25">
      <c r="I1201"/>
      <c r="J1201"/>
    </row>
    <row r="1202" spans="9:10" x14ac:dyDescent="0.25">
      <c r="I1202"/>
      <c r="J1202"/>
    </row>
    <row r="1203" spans="9:10" x14ac:dyDescent="0.25">
      <c r="I1203"/>
      <c r="J1203"/>
    </row>
    <row r="1204" spans="9:10" x14ac:dyDescent="0.25">
      <c r="I1204"/>
      <c r="J1204"/>
    </row>
    <row r="1205" spans="9:10" x14ac:dyDescent="0.25">
      <c r="I1205"/>
      <c r="J1205"/>
    </row>
    <row r="1206" spans="9:10" x14ac:dyDescent="0.25">
      <c r="I1206"/>
      <c r="J1206"/>
    </row>
    <row r="1207" spans="9:10" x14ac:dyDescent="0.25">
      <c r="I1207"/>
      <c r="J1207"/>
    </row>
    <row r="1208" spans="9:10" x14ac:dyDescent="0.25">
      <c r="I1208"/>
      <c r="J1208"/>
    </row>
    <row r="1209" spans="9:10" x14ac:dyDescent="0.25">
      <c r="I1209"/>
      <c r="J1209"/>
    </row>
    <row r="1210" spans="9:10" x14ac:dyDescent="0.25">
      <c r="I1210"/>
      <c r="J1210"/>
    </row>
    <row r="1211" spans="9:10" x14ac:dyDescent="0.25">
      <c r="I1211"/>
      <c r="J1211"/>
    </row>
    <row r="1212" spans="9:10" x14ac:dyDescent="0.25">
      <c r="I1212"/>
      <c r="J1212"/>
    </row>
    <row r="1213" spans="9:10" x14ac:dyDescent="0.25">
      <c r="I1213"/>
      <c r="J1213"/>
    </row>
    <row r="1214" spans="9:10" x14ac:dyDescent="0.25">
      <c r="I1214"/>
      <c r="J1214"/>
    </row>
    <row r="1215" spans="9:10" x14ac:dyDescent="0.25">
      <c r="I1215"/>
      <c r="J1215"/>
    </row>
    <row r="1216" spans="9:10" x14ac:dyDescent="0.25">
      <c r="I1216"/>
      <c r="J1216"/>
    </row>
    <row r="1217" spans="9:10" x14ac:dyDescent="0.25">
      <c r="I1217"/>
      <c r="J1217"/>
    </row>
    <row r="1218" spans="9:10" x14ac:dyDescent="0.25">
      <c r="I1218"/>
      <c r="J1218"/>
    </row>
    <row r="1219" spans="9:10" x14ac:dyDescent="0.25">
      <c r="I1219"/>
      <c r="J1219"/>
    </row>
    <row r="1220" spans="9:10" x14ac:dyDescent="0.25">
      <c r="I1220"/>
      <c r="J1220"/>
    </row>
    <row r="1221" spans="9:10" x14ac:dyDescent="0.25">
      <c r="I1221"/>
      <c r="J1221"/>
    </row>
    <row r="1222" spans="9:10" x14ac:dyDescent="0.25">
      <c r="I1222"/>
      <c r="J1222"/>
    </row>
    <row r="1223" spans="9:10" x14ac:dyDescent="0.25">
      <c r="I1223"/>
      <c r="J1223"/>
    </row>
    <row r="1224" spans="9:10" x14ac:dyDescent="0.25">
      <c r="I1224"/>
      <c r="J1224"/>
    </row>
    <row r="1225" spans="9:10" x14ac:dyDescent="0.25">
      <c r="I1225"/>
      <c r="J1225"/>
    </row>
    <row r="1226" spans="9:10" x14ac:dyDescent="0.25">
      <c r="I1226"/>
      <c r="J1226"/>
    </row>
    <row r="1227" spans="9:10" x14ac:dyDescent="0.25">
      <c r="I1227"/>
      <c r="J1227"/>
    </row>
    <row r="1228" spans="9:10" x14ac:dyDescent="0.25">
      <c r="I1228"/>
      <c r="J1228"/>
    </row>
    <row r="1229" spans="9:10" x14ac:dyDescent="0.25">
      <c r="I1229"/>
      <c r="J1229"/>
    </row>
    <row r="1230" spans="9:10" x14ac:dyDescent="0.25">
      <c r="I1230"/>
      <c r="J1230"/>
    </row>
    <row r="1231" spans="9:10" x14ac:dyDescent="0.25">
      <c r="I1231"/>
      <c r="J1231"/>
    </row>
    <row r="1232" spans="9:10" x14ac:dyDescent="0.25">
      <c r="I1232"/>
      <c r="J1232"/>
    </row>
    <row r="1233" spans="9:10" x14ac:dyDescent="0.25">
      <c r="I1233"/>
      <c r="J1233"/>
    </row>
    <row r="1234" spans="9:10" x14ac:dyDescent="0.25">
      <c r="I1234"/>
      <c r="J1234"/>
    </row>
    <row r="1235" spans="9:10" x14ac:dyDescent="0.25">
      <c r="I1235"/>
      <c r="J1235"/>
    </row>
    <row r="1236" spans="9:10" x14ac:dyDescent="0.25">
      <c r="I1236"/>
      <c r="J1236"/>
    </row>
    <row r="1237" spans="9:10" x14ac:dyDescent="0.25">
      <c r="I1237"/>
      <c r="J1237"/>
    </row>
    <row r="1238" spans="9:10" x14ac:dyDescent="0.25">
      <c r="I1238"/>
      <c r="J1238"/>
    </row>
    <row r="1239" spans="9:10" x14ac:dyDescent="0.25">
      <c r="I1239"/>
      <c r="J1239"/>
    </row>
    <row r="1240" spans="9:10" x14ac:dyDescent="0.25">
      <c r="I1240"/>
      <c r="J1240"/>
    </row>
    <row r="1241" spans="9:10" x14ac:dyDescent="0.25">
      <c r="I1241"/>
      <c r="J1241"/>
    </row>
    <row r="1242" spans="9:10" x14ac:dyDescent="0.25">
      <c r="I1242"/>
      <c r="J1242"/>
    </row>
    <row r="1243" spans="9:10" x14ac:dyDescent="0.25">
      <c r="I1243"/>
      <c r="J1243"/>
    </row>
    <row r="1244" spans="9:10" x14ac:dyDescent="0.25">
      <c r="I1244"/>
      <c r="J1244"/>
    </row>
    <row r="1245" spans="9:10" x14ac:dyDescent="0.25">
      <c r="I1245"/>
      <c r="J1245"/>
    </row>
    <row r="1246" spans="9:10" x14ac:dyDescent="0.25">
      <c r="I1246"/>
      <c r="J1246"/>
    </row>
    <row r="1247" spans="9:10" x14ac:dyDescent="0.25">
      <c r="I1247"/>
      <c r="J1247"/>
    </row>
    <row r="1248" spans="9:10" x14ac:dyDescent="0.25">
      <c r="I1248"/>
      <c r="J1248"/>
    </row>
    <row r="1249" spans="9:10" x14ac:dyDescent="0.25">
      <c r="I1249"/>
      <c r="J1249"/>
    </row>
    <row r="1250" spans="9:10" x14ac:dyDescent="0.25">
      <c r="I1250"/>
      <c r="J1250"/>
    </row>
    <row r="1251" spans="9:10" x14ac:dyDescent="0.25">
      <c r="I1251"/>
      <c r="J1251"/>
    </row>
    <row r="1252" spans="9:10" x14ac:dyDescent="0.25">
      <c r="I1252"/>
      <c r="J1252"/>
    </row>
    <row r="1253" spans="9:10" x14ac:dyDescent="0.25">
      <c r="I1253"/>
      <c r="J1253"/>
    </row>
    <row r="1254" spans="9:10" x14ac:dyDescent="0.25">
      <c r="I1254"/>
      <c r="J1254"/>
    </row>
    <row r="1255" spans="9:10" x14ac:dyDescent="0.25">
      <c r="I1255"/>
      <c r="J1255"/>
    </row>
    <row r="1256" spans="9:10" x14ac:dyDescent="0.25">
      <c r="I1256"/>
      <c r="J1256"/>
    </row>
    <row r="1257" spans="9:10" x14ac:dyDescent="0.25">
      <c r="I1257"/>
      <c r="J1257"/>
    </row>
    <row r="1258" spans="9:10" x14ac:dyDescent="0.25">
      <c r="I1258"/>
      <c r="J1258"/>
    </row>
    <row r="1259" spans="9:10" x14ac:dyDescent="0.25">
      <c r="I1259"/>
      <c r="J1259"/>
    </row>
    <row r="1260" spans="9:10" x14ac:dyDescent="0.25">
      <c r="I1260"/>
      <c r="J1260"/>
    </row>
    <row r="1261" spans="9:10" x14ac:dyDescent="0.25">
      <c r="I1261"/>
      <c r="J1261"/>
    </row>
    <row r="1262" spans="9:10" x14ac:dyDescent="0.25">
      <c r="I1262"/>
      <c r="J1262"/>
    </row>
    <row r="1263" spans="9:10" x14ac:dyDescent="0.25">
      <c r="I1263"/>
      <c r="J1263"/>
    </row>
    <row r="1264" spans="9:10" x14ac:dyDescent="0.25">
      <c r="I1264"/>
      <c r="J1264"/>
    </row>
    <row r="1265" spans="9:10" x14ac:dyDescent="0.25">
      <c r="I1265"/>
      <c r="J1265"/>
    </row>
    <row r="1266" spans="9:10" x14ac:dyDescent="0.25">
      <c r="I1266"/>
      <c r="J1266"/>
    </row>
    <row r="1267" spans="9:10" x14ac:dyDescent="0.25">
      <c r="I1267"/>
      <c r="J1267"/>
    </row>
    <row r="1268" spans="9:10" x14ac:dyDescent="0.25">
      <c r="I1268"/>
      <c r="J1268"/>
    </row>
    <row r="1269" spans="9:10" x14ac:dyDescent="0.25">
      <c r="I1269"/>
      <c r="J1269"/>
    </row>
    <row r="1270" spans="9:10" x14ac:dyDescent="0.25">
      <c r="I1270"/>
      <c r="J1270"/>
    </row>
    <row r="1271" spans="9:10" x14ac:dyDescent="0.25">
      <c r="I1271"/>
      <c r="J1271"/>
    </row>
    <row r="1272" spans="9:10" x14ac:dyDescent="0.25">
      <c r="I1272"/>
      <c r="J1272"/>
    </row>
    <row r="1273" spans="9:10" x14ac:dyDescent="0.25">
      <c r="I1273"/>
      <c r="J1273"/>
    </row>
    <row r="1274" spans="9:10" x14ac:dyDescent="0.25">
      <c r="I1274"/>
      <c r="J1274"/>
    </row>
    <row r="1275" spans="9:10" x14ac:dyDescent="0.25">
      <c r="I1275"/>
      <c r="J1275"/>
    </row>
    <row r="1276" spans="9:10" x14ac:dyDescent="0.25">
      <c r="I1276"/>
      <c r="J1276"/>
    </row>
    <row r="1277" spans="9:10" x14ac:dyDescent="0.25">
      <c r="I1277"/>
      <c r="J1277"/>
    </row>
    <row r="1278" spans="9:10" x14ac:dyDescent="0.25">
      <c r="I1278"/>
      <c r="J1278"/>
    </row>
    <row r="1279" spans="9:10" x14ac:dyDescent="0.25">
      <c r="I1279"/>
      <c r="J1279"/>
    </row>
    <row r="1280" spans="9:10" x14ac:dyDescent="0.25">
      <c r="I1280"/>
      <c r="J1280"/>
    </row>
    <row r="1281" spans="9:10" x14ac:dyDescent="0.25">
      <c r="I1281"/>
      <c r="J1281"/>
    </row>
    <row r="1282" spans="9:10" x14ac:dyDescent="0.25">
      <c r="I1282"/>
      <c r="J1282"/>
    </row>
    <row r="1283" spans="9:10" x14ac:dyDescent="0.25">
      <c r="I1283"/>
      <c r="J1283"/>
    </row>
    <row r="1284" spans="9:10" x14ac:dyDescent="0.25">
      <c r="I1284"/>
      <c r="J1284"/>
    </row>
    <row r="1285" spans="9:10" x14ac:dyDescent="0.25">
      <c r="I1285"/>
      <c r="J1285"/>
    </row>
    <row r="1286" spans="9:10" x14ac:dyDescent="0.25">
      <c r="I1286"/>
      <c r="J1286"/>
    </row>
    <row r="1287" spans="9:10" x14ac:dyDescent="0.25">
      <c r="I1287"/>
      <c r="J1287"/>
    </row>
    <row r="1288" spans="9:10" x14ac:dyDescent="0.25">
      <c r="I1288"/>
      <c r="J1288"/>
    </row>
    <row r="1289" spans="9:10" x14ac:dyDescent="0.25">
      <c r="I1289"/>
      <c r="J1289"/>
    </row>
    <row r="1290" spans="9:10" x14ac:dyDescent="0.25">
      <c r="I1290"/>
      <c r="J1290"/>
    </row>
    <row r="1291" spans="9:10" x14ac:dyDescent="0.25">
      <c r="I1291"/>
      <c r="J1291"/>
    </row>
    <row r="1292" spans="9:10" x14ac:dyDescent="0.25">
      <c r="I1292"/>
      <c r="J1292"/>
    </row>
    <row r="1293" spans="9:10" x14ac:dyDescent="0.25">
      <c r="I1293"/>
      <c r="J1293"/>
    </row>
    <row r="1294" spans="9:10" x14ac:dyDescent="0.25">
      <c r="I1294"/>
      <c r="J1294"/>
    </row>
    <row r="1295" spans="9:10" x14ac:dyDescent="0.25">
      <c r="I1295"/>
      <c r="J1295"/>
    </row>
    <row r="1296" spans="9:10" x14ac:dyDescent="0.25">
      <c r="I1296"/>
      <c r="J1296"/>
    </row>
    <row r="1297" spans="9:10" x14ac:dyDescent="0.25">
      <c r="I1297"/>
      <c r="J1297"/>
    </row>
    <row r="1298" spans="9:10" x14ac:dyDescent="0.25">
      <c r="I1298"/>
      <c r="J1298"/>
    </row>
    <row r="1299" spans="9:10" x14ac:dyDescent="0.25">
      <c r="I1299"/>
      <c r="J1299"/>
    </row>
    <row r="1300" spans="9:10" x14ac:dyDescent="0.25">
      <c r="I1300"/>
      <c r="J1300"/>
    </row>
    <row r="1301" spans="9:10" x14ac:dyDescent="0.25">
      <c r="I1301"/>
      <c r="J1301"/>
    </row>
    <row r="1302" spans="9:10" x14ac:dyDescent="0.25">
      <c r="I1302"/>
      <c r="J1302"/>
    </row>
    <row r="1303" spans="9:10" x14ac:dyDescent="0.25">
      <c r="I1303"/>
      <c r="J1303"/>
    </row>
    <row r="1304" spans="9:10" x14ac:dyDescent="0.25">
      <c r="I1304"/>
      <c r="J1304"/>
    </row>
    <row r="1305" spans="9:10" x14ac:dyDescent="0.25">
      <c r="I1305"/>
      <c r="J1305"/>
    </row>
    <row r="1306" spans="9:10" x14ac:dyDescent="0.25">
      <c r="I1306"/>
      <c r="J1306"/>
    </row>
    <row r="1307" spans="9:10" x14ac:dyDescent="0.25">
      <c r="I1307"/>
      <c r="J1307"/>
    </row>
    <row r="1308" spans="9:10" x14ac:dyDescent="0.25">
      <c r="I1308"/>
      <c r="J1308"/>
    </row>
    <row r="1309" spans="9:10" x14ac:dyDescent="0.25">
      <c r="I1309"/>
      <c r="J1309"/>
    </row>
    <row r="1310" spans="9:10" x14ac:dyDescent="0.25">
      <c r="I1310"/>
      <c r="J1310"/>
    </row>
    <row r="1311" spans="9:10" x14ac:dyDescent="0.25">
      <c r="I1311"/>
      <c r="J1311"/>
    </row>
    <row r="1312" spans="9:10" x14ac:dyDescent="0.25">
      <c r="I1312"/>
      <c r="J1312"/>
    </row>
    <row r="1313" spans="9:10" x14ac:dyDescent="0.25">
      <c r="I1313"/>
      <c r="J1313"/>
    </row>
    <row r="1314" spans="9:10" x14ac:dyDescent="0.25">
      <c r="I1314"/>
      <c r="J1314"/>
    </row>
    <row r="1315" spans="9:10" x14ac:dyDescent="0.25">
      <c r="I1315"/>
      <c r="J1315"/>
    </row>
    <row r="1316" spans="9:10" x14ac:dyDescent="0.25">
      <c r="I1316"/>
      <c r="J1316"/>
    </row>
    <row r="1317" spans="9:10" x14ac:dyDescent="0.25">
      <c r="I1317"/>
      <c r="J1317"/>
    </row>
    <row r="1318" spans="9:10" x14ac:dyDescent="0.25">
      <c r="I1318"/>
      <c r="J1318"/>
    </row>
    <row r="1319" spans="9:10" x14ac:dyDescent="0.25">
      <c r="I1319"/>
      <c r="J1319"/>
    </row>
    <row r="1320" spans="9:10" x14ac:dyDescent="0.25">
      <c r="I1320"/>
      <c r="J1320"/>
    </row>
    <row r="1321" spans="9:10" x14ac:dyDescent="0.25">
      <c r="I1321"/>
      <c r="J1321"/>
    </row>
    <row r="1322" spans="9:10" x14ac:dyDescent="0.25">
      <c r="I1322"/>
      <c r="J1322"/>
    </row>
    <row r="1323" spans="9:10" x14ac:dyDescent="0.25">
      <c r="I1323"/>
      <c r="J1323"/>
    </row>
    <row r="1324" spans="9:10" x14ac:dyDescent="0.25">
      <c r="I1324"/>
      <c r="J1324"/>
    </row>
    <row r="1325" spans="9:10" x14ac:dyDescent="0.25">
      <c r="I1325"/>
      <c r="J1325"/>
    </row>
    <row r="1326" spans="9:10" x14ac:dyDescent="0.25">
      <c r="I1326"/>
      <c r="J1326"/>
    </row>
    <row r="1327" spans="9:10" x14ac:dyDescent="0.25">
      <c r="I1327"/>
      <c r="J1327"/>
    </row>
    <row r="1328" spans="9:10" x14ac:dyDescent="0.25">
      <c r="I1328"/>
      <c r="J1328"/>
    </row>
    <row r="1329" spans="9:10" x14ac:dyDescent="0.25">
      <c r="I1329"/>
      <c r="J1329"/>
    </row>
    <row r="1330" spans="9:10" x14ac:dyDescent="0.25">
      <c r="I1330"/>
      <c r="J1330"/>
    </row>
    <row r="1331" spans="9:10" x14ac:dyDescent="0.25">
      <c r="I1331"/>
      <c r="J1331"/>
    </row>
    <row r="1332" spans="9:10" x14ac:dyDescent="0.25">
      <c r="I1332"/>
      <c r="J1332"/>
    </row>
    <row r="1333" spans="9:10" x14ac:dyDescent="0.25">
      <c r="I1333"/>
      <c r="J1333"/>
    </row>
    <row r="1334" spans="9:10" x14ac:dyDescent="0.25">
      <c r="I1334"/>
      <c r="J1334"/>
    </row>
    <row r="1335" spans="9:10" x14ac:dyDescent="0.25">
      <c r="I1335"/>
      <c r="J1335"/>
    </row>
    <row r="1336" spans="9:10" x14ac:dyDescent="0.25">
      <c r="I1336"/>
      <c r="J1336"/>
    </row>
    <row r="1337" spans="9:10" x14ac:dyDescent="0.25">
      <c r="I1337"/>
      <c r="J1337"/>
    </row>
    <row r="1338" spans="9:10" x14ac:dyDescent="0.25">
      <c r="I1338"/>
      <c r="J1338"/>
    </row>
    <row r="1339" spans="9:10" x14ac:dyDescent="0.25">
      <c r="I1339"/>
      <c r="J1339"/>
    </row>
    <row r="1340" spans="9:10" x14ac:dyDescent="0.25">
      <c r="I1340"/>
      <c r="J1340"/>
    </row>
    <row r="1341" spans="9:10" x14ac:dyDescent="0.25">
      <c r="I1341"/>
      <c r="J1341"/>
    </row>
    <row r="1342" spans="9:10" x14ac:dyDescent="0.25">
      <c r="I1342"/>
      <c r="J1342"/>
    </row>
    <row r="1343" spans="9:10" x14ac:dyDescent="0.25">
      <c r="I1343"/>
      <c r="J1343"/>
    </row>
    <row r="1344" spans="9:10" x14ac:dyDescent="0.25">
      <c r="I1344"/>
      <c r="J1344"/>
    </row>
    <row r="1345" spans="9:10" x14ac:dyDescent="0.25">
      <c r="I1345"/>
      <c r="J1345"/>
    </row>
    <row r="1346" spans="9:10" x14ac:dyDescent="0.25">
      <c r="I1346"/>
      <c r="J1346"/>
    </row>
    <row r="1347" spans="9:10" x14ac:dyDescent="0.25">
      <c r="I1347"/>
      <c r="J1347"/>
    </row>
    <row r="1348" spans="9:10" x14ac:dyDescent="0.25">
      <c r="I1348"/>
      <c r="J1348"/>
    </row>
    <row r="1349" spans="9:10" x14ac:dyDescent="0.25">
      <c r="I1349"/>
      <c r="J1349"/>
    </row>
    <row r="1350" spans="9:10" x14ac:dyDescent="0.25">
      <c r="I1350"/>
      <c r="J1350"/>
    </row>
    <row r="1351" spans="9:10" x14ac:dyDescent="0.25">
      <c r="I1351"/>
      <c r="J1351"/>
    </row>
    <row r="1352" spans="9:10" x14ac:dyDescent="0.25">
      <c r="I1352"/>
      <c r="J1352"/>
    </row>
    <row r="1353" spans="9:10" x14ac:dyDescent="0.25">
      <c r="I1353"/>
      <c r="J1353"/>
    </row>
    <row r="1354" spans="9:10" x14ac:dyDescent="0.25">
      <c r="I1354"/>
      <c r="J1354"/>
    </row>
    <row r="1355" spans="9:10" x14ac:dyDescent="0.25">
      <c r="I1355"/>
      <c r="J1355"/>
    </row>
    <row r="1356" spans="9:10" x14ac:dyDescent="0.25">
      <c r="I1356"/>
      <c r="J1356"/>
    </row>
    <row r="1357" spans="9:10" x14ac:dyDescent="0.25">
      <c r="I1357"/>
      <c r="J1357"/>
    </row>
    <row r="1358" spans="9:10" x14ac:dyDescent="0.25">
      <c r="I1358"/>
      <c r="J1358"/>
    </row>
    <row r="1359" spans="9:10" x14ac:dyDescent="0.25">
      <c r="I1359"/>
      <c r="J1359"/>
    </row>
    <row r="1360" spans="9:10" x14ac:dyDescent="0.25">
      <c r="I1360"/>
      <c r="J1360"/>
    </row>
    <row r="1361" spans="9:10" x14ac:dyDescent="0.25">
      <c r="I1361"/>
      <c r="J1361"/>
    </row>
    <row r="1362" spans="9:10" x14ac:dyDescent="0.25">
      <c r="I1362"/>
      <c r="J1362"/>
    </row>
    <row r="1363" spans="9:10" x14ac:dyDescent="0.25">
      <c r="I1363"/>
      <c r="J1363"/>
    </row>
    <row r="1364" spans="9:10" x14ac:dyDescent="0.25">
      <c r="I1364"/>
      <c r="J1364"/>
    </row>
    <row r="1365" spans="9:10" x14ac:dyDescent="0.25">
      <c r="I1365"/>
      <c r="J1365"/>
    </row>
    <row r="1366" spans="9:10" x14ac:dyDescent="0.25">
      <c r="I1366"/>
      <c r="J1366"/>
    </row>
    <row r="1367" spans="9:10" x14ac:dyDescent="0.25">
      <c r="I1367"/>
      <c r="J1367"/>
    </row>
    <row r="1368" spans="9:10" x14ac:dyDescent="0.25">
      <c r="I1368"/>
      <c r="J1368"/>
    </row>
    <row r="1369" spans="9:10" x14ac:dyDescent="0.25">
      <c r="I1369"/>
      <c r="J1369"/>
    </row>
    <row r="1370" spans="9:10" x14ac:dyDescent="0.25">
      <c r="I1370"/>
      <c r="J1370"/>
    </row>
    <row r="1371" spans="9:10" x14ac:dyDescent="0.25">
      <c r="I1371"/>
      <c r="J1371"/>
    </row>
    <row r="1372" spans="9:10" x14ac:dyDescent="0.25">
      <c r="I1372"/>
      <c r="J1372"/>
    </row>
    <row r="1373" spans="9:10" x14ac:dyDescent="0.25">
      <c r="I1373"/>
      <c r="J1373"/>
    </row>
    <row r="1374" spans="9:10" x14ac:dyDescent="0.25">
      <c r="I1374"/>
      <c r="J1374"/>
    </row>
    <row r="1375" spans="9:10" x14ac:dyDescent="0.25">
      <c r="I1375"/>
      <c r="J1375"/>
    </row>
    <row r="1376" spans="9:10" x14ac:dyDescent="0.25">
      <c r="I1376"/>
      <c r="J1376"/>
    </row>
    <row r="1377" spans="9:10" x14ac:dyDescent="0.25">
      <c r="I1377"/>
      <c r="J1377"/>
    </row>
    <row r="1378" spans="9:10" x14ac:dyDescent="0.25">
      <c r="I1378"/>
      <c r="J1378"/>
    </row>
    <row r="1379" spans="9:10" x14ac:dyDescent="0.25">
      <c r="I1379"/>
      <c r="J1379"/>
    </row>
    <row r="1380" spans="9:10" x14ac:dyDescent="0.25">
      <c r="I1380"/>
      <c r="J1380"/>
    </row>
    <row r="1381" spans="9:10" x14ac:dyDescent="0.25">
      <c r="I1381"/>
      <c r="J1381"/>
    </row>
    <row r="1382" spans="9:10" x14ac:dyDescent="0.25">
      <c r="I1382"/>
      <c r="J1382"/>
    </row>
    <row r="1383" spans="9:10" x14ac:dyDescent="0.25">
      <c r="I1383"/>
      <c r="J1383"/>
    </row>
    <row r="1384" spans="9:10" x14ac:dyDescent="0.25">
      <c r="I1384"/>
      <c r="J1384"/>
    </row>
    <row r="1385" spans="9:10" x14ac:dyDescent="0.25">
      <c r="I1385"/>
      <c r="J1385"/>
    </row>
    <row r="1386" spans="9:10" x14ac:dyDescent="0.25">
      <c r="I1386"/>
      <c r="J1386"/>
    </row>
    <row r="1387" spans="9:10" x14ac:dyDescent="0.25">
      <c r="I1387"/>
      <c r="J1387"/>
    </row>
    <row r="1388" spans="9:10" x14ac:dyDescent="0.25">
      <c r="I1388"/>
      <c r="J1388"/>
    </row>
    <row r="1389" spans="9:10" x14ac:dyDescent="0.25">
      <c r="I1389"/>
      <c r="J1389"/>
    </row>
    <row r="1390" spans="9:10" x14ac:dyDescent="0.25">
      <c r="I1390"/>
      <c r="J1390"/>
    </row>
    <row r="1391" spans="9:10" x14ac:dyDescent="0.25">
      <c r="I1391"/>
      <c r="J1391"/>
    </row>
    <row r="1392" spans="9:10" x14ac:dyDescent="0.25">
      <c r="I1392"/>
      <c r="J1392"/>
    </row>
    <row r="1393" spans="9:10" x14ac:dyDescent="0.25">
      <c r="I1393"/>
      <c r="J1393"/>
    </row>
    <row r="1394" spans="9:10" x14ac:dyDescent="0.25">
      <c r="I1394"/>
      <c r="J1394"/>
    </row>
    <row r="1395" spans="9:10" x14ac:dyDescent="0.25">
      <c r="I1395"/>
      <c r="J1395"/>
    </row>
    <row r="1396" spans="9:10" x14ac:dyDescent="0.25">
      <c r="I1396"/>
      <c r="J1396"/>
    </row>
    <row r="1397" spans="9:10" x14ac:dyDescent="0.25">
      <c r="I1397"/>
      <c r="J1397"/>
    </row>
    <row r="1398" spans="9:10" x14ac:dyDescent="0.25">
      <c r="I1398"/>
      <c r="J1398"/>
    </row>
    <row r="1399" spans="9:10" x14ac:dyDescent="0.25">
      <c r="I1399"/>
      <c r="J1399"/>
    </row>
    <row r="1400" spans="9:10" x14ac:dyDescent="0.25">
      <c r="I1400"/>
      <c r="J1400"/>
    </row>
    <row r="1401" spans="9:10" x14ac:dyDescent="0.25">
      <c r="I1401"/>
      <c r="J1401"/>
    </row>
    <row r="1402" spans="9:10" x14ac:dyDescent="0.25">
      <c r="I1402"/>
      <c r="J1402"/>
    </row>
    <row r="1403" spans="9:10" x14ac:dyDescent="0.25">
      <c r="I1403"/>
      <c r="J1403"/>
    </row>
    <row r="1404" spans="9:10" x14ac:dyDescent="0.25">
      <c r="I1404"/>
      <c r="J1404"/>
    </row>
    <row r="1405" spans="9:10" x14ac:dyDescent="0.25">
      <c r="I1405"/>
      <c r="J1405"/>
    </row>
    <row r="1406" spans="9:10" x14ac:dyDescent="0.25">
      <c r="I1406"/>
      <c r="J1406"/>
    </row>
    <row r="1407" spans="9:10" x14ac:dyDescent="0.25">
      <c r="I1407"/>
      <c r="J1407"/>
    </row>
    <row r="1408" spans="9:10" x14ac:dyDescent="0.25">
      <c r="I1408"/>
      <c r="J1408"/>
    </row>
    <row r="1409" spans="9:10" x14ac:dyDescent="0.25">
      <c r="I1409"/>
      <c r="J1409"/>
    </row>
    <row r="1410" spans="9:10" x14ac:dyDescent="0.25">
      <c r="I1410"/>
      <c r="J1410"/>
    </row>
    <row r="1411" spans="9:10" x14ac:dyDescent="0.25">
      <c r="I1411"/>
      <c r="J1411"/>
    </row>
    <row r="1412" spans="9:10" x14ac:dyDescent="0.25">
      <c r="I1412"/>
      <c r="J1412"/>
    </row>
    <row r="1413" spans="9:10" x14ac:dyDescent="0.25">
      <c r="I1413"/>
      <c r="J1413"/>
    </row>
    <row r="1414" spans="9:10" x14ac:dyDescent="0.25">
      <c r="I1414"/>
      <c r="J1414"/>
    </row>
    <row r="1415" spans="9:10" x14ac:dyDescent="0.25">
      <c r="I1415"/>
      <c r="J1415"/>
    </row>
    <row r="1416" spans="9:10" x14ac:dyDescent="0.25">
      <c r="I1416"/>
      <c r="J1416"/>
    </row>
    <row r="1417" spans="9:10" x14ac:dyDescent="0.25">
      <c r="I1417"/>
      <c r="J1417"/>
    </row>
    <row r="1418" spans="9:10" x14ac:dyDescent="0.25">
      <c r="I1418"/>
      <c r="J1418"/>
    </row>
    <row r="1419" spans="9:10" x14ac:dyDescent="0.25">
      <c r="I1419"/>
      <c r="J1419"/>
    </row>
    <row r="1420" spans="9:10" x14ac:dyDescent="0.25">
      <c r="I1420"/>
      <c r="J1420"/>
    </row>
    <row r="1421" spans="9:10" x14ac:dyDescent="0.25">
      <c r="I1421"/>
      <c r="J1421"/>
    </row>
    <row r="1422" spans="9:10" x14ac:dyDescent="0.25">
      <c r="I1422"/>
      <c r="J1422"/>
    </row>
    <row r="1423" spans="9:10" x14ac:dyDescent="0.25">
      <c r="I1423"/>
      <c r="J1423"/>
    </row>
    <row r="1424" spans="9:10" x14ac:dyDescent="0.25">
      <c r="I1424"/>
      <c r="J1424"/>
    </row>
    <row r="1425" spans="9:10" x14ac:dyDescent="0.25">
      <c r="I1425"/>
      <c r="J1425"/>
    </row>
    <row r="1426" spans="9:10" x14ac:dyDescent="0.25">
      <c r="I1426"/>
      <c r="J1426"/>
    </row>
    <row r="1427" spans="9:10" x14ac:dyDescent="0.25">
      <c r="I1427"/>
      <c r="J1427"/>
    </row>
    <row r="1428" spans="9:10" x14ac:dyDescent="0.25">
      <c r="I1428"/>
      <c r="J1428"/>
    </row>
    <row r="1429" spans="9:10" x14ac:dyDescent="0.25">
      <c r="I1429"/>
      <c r="J1429"/>
    </row>
    <row r="1430" spans="9:10" x14ac:dyDescent="0.25">
      <c r="I1430"/>
      <c r="J1430"/>
    </row>
    <row r="1431" spans="9:10" x14ac:dyDescent="0.25">
      <c r="I1431"/>
      <c r="J1431"/>
    </row>
    <row r="1432" spans="9:10" x14ac:dyDescent="0.25">
      <c r="I1432"/>
      <c r="J1432"/>
    </row>
    <row r="1433" spans="9:10" x14ac:dyDescent="0.25">
      <c r="I1433"/>
      <c r="J1433"/>
    </row>
    <row r="1434" spans="9:10" x14ac:dyDescent="0.25">
      <c r="I1434"/>
      <c r="J1434"/>
    </row>
    <row r="1435" spans="9:10" x14ac:dyDescent="0.25">
      <c r="I1435"/>
      <c r="J1435"/>
    </row>
    <row r="1436" spans="9:10" x14ac:dyDescent="0.25">
      <c r="I1436"/>
      <c r="J1436"/>
    </row>
    <row r="1437" spans="9:10" x14ac:dyDescent="0.25">
      <c r="I1437"/>
      <c r="J1437"/>
    </row>
    <row r="1438" spans="9:10" x14ac:dyDescent="0.25">
      <c r="I1438"/>
      <c r="J1438"/>
    </row>
    <row r="1439" spans="9:10" x14ac:dyDescent="0.25">
      <c r="I1439"/>
      <c r="J1439"/>
    </row>
    <row r="1440" spans="9:10" x14ac:dyDescent="0.25">
      <c r="I1440"/>
      <c r="J1440"/>
    </row>
    <row r="1441" spans="9:10" x14ac:dyDescent="0.25">
      <c r="I1441"/>
      <c r="J1441"/>
    </row>
    <row r="1442" spans="9:10" x14ac:dyDescent="0.25">
      <c r="I1442"/>
      <c r="J1442"/>
    </row>
    <row r="1443" spans="9:10" x14ac:dyDescent="0.25">
      <c r="I1443"/>
      <c r="J1443"/>
    </row>
    <row r="1444" spans="9:10" x14ac:dyDescent="0.25">
      <c r="I1444"/>
      <c r="J1444"/>
    </row>
    <row r="1445" spans="9:10" x14ac:dyDescent="0.25">
      <c r="I1445"/>
      <c r="J1445"/>
    </row>
    <row r="1446" spans="9:10" x14ac:dyDescent="0.25">
      <c r="I1446"/>
      <c r="J1446"/>
    </row>
    <row r="1447" spans="9:10" x14ac:dyDescent="0.25">
      <c r="I1447"/>
      <c r="J1447"/>
    </row>
    <row r="1448" spans="9:10" x14ac:dyDescent="0.25">
      <c r="I1448"/>
      <c r="J1448"/>
    </row>
    <row r="1449" spans="9:10" x14ac:dyDescent="0.25">
      <c r="I1449"/>
      <c r="J1449"/>
    </row>
    <row r="1450" spans="9:10" x14ac:dyDescent="0.25">
      <c r="I1450"/>
      <c r="J1450"/>
    </row>
    <row r="1451" spans="9:10" x14ac:dyDescent="0.25">
      <c r="I1451"/>
      <c r="J1451"/>
    </row>
    <row r="1452" spans="9:10" x14ac:dyDescent="0.25">
      <c r="I1452"/>
      <c r="J1452"/>
    </row>
    <row r="1453" spans="9:10" x14ac:dyDescent="0.25">
      <c r="I1453"/>
      <c r="J1453"/>
    </row>
    <row r="1454" spans="9:10" x14ac:dyDescent="0.25">
      <c r="I1454"/>
      <c r="J1454"/>
    </row>
    <row r="1455" spans="9:10" x14ac:dyDescent="0.25">
      <c r="I1455"/>
      <c r="J1455"/>
    </row>
    <row r="1456" spans="9:10" x14ac:dyDescent="0.25">
      <c r="I1456"/>
      <c r="J1456"/>
    </row>
    <row r="1457" spans="9:10" x14ac:dyDescent="0.25">
      <c r="I1457"/>
      <c r="J1457"/>
    </row>
    <row r="1458" spans="9:10" x14ac:dyDescent="0.25">
      <c r="I1458"/>
      <c r="J1458"/>
    </row>
    <row r="1459" spans="9:10" x14ac:dyDescent="0.25">
      <c r="I1459"/>
      <c r="J1459"/>
    </row>
    <row r="1460" spans="9:10" x14ac:dyDescent="0.25">
      <c r="I1460"/>
      <c r="J1460"/>
    </row>
    <row r="1461" spans="9:10" x14ac:dyDescent="0.25">
      <c r="I1461"/>
      <c r="J1461"/>
    </row>
    <row r="1462" spans="9:10" x14ac:dyDescent="0.25">
      <c r="I1462"/>
      <c r="J1462"/>
    </row>
    <row r="1463" spans="9:10" x14ac:dyDescent="0.25">
      <c r="I1463"/>
      <c r="J1463"/>
    </row>
    <row r="1464" spans="9:10" x14ac:dyDescent="0.25">
      <c r="I1464"/>
      <c r="J1464"/>
    </row>
    <row r="1465" spans="9:10" x14ac:dyDescent="0.25">
      <c r="I1465"/>
      <c r="J1465"/>
    </row>
    <row r="1466" spans="9:10" x14ac:dyDescent="0.25">
      <c r="I1466"/>
      <c r="J1466"/>
    </row>
    <row r="1467" spans="9:10" x14ac:dyDescent="0.25">
      <c r="I1467"/>
      <c r="J1467"/>
    </row>
    <row r="1468" spans="9:10" x14ac:dyDescent="0.25">
      <c r="I1468"/>
      <c r="J1468"/>
    </row>
    <row r="1469" spans="9:10" x14ac:dyDescent="0.25">
      <c r="I1469"/>
      <c r="J1469"/>
    </row>
    <row r="1470" spans="9:10" x14ac:dyDescent="0.25">
      <c r="I1470"/>
      <c r="J1470"/>
    </row>
    <row r="1471" spans="9:10" x14ac:dyDescent="0.25">
      <c r="I1471"/>
      <c r="J1471"/>
    </row>
    <row r="1472" spans="9:10" x14ac:dyDescent="0.25">
      <c r="I1472"/>
      <c r="J1472"/>
    </row>
    <row r="1473" spans="9:10" x14ac:dyDescent="0.25">
      <c r="I1473"/>
      <c r="J1473"/>
    </row>
    <row r="1474" spans="9:10" x14ac:dyDescent="0.25">
      <c r="I1474"/>
      <c r="J1474"/>
    </row>
    <row r="1475" spans="9:10" x14ac:dyDescent="0.25">
      <c r="I1475"/>
      <c r="J1475"/>
    </row>
    <row r="1476" spans="9:10" x14ac:dyDescent="0.25">
      <c r="I1476"/>
      <c r="J1476"/>
    </row>
    <row r="1477" spans="9:10" x14ac:dyDescent="0.25">
      <c r="I1477"/>
      <c r="J1477"/>
    </row>
    <row r="1478" spans="9:10" x14ac:dyDescent="0.25">
      <c r="I1478"/>
      <c r="J1478"/>
    </row>
    <row r="1479" spans="9:10" x14ac:dyDescent="0.25">
      <c r="I1479"/>
      <c r="J1479"/>
    </row>
    <row r="1480" spans="9:10" x14ac:dyDescent="0.25">
      <c r="I1480"/>
      <c r="J1480"/>
    </row>
    <row r="1481" spans="9:10" x14ac:dyDescent="0.25">
      <c r="I1481"/>
      <c r="J1481"/>
    </row>
    <row r="1482" spans="9:10" x14ac:dyDescent="0.25">
      <c r="I1482"/>
      <c r="J1482"/>
    </row>
    <row r="1483" spans="9:10" x14ac:dyDescent="0.25">
      <c r="I1483"/>
      <c r="J1483"/>
    </row>
    <row r="1484" spans="9:10" x14ac:dyDescent="0.25">
      <c r="I1484"/>
      <c r="J1484"/>
    </row>
    <row r="1485" spans="9:10" x14ac:dyDescent="0.25">
      <c r="I1485"/>
      <c r="J1485"/>
    </row>
    <row r="1486" spans="9:10" x14ac:dyDescent="0.25">
      <c r="I1486"/>
      <c r="J1486"/>
    </row>
    <row r="1487" spans="9:10" x14ac:dyDescent="0.25">
      <c r="I1487"/>
      <c r="J1487"/>
    </row>
    <row r="1488" spans="9:10" x14ac:dyDescent="0.25">
      <c r="I1488"/>
      <c r="J1488"/>
    </row>
    <row r="1489" spans="9:10" x14ac:dyDescent="0.25">
      <c r="I1489"/>
      <c r="J1489"/>
    </row>
    <row r="1490" spans="9:10" x14ac:dyDescent="0.25">
      <c r="I1490"/>
      <c r="J1490"/>
    </row>
    <row r="1491" spans="9:10" x14ac:dyDescent="0.25">
      <c r="I1491"/>
      <c r="J1491"/>
    </row>
    <row r="1492" spans="9:10" x14ac:dyDescent="0.25">
      <c r="I1492"/>
      <c r="J1492"/>
    </row>
    <row r="1493" spans="9:10" x14ac:dyDescent="0.25">
      <c r="I1493"/>
      <c r="J1493"/>
    </row>
    <row r="1494" spans="9:10" x14ac:dyDescent="0.25">
      <c r="I1494"/>
      <c r="J1494"/>
    </row>
    <row r="1495" spans="9:10" x14ac:dyDescent="0.25">
      <c r="I1495"/>
      <c r="J1495"/>
    </row>
    <row r="1496" spans="9:10" x14ac:dyDescent="0.25">
      <c r="I1496"/>
      <c r="J1496"/>
    </row>
    <row r="1497" spans="9:10" x14ac:dyDescent="0.25">
      <c r="I1497"/>
      <c r="J1497"/>
    </row>
    <row r="1498" spans="9:10" x14ac:dyDescent="0.25">
      <c r="I1498"/>
      <c r="J1498"/>
    </row>
    <row r="1499" spans="9:10" x14ac:dyDescent="0.25">
      <c r="I1499"/>
      <c r="J1499"/>
    </row>
    <row r="1500" spans="9:10" x14ac:dyDescent="0.25">
      <c r="I1500"/>
      <c r="J1500"/>
    </row>
    <row r="1501" spans="9:10" x14ac:dyDescent="0.25">
      <c r="I1501"/>
      <c r="J1501"/>
    </row>
    <row r="1502" spans="9:10" x14ac:dyDescent="0.25">
      <c r="I1502"/>
      <c r="J1502"/>
    </row>
    <row r="1503" spans="9:10" x14ac:dyDescent="0.25">
      <c r="I1503"/>
      <c r="J1503"/>
    </row>
    <row r="1504" spans="9:10" x14ac:dyDescent="0.25">
      <c r="I1504"/>
      <c r="J1504"/>
    </row>
    <row r="1505" spans="9:10" x14ac:dyDescent="0.25">
      <c r="I1505"/>
      <c r="J1505"/>
    </row>
    <row r="1506" spans="9:10" x14ac:dyDescent="0.25">
      <c r="I1506"/>
      <c r="J1506"/>
    </row>
    <row r="1507" spans="9:10" x14ac:dyDescent="0.25">
      <c r="I1507"/>
      <c r="J1507"/>
    </row>
    <row r="1508" spans="9:10" x14ac:dyDescent="0.25">
      <c r="I1508"/>
      <c r="J1508"/>
    </row>
    <row r="1509" spans="9:10" x14ac:dyDescent="0.25">
      <c r="I1509"/>
      <c r="J1509"/>
    </row>
    <row r="1510" spans="9:10" x14ac:dyDescent="0.25">
      <c r="I1510"/>
      <c r="J1510"/>
    </row>
    <row r="1511" spans="9:10" x14ac:dyDescent="0.25">
      <c r="I1511"/>
      <c r="J1511"/>
    </row>
    <row r="1512" spans="9:10" x14ac:dyDescent="0.25">
      <c r="I1512"/>
      <c r="J1512"/>
    </row>
    <row r="1513" spans="9:10" x14ac:dyDescent="0.25">
      <c r="I1513"/>
      <c r="J1513"/>
    </row>
    <row r="1514" spans="9:10" x14ac:dyDescent="0.25">
      <c r="I1514"/>
      <c r="J1514"/>
    </row>
    <row r="1515" spans="9:10" x14ac:dyDescent="0.25">
      <c r="I1515"/>
      <c r="J1515"/>
    </row>
    <row r="1516" spans="9:10" x14ac:dyDescent="0.25">
      <c r="I1516"/>
      <c r="J1516"/>
    </row>
    <row r="1517" spans="9:10" x14ac:dyDescent="0.25">
      <c r="I1517"/>
      <c r="J1517"/>
    </row>
    <row r="1518" spans="9:10" x14ac:dyDescent="0.25">
      <c r="I1518"/>
      <c r="J1518"/>
    </row>
    <row r="1519" spans="9:10" x14ac:dyDescent="0.25">
      <c r="I1519"/>
      <c r="J1519"/>
    </row>
    <row r="1520" spans="9:10" x14ac:dyDescent="0.25">
      <c r="I1520"/>
      <c r="J1520"/>
    </row>
    <row r="1521" spans="9:10" x14ac:dyDescent="0.25">
      <c r="I1521"/>
      <c r="J1521"/>
    </row>
    <row r="1522" spans="9:10" x14ac:dyDescent="0.25">
      <c r="I1522"/>
      <c r="J1522"/>
    </row>
    <row r="1523" spans="9:10" x14ac:dyDescent="0.25">
      <c r="I1523"/>
      <c r="J1523"/>
    </row>
    <row r="1524" spans="9:10" x14ac:dyDescent="0.25">
      <c r="I1524"/>
      <c r="J1524"/>
    </row>
    <row r="1525" spans="9:10" x14ac:dyDescent="0.25">
      <c r="I1525"/>
      <c r="J1525"/>
    </row>
    <row r="1526" spans="9:10" x14ac:dyDescent="0.25">
      <c r="I1526"/>
      <c r="J1526"/>
    </row>
    <row r="1527" spans="9:10" x14ac:dyDescent="0.25">
      <c r="I1527"/>
      <c r="J1527"/>
    </row>
    <row r="1528" spans="9:10" x14ac:dyDescent="0.25">
      <c r="I1528"/>
      <c r="J1528"/>
    </row>
    <row r="1529" spans="9:10" x14ac:dyDescent="0.25">
      <c r="I1529"/>
      <c r="J1529"/>
    </row>
    <row r="1530" spans="9:10" x14ac:dyDescent="0.25">
      <c r="I1530"/>
      <c r="J1530"/>
    </row>
    <row r="1531" spans="9:10" x14ac:dyDescent="0.25">
      <c r="I1531"/>
      <c r="J1531"/>
    </row>
    <row r="1532" spans="9:10" x14ac:dyDescent="0.25">
      <c r="I1532"/>
      <c r="J1532"/>
    </row>
    <row r="1533" spans="9:10" x14ac:dyDescent="0.25">
      <c r="I1533"/>
      <c r="J1533"/>
    </row>
    <row r="1534" spans="9:10" x14ac:dyDescent="0.25">
      <c r="I1534"/>
      <c r="J1534"/>
    </row>
    <row r="1535" spans="9:10" x14ac:dyDescent="0.25">
      <c r="I1535"/>
      <c r="J1535"/>
    </row>
    <row r="1536" spans="9:10" x14ac:dyDescent="0.25">
      <c r="I1536"/>
      <c r="J1536"/>
    </row>
    <row r="1537" spans="9:10" x14ac:dyDescent="0.25">
      <c r="I1537"/>
      <c r="J1537"/>
    </row>
    <row r="1538" spans="9:10" x14ac:dyDescent="0.25">
      <c r="I1538"/>
      <c r="J1538"/>
    </row>
    <row r="1539" spans="9:10" x14ac:dyDescent="0.25">
      <c r="I1539"/>
      <c r="J1539"/>
    </row>
    <row r="1540" spans="9:10" x14ac:dyDescent="0.25">
      <c r="I1540"/>
      <c r="J1540"/>
    </row>
    <row r="1541" spans="9:10" x14ac:dyDescent="0.25">
      <c r="I1541"/>
      <c r="J1541"/>
    </row>
    <row r="1542" spans="9:10" x14ac:dyDescent="0.25">
      <c r="I1542"/>
      <c r="J1542"/>
    </row>
    <row r="1543" spans="9:10" x14ac:dyDescent="0.25">
      <c r="I1543"/>
      <c r="J1543"/>
    </row>
    <row r="1544" spans="9:10" x14ac:dyDescent="0.25">
      <c r="I1544"/>
      <c r="J1544"/>
    </row>
    <row r="1545" spans="9:10" x14ac:dyDescent="0.25">
      <c r="I1545"/>
      <c r="J1545"/>
    </row>
    <row r="1546" spans="9:10" x14ac:dyDescent="0.25">
      <c r="I1546"/>
      <c r="J1546"/>
    </row>
    <row r="1547" spans="9:10" x14ac:dyDescent="0.25">
      <c r="I1547"/>
      <c r="J1547"/>
    </row>
    <row r="1548" spans="9:10" x14ac:dyDescent="0.25">
      <c r="I1548"/>
      <c r="J1548"/>
    </row>
    <row r="1549" spans="9:10" x14ac:dyDescent="0.25">
      <c r="I1549"/>
      <c r="J1549"/>
    </row>
    <row r="1550" spans="9:10" x14ac:dyDescent="0.25">
      <c r="I1550"/>
      <c r="J1550"/>
    </row>
    <row r="1551" spans="9:10" x14ac:dyDescent="0.25">
      <c r="I1551"/>
      <c r="J1551"/>
    </row>
    <row r="1552" spans="9:10" x14ac:dyDescent="0.25">
      <c r="I1552"/>
      <c r="J1552"/>
    </row>
    <row r="1553" spans="9:10" x14ac:dyDescent="0.25">
      <c r="I1553"/>
      <c r="J1553"/>
    </row>
    <row r="1554" spans="9:10" x14ac:dyDescent="0.25">
      <c r="I1554"/>
      <c r="J1554"/>
    </row>
    <row r="1555" spans="9:10" x14ac:dyDescent="0.25">
      <c r="I1555"/>
      <c r="J1555"/>
    </row>
    <row r="1556" spans="9:10" x14ac:dyDescent="0.25">
      <c r="I1556"/>
      <c r="J1556"/>
    </row>
    <row r="1557" spans="9:10" x14ac:dyDescent="0.25">
      <c r="I1557"/>
      <c r="J1557"/>
    </row>
    <row r="1558" spans="9:10" x14ac:dyDescent="0.25">
      <c r="I1558"/>
      <c r="J1558"/>
    </row>
    <row r="1559" spans="9:10" x14ac:dyDescent="0.25">
      <c r="I1559"/>
      <c r="J1559"/>
    </row>
    <row r="1560" spans="9:10" x14ac:dyDescent="0.25">
      <c r="I1560"/>
      <c r="J1560"/>
    </row>
    <row r="1561" spans="9:10" x14ac:dyDescent="0.25">
      <c r="I1561"/>
      <c r="J1561"/>
    </row>
    <row r="1562" spans="9:10" x14ac:dyDescent="0.25">
      <c r="I1562"/>
      <c r="J1562"/>
    </row>
    <row r="1563" spans="9:10" x14ac:dyDescent="0.25">
      <c r="I1563"/>
      <c r="J1563"/>
    </row>
    <row r="1564" spans="9:10" x14ac:dyDescent="0.25">
      <c r="I1564"/>
      <c r="J1564"/>
    </row>
    <row r="1565" spans="9:10" x14ac:dyDescent="0.25">
      <c r="I1565"/>
      <c r="J1565"/>
    </row>
    <row r="1566" spans="9:10" x14ac:dyDescent="0.25">
      <c r="I1566"/>
      <c r="J1566"/>
    </row>
    <row r="1567" spans="9:10" x14ac:dyDescent="0.25">
      <c r="I1567"/>
      <c r="J1567"/>
    </row>
    <row r="1568" spans="9:10" x14ac:dyDescent="0.25">
      <c r="I1568"/>
      <c r="J1568"/>
    </row>
    <row r="1569" spans="9:10" x14ac:dyDescent="0.25">
      <c r="I1569"/>
      <c r="J1569"/>
    </row>
    <row r="1570" spans="9:10" x14ac:dyDescent="0.25">
      <c r="I1570"/>
      <c r="J1570"/>
    </row>
    <row r="1571" spans="9:10" x14ac:dyDescent="0.25">
      <c r="I1571"/>
      <c r="J1571"/>
    </row>
    <row r="1572" spans="9:10" x14ac:dyDescent="0.25">
      <c r="I1572"/>
      <c r="J1572"/>
    </row>
    <row r="1573" spans="9:10" x14ac:dyDescent="0.25">
      <c r="I1573"/>
      <c r="J1573"/>
    </row>
    <row r="1574" spans="9:10" x14ac:dyDescent="0.25">
      <c r="I1574"/>
      <c r="J1574"/>
    </row>
    <row r="1575" spans="9:10" x14ac:dyDescent="0.25">
      <c r="I1575"/>
      <c r="J1575"/>
    </row>
    <row r="1576" spans="9:10" x14ac:dyDescent="0.25">
      <c r="I1576"/>
      <c r="J1576"/>
    </row>
    <row r="1577" spans="9:10" x14ac:dyDescent="0.25">
      <c r="I1577"/>
      <c r="J1577"/>
    </row>
    <row r="1578" spans="9:10" x14ac:dyDescent="0.25">
      <c r="I1578"/>
      <c r="J1578"/>
    </row>
    <row r="1579" spans="9:10" x14ac:dyDescent="0.25">
      <c r="I1579"/>
      <c r="J1579"/>
    </row>
    <row r="1580" spans="9:10" x14ac:dyDescent="0.25">
      <c r="I1580"/>
      <c r="J1580"/>
    </row>
    <row r="1581" spans="9:10" x14ac:dyDescent="0.25">
      <c r="I1581"/>
      <c r="J1581"/>
    </row>
    <row r="1582" spans="9:10" x14ac:dyDescent="0.25">
      <c r="I1582"/>
      <c r="J1582"/>
    </row>
    <row r="1583" spans="9:10" x14ac:dyDescent="0.25">
      <c r="I1583"/>
      <c r="J1583"/>
    </row>
    <row r="1584" spans="9:10" x14ac:dyDescent="0.25">
      <c r="I1584"/>
      <c r="J1584"/>
    </row>
    <row r="1585" spans="9:10" x14ac:dyDescent="0.25">
      <c r="I1585"/>
      <c r="J1585"/>
    </row>
    <row r="1586" spans="9:10" x14ac:dyDescent="0.25">
      <c r="I1586"/>
      <c r="J1586"/>
    </row>
    <row r="1587" spans="9:10" x14ac:dyDescent="0.25">
      <c r="I1587"/>
      <c r="J1587"/>
    </row>
    <row r="1588" spans="9:10" x14ac:dyDescent="0.25">
      <c r="I1588"/>
      <c r="J1588"/>
    </row>
    <row r="1589" spans="9:10" x14ac:dyDescent="0.25">
      <c r="I1589"/>
      <c r="J1589"/>
    </row>
    <row r="1590" spans="9:10" x14ac:dyDescent="0.25">
      <c r="I1590"/>
      <c r="J1590"/>
    </row>
    <row r="1591" spans="9:10" x14ac:dyDescent="0.25">
      <c r="I1591"/>
      <c r="J1591"/>
    </row>
    <row r="1592" spans="9:10" x14ac:dyDescent="0.25">
      <c r="I1592"/>
      <c r="J1592"/>
    </row>
    <row r="1593" spans="9:10" x14ac:dyDescent="0.25">
      <c r="I1593"/>
      <c r="J1593"/>
    </row>
    <row r="1594" spans="9:10" x14ac:dyDescent="0.25">
      <c r="I1594"/>
      <c r="J1594"/>
    </row>
    <row r="1595" spans="9:10" x14ac:dyDescent="0.25">
      <c r="I1595"/>
      <c r="J1595"/>
    </row>
    <row r="1596" spans="9:10" x14ac:dyDescent="0.25">
      <c r="I1596"/>
      <c r="J1596"/>
    </row>
    <row r="1597" spans="9:10" x14ac:dyDescent="0.25">
      <c r="I1597"/>
      <c r="J1597"/>
    </row>
    <row r="1598" spans="9:10" x14ac:dyDescent="0.25">
      <c r="I1598"/>
      <c r="J1598"/>
    </row>
    <row r="1599" spans="9:10" x14ac:dyDescent="0.25">
      <c r="I1599"/>
      <c r="J1599"/>
    </row>
    <row r="1600" spans="9:10" x14ac:dyDescent="0.25">
      <c r="I1600"/>
      <c r="J1600"/>
    </row>
    <row r="1601" spans="9:10" x14ac:dyDescent="0.25">
      <c r="I1601"/>
      <c r="J1601"/>
    </row>
    <row r="1602" spans="9:10" x14ac:dyDescent="0.25">
      <c r="I1602"/>
      <c r="J1602"/>
    </row>
    <row r="1603" spans="9:10" x14ac:dyDescent="0.25">
      <c r="I1603"/>
      <c r="J1603"/>
    </row>
    <row r="1604" spans="9:10" x14ac:dyDescent="0.25">
      <c r="I1604"/>
      <c r="J1604"/>
    </row>
    <row r="1605" spans="9:10" x14ac:dyDescent="0.25">
      <c r="I1605"/>
      <c r="J1605"/>
    </row>
    <row r="1606" spans="9:10" x14ac:dyDescent="0.25">
      <c r="I1606"/>
      <c r="J1606"/>
    </row>
    <row r="1607" spans="9:10" x14ac:dyDescent="0.25">
      <c r="I1607"/>
      <c r="J1607"/>
    </row>
    <row r="1608" spans="9:10" x14ac:dyDescent="0.25">
      <c r="I1608"/>
      <c r="J1608"/>
    </row>
    <row r="1609" spans="9:10" x14ac:dyDescent="0.25">
      <c r="I1609"/>
      <c r="J1609"/>
    </row>
    <row r="1610" spans="9:10" x14ac:dyDescent="0.25">
      <c r="I1610"/>
      <c r="J1610"/>
    </row>
    <row r="1611" spans="9:10" x14ac:dyDescent="0.25">
      <c r="I1611"/>
      <c r="J1611"/>
    </row>
    <row r="1612" spans="9:10" x14ac:dyDescent="0.25">
      <c r="I1612"/>
      <c r="J1612"/>
    </row>
    <row r="1613" spans="9:10" x14ac:dyDescent="0.25">
      <c r="I1613"/>
      <c r="J1613"/>
    </row>
    <row r="1614" spans="9:10" x14ac:dyDescent="0.25">
      <c r="I1614"/>
      <c r="J1614"/>
    </row>
    <row r="1615" spans="9:10" x14ac:dyDescent="0.25">
      <c r="I1615"/>
      <c r="J1615"/>
    </row>
    <row r="1616" spans="9:10" x14ac:dyDescent="0.25">
      <c r="I1616"/>
      <c r="J1616"/>
    </row>
    <row r="1617" spans="9:10" x14ac:dyDescent="0.25">
      <c r="I1617"/>
      <c r="J1617"/>
    </row>
    <row r="1618" spans="9:10" x14ac:dyDescent="0.25">
      <c r="I1618"/>
      <c r="J1618"/>
    </row>
    <row r="1619" spans="9:10" x14ac:dyDescent="0.25">
      <c r="I1619"/>
      <c r="J1619"/>
    </row>
    <row r="1620" spans="9:10" x14ac:dyDescent="0.25">
      <c r="I1620"/>
      <c r="J1620"/>
    </row>
    <row r="1621" spans="9:10" x14ac:dyDescent="0.25">
      <c r="I1621"/>
      <c r="J1621"/>
    </row>
    <row r="1622" spans="9:10" x14ac:dyDescent="0.25">
      <c r="I1622"/>
      <c r="J1622"/>
    </row>
    <row r="1623" spans="9:10" x14ac:dyDescent="0.25">
      <c r="I1623"/>
      <c r="J1623"/>
    </row>
    <row r="1624" spans="9:10" x14ac:dyDescent="0.25">
      <c r="I1624"/>
      <c r="J1624"/>
    </row>
    <row r="1625" spans="9:10" x14ac:dyDescent="0.25">
      <c r="I1625"/>
      <c r="J1625"/>
    </row>
    <row r="1626" spans="9:10" x14ac:dyDescent="0.25">
      <c r="I1626"/>
      <c r="J1626"/>
    </row>
    <row r="1627" spans="9:10" x14ac:dyDescent="0.25">
      <c r="I1627"/>
      <c r="J1627"/>
    </row>
    <row r="1628" spans="9:10" x14ac:dyDescent="0.25">
      <c r="I1628"/>
      <c r="J1628"/>
    </row>
  </sheetData>
  <phoneticPr fontId="3" type="noConversion"/>
  <pageMargins left="0.75" right="0.75" top="1" bottom="1" header="0.5" footer="0.5"/>
  <pageSetup paperSize="9" orientation="portrait" horizontalDpi="300" verticalDpi="300" r:id="rId2"/>
  <headerFooter alignWithMargins="0"/>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00"/>
  <sheetViews>
    <sheetView showGridLines="0" topLeftCell="A7" zoomScaleNormal="100" workbookViewId="0">
      <selection activeCell="I2" sqref="I2"/>
    </sheetView>
  </sheetViews>
  <sheetFormatPr defaultRowHeight="14.4" x14ac:dyDescent="0.25"/>
  <cols>
    <col min="1" max="2" width="12.77734375" customWidth="1"/>
    <col min="7" max="7" width="12.44140625" customWidth="1"/>
    <col min="10" max="10" width="17.77734375" customWidth="1"/>
    <col min="17" max="17" width="16.21875" bestFit="1" customWidth="1"/>
    <col min="18" max="18" width="13.77734375" bestFit="1" customWidth="1"/>
    <col min="19" max="22" width="10.109375" bestFit="1" customWidth="1"/>
    <col min="23" max="23" width="5.77734375" bestFit="1" customWidth="1"/>
  </cols>
  <sheetData>
    <row r="1" spans="1:19" ht="15.6" x14ac:dyDescent="0.25">
      <c r="A1" s="25" t="s">
        <v>23</v>
      </c>
      <c r="B1" s="25" t="s">
        <v>74</v>
      </c>
      <c r="C1" s="25" t="s">
        <v>24</v>
      </c>
      <c r="D1" s="25" t="s">
        <v>25</v>
      </c>
      <c r="E1" s="25" t="s">
        <v>26</v>
      </c>
      <c r="G1" s="25" t="s">
        <v>139</v>
      </c>
      <c r="H1" s="25" t="s">
        <v>24</v>
      </c>
      <c r="I1" s="25" t="s">
        <v>74</v>
      </c>
      <c r="J1" s="71"/>
      <c r="K1" s="71"/>
      <c r="L1" s="71">
        <f>DSUM(A:E,E1,Q1:S2)</f>
        <v>729217</v>
      </c>
      <c r="M1" s="71"/>
      <c r="Q1" s="27" t="s">
        <v>137</v>
      </c>
      <c r="R1" s="27" t="s">
        <v>138</v>
      </c>
      <c r="S1" s="27" t="s">
        <v>140</v>
      </c>
    </row>
    <row r="2" spans="1:19" x14ac:dyDescent="0.25">
      <c r="A2" s="26">
        <v>34335</v>
      </c>
      <c r="B2" s="49">
        <f>YEAR(A2)</f>
        <v>1994</v>
      </c>
      <c r="C2" s="27" t="s">
        <v>27</v>
      </c>
      <c r="D2" s="27" t="s">
        <v>28</v>
      </c>
      <c r="E2" s="27">
        <v>17</v>
      </c>
      <c r="G2" s="27" t="s">
        <v>38</v>
      </c>
      <c r="H2" s="27" t="s">
        <v>32</v>
      </c>
      <c r="I2" s="49">
        <v>1994</v>
      </c>
      <c r="J2" s="71"/>
      <c r="K2" s="71" t="s">
        <v>40</v>
      </c>
      <c r="L2" s="71">
        <f t="dataTable" ref="L2:L8" dt2D="0" dtr="0" r1="S2"/>
        <v>7478</v>
      </c>
      <c r="M2">
        <f>IF(L2&lt;=SMALL($L$2:$L$8,3),L2,"")</f>
        <v>7478</v>
      </c>
      <c r="N2" s="122">
        <f>L2/SUM($L$2:$L$8)</f>
        <v>1.0254834980533915E-2</v>
      </c>
      <c r="Q2" s="27" cm="1">
        <f t="array" ref="Q2">INDEX(I2:I4,I5)</f>
        <v>1996</v>
      </c>
      <c r="R2" s="27" t="str" cm="1">
        <f t="array" ref="R2">IF(G9=1,"",INDEX(G1:G8,G9))</f>
        <v/>
      </c>
      <c r="S2" s="27"/>
    </row>
    <row r="3" spans="1:19" x14ac:dyDescent="0.25">
      <c r="A3" s="26">
        <v>34335</v>
      </c>
      <c r="B3" s="49">
        <f t="shared" ref="B3:B66" si="0">YEAR(A3)</f>
        <v>1994</v>
      </c>
      <c r="C3" s="27" t="s">
        <v>27</v>
      </c>
      <c r="D3" s="27" t="s">
        <v>28</v>
      </c>
      <c r="E3" s="27">
        <v>90</v>
      </c>
      <c r="G3" s="27" t="s">
        <v>33</v>
      </c>
      <c r="H3" s="27" t="s">
        <v>39</v>
      </c>
      <c r="I3" s="49">
        <v>1995</v>
      </c>
      <c r="J3" s="71"/>
      <c r="K3" s="71" t="s">
        <v>27</v>
      </c>
      <c r="L3" s="71">
        <v>163395</v>
      </c>
      <c r="M3" t="str">
        <f>IF(L3&lt;=SMALL($L$2:$L$8,3),L3,"")</f>
        <v/>
      </c>
      <c r="N3" s="122">
        <f t="shared" ref="N3:N8" si="1">L3/SUM($L$2:$L$8)</f>
        <v>0.22406910425840318</v>
      </c>
    </row>
    <row r="4" spans="1:19" x14ac:dyDescent="0.25">
      <c r="A4" s="26">
        <v>34335</v>
      </c>
      <c r="B4" s="49">
        <f t="shared" si="0"/>
        <v>1994</v>
      </c>
      <c r="C4" s="27" t="s">
        <v>27</v>
      </c>
      <c r="D4" s="27" t="s">
        <v>28</v>
      </c>
      <c r="E4" s="27">
        <v>69</v>
      </c>
      <c r="G4" s="27" t="s">
        <v>30</v>
      </c>
      <c r="H4" s="27" t="s">
        <v>37</v>
      </c>
      <c r="I4" s="49">
        <v>1996</v>
      </c>
      <c r="J4" s="71"/>
      <c r="K4" s="71" t="s">
        <v>34</v>
      </c>
      <c r="L4" s="71">
        <v>120055</v>
      </c>
      <c r="M4" t="str">
        <f>IF(L4&lt;=SMALL($L$2:$L$8,3),L4,"")</f>
        <v/>
      </c>
      <c r="N4" s="122">
        <f t="shared" si="1"/>
        <v>0.16463549258999721</v>
      </c>
    </row>
    <row r="5" spans="1:19" x14ac:dyDescent="0.25">
      <c r="A5" s="26">
        <v>34335</v>
      </c>
      <c r="B5" s="49">
        <f t="shared" si="0"/>
        <v>1994</v>
      </c>
      <c r="C5" s="27" t="s">
        <v>27</v>
      </c>
      <c r="D5" s="27" t="s">
        <v>28</v>
      </c>
      <c r="E5" s="27">
        <v>68</v>
      </c>
      <c r="G5" s="27" t="s">
        <v>31</v>
      </c>
      <c r="H5" s="27" t="s">
        <v>35</v>
      </c>
      <c r="I5" s="71">
        <v>3</v>
      </c>
      <c r="J5" s="71"/>
      <c r="K5" s="71" t="s">
        <v>35</v>
      </c>
      <c r="L5" s="71">
        <v>51398</v>
      </c>
      <c r="M5">
        <f>IF(L5&lt;=SMALL($L$2:$L$8,3),L5,"")</f>
        <v>51398</v>
      </c>
      <c r="N5" s="122">
        <f t="shared" si="1"/>
        <v>7.0483820316860415E-2</v>
      </c>
    </row>
    <row r="6" spans="1:19" x14ac:dyDescent="0.25">
      <c r="A6" s="26">
        <v>34335</v>
      </c>
      <c r="B6" s="49">
        <f t="shared" si="0"/>
        <v>1994</v>
      </c>
      <c r="C6" s="27" t="s">
        <v>27</v>
      </c>
      <c r="D6" s="27" t="s">
        <v>29</v>
      </c>
      <c r="E6" s="27">
        <v>99</v>
      </c>
      <c r="G6" s="27" t="s">
        <v>36</v>
      </c>
      <c r="H6" s="27" t="s">
        <v>34</v>
      </c>
      <c r="I6" s="71"/>
      <c r="J6" s="71"/>
      <c r="K6" s="71" t="s">
        <v>37</v>
      </c>
      <c r="L6" s="71">
        <v>131437</v>
      </c>
      <c r="M6" t="str">
        <f>IF(L6&lt;=SMALL($L$2:$L$8,3),L6,"")</f>
        <v/>
      </c>
      <c r="N6" s="122">
        <f t="shared" si="1"/>
        <v>0.18024401515598237</v>
      </c>
    </row>
    <row r="7" spans="1:19" x14ac:dyDescent="0.25">
      <c r="A7" s="26">
        <v>34335</v>
      </c>
      <c r="B7" s="49">
        <f t="shared" si="0"/>
        <v>1994</v>
      </c>
      <c r="C7" s="27" t="s">
        <v>27</v>
      </c>
      <c r="D7" s="27" t="s">
        <v>29</v>
      </c>
      <c r="E7" s="27">
        <v>70</v>
      </c>
      <c r="G7" s="27" t="s">
        <v>28</v>
      </c>
      <c r="H7" s="27" t="s">
        <v>27</v>
      </c>
      <c r="I7" s="71"/>
      <c r="J7" s="71"/>
      <c r="K7" s="71" t="s">
        <v>39</v>
      </c>
      <c r="L7" s="71">
        <v>87967</v>
      </c>
      <c r="M7">
        <f>IF(L7&lt;=SMALL($L$2:$L$8,3),L7,"")</f>
        <v>87967</v>
      </c>
      <c r="N7" s="122">
        <f t="shared" si="1"/>
        <v>0.12063213007924939</v>
      </c>
    </row>
    <row r="8" spans="1:19" x14ac:dyDescent="0.25">
      <c r="A8" s="26">
        <v>34335</v>
      </c>
      <c r="B8" s="49">
        <f t="shared" si="0"/>
        <v>1994</v>
      </c>
      <c r="C8" s="27" t="s">
        <v>27</v>
      </c>
      <c r="D8" s="27" t="s">
        <v>29</v>
      </c>
      <c r="E8" s="27">
        <v>77</v>
      </c>
      <c r="G8" s="27" t="s">
        <v>29</v>
      </c>
      <c r="H8" s="27" t="s">
        <v>40</v>
      </c>
      <c r="I8" s="72"/>
      <c r="J8" s="72"/>
      <c r="K8" s="71" t="s">
        <v>32</v>
      </c>
      <c r="L8" s="71">
        <v>167487</v>
      </c>
      <c r="M8" t="str">
        <f>IF(L8&lt;=SMALL($L$2:$L$8,3),L8,"")</f>
        <v/>
      </c>
      <c r="N8" s="122">
        <f t="shared" si="1"/>
        <v>0.2296806026189735</v>
      </c>
    </row>
    <row r="9" spans="1:19" x14ac:dyDescent="0.25">
      <c r="A9" s="26">
        <v>34335</v>
      </c>
      <c r="B9" s="49">
        <f t="shared" si="0"/>
        <v>1994</v>
      </c>
      <c r="C9" s="27" t="s">
        <v>27</v>
      </c>
      <c r="D9" s="27" t="s">
        <v>29</v>
      </c>
      <c r="E9" s="27">
        <v>79</v>
      </c>
      <c r="G9" s="71">
        <v>1</v>
      </c>
      <c r="H9" s="71"/>
      <c r="I9" s="73"/>
      <c r="J9" s="72"/>
      <c r="K9" s="71"/>
      <c r="L9" s="71"/>
      <c r="M9" s="71"/>
    </row>
    <row r="10" spans="1:19" x14ac:dyDescent="0.25">
      <c r="A10" s="26">
        <v>34335</v>
      </c>
      <c r="B10" s="49">
        <f t="shared" si="0"/>
        <v>1994</v>
      </c>
      <c r="C10" s="27" t="s">
        <v>27</v>
      </c>
      <c r="D10" s="27" t="s">
        <v>30</v>
      </c>
      <c r="E10" s="27">
        <v>61</v>
      </c>
      <c r="G10" s="71"/>
      <c r="H10" s="71"/>
      <c r="I10" s="73"/>
      <c r="J10" s="72"/>
      <c r="K10" s="71"/>
      <c r="L10" s="71"/>
      <c r="M10" s="71"/>
    </row>
    <row r="11" spans="1:19" x14ac:dyDescent="0.25">
      <c r="A11" s="26">
        <v>34335</v>
      </c>
      <c r="B11" s="49">
        <f t="shared" si="0"/>
        <v>1994</v>
      </c>
      <c r="C11" s="27" t="s">
        <v>27</v>
      </c>
      <c r="D11" s="27" t="s">
        <v>30</v>
      </c>
      <c r="E11" s="27">
        <v>110</v>
      </c>
      <c r="G11" s="71"/>
      <c r="H11" s="71"/>
      <c r="I11" s="73"/>
      <c r="J11" s="72"/>
      <c r="K11" s="71"/>
      <c r="L11" s="71"/>
      <c r="M11" s="71"/>
    </row>
    <row r="12" spans="1:19" x14ac:dyDescent="0.25">
      <c r="A12" s="26">
        <v>34335</v>
      </c>
      <c r="B12" s="49">
        <f t="shared" si="0"/>
        <v>1994</v>
      </c>
      <c r="C12" s="27" t="s">
        <v>27</v>
      </c>
      <c r="D12" s="27" t="s">
        <v>30</v>
      </c>
      <c r="E12" s="27">
        <v>113</v>
      </c>
      <c r="G12" s="71"/>
      <c r="H12" s="71"/>
      <c r="I12" s="73"/>
      <c r="J12" s="72"/>
      <c r="K12" s="71"/>
      <c r="L12" s="71"/>
      <c r="M12" s="71"/>
    </row>
    <row r="13" spans="1:19" x14ac:dyDescent="0.25">
      <c r="A13" s="26">
        <v>34335</v>
      </c>
      <c r="B13" s="49">
        <f t="shared" si="0"/>
        <v>1994</v>
      </c>
      <c r="C13" s="27" t="s">
        <v>27</v>
      </c>
      <c r="D13" s="27" t="s">
        <v>30</v>
      </c>
      <c r="E13" s="27">
        <v>68</v>
      </c>
      <c r="G13" s="71"/>
      <c r="H13" s="71"/>
      <c r="I13" s="73"/>
      <c r="J13" s="72"/>
      <c r="K13" s="71"/>
      <c r="L13" s="71"/>
      <c r="M13" s="71"/>
    </row>
    <row r="14" spans="1:19" x14ac:dyDescent="0.25">
      <c r="A14" s="26">
        <v>34335</v>
      </c>
      <c r="B14" s="49">
        <f t="shared" si="0"/>
        <v>1994</v>
      </c>
      <c r="C14" s="27" t="s">
        <v>27</v>
      </c>
      <c r="D14" s="27" t="s">
        <v>30</v>
      </c>
      <c r="E14" s="27">
        <v>63</v>
      </c>
      <c r="G14" s="71"/>
      <c r="H14" s="71"/>
      <c r="I14" s="73"/>
      <c r="J14" s="72"/>
      <c r="K14" s="71"/>
      <c r="L14" s="71"/>
      <c r="M14" s="71"/>
    </row>
    <row r="15" spans="1:19" x14ac:dyDescent="0.25">
      <c r="A15" s="26">
        <v>34335</v>
      </c>
      <c r="B15" s="49">
        <f t="shared" si="0"/>
        <v>1994</v>
      </c>
      <c r="C15" s="27" t="s">
        <v>27</v>
      </c>
      <c r="D15" s="27" t="s">
        <v>31</v>
      </c>
      <c r="E15" s="27">
        <v>158</v>
      </c>
      <c r="G15" s="71"/>
      <c r="H15" s="71"/>
      <c r="I15" s="73"/>
      <c r="J15" s="72"/>
      <c r="K15" s="74"/>
      <c r="L15" s="74"/>
      <c r="M15" s="71"/>
    </row>
    <row r="16" spans="1:19" x14ac:dyDescent="0.25">
      <c r="A16" s="26">
        <v>34335</v>
      </c>
      <c r="B16" s="49">
        <f t="shared" si="0"/>
        <v>1994</v>
      </c>
      <c r="C16" s="27" t="s">
        <v>27</v>
      </c>
      <c r="D16" s="27" t="s">
        <v>31</v>
      </c>
      <c r="E16" s="27">
        <v>79</v>
      </c>
      <c r="G16" s="71"/>
      <c r="H16" s="71"/>
      <c r="I16" s="72"/>
      <c r="J16" s="75"/>
      <c r="K16" s="76"/>
      <c r="L16" s="76"/>
      <c r="M16" s="71"/>
    </row>
    <row r="17" spans="1:13" x14ac:dyDescent="0.25">
      <c r="A17" s="26">
        <v>34335</v>
      </c>
      <c r="B17" s="49">
        <f t="shared" si="0"/>
        <v>1994</v>
      </c>
      <c r="C17" s="27" t="s">
        <v>27</v>
      </c>
      <c r="D17" s="27" t="s">
        <v>31</v>
      </c>
      <c r="E17" s="27">
        <v>53</v>
      </c>
      <c r="G17" s="71"/>
      <c r="H17" s="71"/>
      <c r="I17" s="71"/>
      <c r="J17" s="75"/>
      <c r="K17" s="76"/>
      <c r="L17" s="76"/>
      <c r="M17" s="71"/>
    </row>
    <row r="18" spans="1:13" x14ac:dyDescent="0.25">
      <c r="A18" s="26">
        <v>34335</v>
      </c>
      <c r="B18" s="49">
        <f t="shared" si="0"/>
        <v>1994</v>
      </c>
      <c r="C18" s="27" t="s">
        <v>27</v>
      </c>
      <c r="D18" s="27" t="s">
        <v>31</v>
      </c>
      <c r="E18" s="27">
        <v>175</v>
      </c>
      <c r="G18" s="71"/>
      <c r="H18" s="71"/>
      <c r="I18" s="71"/>
      <c r="J18" s="75"/>
      <c r="K18" s="76"/>
      <c r="L18" s="76"/>
      <c r="M18" s="71"/>
    </row>
    <row r="19" spans="1:13" x14ac:dyDescent="0.25">
      <c r="A19" s="26">
        <v>34366</v>
      </c>
      <c r="B19" s="49">
        <f t="shared" si="0"/>
        <v>1994</v>
      </c>
      <c r="C19" s="27" t="s">
        <v>27</v>
      </c>
      <c r="D19" s="27" t="s">
        <v>28</v>
      </c>
      <c r="E19" s="27">
        <v>83</v>
      </c>
      <c r="G19" s="71"/>
      <c r="H19" s="71"/>
      <c r="I19" s="71"/>
      <c r="J19" s="71"/>
      <c r="K19" s="71"/>
      <c r="L19" s="71"/>
      <c r="M19" s="71"/>
    </row>
    <row r="20" spans="1:13" x14ac:dyDescent="0.25">
      <c r="A20" s="26">
        <v>34366</v>
      </c>
      <c r="B20" s="49">
        <f t="shared" si="0"/>
        <v>1994</v>
      </c>
      <c r="C20" s="27" t="s">
        <v>27</v>
      </c>
      <c r="D20" s="27" t="s">
        <v>28</v>
      </c>
      <c r="E20" s="27">
        <v>79</v>
      </c>
      <c r="G20" s="71"/>
      <c r="H20" s="71"/>
      <c r="I20" s="71"/>
      <c r="J20" s="71"/>
      <c r="K20" s="71"/>
      <c r="L20" s="71"/>
      <c r="M20" s="71"/>
    </row>
    <row r="21" spans="1:13" x14ac:dyDescent="0.25">
      <c r="A21" s="26">
        <v>34366</v>
      </c>
      <c r="B21" s="49">
        <f t="shared" si="0"/>
        <v>1994</v>
      </c>
      <c r="C21" s="27" t="s">
        <v>27</v>
      </c>
      <c r="D21" s="27" t="s">
        <v>28</v>
      </c>
      <c r="E21" s="27">
        <v>28</v>
      </c>
      <c r="G21" s="71"/>
      <c r="H21" s="71"/>
      <c r="I21" s="71"/>
      <c r="J21" s="71"/>
      <c r="K21" s="71"/>
      <c r="L21" s="71"/>
      <c r="M21" s="71"/>
    </row>
    <row r="22" spans="1:13" x14ac:dyDescent="0.25">
      <c r="A22" s="26">
        <v>34366</v>
      </c>
      <c r="B22" s="49">
        <f t="shared" si="0"/>
        <v>1994</v>
      </c>
      <c r="C22" s="27" t="s">
        <v>27</v>
      </c>
      <c r="D22" s="27" t="s">
        <v>28</v>
      </c>
      <c r="E22" s="27">
        <v>122</v>
      </c>
      <c r="G22" s="71"/>
      <c r="H22" s="71"/>
      <c r="I22" s="71"/>
      <c r="J22" s="71"/>
      <c r="K22" s="71"/>
      <c r="L22" s="71"/>
      <c r="M22" s="71"/>
    </row>
    <row r="23" spans="1:13" x14ac:dyDescent="0.25">
      <c r="A23" s="26">
        <v>34366</v>
      </c>
      <c r="B23" s="49">
        <f t="shared" si="0"/>
        <v>1994</v>
      </c>
      <c r="C23" s="27" t="s">
        <v>27</v>
      </c>
      <c r="D23" s="27" t="s">
        <v>29</v>
      </c>
      <c r="E23" s="27">
        <v>105</v>
      </c>
      <c r="G23" s="71"/>
      <c r="H23" s="71"/>
      <c r="I23" s="71"/>
      <c r="J23" s="71"/>
      <c r="K23" s="71"/>
      <c r="L23" s="71"/>
      <c r="M23" s="71"/>
    </row>
    <row r="24" spans="1:13" x14ac:dyDescent="0.25">
      <c r="A24" s="26">
        <v>34366</v>
      </c>
      <c r="B24" s="49">
        <f t="shared" si="0"/>
        <v>1994</v>
      </c>
      <c r="C24" s="27" t="s">
        <v>27</v>
      </c>
      <c r="D24" s="27" t="s">
        <v>29</v>
      </c>
      <c r="E24" s="27">
        <v>112</v>
      </c>
    </row>
    <row r="25" spans="1:13" x14ac:dyDescent="0.25">
      <c r="A25" s="26">
        <v>34366</v>
      </c>
      <c r="B25" s="49">
        <f t="shared" si="0"/>
        <v>1994</v>
      </c>
      <c r="C25" s="27" t="s">
        <v>27</v>
      </c>
      <c r="D25" s="27" t="s">
        <v>29</v>
      </c>
      <c r="E25" s="27">
        <v>113</v>
      </c>
    </row>
    <row r="26" spans="1:13" x14ac:dyDescent="0.25">
      <c r="A26" s="26">
        <v>34366</v>
      </c>
      <c r="B26" s="49">
        <f t="shared" si="0"/>
        <v>1994</v>
      </c>
      <c r="C26" s="27" t="s">
        <v>27</v>
      </c>
      <c r="D26" s="27" t="s">
        <v>29</v>
      </c>
      <c r="E26" s="27">
        <v>99</v>
      </c>
    </row>
    <row r="27" spans="1:13" x14ac:dyDescent="0.25">
      <c r="A27" s="26">
        <v>34366</v>
      </c>
      <c r="B27" s="49">
        <f t="shared" si="0"/>
        <v>1994</v>
      </c>
      <c r="C27" s="27" t="s">
        <v>27</v>
      </c>
      <c r="D27" s="27" t="s">
        <v>30</v>
      </c>
      <c r="E27" s="27">
        <v>88</v>
      </c>
    </row>
    <row r="28" spans="1:13" x14ac:dyDescent="0.25">
      <c r="A28" s="26">
        <v>34366</v>
      </c>
      <c r="B28" s="49">
        <f t="shared" si="0"/>
        <v>1994</v>
      </c>
      <c r="C28" s="27" t="s">
        <v>27</v>
      </c>
      <c r="D28" s="27" t="s">
        <v>30</v>
      </c>
      <c r="E28" s="27">
        <v>70</v>
      </c>
    </row>
    <row r="29" spans="1:13" x14ac:dyDescent="0.25">
      <c r="A29" s="26">
        <v>34366</v>
      </c>
      <c r="B29" s="49">
        <f t="shared" si="0"/>
        <v>1994</v>
      </c>
      <c r="C29" s="27" t="s">
        <v>27</v>
      </c>
      <c r="D29" s="27" t="s">
        <v>30</v>
      </c>
      <c r="E29" s="27">
        <v>99</v>
      </c>
    </row>
    <row r="30" spans="1:13" x14ac:dyDescent="0.25">
      <c r="A30" s="26">
        <v>34366</v>
      </c>
      <c r="B30" s="49">
        <f t="shared" si="0"/>
        <v>1994</v>
      </c>
      <c r="C30" s="27" t="s">
        <v>27</v>
      </c>
      <c r="D30" s="27" t="s">
        <v>30</v>
      </c>
      <c r="E30" s="27">
        <v>90</v>
      </c>
    </row>
    <row r="31" spans="1:13" x14ac:dyDescent="0.25">
      <c r="A31" s="26">
        <v>34366</v>
      </c>
      <c r="B31" s="49">
        <f t="shared" si="0"/>
        <v>1994</v>
      </c>
      <c r="C31" s="27" t="s">
        <v>27</v>
      </c>
      <c r="D31" s="27" t="s">
        <v>30</v>
      </c>
      <c r="E31" s="27">
        <v>179</v>
      </c>
    </row>
    <row r="32" spans="1:13" x14ac:dyDescent="0.25">
      <c r="A32" s="26">
        <v>34366</v>
      </c>
      <c r="B32" s="49">
        <f t="shared" si="0"/>
        <v>1994</v>
      </c>
      <c r="C32" s="27" t="s">
        <v>27</v>
      </c>
      <c r="D32" s="27" t="s">
        <v>31</v>
      </c>
      <c r="E32" s="27">
        <v>101</v>
      </c>
    </row>
    <row r="33" spans="1:5" x14ac:dyDescent="0.25">
      <c r="A33" s="26">
        <v>34366</v>
      </c>
      <c r="B33" s="49">
        <f t="shared" si="0"/>
        <v>1994</v>
      </c>
      <c r="C33" s="27" t="s">
        <v>27</v>
      </c>
      <c r="D33" s="27" t="s">
        <v>31</v>
      </c>
      <c r="E33" s="27">
        <v>175</v>
      </c>
    </row>
    <row r="34" spans="1:5" x14ac:dyDescent="0.25">
      <c r="A34" s="26">
        <v>34366</v>
      </c>
      <c r="B34" s="49">
        <f t="shared" si="0"/>
        <v>1994</v>
      </c>
      <c r="C34" s="27" t="s">
        <v>27</v>
      </c>
      <c r="D34" s="27" t="s">
        <v>31</v>
      </c>
      <c r="E34" s="27">
        <v>158</v>
      </c>
    </row>
    <row r="35" spans="1:5" x14ac:dyDescent="0.25">
      <c r="A35" s="26">
        <v>34366</v>
      </c>
      <c r="B35" s="49">
        <f t="shared" si="0"/>
        <v>1994</v>
      </c>
      <c r="C35" s="27" t="s">
        <v>27</v>
      </c>
      <c r="D35" s="27" t="s">
        <v>31</v>
      </c>
      <c r="E35" s="27">
        <v>61</v>
      </c>
    </row>
    <row r="36" spans="1:5" x14ac:dyDescent="0.25">
      <c r="A36" s="26">
        <v>34394</v>
      </c>
      <c r="B36" s="49">
        <f t="shared" si="0"/>
        <v>1994</v>
      </c>
      <c r="C36" s="27" t="s">
        <v>27</v>
      </c>
      <c r="D36" s="27" t="s">
        <v>28</v>
      </c>
      <c r="E36" s="27">
        <v>55</v>
      </c>
    </row>
    <row r="37" spans="1:5" x14ac:dyDescent="0.25">
      <c r="A37" s="26">
        <v>34394</v>
      </c>
      <c r="B37" s="49">
        <f t="shared" si="0"/>
        <v>1994</v>
      </c>
      <c r="C37" s="27" t="s">
        <v>27</v>
      </c>
      <c r="D37" s="27" t="s">
        <v>28</v>
      </c>
      <c r="E37" s="27">
        <v>138</v>
      </c>
    </row>
    <row r="38" spans="1:5" x14ac:dyDescent="0.25">
      <c r="A38" s="26">
        <v>34394</v>
      </c>
      <c r="B38" s="49">
        <f t="shared" si="0"/>
        <v>1994</v>
      </c>
      <c r="C38" s="27" t="s">
        <v>32</v>
      </c>
      <c r="D38" s="27" t="s">
        <v>28</v>
      </c>
      <c r="E38" s="27">
        <v>2738</v>
      </c>
    </row>
    <row r="39" spans="1:5" x14ac:dyDescent="0.25">
      <c r="A39" s="26">
        <v>34394</v>
      </c>
      <c r="B39" s="49">
        <f t="shared" si="0"/>
        <v>1994</v>
      </c>
      <c r="C39" s="27" t="s">
        <v>27</v>
      </c>
      <c r="D39" s="27" t="s">
        <v>28</v>
      </c>
      <c r="E39" s="27">
        <v>169</v>
      </c>
    </row>
    <row r="40" spans="1:5" x14ac:dyDescent="0.25">
      <c r="A40" s="26">
        <v>34394</v>
      </c>
      <c r="B40" s="49">
        <f t="shared" si="0"/>
        <v>1994</v>
      </c>
      <c r="C40" s="27" t="s">
        <v>32</v>
      </c>
      <c r="D40" s="27" t="s">
        <v>28</v>
      </c>
      <c r="E40" s="27">
        <v>1682</v>
      </c>
    </row>
    <row r="41" spans="1:5" x14ac:dyDescent="0.25">
      <c r="A41" s="26">
        <v>34394</v>
      </c>
      <c r="B41" s="49">
        <f t="shared" si="0"/>
        <v>1994</v>
      </c>
      <c r="C41" s="27" t="s">
        <v>27</v>
      </c>
      <c r="D41" s="27" t="s">
        <v>28</v>
      </c>
      <c r="E41" s="27">
        <v>203</v>
      </c>
    </row>
    <row r="42" spans="1:5" x14ac:dyDescent="0.25">
      <c r="A42" s="26">
        <v>34394</v>
      </c>
      <c r="B42" s="49">
        <f t="shared" si="0"/>
        <v>1994</v>
      </c>
      <c r="C42" s="27" t="s">
        <v>27</v>
      </c>
      <c r="D42" s="27" t="s">
        <v>29</v>
      </c>
      <c r="E42" s="27">
        <v>140</v>
      </c>
    </row>
    <row r="43" spans="1:5" x14ac:dyDescent="0.25">
      <c r="A43" s="26">
        <v>34394</v>
      </c>
      <c r="B43" s="49">
        <f t="shared" si="0"/>
        <v>1994</v>
      </c>
      <c r="C43" s="27" t="s">
        <v>32</v>
      </c>
      <c r="D43" s="27" t="s">
        <v>29</v>
      </c>
      <c r="E43" s="27">
        <v>101</v>
      </c>
    </row>
    <row r="44" spans="1:5" x14ac:dyDescent="0.25">
      <c r="A44" s="26">
        <v>34394</v>
      </c>
      <c r="B44" s="49">
        <f t="shared" si="0"/>
        <v>1994</v>
      </c>
      <c r="C44" s="27" t="s">
        <v>27</v>
      </c>
      <c r="D44" s="27" t="s">
        <v>29</v>
      </c>
      <c r="E44" s="27">
        <v>53</v>
      </c>
    </row>
    <row r="45" spans="1:5" x14ac:dyDescent="0.25">
      <c r="A45" s="26">
        <v>34394</v>
      </c>
      <c r="B45" s="49">
        <f t="shared" si="0"/>
        <v>1994</v>
      </c>
      <c r="C45" s="27" t="s">
        <v>32</v>
      </c>
      <c r="D45" s="27" t="s">
        <v>29</v>
      </c>
      <c r="E45" s="27">
        <v>61</v>
      </c>
    </row>
    <row r="46" spans="1:5" x14ac:dyDescent="0.25">
      <c r="A46" s="26">
        <v>34394</v>
      </c>
      <c r="B46" s="49">
        <f t="shared" si="0"/>
        <v>1994</v>
      </c>
      <c r="C46" s="27" t="s">
        <v>27</v>
      </c>
      <c r="D46" s="27" t="s">
        <v>29</v>
      </c>
      <c r="E46" s="27">
        <v>101</v>
      </c>
    </row>
    <row r="47" spans="1:5" x14ac:dyDescent="0.25">
      <c r="A47" s="26">
        <v>34394</v>
      </c>
      <c r="B47" s="49">
        <f t="shared" si="0"/>
        <v>1994</v>
      </c>
      <c r="C47" s="27" t="s">
        <v>27</v>
      </c>
      <c r="D47" s="27" t="s">
        <v>29</v>
      </c>
      <c r="E47" s="27">
        <v>90</v>
      </c>
    </row>
    <row r="48" spans="1:5" x14ac:dyDescent="0.25">
      <c r="A48" s="26">
        <v>34394</v>
      </c>
      <c r="B48" s="49">
        <f t="shared" si="0"/>
        <v>1994</v>
      </c>
      <c r="C48" s="27" t="s">
        <v>27</v>
      </c>
      <c r="D48" s="27" t="s">
        <v>30</v>
      </c>
      <c r="E48" s="27">
        <v>210</v>
      </c>
    </row>
    <row r="49" spans="1:5" x14ac:dyDescent="0.25">
      <c r="A49" s="26">
        <v>34394</v>
      </c>
      <c r="B49" s="49">
        <f t="shared" si="0"/>
        <v>1994</v>
      </c>
      <c r="C49" s="27" t="s">
        <v>27</v>
      </c>
      <c r="D49" s="27" t="s">
        <v>30</v>
      </c>
      <c r="E49" s="27">
        <v>113</v>
      </c>
    </row>
    <row r="50" spans="1:5" x14ac:dyDescent="0.25">
      <c r="A50" s="26">
        <v>34394</v>
      </c>
      <c r="B50" s="49">
        <f t="shared" si="0"/>
        <v>1994</v>
      </c>
      <c r="C50" s="27" t="s">
        <v>27</v>
      </c>
      <c r="D50" s="27" t="s">
        <v>30</v>
      </c>
      <c r="E50" s="27">
        <v>179</v>
      </c>
    </row>
    <row r="51" spans="1:5" x14ac:dyDescent="0.25">
      <c r="A51" s="26">
        <v>34394</v>
      </c>
      <c r="B51" s="49">
        <f t="shared" si="0"/>
        <v>1994</v>
      </c>
      <c r="C51" s="27" t="s">
        <v>27</v>
      </c>
      <c r="D51" s="27" t="s">
        <v>30</v>
      </c>
      <c r="E51" s="27">
        <v>90</v>
      </c>
    </row>
    <row r="52" spans="1:5" x14ac:dyDescent="0.25">
      <c r="A52" s="26">
        <v>34394</v>
      </c>
      <c r="B52" s="49">
        <f t="shared" si="0"/>
        <v>1994</v>
      </c>
      <c r="C52" s="27" t="s">
        <v>27</v>
      </c>
      <c r="D52" s="27" t="s">
        <v>30</v>
      </c>
      <c r="E52" s="27">
        <v>77</v>
      </c>
    </row>
    <row r="53" spans="1:5" x14ac:dyDescent="0.25">
      <c r="A53" s="26">
        <v>34394</v>
      </c>
      <c r="B53" s="49">
        <f t="shared" si="0"/>
        <v>1994</v>
      </c>
      <c r="C53" s="27" t="s">
        <v>32</v>
      </c>
      <c r="D53" s="27" t="s">
        <v>31</v>
      </c>
      <c r="E53" s="27">
        <v>113</v>
      </c>
    </row>
    <row r="54" spans="1:5" x14ac:dyDescent="0.25">
      <c r="A54" s="26">
        <v>34394</v>
      </c>
      <c r="B54" s="49">
        <f t="shared" si="0"/>
        <v>1994</v>
      </c>
      <c r="C54" s="27" t="s">
        <v>27</v>
      </c>
      <c r="D54" s="27" t="s">
        <v>31</v>
      </c>
      <c r="E54" s="27">
        <v>180</v>
      </c>
    </row>
    <row r="55" spans="1:5" x14ac:dyDescent="0.25">
      <c r="A55" s="26">
        <v>34394</v>
      </c>
      <c r="B55" s="49">
        <f t="shared" si="0"/>
        <v>1994</v>
      </c>
      <c r="C55" s="27" t="s">
        <v>27</v>
      </c>
      <c r="D55" s="27" t="s">
        <v>31</v>
      </c>
      <c r="E55" s="27">
        <v>113</v>
      </c>
    </row>
    <row r="56" spans="1:5" x14ac:dyDescent="0.25">
      <c r="A56" s="26">
        <v>34394</v>
      </c>
      <c r="B56" s="49">
        <f t="shared" si="0"/>
        <v>1994</v>
      </c>
      <c r="C56" s="27" t="s">
        <v>27</v>
      </c>
      <c r="D56" s="27" t="s">
        <v>31</v>
      </c>
      <c r="E56" s="27">
        <v>114</v>
      </c>
    </row>
    <row r="57" spans="1:5" x14ac:dyDescent="0.25">
      <c r="A57" s="26">
        <v>34394</v>
      </c>
      <c r="B57" s="49">
        <f t="shared" si="0"/>
        <v>1994</v>
      </c>
      <c r="C57" s="27" t="s">
        <v>32</v>
      </c>
      <c r="D57" s="27" t="s">
        <v>31</v>
      </c>
      <c r="E57" s="27">
        <v>149</v>
      </c>
    </row>
    <row r="58" spans="1:5" x14ac:dyDescent="0.25">
      <c r="A58" s="26">
        <v>34394</v>
      </c>
      <c r="B58" s="49">
        <f t="shared" si="0"/>
        <v>1994</v>
      </c>
      <c r="C58" s="27" t="s">
        <v>27</v>
      </c>
      <c r="D58" s="27" t="s">
        <v>31</v>
      </c>
      <c r="E58" s="27">
        <v>140</v>
      </c>
    </row>
    <row r="59" spans="1:5" x14ac:dyDescent="0.25">
      <c r="A59" s="26">
        <v>34425</v>
      </c>
      <c r="B59" s="49">
        <f t="shared" si="0"/>
        <v>1994</v>
      </c>
      <c r="C59" s="27" t="s">
        <v>27</v>
      </c>
      <c r="D59" s="27" t="s">
        <v>28</v>
      </c>
      <c r="E59" s="27">
        <v>206</v>
      </c>
    </row>
    <row r="60" spans="1:5" x14ac:dyDescent="0.25">
      <c r="A60" s="26">
        <v>34425</v>
      </c>
      <c r="B60" s="49">
        <f t="shared" si="0"/>
        <v>1994</v>
      </c>
      <c r="C60" s="27" t="s">
        <v>32</v>
      </c>
      <c r="D60" s="27" t="s">
        <v>28</v>
      </c>
      <c r="E60" s="27">
        <v>1968</v>
      </c>
    </row>
    <row r="61" spans="1:5" x14ac:dyDescent="0.25">
      <c r="A61" s="26">
        <v>34425</v>
      </c>
      <c r="B61" s="49">
        <f t="shared" si="0"/>
        <v>1994</v>
      </c>
      <c r="C61" s="27" t="s">
        <v>32</v>
      </c>
      <c r="D61" s="27" t="s">
        <v>28</v>
      </c>
      <c r="E61" s="27">
        <v>3850</v>
      </c>
    </row>
    <row r="62" spans="1:5" x14ac:dyDescent="0.25">
      <c r="A62" s="26">
        <v>34425</v>
      </c>
      <c r="B62" s="49">
        <f t="shared" si="0"/>
        <v>1994</v>
      </c>
      <c r="C62" s="27" t="s">
        <v>27</v>
      </c>
      <c r="D62" s="27" t="s">
        <v>28</v>
      </c>
      <c r="E62" s="27">
        <v>180</v>
      </c>
    </row>
    <row r="63" spans="1:5" x14ac:dyDescent="0.25">
      <c r="A63" s="26">
        <v>34425</v>
      </c>
      <c r="B63" s="49">
        <f t="shared" si="0"/>
        <v>1994</v>
      </c>
      <c r="C63" s="27" t="s">
        <v>27</v>
      </c>
      <c r="D63" s="27" t="s">
        <v>28</v>
      </c>
      <c r="E63" s="27">
        <v>158</v>
      </c>
    </row>
    <row r="64" spans="1:5" x14ac:dyDescent="0.25">
      <c r="A64" s="26">
        <v>34425</v>
      </c>
      <c r="B64" s="49">
        <f t="shared" si="0"/>
        <v>1994</v>
      </c>
      <c r="C64" s="27" t="s">
        <v>27</v>
      </c>
      <c r="D64" s="27" t="s">
        <v>28</v>
      </c>
      <c r="E64" s="27">
        <v>110</v>
      </c>
    </row>
    <row r="65" spans="1:5" x14ac:dyDescent="0.25">
      <c r="A65" s="26">
        <v>34425</v>
      </c>
      <c r="B65" s="49">
        <f t="shared" si="0"/>
        <v>1994</v>
      </c>
      <c r="C65" s="27" t="s">
        <v>27</v>
      </c>
      <c r="D65" s="27" t="s">
        <v>29</v>
      </c>
      <c r="E65" s="27">
        <v>113</v>
      </c>
    </row>
    <row r="66" spans="1:5" x14ac:dyDescent="0.25">
      <c r="A66" s="26">
        <v>34425</v>
      </c>
      <c r="B66" s="49">
        <f t="shared" si="0"/>
        <v>1994</v>
      </c>
      <c r="C66" s="27" t="s">
        <v>32</v>
      </c>
      <c r="D66" s="27" t="s">
        <v>29</v>
      </c>
      <c r="E66" s="27">
        <v>113</v>
      </c>
    </row>
    <row r="67" spans="1:5" x14ac:dyDescent="0.25">
      <c r="A67" s="26">
        <v>34425</v>
      </c>
      <c r="B67" s="49">
        <f t="shared" ref="B67:B130" si="2">YEAR(A67)</f>
        <v>1994</v>
      </c>
      <c r="C67" s="27" t="s">
        <v>27</v>
      </c>
      <c r="D67" s="27" t="s">
        <v>29</v>
      </c>
      <c r="E67" s="27">
        <v>113</v>
      </c>
    </row>
    <row r="68" spans="1:5" x14ac:dyDescent="0.25">
      <c r="A68" s="26">
        <v>34425</v>
      </c>
      <c r="B68" s="49">
        <f t="shared" si="2"/>
        <v>1994</v>
      </c>
      <c r="C68" s="27" t="s">
        <v>27</v>
      </c>
      <c r="D68" s="27" t="s">
        <v>29</v>
      </c>
      <c r="E68" s="27">
        <v>44</v>
      </c>
    </row>
    <row r="69" spans="1:5" x14ac:dyDescent="0.25">
      <c r="A69" s="26">
        <v>34425</v>
      </c>
      <c r="B69" s="49">
        <f t="shared" si="2"/>
        <v>1994</v>
      </c>
      <c r="C69" s="27" t="s">
        <v>32</v>
      </c>
      <c r="D69" s="27" t="s">
        <v>29</v>
      </c>
      <c r="E69" s="27">
        <v>44</v>
      </c>
    </row>
    <row r="70" spans="1:5" x14ac:dyDescent="0.25">
      <c r="A70" s="26">
        <v>34425</v>
      </c>
      <c r="B70" s="49">
        <f t="shared" si="2"/>
        <v>1994</v>
      </c>
      <c r="C70" s="27" t="s">
        <v>27</v>
      </c>
      <c r="D70" s="27" t="s">
        <v>29</v>
      </c>
      <c r="E70" s="27">
        <v>221</v>
      </c>
    </row>
    <row r="71" spans="1:5" x14ac:dyDescent="0.25">
      <c r="A71" s="26">
        <v>34425</v>
      </c>
      <c r="B71" s="49">
        <f t="shared" si="2"/>
        <v>1994</v>
      </c>
      <c r="C71" s="27" t="s">
        <v>27</v>
      </c>
      <c r="D71" s="27" t="s">
        <v>30</v>
      </c>
      <c r="E71" s="27">
        <v>442</v>
      </c>
    </row>
    <row r="72" spans="1:5" x14ac:dyDescent="0.25">
      <c r="A72" s="26">
        <v>34425</v>
      </c>
      <c r="B72" s="49">
        <f t="shared" si="2"/>
        <v>1994</v>
      </c>
      <c r="C72" s="27" t="s">
        <v>27</v>
      </c>
      <c r="D72" s="27" t="s">
        <v>30</v>
      </c>
      <c r="E72" s="27">
        <v>193</v>
      </c>
    </row>
    <row r="73" spans="1:5" x14ac:dyDescent="0.25">
      <c r="A73" s="26">
        <v>34425</v>
      </c>
      <c r="B73" s="49">
        <f t="shared" si="2"/>
        <v>1994</v>
      </c>
      <c r="C73" s="27" t="s">
        <v>27</v>
      </c>
      <c r="D73" s="27" t="s">
        <v>30</v>
      </c>
      <c r="E73" s="27">
        <v>59</v>
      </c>
    </row>
    <row r="74" spans="1:5" x14ac:dyDescent="0.25">
      <c r="A74" s="26">
        <v>34425</v>
      </c>
      <c r="B74" s="49">
        <f t="shared" si="2"/>
        <v>1994</v>
      </c>
      <c r="C74" s="27" t="s">
        <v>27</v>
      </c>
      <c r="D74" s="27" t="s">
        <v>30</v>
      </c>
      <c r="E74" s="27">
        <v>79</v>
      </c>
    </row>
    <row r="75" spans="1:5" x14ac:dyDescent="0.25">
      <c r="A75" s="26">
        <v>34425</v>
      </c>
      <c r="B75" s="49">
        <f t="shared" si="2"/>
        <v>1994</v>
      </c>
      <c r="C75" s="27" t="s">
        <v>27</v>
      </c>
      <c r="D75" s="27" t="s">
        <v>30</v>
      </c>
      <c r="E75" s="27">
        <v>70</v>
      </c>
    </row>
    <row r="76" spans="1:5" x14ac:dyDescent="0.25">
      <c r="A76" s="26">
        <v>34425</v>
      </c>
      <c r="B76" s="49">
        <f t="shared" si="2"/>
        <v>1994</v>
      </c>
      <c r="C76" s="27" t="s">
        <v>27</v>
      </c>
      <c r="D76" s="27" t="s">
        <v>31</v>
      </c>
      <c r="E76" s="27">
        <v>123</v>
      </c>
    </row>
    <row r="77" spans="1:5" x14ac:dyDescent="0.25">
      <c r="A77" s="26">
        <v>34425</v>
      </c>
      <c r="B77" s="49">
        <f t="shared" si="2"/>
        <v>1994</v>
      </c>
      <c r="C77" s="27" t="s">
        <v>32</v>
      </c>
      <c r="D77" s="27" t="s">
        <v>31</v>
      </c>
      <c r="E77" s="27">
        <v>146</v>
      </c>
    </row>
    <row r="78" spans="1:5" x14ac:dyDescent="0.25">
      <c r="A78" s="26">
        <v>34425</v>
      </c>
      <c r="B78" s="49">
        <f t="shared" si="2"/>
        <v>1994</v>
      </c>
      <c r="C78" s="27" t="s">
        <v>27</v>
      </c>
      <c r="D78" s="27" t="s">
        <v>31</v>
      </c>
      <c r="E78" s="27">
        <v>146</v>
      </c>
    </row>
    <row r="79" spans="1:5" x14ac:dyDescent="0.25">
      <c r="A79" s="26">
        <v>34425</v>
      </c>
      <c r="B79" s="49">
        <f t="shared" si="2"/>
        <v>1994</v>
      </c>
      <c r="C79" s="27" t="s">
        <v>32</v>
      </c>
      <c r="D79" s="27" t="s">
        <v>31</v>
      </c>
      <c r="E79" s="27">
        <v>131</v>
      </c>
    </row>
    <row r="80" spans="1:5" x14ac:dyDescent="0.25">
      <c r="A80" s="26">
        <v>34425</v>
      </c>
      <c r="B80" s="49">
        <f t="shared" si="2"/>
        <v>1994</v>
      </c>
      <c r="C80" s="27" t="s">
        <v>27</v>
      </c>
      <c r="D80" s="27" t="s">
        <v>31</v>
      </c>
      <c r="E80" s="27">
        <v>158</v>
      </c>
    </row>
    <row r="81" spans="1:5" x14ac:dyDescent="0.25">
      <c r="A81" s="26">
        <v>34425</v>
      </c>
      <c r="B81" s="49">
        <f t="shared" si="2"/>
        <v>1994</v>
      </c>
      <c r="C81" s="27" t="s">
        <v>27</v>
      </c>
      <c r="D81" s="27" t="s">
        <v>31</v>
      </c>
      <c r="E81" s="27">
        <v>180</v>
      </c>
    </row>
    <row r="82" spans="1:5" x14ac:dyDescent="0.25">
      <c r="A82" s="26">
        <v>34455</v>
      </c>
      <c r="B82" s="49">
        <f t="shared" si="2"/>
        <v>1994</v>
      </c>
      <c r="C82" s="27" t="s">
        <v>32</v>
      </c>
      <c r="D82" s="27" t="s">
        <v>28</v>
      </c>
      <c r="E82" s="27">
        <v>2172</v>
      </c>
    </row>
    <row r="83" spans="1:5" x14ac:dyDescent="0.25">
      <c r="A83" s="26">
        <v>34455</v>
      </c>
      <c r="B83" s="49">
        <f t="shared" si="2"/>
        <v>1994</v>
      </c>
      <c r="C83" s="27" t="s">
        <v>27</v>
      </c>
      <c r="D83" s="27" t="s">
        <v>28</v>
      </c>
      <c r="E83" s="27">
        <v>194</v>
      </c>
    </row>
    <row r="84" spans="1:5" x14ac:dyDescent="0.25">
      <c r="A84" s="26">
        <v>34455</v>
      </c>
      <c r="B84" s="49">
        <f t="shared" si="2"/>
        <v>1994</v>
      </c>
      <c r="C84" s="27" t="s">
        <v>27</v>
      </c>
      <c r="D84" s="27" t="s">
        <v>28</v>
      </c>
      <c r="E84" s="27">
        <v>259</v>
      </c>
    </row>
    <row r="85" spans="1:5" x14ac:dyDescent="0.25">
      <c r="A85" s="26">
        <v>34455</v>
      </c>
      <c r="B85" s="49">
        <f t="shared" si="2"/>
        <v>1994</v>
      </c>
      <c r="C85" s="27" t="s">
        <v>27</v>
      </c>
      <c r="D85" s="27" t="s">
        <v>28</v>
      </c>
      <c r="E85" s="27">
        <v>193</v>
      </c>
    </row>
    <row r="86" spans="1:5" x14ac:dyDescent="0.25">
      <c r="A86" s="26">
        <v>34455</v>
      </c>
      <c r="B86" s="49">
        <f t="shared" si="2"/>
        <v>1994</v>
      </c>
      <c r="C86" s="27" t="s">
        <v>27</v>
      </c>
      <c r="D86" s="27" t="s">
        <v>28</v>
      </c>
      <c r="E86" s="27">
        <v>154</v>
      </c>
    </row>
    <row r="87" spans="1:5" x14ac:dyDescent="0.25">
      <c r="A87" s="26">
        <v>34455</v>
      </c>
      <c r="B87" s="49">
        <f t="shared" si="2"/>
        <v>1994</v>
      </c>
      <c r="C87" s="27" t="s">
        <v>32</v>
      </c>
      <c r="D87" s="27" t="s">
        <v>28</v>
      </c>
      <c r="E87" s="27">
        <v>1804</v>
      </c>
    </row>
    <row r="88" spans="1:5" x14ac:dyDescent="0.25">
      <c r="A88" s="26">
        <v>34455</v>
      </c>
      <c r="B88" s="49">
        <f t="shared" si="2"/>
        <v>1994</v>
      </c>
      <c r="C88" s="27" t="s">
        <v>27</v>
      </c>
      <c r="D88" s="27" t="s">
        <v>29</v>
      </c>
      <c r="E88" s="27">
        <v>308</v>
      </c>
    </row>
    <row r="89" spans="1:5" x14ac:dyDescent="0.25">
      <c r="A89" s="26">
        <v>34455</v>
      </c>
      <c r="B89" s="49">
        <f t="shared" si="2"/>
        <v>1994</v>
      </c>
      <c r="C89" s="27" t="s">
        <v>27</v>
      </c>
      <c r="D89" s="27" t="s">
        <v>29</v>
      </c>
      <c r="E89" s="27">
        <v>18</v>
      </c>
    </row>
    <row r="90" spans="1:5" x14ac:dyDescent="0.25">
      <c r="A90" s="26">
        <v>34455</v>
      </c>
      <c r="B90" s="49">
        <f t="shared" si="2"/>
        <v>1994</v>
      </c>
      <c r="C90" s="27" t="s">
        <v>27</v>
      </c>
      <c r="D90" s="27" t="s">
        <v>29</v>
      </c>
      <c r="E90" s="27">
        <v>104</v>
      </c>
    </row>
    <row r="91" spans="1:5" x14ac:dyDescent="0.25">
      <c r="A91" s="26">
        <v>34455</v>
      </c>
      <c r="B91" s="49">
        <f t="shared" si="2"/>
        <v>1994</v>
      </c>
      <c r="C91" s="27" t="s">
        <v>32</v>
      </c>
      <c r="D91" s="27" t="s">
        <v>29</v>
      </c>
      <c r="E91" s="27">
        <v>53</v>
      </c>
    </row>
    <row r="92" spans="1:5" x14ac:dyDescent="0.25">
      <c r="A92" s="26">
        <v>34455</v>
      </c>
      <c r="B92" s="49">
        <f t="shared" si="2"/>
        <v>1994</v>
      </c>
      <c r="C92" s="27" t="s">
        <v>32</v>
      </c>
      <c r="D92" s="27" t="s">
        <v>29</v>
      </c>
      <c r="E92" s="27">
        <v>79</v>
      </c>
    </row>
    <row r="93" spans="1:5" x14ac:dyDescent="0.25">
      <c r="A93" s="26">
        <v>34455</v>
      </c>
      <c r="B93" s="49">
        <f t="shared" si="2"/>
        <v>1994</v>
      </c>
      <c r="C93" s="27" t="s">
        <v>27</v>
      </c>
      <c r="D93" s="27" t="s">
        <v>29</v>
      </c>
      <c r="E93" s="27">
        <v>135</v>
      </c>
    </row>
    <row r="94" spans="1:5" x14ac:dyDescent="0.25">
      <c r="A94" s="26">
        <v>34455</v>
      </c>
      <c r="B94" s="49">
        <f t="shared" si="2"/>
        <v>1994</v>
      </c>
      <c r="C94" s="27" t="s">
        <v>27</v>
      </c>
      <c r="D94" s="27" t="s">
        <v>30</v>
      </c>
      <c r="E94" s="27">
        <v>385</v>
      </c>
    </row>
    <row r="95" spans="1:5" x14ac:dyDescent="0.25">
      <c r="A95" s="26">
        <v>34455</v>
      </c>
      <c r="B95" s="49">
        <f t="shared" si="2"/>
        <v>1994</v>
      </c>
      <c r="C95" s="27" t="s">
        <v>27</v>
      </c>
      <c r="D95" s="27" t="s">
        <v>30</v>
      </c>
      <c r="E95" s="27">
        <v>81</v>
      </c>
    </row>
    <row r="96" spans="1:5" x14ac:dyDescent="0.25">
      <c r="A96" s="26">
        <v>34455</v>
      </c>
      <c r="B96" s="49">
        <f t="shared" si="2"/>
        <v>1994</v>
      </c>
      <c r="C96" s="27" t="s">
        <v>27</v>
      </c>
      <c r="D96" s="27" t="s">
        <v>30</v>
      </c>
      <c r="E96" s="27">
        <v>371</v>
      </c>
    </row>
    <row r="97" spans="1:5" x14ac:dyDescent="0.25">
      <c r="A97" s="26">
        <v>34455</v>
      </c>
      <c r="B97" s="49">
        <f t="shared" si="2"/>
        <v>1994</v>
      </c>
      <c r="C97" s="27" t="s">
        <v>27</v>
      </c>
      <c r="D97" s="27" t="s">
        <v>30</v>
      </c>
      <c r="E97" s="27">
        <v>90</v>
      </c>
    </row>
    <row r="98" spans="1:5" x14ac:dyDescent="0.25">
      <c r="A98" s="26">
        <v>34455</v>
      </c>
      <c r="B98" s="49">
        <f t="shared" si="2"/>
        <v>1994</v>
      </c>
      <c r="C98" s="27" t="s">
        <v>27</v>
      </c>
      <c r="D98" s="27" t="s">
        <v>30</v>
      </c>
      <c r="E98" s="27">
        <v>53</v>
      </c>
    </row>
    <row r="99" spans="1:5" x14ac:dyDescent="0.25">
      <c r="A99" s="26">
        <v>34455</v>
      </c>
      <c r="B99" s="49">
        <f t="shared" si="2"/>
        <v>1994</v>
      </c>
      <c r="C99" s="27" t="s">
        <v>27</v>
      </c>
      <c r="D99" s="27" t="s">
        <v>31</v>
      </c>
      <c r="E99" s="27">
        <v>114</v>
      </c>
    </row>
    <row r="100" spans="1:5" x14ac:dyDescent="0.25">
      <c r="A100" s="26">
        <v>34455</v>
      </c>
      <c r="B100" s="49">
        <f t="shared" si="2"/>
        <v>1994</v>
      </c>
      <c r="C100" s="27" t="s">
        <v>27</v>
      </c>
      <c r="D100" s="27" t="s">
        <v>31</v>
      </c>
      <c r="E100" s="27">
        <v>225</v>
      </c>
    </row>
    <row r="101" spans="1:5" x14ac:dyDescent="0.25">
      <c r="A101" s="26">
        <v>34455</v>
      </c>
      <c r="B101" s="49">
        <f t="shared" si="2"/>
        <v>1994</v>
      </c>
      <c r="C101" s="27" t="s">
        <v>27</v>
      </c>
      <c r="D101" s="27" t="s">
        <v>31</v>
      </c>
      <c r="E101" s="27">
        <v>146</v>
      </c>
    </row>
    <row r="102" spans="1:5" x14ac:dyDescent="0.25">
      <c r="A102" s="26">
        <v>34455</v>
      </c>
      <c r="B102" s="49">
        <f t="shared" si="2"/>
        <v>1994</v>
      </c>
      <c r="C102" s="27" t="s">
        <v>27</v>
      </c>
      <c r="D102" s="27" t="s">
        <v>31</v>
      </c>
      <c r="E102" s="27">
        <v>158</v>
      </c>
    </row>
    <row r="103" spans="1:5" x14ac:dyDescent="0.25">
      <c r="A103" s="26">
        <v>34455</v>
      </c>
      <c r="B103" s="49">
        <f t="shared" si="2"/>
        <v>1994</v>
      </c>
      <c r="C103" s="27" t="s">
        <v>32</v>
      </c>
      <c r="D103" s="27" t="s">
        <v>31</v>
      </c>
      <c r="E103" s="27">
        <v>169</v>
      </c>
    </row>
    <row r="104" spans="1:5" x14ac:dyDescent="0.25">
      <c r="A104" s="26">
        <v>34455</v>
      </c>
      <c r="B104" s="49">
        <f t="shared" si="2"/>
        <v>1994</v>
      </c>
      <c r="C104" s="27" t="s">
        <v>32</v>
      </c>
      <c r="D104" s="27" t="s">
        <v>31</v>
      </c>
      <c r="E104" s="27">
        <v>123</v>
      </c>
    </row>
    <row r="105" spans="1:5" x14ac:dyDescent="0.25">
      <c r="A105" s="26">
        <v>34455</v>
      </c>
      <c r="B105" s="49">
        <f t="shared" si="2"/>
        <v>1994</v>
      </c>
      <c r="C105" s="27" t="s">
        <v>27</v>
      </c>
      <c r="D105" s="27" t="s">
        <v>33</v>
      </c>
      <c r="E105" s="27">
        <v>360</v>
      </c>
    </row>
    <row r="106" spans="1:5" x14ac:dyDescent="0.25">
      <c r="A106" s="26">
        <v>34455</v>
      </c>
      <c r="B106" s="49">
        <f t="shared" si="2"/>
        <v>1994</v>
      </c>
      <c r="C106" s="27" t="s">
        <v>32</v>
      </c>
      <c r="D106" s="27" t="s">
        <v>33</v>
      </c>
      <c r="E106" s="27">
        <v>113</v>
      </c>
    </row>
    <row r="107" spans="1:5" x14ac:dyDescent="0.25">
      <c r="A107" s="26">
        <v>34455</v>
      </c>
      <c r="B107" s="49">
        <f t="shared" si="2"/>
        <v>1994</v>
      </c>
      <c r="C107" s="27" t="s">
        <v>27</v>
      </c>
      <c r="D107" s="27" t="s">
        <v>33</v>
      </c>
      <c r="E107" s="27">
        <v>406</v>
      </c>
    </row>
    <row r="108" spans="1:5" x14ac:dyDescent="0.25">
      <c r="A108" s="26">
        <v>34455</v>
      </c>
      <c r="B108" s="49">
        <f t="shared" si="2"/>
        <v>1994</v>
      </c>
      <c r="C108" s="27" t="s">
        <v>27</v>
      </c>
      <c r="D108" s="27" t="s">
        <v>33</v>
      </c>
      <c r="E108" s="27">
        <v>90</v>
      </c>
    </row>
    <row r="109" spans="1:5" x14ac:dyDescent="0.25">
      <c r="A109" s="26">
        <v>34455</v>
      </c>
      <c r="B109" s="49">
        <f t="shared" si="2"/>
        <v>1994</v>
      </c>
      <c r="C109" s="27" t="s">
        <v>32</v>
      </c>
      <c r="D109" s="27" t="s">
        <v>33</v>
      </c>
      <c r="E109" s="27">
        <v>96</v>
      </c>
    </row>
    <row r="110" spans="1:5" x14ac:dyDescent="0.25">
      <c r="A110" s="26">
        <v>34455</v>
      </c>
      <c r="B110" s="49">
        <f t="shared" si="2"/>
        <v>1994</v>
      </c>
      <c r="C110" s="27" t="s">
        <v>27</v>
      </c>
      <c r="D110" s="27" t="s">
        <v>33</v>
      </c>
      <c r="E110" s="27">
        <v>53</v>
      </c>
    </row>
    <row r="111" spans="1:5" x14ac:dyDescent="0.25">
      <c r="A111" s="26">
        <v>34486</v>
      </c>
      <c r="B111" s="49">
        <f t="shared" si="2"/>
        <v>1994</v>
      </c>
      <c r="C111" s="27" t="s">
        <v>32</v>
      </c>
      <c r="D111" s="27" t="s">
        <v>28</v>
      </c>
      <c r="E111" s="27">
        <v>4489</v>
      </c>
    </row>
    <row r="112" spans="1:5" x14ac:dyDescent="0.25">
      <c r="A112" s="26">
        <v>34486</v>
      </c>
      <c r="B112" s="49">
        <f t="shared" si="2"/>
        <v>1994</v>
      </c>
      <c r="C112" s="27" t="s">
        <v>32</v>
      </c>
      <c r="D112" s="27" t="s">
        <v>28</v>
      </c>
      <c r="E112" s="27">
        <v>2273</v>
      </c>
    </row>
    <row r="113" spans="1:5" x14ac:dyDescent="0.25">
      <c r="A113" s="26">
        <v>34486</v>
      </c>
      <c r="B113" s="49">
        <f t="shared" si="2"/>
        <v>1994</v>
      </c>
      <c r="C113" s="27" t="s">
        <v>27</v>
      </c>
      <c r="D113" s="27" t="s">
        <v>28</v>
      </c>
      <c r="E113" s="27">
        <v>220</v>
      </c>
    </row>
    <row r="114" spans="1:5" x14ac:dyDescent="0.25">
      <c r="A114" s="26">
        <v>34486</v>
      </c>
      <c r="B114" s="49">
        <f t="shared" si="2"/>
        <v>1994</v>
      </c>
      <c r="C114" s="27" t="s">
        <v>27</v>
      </c>
      <c r="D114" s="27" t="s">
        <v>28</v>
      </c>
      <c r="E114" s="27">
        <v>149</v>
      </c>
    </row>
    <row r="115" spans="1:5" x14ac:dyDescent="0.25">
      <c r="A115" s="26">
        <v>34486</v>
      </c>
      <c r="B115" s="49">
        <f t="shared" si="2"/>
        <v>1994</v>
      </c>
      <c r="C115" s="27" t="s">
        <v>27</v>
      </c>
      <c r="D115" s="27" t="s">
        <v>28</v>
      </c>
      <c r="E115" s="27">
        <v>338</v>
      </c>
    </row>
    <row r="116" spans="1:5" x14ac:dyDescent="0.25">
      <c r="A116" s="26">
        <v>34486</v>
      </c>
      <c r="B116" s="49">
        <f t="shared" si="2"/>
        <v>1994</v>
      </c>
      <c r="C116" s="27" t="s">
        <v>27</v>
      </c>
      <c r="D116" s="27" t="s">
        <v>28</v>
      </c>
      <c r="E116" s="27">
        <v>338</v>
      </c>
    </row>
    <row r="117" spans="1:5" x14ac:dyDescent="0.25">
      <c r="A117" s="26">
        <v>34486</v>
      </c>
      <c r="B117" s="49">
        <f t="shared" si="2"/>
        <v>1994</v>
      </c>
      <c r="C117" s="27" t="s">
        <v>27</v>
      </c>
      <c r="D117" s="27" t="s">
        <v>29</v>
      </c>
      <c r="E117" s="27">
        <v>180</v>
      </c>
    </row>
    <row r="118" spans="1:5" x14ac:dyDescent="0.25">
      <c r="A118" s="26">
        <v>34486</v>
      </c>
      <c r="B118" s="49">
        <f t="shared" si="2"/>
        <v>1994</v>
      </c>
      <c r="C118" s="27" t="s">
        <v>32</v>
      </c>
      <c r="D118" s="27" t="s">
        <v>29</v>
      </c>
      <c r="E118" s="27">
        <v>53</v>
      </c>
    </row>
    <row r="119" spans="1:5" x14ac:dyDescent="0.25">
      <c r="A119" s="26">
        <v>34486</v>
      </c>
      <c r="B119" s="49">
        <f t="shared" si="2"/>
        <v>1994</v>
      </c>
      <c r="C119" s="27" t="s">
        <v>27</v>
      </c>
      <c r="D119" s="27" t="s">
        <v>29</v>
      </c>
      <c r="E119" s="27">
        <v>392</v>
      </c>
    </row>
    <row r="120" spans="1:5" x14ac:dyDescent="0.25">
      <c r="A120" s="26">
        <v>34486</v>
      </c>
      <c r="B120" s="49">
        <f t="shared" si="2"/>
        <v>1994</v>
      </c>
      <c r="C120" s="27" t="s">
        <v>27</v>
      </c>
      <c r="D120" s="27" t="s">
        <v>29</v>
      </c>
      <c r="E120" s="27">
        <v>113</v>
      </c>
    </row>
    <row r="121" spans="1:5" x14ac:dyDescent="0.25">
      <c r="A121" s="26">
        <v>34486</v>
      </c>
      <c r="B121" s="49">
        <f t="shared" si="2"/>
        <v>1994</v>
      </c>
      <c r="C121" s="27" t="s">
        <v>32</v>
      </c>
      <c r="D121" s="27" t="s">
        <v>29</v>
      </c>
      <c r="E121" s="27">
        <v>113</v>
      </c>
    </row>
    <row r="122" spans="1:5" x14ac:dyDescent="0.25">
      <c r="A122" s="26">
        <v>34486</v>
      </c>
      <c r="B122" s="49">
        <f t="shared" si="2"/>
        <v>1994</v>
      </c>
      <c r="C122" s="27" t="s">
        <v>27</v>
      </c>
      <c r="D122" s="27" t="s">
        <v>29</v>
      </c>
      <c r="E122" s="27">
        <v>26</v>
      </c>
    </row>
    <row r="123" spans="1:5" x14ac:dyDescent="0.25">
      <c r="A123" s="26">
        <v>34486</v>
      </c>
      <c r="B123" s="49">
        <f t="shared" si="2"/>
        <v>1994</v>
      </c>
      <c r="C123" s="27" t="s">
        <v>27</v>
      </c>
      <c r="D123" s="27" t="s">
        <v>30</v>
      </c>
      <c r="E123" s="27">
        <v>46</v>
      </c>
    </row>
    <row r="124" spans="1:5" x14ac:dyDescent="0.25">
      <c r="A124" s="26">
        <v>34486</v>
      </c>
      <c r="B124" s="49">
        <f t="shared" si="2"/>
        <v>1994</v>
      </c>
      <c r="C124" s="27" t="s">
        <v>27</v>
      </c>
      <c r="D124" s="27" t="s">
        <v>30</v>
      </c>
      <c r="E124" s="27">
        <v>45</v>
      </c>
    </row>
    <row r="125" spans="1:5" x14ac:dyDescent="0.25">
      <c r="A125" s="26">
        <v>34486</v>
      </c>
      <c r="B125" s="49">
        <f t="shared" si="2"/>
        <v>1994</v>
      </c>
      <c r="C125" s="27" t="s">
        <v>27</v>
      </c>
      <c r="D125" s="27" t="s">
        <v>30</v>
      </c>
      <c r="E125" s="27">
        <v>45</v>
      </c>
    </row>
    <row r="126" spans="1:5" x14ac:dyDescent="0.25">
      <c r="A126" s="26">
        <v>34486</v>
      </c>
      <c r="B126" s="49">
        <f t="shared" si="2"/>
        <v>1994</v>
      </c>
      <c r="C126" s="27" t="s">
        <v>27</v>
      </c>
      <c r="D126" s="27" t="s">
        <v>30</v>
      </c>
      <c r="E126" s="27">
        <v>620</v>
      </c>
    </row>
    <row r="127" spans="1:5" x14ac:dyDescent="0.25">
      <c r="A127" s="26">
        <v>34486</v>
      </c>
      <c r="B127" s="49">
        <f t="shared" si="2"/>
        <v>1994</v>
      </c>
      <c r="C127" s="27" t="s">
        <v>27</v>
      </c>
      <c r="D127" s="27" t="s">
        <v>30</v>
      </c>
      <c r="E127" s="27">
        <v>428</v>
      </c>
    </row>
    <row r="128" spans="1:5" x14ac:dyDescent="0.25">
      <c r="A128" s="26">
        <v>34486</v>
      </c>
      <c r="B128" s="49">
        <f t="shared" si="2"/>
        <v>1994</v>
      </c>
      <c r="C128" s="27" t="s">
        <v>32</v>
      </c>
      <c r="D128" s="27" t="s">
        <v>31</v>
      </c>
      <c r="E128" s="27">
        <v>236</v>
      </c>
    </row>
    <row r="129" spans="1:5" x14ac:dyDescent="0.25">
      <c r="A129" s="26">
        <v>34486</v>
      </c>
      <c r="B129" s="49">
        <f t="shared" si="2"/>
        <v>1994</v>
      </c>
      <c r="C129" s="27" t="s">
        <v>27</v>
      </c>
      <c r="D129" s="27" t="s">
        <v>31</v>
      </c>
      <c r="E129" s="27">
        <v>166</v>
      </c>
    </row>
    <row r="130" spans="1:5" x14ac:dyDescent="0.25">
      <c r="A130" s="26">
        <v>34486</v>
      </c>
      <c r="B130" s="49">
        <f t="shared" si="2"/>
        <v>1994</v>
      </c>
      <c r="C130" s="27" t="s">
        <v>27</v>
      </c>
      <c r="D130" s="27" t="s">
        <v>31</v>
      </c>
      <c r="E130" s="27">
        <v>158</v>
      </c>
    </row>
    <row r="131" spans="1:5" x14ac:dyDescent="0.25">
      <c r="A131" s="26">
        <v>34486</v>
      </c>
      <c r="B131" s="49">
        <f t="shared" ref="B131:B194" si="3">YEAR(A131)</f>
        <v>1994</v>
      </c>
      <c r="C131" s="27" t="s">
        <v>27</v>
      </c>
      <c r="D131" s="27" t="s">
        <v>31</v>
      </c>
      <c r="E131" s="27">
        <v>146</v>
      </c>
    </row>
    <row r="132" spans="1:5" x14ac:dyDescent="0.25">
      <c r="A132" s="26">
        <v>34486</v>
      </c>
      <c r="B132" s="49">
        <f t="shared" si="3"/>
        <v>1994</v>
      </c>
      <c r="C132" s="27" t="s">
        <v>32</v>
      </c>
      <c r="D132" s="27" t="s">
        <v>31</v>
      </c>
      <c r="E132" s="27">
        <v>114</v>
      </c>
    </row>
    <row r="133" spans="1:5" x14ac:dyDescent="0.25">
      <c r="A133" s="26">
        <v>34486</v>
      </c>
      <c r="B133" s="49">
        <f t="shared" si="3"/>
        <v>1994</v>
      </c>
      <c r="C133" s="27" t="s">
        <v>27</v>
      </c>
      <c r="D133" s="27" t="s">
        <v>31</v>
      </c>
      <c r="E133" s="27">
        <v>203</v>
      </c>
    </row>
    <row r="134" spans="1:5" x14ac:dyDescent="0.25">
      <c r="A134" s="26">
        <v>34486</v>
      </c>
      <c r="B134" s="49">
        <f t="shared" si="3"/>
        <v>1994</v>
      </c>
      <c r="C134" s="27" t="s">
        <v>27</v>
      </c>
      <c r="D134" s="27" t="s">
        <v>33</v>
      </c>
      <c r="E134" s="27">
        <v>56</v>
      </c>
    </row>
    <row r="135" spans="1:5" x14ac:dyDescent="0.25">
      <c r="A135" s="26">
        <v>34486</v>
      </c>
      <c r="B135" s="49">
        <f t="shared" si="3"/>
        <v>1994</v>
      </c>
      <c r="C135" s="27" t="s">
        <v>27</v>
      </c>
      <c r="D135" s="27" t="s">
        <v>33</v>
      </c>
      <c r="E135" s="27">
        <v>26</v>
      </c>
    </row>
    <row r="136" spans="1:5" x14ac:dyDescent="0.25">
      <c r="A136" s="26">
        <v>34486</v>
      </c>
      <c r="B136" s="49">
        <f t="shared" si="3"/>
        <v>1994</v>
      </c>
      <c r="C136" s="27" t="s">
        <v>32</v>
      </c>
      <c r="D136" s="27" t="s">
        <v>33</v>
      </c>
      <c r="E136" s="27">
        <v>140</v>
      </c>
    </row>
    <row r="137" spans="1:5" x14ac:dyDescent="0.25">
      <c r="A137" s="26">
        <v>34486</v>
      </c>
      <c r="B137" s="49">
        <f t="shared" si="3"/>
        <v>1994</v>
      </c>
      <c r="C137" s="27" t="s">
        <v>32</v>
      </c>
      <c r="D137" s="27" t="s">
        <v>33</v>
      </c>
      <c r="E137" s="27">
        <v>191</v>
      </c>
    </row>
    <row r="138" spans="1:5" x14ac:dyDescent="0.25">
      <c r="A138" s="26">
        <v>34486</v>
      </c>
      <c r="B138" s="49">
        <f t="shared" si="3"/>
        <v>1994</v>
      </c>
      <c r="C138" s="27" t="s">
        <v>27</v>
      </c>
      <c r="D138" s="27" t="s">
        <v>33</v>
      </c>
      <c r="E138" s="27">
        <v>469</v>
      </c>
    </row>
    <row r="139" spans="1:5" x14ac:dyDescent="0.25">
      <c r="A139" s="26">
        <v>34486</v>
      </c>
      <c r="B139" s="49">
        <f t="shared" si="3"/>
        <v>1994</v>
      </c>
      <c r="C139" s="27" t="s">
        <v>27</v>
      </c>
      <c r="D139" s="27" t="s">
        <v>33</v>
      </c>
      <c r="E139" s="27">
        <v>149</v>
      </c>
    </row>
    <row r="140" spans="1:5" x14ac:dyDescent="0.25">
      <c r="A140" s="26">
        <v>34516</v>
      </c>
      <c r="B140" s="49">
        <f t="shared" si="3"/>
        <v>1994</v>
      </c>
      <c r="C140" s="27" t="s">
        <v>32</v>
      </c>
      <c r="D140" s="27" t="s">
        <v>28</v>
      </c>
      <c r="E140" s="27">
        <v>3697</v>
      </c>
    </row>
    <row r="141" spans="1:5" x14ac:dyDescent="0.25">
      <c r="A141" s="26">
        <v>34516</v>
      </c>
      <c r="B141" s="49">
        <f t="shared" si="3"/>
        <v>1994</v>
      </c>
      <c r="C141" s="27" t="s">
        <v>27</v>
      </c>
      <c r="D141" s="27" t="s">
        <v>28</v>
      </c>
      <c r="E141" s="27">
        <v>206</v>
      </c>
    </row>
    <row r="142" spans="1:5" x14ac:dyDescent="0.25">
      <c r="A142" s="26">
        <v>34516</v>
      </c>
      <c r="B142" s="49">
        <f t="shared" si="3"/>
        <v>1994</v>
      </c>
      <c r="C142" s="27" t="s">
        <v>32</v>
      </c>
      <c r="D142" s="27" t="s">
        <v>28</v>
      </c>
      <c r="E142" s="27">
        <v>2156</v>
      </c>
    </row>
    <row r="143" spans="1:5" x14ac:dyDescent="0.25">
      <c r="A143" s="26">
        <v>34516</v>
      </c>
      <c r="B143" s="49">
        <f t="shared" si="3"/>
        <v>1994</v>
      </c>
      <c r="C143" s="27" t="s">
        <v>32</v>
      </c>
      <c r="D143" s="27" t="s">
        <v>28</v>
      </c>
      <c r="E143" s="27">
        <v>659</v>
      </c>
    </row>
    <row r="144" spans="1:5" x14ac:dyDescent="0.25">
      <c r="A144" s="26">
        <v>34516</v>
      </c>
      <c r="B144" s="49">
        <f t="shared" si="3"/>
        <v>1994</v>
      </c>
      <c r="C144" s="27" t="s">
        <v>27</v>
      </c>
      <c r="D144" s="27" t="s">
        <v>28</v>
      </c>
      <c r="E144" s="27">
        <v>204</v>
      </c>
    </row>
    <row r="145" spans="1:5" x14ac:dyDescent="0.25">
      <c r="A145" s="26">
        <v>34516</v>
      </c>
      <c r="B145" s="49">
        <f t="shared" si="3"/>
        <v>1994</v>
      </c>
      <c r="C145" s="27" t="s">
        <v>32</v>
      </c>
      <c r="D145" s="27" t="s">
        <v>28</v>
      </c>
      <c r="E145" s="27">
        <v>358</v>
      </c>
    </row>
    <row r="146" spans="1:5" x14ac:dyDescent="0.25">
      <c r="A146" s="26">
        <v>34516</v>
      </c>
      <c r="B146" s="49">
        <f t="shared" si="3"/>
        <v>1994</v>
      </c>
      <c r="C146" s="27" t="s">
        <v>27</v>
      </c>
      <c r="D146" s="27" t="s">
        <v>28</v>
      </c>
      <c r="E146" s="27">
        <v>270</v>
      </c>
    </row>
    <row r="147" spans="1:5" x14ac:dyDescent="0.25">
      <c r="A147" s="26">
        <v>34516</v>
      </c>
      <c r="B147" s="49">
        <f t="shared" si="3"/>
        <v>1994</v>
      </c>
      <c r="C147" s="27" t="s">
        <v>27</v>
      </c>
      <c r="D147" s="27" t="s">
        <v>28</v>
      </c>
      <c r="E147" s="27">
        <v>212</v>
      </c>
    </row>
    <row r="148" spans="1:5" x14ac:dyDescent="0.25">
      <c r="A148" s="26">
        <v>34516</v>
      </c>
      <c r="B148" s="49">
        <f t="shared" si="3"/>
        <v>1994</v>
      </c>
      <c r="C148" s="27" t="s">
        <v>27</v>
      </c>
      <c r="D148" s="27" t="s">
        <v>29</v>
      </c>
      <c r="E148" s="27">
        <v>53</v>
      </c>
    </row>
    <row r="149" spans="1:5" x14ac:dyDescent="0.25">
      <c r="A149" s="26">
        <v>34516</v>
      </c>
      <c r="B149" s="49">
        <f t="shared" si="3"/>
        <v>1994</v>
      </c>
      <c r="C149" s="27" t="s">
        <v>27</v>
      </c>
      <c r="D149" s="27" t="s">
        <v>29</v>
      </c>
      <c r="E149" s="27">
        <v>167</v>
      </c>
    </row>
    <row r="150" spans="1:5" x14ac:dyDescent="0.25">
      <c r="A150" s="26">
        <v>34516</v>
      </c>
      <c r="B150" s="49">
        <f t="shared" si="3"/>
        <v>1994</v>
      </c>
      <c r="C150" s="27" t="s">
        <v>32</v>
      </c>
      <c r="D150" s="27" t="s">
        <v>29</v>
      </c>
      <c r="E150" s="27">
        <v>298</v>
      </c>
    </row>
    <row r="151" spans="1:5" x14ac:dyDescent="0.25">
      <c r="A151" s="26">
        <v>34516</v>
      </c>
      <c r="B151" s="49">
        <f t="shared" si="3"/>
        <v>1994</v>
      </c>
      <c r="C151" s="27" t="s">
        <v>32</v>
      </c>
      <c r="D151" s="27" t="s">
        <v>29</v>
      </c>
      <c r="E151" s="27">
        <v>135</v>
      </c>
    </row>
    <row r="152" spans="1:5" x14ac:dyDescent="0.25">
      <c r="A152" s="26">
        <v>34516</v>
      </c>
      <c r="B152" s="49">
        <f t="shared" si="3"/>
        <v>1994</v>
      </c>
      <c r="C152" s="27" t="s">
        <v>27</v>
      </c>
      <c r="D152" s="27" t="s">
        <v>29</v>
      </c>
      <c r="E152" s="27">
        <v>304</v>
      </c>
    </row>
    <row r="153" spans="1:5" x14ac:dyDescent="0.25">
      <c r="A153" s="26">
        <v>34516</v>
      </c>
      <c r="B153" s="49">
        <f t="shared" si="3"/>
        <v>1994</v>
      </c>
      <c r="C153" s="27" t="s">
        <v>32</v>
      </c>
      <c r="D153" s="27" t="s">
        <v>29</v>
      </c>
      <c r="E153" s="27">
        <v>473</v>
      </c>
    </row>
    <row r="154" spans="1:5" x14ac:dyDescent="0.25">
      <c r="A154" s="26">
        <v>34516</v>
      </c>
      <c r="B154" s="49">
        <f t="shared" si="3"/>
        <v>1994</v>
      </c>
      <c r="C154" s="27" t="s">
        <v>32</v>
      </c>
      <c r="D154" s="27" t="s">
        <v>29</v>
      </c>
      <c r="E154" s="27">
        <v>61</v>
      </c>
    </row>
    <row r="155" spans="1:5" x14ac:dyDescent="0.25">
      <c r="A155" s="26">
        <v>34516</v>
      </c>
      <c r="B155" s="49">
        <f t="shared" si="3"/>
        <v>1994</v>
      </c>
      <c r="C155" s="27" t="s">
        <v>27</v>
      </c>
      <c r="D155" s="27" t="s">
        <v>29</v>
      </c>
      <c r="E155" s="27">
        <v>427</v>
      </c>
    </row>
    <row r="156" spans="1:5" x14ac:dyDescent="0.25">
      <c r="A156" s="26">
        <v>34516</v>
      </c>
      <c r="B156" s="49">
        <f t="shared" si="3"/>
        <v>1994</v>
      </c>
      <c r="C156" s="27" t="s">
        <v>32</v>
      </c>
      <c r="D156" s="27" t="s">
        <v>30</v>
      </c>
      <c r="E156" s="27">
        <v>146</v>
      </c>
    </row>
    <row r="157" spans="1:5" x14ac:dyDescent="0.25">
      <c r="A157" s="26">
        <v>34516</v>
      </c>
      <c r="B157" s="49">
        <f t="shared" si="3"/>
        <v>1994</v>
      </c>
      <c r="C157" s="27" t="s">
        <v>27</v>
      </c>
      <c r="D157" s="27" t="s">
        <v>30</v>
      </c>
      <c r="E157" s="27">
        <v>32</v>
      </c>
    </row>
    <row r="158" spans="1:5" x14ac:dyDescent="0.25">
      <c r="A158" s="26">
        <v>34516</v>
      </c>
      <c r="B158" s="49">
        <f t="shared" si="3"/>
        <v>1994</v>
      </c>
      <c r="C158" s="27" t="s">
        <v>32</v>
      </c>
      <c r="D158" s="27" t="s">
        <v>30</v>
      </c>
      <c r="E158" s="27">
        <v>193</v>
      </c>
    </row>
    <row r="159" spans="1:5" x14ac:dyDescent="0.25">
      <c r="A159" s="26">
        <v>34516</v>
      </c>
      <c r="B159" s="49">
        <f t="shared" si="3"/>
        <v>1994</v>
      </c>
      <c r="C159" s="27" t="s">
        <v>27</v>
      </c>
      <c r="D159" s="27" t="s">
        <v>30</v>
      </c>
      <c r="E159" s="27">
        <v>79</v>
      </c>
    </row>
    <row r="160" spans="1:5" x14ac:dyDescent="0.25">
      <c r="A160" s="26">
        <v>34516</v>
      </c>
      <c r="B160" s="49">
        <f t="shared" si="3"/>
        <v>1994</v>
      </c>
      <c r="C160" s="27" t="s">
        <v>32</v>
      </c>
      <c r="D160" s="27" t="s">
        <v>30</v>
      </c>
      <c r="E160" s="27">
        <v>114</v>
      </c>
    </row>
    <row r="161" spans="1:5" x14ac:dyDescent="0.25">
      <c r="A161" s="26">
        <v>34516</v>
      </c>
      <c r="B161" s="49">
        <f t="shared" si="3"/>
        <v>1994</v>
      </c>
      <c r="C161" s="27" t="s">
        <v>27</v>
      </c>
      <c r="D161" s="27" t="s">
        <v>30</v>
      </c>
      <c r="E161" s="27">
        <v>72</v>
      </c>
    </row>
    <row r="162" spans="1:5" x14ac:dyDescent="0.25">
      <c r="A162" s="26">
        <v>34516</v>
      </c>
      <c r="B162" s="49">
        <f t="shared" si="3"/>
        <v>1994</v>
      </c>
      <c r="C162" s="27" t="s">
        <v>32</v>
      </c>
      <c r="D162" s="27" t="s">
        <v>30</v>
      </c>
      <c r="E162" s="27">
        <v>138</v>
      </c>
    </row>
    <row r="163" spans="1:5" x14ac:dyDescent="0.25">
      <c r="A163" s="26">
        <v>34516</v>
      </c>
      <c r="B163" s="49">
        <f t="shared" si="3"/>
        <v>1994</v>
      </c>
      <c r="C163" s="27" t="s">
        <v>27</v>
      </c>
      <c r="D163" s="27" t="s">
        <v>30</v>
      </c>
      <c r="E163" s="27">
        <v>53</v>
      </c>
    </row>
    <row r="164" spans="1:5" x14ac:dyDescent="0.25">
      <c r="A164" s="26">
        <v>34516</v>
      </c>
      <c r="B164" s="49">
        <f t="shared" si="3"/>
        <v>1994</v>
      </c>
      <c r="C164" s="27" t="s">
        <v>32</v>
      </c>
      <c r="D164" s="27" t="s">
        <v>30</v>
      </c>
      <c r="E164" s="27">
        <v>203</v>
      </c>
    </row>
    <row r="165" spans="1:5" x14ac:dyDescent="0.25">
      <c r="A165" s="26">
        <v>34516</v>
      </c>
      <c r="B165" s="49">
        <f t="shared" si="3"/>
        <v>1994</v>
      </c>
      <c r="C165" s="27" t="s">
        <v>32</v>
      </c>
      <c r="D165" s="27" t="s">
        <v>30</v>
      </c>
      <c r="E165" s="27">
        <v>854</v>
      </c>
    </row>
    <row r="166" spans="1:5" x14ac:dyDescent="0.25">
      <c r="A166" s="26">
        <v>34516</v>
      </c>
      <c r="B166" s="49">
        <f t="shared" si="3"/>
        <v>1994</v>
      </c>
      <c r="C166" s="27" t="s">
        <v>27</v>
      </c>
      <c r="D166" s="27" t="s">
        <v>30</v>
      </c>
      <c r="E166" s="27">
        <v>694</v>
      </c>
    </row>
    <row r="167" spans="1:5" x14ac:dyDescent="0.25">
      <c r="A167" s="26">
        <v>34516</v>
      </c>
      <c r="B167" s="49">
        <f t="shared" si="3"/>
        <v>1994</v>
      </c>
      <c r="C167" s="27" t="s">
        <v>27</v>
      </c>
      <c r="D167" s="27" t="s">
        <v>30</v>
      </c>
      <c r="E167" s="27">
        <v>705</v>
      </c>
    </row>
    <row r="168" spans="1:5" x14ac:dyDescent="0.25">
      <c r="A168" s="26">
        <v>34516</v>
      </c>
      <c r="B168" s="49">
        <f t="shared" si="3"/>
        <v>1994</v>
      </c>
      <c r="C168" s="27" t="s">
        <v>32</v>
      </c>
      <c r="D168" s="27" t="s">
        <v>31</v>
      </c>
      <c r="E168" s="27">
        <v>1422</v>
      </c>
    </row>
    <row r="169" spans="1:5" x14ac:dyDescent="0.25">
      <c r="A169" s="26">
        <v>34516</v>
      </c>
      <c r="B169" s="49">
        <f t="shared" si="3"/>
        <v>1994</v>
      </c>
      <c r="C169" s="27" t="s">
        <v>32</v>
      </c>
      <c r="D169" s="27" t="s">
        <v>31</v>
      </c>
      <c r="E169" s="27">
        <v>149</v>
      </c>
    </row>
    <row r="170" spans="1:5" x14ac:dyDescent="0.25">
      <c r="A170" s="26">
        <v>34516</v>
      </c>
      <c r="B170" s="49">
        <f t="shared" si="3"/>
        <v>1994</v>
      </c>
      <c r="C170" s="27" t="s">
        <v>27</v>
      </c>
      <c r="D170" s="27" t="s">
        <v>31</v>
      </c>
      <c r="E170" s="27">
        <v>175</v>
      </c>
    </row>
    <row r="171" spans="1:5" x14ac:dyDescent="0.25">
      <c r="A171" s="26">
        <v>34516</v>
      </c>
      <c r="B171" s="49">
        <f t="shared" si="3"/>
        <v>1994</v>
      </c>
      <c r="C171" s="27" t="s">
        <v>32</v>
      </c>
      <c r="D171" s="27" t="s">
        <v>31</v>
      </c>
      <c r="E171" s="27">
        <v>169</v>
      </c>
    </row>
    <row r="172" spans="1:5" x14ac:dyDescent="0.25">
      <c r="A172" s="26">
        <v>34516</v>
      </c>
      <c r="B172" s="49">
        <f t="shared" si="3"/>
        <v>1994</v>
      </c>
      <c r="C172" s="27" t="s">
        <v>27</v>
      </c>
      <c r="D172" s="27" t="s">
        <v>31</v>
      </c>
      <c r="E172" s="27">
        <v>210</v>
      </c>
    </row>
    <row r="173" spans="1:5" x14ac:dyDescent="0.25">
      <c r="A173" s="26">
        <v>34516</v>
      </c>
      <c r="B173" s="49">
        <f t="shared" si="3"/>
        <v>1994</v>
      </c>
      <c r="C173" s="27" t="s">
        <v>32</v>
      </c>
      <c r="D173" s="27" t="s">
        <v>31</v>
      </c>
      <c r="E173" s="27">
        <v>591</v>
      </c>
    </row>
    <row r="174" spans="1:5" x14ac:dyDescent="0.25">
      <c r="A174" s="26">
        <v>34516</v>
      </c>
      <c r="B174" s="49">
        <f t="shared" si="3"/>
        <v>1994</v>
      </c>
      <c r="C174" s="27" t="s">
        <v>27</v>
      </c>
      <c r="D174" s="27" t="s">
        <v>31</v>
      </c>
      <c r="E174" s="27">
        <v>203</v>
      </c>
    </row>
    <row r="175" spans="1:5" x14ac:dyDescent="0.25">
      <c r="A175" s="26">
        <v>34516</v>
      </c>
      <c r="B175" s="49">
        <f t="shared" si="3"/>
        <v>1994</v>
      </c>
      <c r="C175" s="27" t="s">
        <v>27</v>
      </c>
      <c r="D175" s="27" t="s">
        <v>31</v>
      </c>
      <c r="E175" s="27">
        <v>135</v>
      </c>
    </row>
    <row r="176" spans="1:5" x14ac:dyDescent="0.25">
      <c r="A176" s="26">
        <v>34516</v>
      </c>
      <c r="B176" s="49">
        <f t="shared" si="3"/>
        <v>1994</v>
      </c>
      <c r="C176" s="27" t="s">
        <v>32</v>
      </c>
      <c r="D176" s="27" t="s">
        <v>33</v>
      </c>
      <c r="E176" s="27">
        <v>1468</v>
      </c>
    </row>
    <row r="177" spans="1:5" x14ac:dyDescent="0.25">
      <c r="A177" s="26">
        <v>34516</v>
      </c>
      <c r="B177" s="49">
        <f t="shared" si="3"/>
        <v>1994</v>
      </c>
      <c r="C177" s="27" t="s">
        <v>32</v>
      </c>
      <c r="D177" s="27" t="s">
        <v>33</v>
      </c>
      <c r="E177" s="27">
        <v>306</v>
      </c>
    </row>
    <row r="178" spans="1:5" x14ac:dyDescent="0.25">
      <c r="A178" s="26">
        <v>34516</v>
      </c>
      <c r="B178" s="49">
        <f t="shared" si="3"/>
        <v>1994</v>
      </c>
      <c r="C178" s="27" t="s">
        <v>32</v>
      </c>
      <c r="D178" s="27" t="s">
        <v>33</v>
      </c>
      <c r="E178" s="27">
        <v>326</v>
      </c>
    </row>
    <row r="179" spans="1:5" x14ac:dyDescent="0.25">
      <c r="A179" s="26">
        <v>34516</v>
      </c>
      <c r="B179" s="49">
        <f t="shared" si="3"/>
        <v>1994</v>
      </c>
      <c r="C179" s="27" t="s">
        <v>27</v>
      </c>
      <c r="D179" s="27" t="s">
        <v>33</v>
      </c>
      <c r="E179" s="27">
        <v>378</v>
      </c>
    </row>
    <row r="180" spans="1:5" x14ac:dyDescent="0.25">
      <c r="A180" s="26">
        <v>34516</v>
      </c>
      <c r="B180" s="49">
        <f t="shared" si="3"/>
        <v>1994</v>
      </c>
      <c r="C180" s="27" t="s">
        <v>27</v>
      </c>
      <c r="D180" s="27" t="s">
        <v>33</v>
      </c>
      <c r="E180" s="27">
        <v>56</v>
      </c>
    </row>
    <row r="181" spans="1:5" x14ac:dyDescent="0.25">
      <c r="A181" s="26">
        <v>34516</v>
      </c>
      <c r="B181" s="49">
        <f t="shared" si="3"/>
        <v>1994</v>
      </c>
      <c r="C181" s="27" t="s">
        <v>32</v>
      </c>
      <c r="D181" s="27" t="s">
        <v>33</v>
      </c>
      <c r="E181" s="27">
        <v>997</v>
      </c>
    </row>
    <row r="182" spans="1:5" x14ac:dyDescent="0.25">
      <c r="A182" s="26">
        <v>34516</v>
      </c>
      <c r="B182" s="49">
        <f t="shared" si="3"/>
        <v>1994</v>
      </c>
      <c r="C182" s="27" t="s">
        <v>27</v>
      </c>
      <c r="D182" s="27" t="s">
        <v>33</v>
      </c>
      <c r="E182" s="27">
        <v>35</v>
      </c>
    </row>
    <row r="183" spans="1:5" x14ac:dyDescent="0.25">
      <c r="A183" s="26">
        <v>34516</v>
      </c>
      <c r="B183" s="49">
        <f t="shared" si="3"/>
        <v>1994</v>
      </c>
      <c r="C183" s="27" t="s">
        <v>27</v>
      </c>
      <c r="D183" s="27" t="s">
        <v>33</v>
      </c>
      <c r="E183" s="27">
        <v>410</v>
      </c>
    </row>
    <row r="184" spans="1:5" x14ac:dyDescent="0.25">
      <c r="A184" s="26">
        <v>34547</v>
      </c>
      <c r="B184" s="49">
        <f t="shared" si="3"/>
        <v>1994</v>
      </c>
      <c r="C184" s="27" t="s">
        <v>32</v>
      </c>
      <c r="D184" s="27" t="s">
        <v>28</v>
      </c>
      <c r="E184" s="27">
        <v>1982</v>
      </c>
    </row>
    <row r="185" spans="1:5" x14ac:dyDescent="0.25">
      <c r="A185" s="26">
        <v>34547</v>
      </c>
      <c r="B185" s="49">
        <f t="shared" si="3"/>
        <v>1994</v>
      </c>
      <c r="C185" s="27" t="s">
        <v>32</v>
      </c>
      <c r="D185" s="27" t="s">
        <v>28</v>
      </c>
      <c r="E185" s="27">
        <v>1974</v>
      </c>
    </row>
    <row r="186" spans="1:5" x14ac:dyDescent="0.25">
      <c r="A186" s="26">
        <v>34547</v>
      </c>
      <c r="B186" s="49">
        <f t="shared" si="3"/>
        <v>1994</v>
      </c>
      <c r="C186" s="27" t="s">
        <v>32</v>
      </c>
      <c r="D186" s="27" t="s">
        <v>28</v>
      </c>
      <c r="E186" s="27">
        <v>413</v>
      </c>
    </row>
    <row r="187" spans="1:5" x14ac:dyDescent="0.25">
      <c r="A187" s="26">
        <v>34547</v>
      </c>
      <c r="B187" s="49">
        <f t="shared" si="3"/>
        <v>1994</v>
      </c>
      <c r="C187" s="27" t="s">
        <v>32</v>
      </c>
      <c r="D187" s="27" t="s">
        <v>28</v>
      </c>
      <c r="E187" s="27">
        <v>293</v>
      </c>
    </row>
    <row r="188" spans="1:5" x14ac:dyDescent="0.25">
      <c r="A188" s="26">
        <v>34547</v>
      </c>
      <c r="B188" s="49">
        <f t="shared" si="3"/>
        <v>1994</v>
      </c>
      <c r="C188" s="27" t="s">
        <v>27</v>
      </c>
      <c r="D188" s="27" t="s">
        <v>28</v>
      </c>
      <c r="E188" s="27">
        <v>286</v>
      </c>
    </row>
    <row r="189" spans="1:5" x14ac:dyDescent="0.25">
      <c r="A189" s="26">
        <v>34547</v>
      </c>
      <c r="B189" s="49">
        <f t="shared" si="3"/>
        <v>1994</v>
      </c>
      <c r="C189" s="27" t="s">
        <v>27</v>
      </c>
      <c r="D189" s="27" t="s">
        <v>28</v>
      </c>
      <c r="E189" s="27">
        <v>270</v>
      </c>
    </row>
    <row r="190" spans="1:5" x14ac:dyDescent="0.25">
      <c r="A190" s="26">
        <v>34547</v>
      </c>
      <c r="B190" s="49">
        <f t="shared" si="3"/>
        <v>1994</v>
      </c>
      <c r="C190" s="27" t="s">
        <v>27</v>
      </c>
      <c r="D190" s="27" t="s">
        <v>28</v>
      </c>
      <c r="E190" s="27">
        <v>193</v>
      </c>
    </row>
    <row r="191" spans="1:5" x14ac:dyDescent="0.25">
      <c r="A191" s="26">
        <v>34547</v>
      </c>
      <c r="B191" s="49">
        <f t="shared" si="3"/>
        <v>1994</v>
      </c>
      <c r="C191" s="27" t="s">
        <v>27</v>
      </c>
      <c r="D191" s="27" t="s">
        <v>28</v>
      </c>
      <c r="E191" s="27">
        <v>169</v>
      </c>
    </row>
    <row r="192" spans="1:5" x14ac:dyDescent="0.25">
      <c r="A192" s="26">
        <v>34547</v>
      </c>
      <c r="B192" s="49">
        <f t="shared" si="3"/>
        <v>1994</v>
      </c>
      <c r="C192" s="27" t="s">
        <v>27</v>
      </c>
      <c r="D192" s="27" t="s">
        <v>29</v>
      </c>
      <c r="E192" s="27">
        <v>105</v>
      </c>
    </row>
    <row r="193" spans="1:5" x14ac:dyDescent="0.25">
      <c r="A193" s="26">
        <v>34547</v>
      </c>
      <c r="B193" s="49">
        <f t="shared" si="3"/>
        <v>1994</v>
      </c>
      <c r="C193" s="27" t="s">
        <v>27</v>
      </c>
      <c r="D193" s="27" t="s">
        <v>29</v>
      </c>
      <c r="E193" s="27">
        <v>571</v>
      </c>
    </row>
    <row r="194" spans="1:5" x14ac:dyDescent="0.25">
      <c r="A194" s="26">
        <v>34547</v>
      </c>
      <c r="B194" s="49">
        <f t="shared" si="3"/>
        <v>1994</v>
      </c>
      <c r="C194" s="27" t="s">
        <v>32</v>
      </c>
      <c r="D194" s="27" t="s">
        <v>29</v>
      </c>
      <c r="E194" s="27">
        <v>158</v>
      </c>
    </row>
    <row r="195" spans="1:5" x14ac:dyDescent="0.25">
      <c r="A195" s="26">
        <v>34547</v>
      </c>
      <c r="B195" s="49">
        <f t="shared" ref="B195:B258" si="4">YEAR(A195)</f>
        <v>1994</v>
      </c>
      <c r="C195" s="27" t="s">
        <v>27</v>
      </c>
      <c r="D195" s="27" t="s">
        <v>29</v>
      </c>
      <c r="E195" s="27">
        <v>270</v>
      </c>
    </row>
    <row r="196" spans="1:5" x14ac:dyDescent="0.25">
      <c r="A196" s="26">
        <v>34547</v>
      </c>
      <c r="B196" s="49">
        <f t="shared" si="4"/>
        <v>1994</v>
      </c>
      <c r="C196" s="27" t="s">
        <v>27</v>
      </c>
      <c r="D196" s="27" t="s">
        <v>29</v>
      </c>
      <c r="E196" s="27">
        <v>203</v>
      </c>
    </row>
    <row r="197" spans="1:5" x14ac:dyDescent="0.25">
      <c r="A197" s="26">
        <v>34547</v>
      </c>
      <c r="B197" s="49">
        <f t="shared" si="4"/>
        <v>1994</v>
      </c>
      <c r="C197" s="27" t="s">
        <v>32</v>
      </c>
      <c r="D197" s="27" t="s">
        <v>29</v>
      </c>
      <c r="E197" s="27">
        <v>525</v>
      </c>
    </row>
    <row r="198" spans="1:5" x14ac:dyDescent="0.25">
      <c r="A198" s="26">
        <v>34547</v>
      </c>
      <c r="B198" s="49">
        <f t="shared" si="4"/>
        <v>1994</v>
      </c>
      <c r="C198" s="27" t="s">
        <v>32</v>
      </c>
      <c r="D198" s="27" t="s">
        <v>29</v>
      </c>
      <c r="E198" s="27">
        <v>70</v>
      </c>
    </row>
    <row r="199" spans="1:5" x14ac:dyDescent="0.25">
      <c r="A199" s="26">
        <v>34547</v>
      </c>
      <c r="B199" s="49">
        <f t="shared" si="4"/>
        <v>1994</v>
      </c>
      <c r="C199" s="27" t="s">
        <v>32</v>
      </c>
      <c r="D199" s="27" t="s">
        <v>29</v>
      </c>
      <c r="E199" s="27">
        <v>495</v>
      </c>
    </row>
    <row r="200" spans="1:5" x14ac:dyDescent="0.25">
      <c r="A200" s="26">
        <v>34547</v>
      </c>
      <c r="B200" s="49">
        <f t="shared" si="4"/>
        <v>1994</v>
      </c>
      <c r="C200" s="27" t="s">
        <v>32</v>
      </c>
      <c r="D200" s="27" t="s">
        <v>30</v>
      </c>
      <c r="E200" s="27">
        <v>931</v>
      </c>
    </row>
    <row r="201" spans="1:5" x14ac:dyDescent="0.25">
      <c r="A201" s="26">
        <v>34547</v>
      </c>
      <c r="B201" s="49">
        <f t="shared" si="4"/>
        <v>1994</v>
      </c>
      <c r="C201" s="27" t="s">
        <v>27</v>
      </c>
      <c r="D201" s="27" t="s">
        <v>30</v>
      </c>
      <c r="E201" s="27">
        <v>939</v>
      </c>
    </row>
    <row r="202" spans="1:5" x14ac:dyDescent="0.25">
      <c r="A202" s="26">
        <v>34547</v>
      </c>
      <c r="B202" s="49">
        <f t="shared" si="4"/>
        <v>1994</v>
      </c>
      <c r="C202" s="27" t="s">
        <v>27</v>
      </c>
      <c r="D202" s="27" t="s">
        <v>30</v>
      </c>
      <c r="E202" s="27">
        <v>761</v>
      </c>
    </row>
    <row r="203" spans="1:5" x14ac:dyDescent="0.25">
      <c r="A203" s="26">
        <v>34547</v>
      </c>
      <c r="B203" s="49">
        <f t="shared" si="4"/>
        <v>1994</v>
      </c>
      <c r="C203" s="27" t="s">
        <v>27</v>
      </c>
      <c r="D203" s="27" t="s">
        <v>30</v>
      </c>
      <c r="E203" s="27">
        <v>56</v>
      </c>
    </row>
    <row r="204" spans="1:5" x14ac:dyDescent="0.25">
      <c r="A204" s="26">
        <v>34547</v>
      </c>
      <c r="B204" s="49">
        <f t="shared" si="4"/>
        <v>1994</v>
      </c>
      <c r="C204" s="27" t="s">
        <v>32</v>
      </c>
      <c r="D204" s="27" t="s">
        <v>30</v>
      </c>
      <c r="E204" s="27">
        <v>158</v>
      </c>
    </row>
    <row r="205" spans="1:5" x14ac:dyDescent="0.25">
      <c r="A205" s="26">
        <v>34547</v>
      </c>
      <c r="B205" s="49">
        <f t="shared" si="4"/>
        <v>1994</v>
      </c>
      <c r="C205" s="27" t="s">
        <v>32</v>
      </c>
      <c r="D205" s="27" t="s">
        <v>30</v>
      </c>
      <c r="E205" s="27">
        <v>151</v>
      </c>
    </row>
    <row r="206" spans="1:5" x14ac:dyDescent="0.25">
      <c r="A206" s="26">
        <v>34547</v>
      </c>
      <c r="B206" s="49">
        <f t="shared" si="4"/>
        <v>1994</v>
      </c>
      <c r="C206" s="27" t="s">
        <v>27</v>
      </c>
      <c r="D206" s="27" t="s">
        <v>30</v>
      </c>
      <c r="E206" s="27">
        <v>81</v>
      </c>
    </row>
    <row r="207" spans="1:5" x14ac:dyDescent="0.25">
      <c r="A207" s="26">
        <v>34547</v>
      </c>
      <c r="B207" s="49">
        <f t="shared" si="4"/>
        <v>1994</v>
      </c>
      <c r="C207" s="27" t="s">
        <v>32</v>
      </c>
      <c r="D207" s="27" t="s">
        <v>30</v>
      </c>
      <c r="E207" s="27">
        <v>79</v>
      </c>
    </row>
    <row r="208" spans="1:5" x14ac:dyDescent="0.25">
      <c r="A208" s="26">
        <v>34547</v>
      </c>
      <c r="B208" s="49">
        <f t="shared" si="4"/>
        <v>1994</v>
      </c>
      <c r="C208" s="27" t="s">
        <v>27</v>
      </c>
      <c r="D208" s="27" t="s">
        <v>30</v>
      </c>
      <c r="E208" s="27">
        <v>39</v>
      </c>
    </row>
    <row r="209" spans="1:5" x14ac:dyDescent="0.25">
      <c r="A209" s="26">
        <v>34547</v>
      </c>
      <c r="B209" s="49">
        <f t="shared" si="4"/>
        <v>1994</v>
      </c>
      <c r="C209" s="27" t="s">
        <v>27</v>
      </c>
      <c r="D209" s="27" t="s">
        <v>30</v>
      </c>
      <c r="E209" s="27">
        <v>53</v>
      </c>
    </row>
    <row r="210" spans="1:5" x14ac:dyDescent="0.25">
      <c r="A210" s="26">
        <v>34547</v>
      </c>
      <c r="B210" s="49">
        <f t="shared" si="4"/>
        <v>1994</v>
      </c>
      <c r="C210" s="27" t="s">
        <v>32</v>
      </c>
      <c r="D210" s="27" t="s">
        <v>30</v>
      </c>
      <c r="E210" s="27">
        <v>175</v>
      </c>
    </row>
    <row r="211" spans="1:5" x14ac:dyDescent="0.25">
      <c r="A211" s="26">
        <v>34547</v>
      </c>
      <c r="B211" s="49">
        <f t="shared" si="4"/>
        <v>1994</v>
      </c>
      <c r="C211" s="27" t="s">
        <v>32</v>
      </c>
      <c r="D211" s="27" t="s">
        <v>30</v>
      </c>
      <c r="E211" s="27">
        <v>203</v>
      </c>
    </row>
    <row r="212" spans="1:5" x14ac:dyDescent="0.25">
      <c r="A212" s="26">
        <v>34547</v>
      </c>
      <c r="B212" s="49">
        <f t="shared" si="4"/>
        <v>1994</v>
      </c>
      <c r="C212" s="27" t="s">
        <v>32</v>
      </c>
      <c r="D212" s="27" t="s">
        <v>31</v>
      </c>
      <c r="E212" s="27">
        <v>1340</v>
      </c>
    </row>
    <row r="213" spans="1:5" x14ac:dyDescent="0.25">
      <c r="A213" s="26">
        <v>34547</v>
      </c>
      <c r="B213" s="49">
        <f t="shared" si="4"/>
        <v>1994</v>
      </c>
      <c r="C213" s="27" t="s">
        <v>27</v>
      </c>
      <c r="D213" s="27" t="s">
        <v>31</v>
      </c>
      <c r="E213" s="27">
        <v>203</v>
      </c>
    </row>
    <row r="214" spans="1:5" x14ac:dyDescent="0.25">
      <c r="A214" s="26">
        <v>34547</v>
      </c>
      <c r="B214" s="49">
        <f t="shared" si="4"/>
        <v>1994</v>
      </c>
      <c r="C214" s="27" t="s">
        <v>27</v>
      </c>
      <c r="D214" s="27" t="s">
        <v>31</v>
      </c>
      <c r="E214" s="27">
        <v>193</v>
      </c>
    </row>
    <row r="215" spans="1:5" x14ac:dyDescent="0.25">
      <c r="A215" s="26">
        <v>34547</v>
      </c>
      <c r="B215" s="49">
        <f t="shared" si="4"/>
        <v>1994</v>
      </c>
      <c r="C215" s="27" t="s">
        <v>27</v>
      </c>
      <c r="D215" s="27" t="s">
        <v>31</v>
      </c>
      <c r="E215" s="27">
        <v>169</v>
      </c>
    </row>
    <row r="216" spans="1:5" x14ac:dyDescent="0.25">
      <c r="A216" s="26">
        <v>34547</v>
      </c>
      <c r="B216" s="49">
        <f t="shared" si="4"/>
        <v>1994</v>
      </c>
      <c r="C216" s="27" t="s">
        <v>27</v>
      </c>
      <c r="D216" s="27" t="s">
        <v>31</v>
      </c>
      <c r="E216" s="27">
        <v>333</v>
      </c>
    </row>
    <row r="217" spans="1:5" x14ac:dyDescent="0.25">
      <c r="A217" s="26">
        <v>34547</v>
      </c>
      <c r="B217" s="49">
        <f t="shared" si="4"/>
        <v>1994</v>
      </c>
      <c r="C217" s="27" t="s">
        <v>32</v>
      </c>
      <c r="D217" s="27" t="s">
        <v>31</v>
      </c>
      <c r="E217" s="27">
        <v>326</v>
      </c>
    </row>
    <row r="218" spans="1:5" x14ac:dyDescent="0.25">
      <c r="A218" s="26">
        <v>34547</v>
      </c>
      <c r="B218" s="49">
        <f t="shared" si="4"/>
        <v>1994</v>
      </c>
      <c r="C218" s="27" t="s">
        <v>32</v>
      </c>
      <c r="D218" s="27" t="s">
        <v>31</v>
      </c>
      <c r="E218" s="27">
        <v>569</v>
      </c>
    </row>
    <row r="219" spans="1:5" x14ac:dyDescent="0.25">
      <c r="A219" s="26">
        <v>34547</v>
      </c>
      <c r="B219" s="49">
        <f t="shared" si="4"/>
        <v>1994</v>
      </c>
      <c r="C219" s="27" t="s">
        <v>32</v>
      </c>
      <c r="D219" s="27" t="s">
        <v>31</v>
      </c>
      <c r="E219" s="27">
        <v>149</v>
      </c>
    </row>
    <row r="220" spans="1:5" x14ac:dyDescent="0.25">
      <c r="A220" s="26">
        <v>34547</v>
      </c>
      <c r="B220" s="49">
        <f t="shared" si="4"/>
        <v>1994</v>
      </c>
      <c r="C220" s="27" t="s">
        <v>32</v>
      </c>
      <c r="D220" s="27" t="s">
        <v>33</v>
      </c>
      <c r="E220" s="27">
        <v>568</v>
      </c>
    </row>
    <row r="221" spans="1:5" x14ac:dyDescent="0.25">
      <c r="A221" s="26">
        <v>34547</v>
      </c>
      <c r="B221" s="49">
        <f t="shared" si="4"/>
        <v>1994</v>
      </c>
      <c r="C221" s="27" t="s">
        <v>27</v>
      </c>
      <c r="D221" s="27" t="s">
        <v>33</v>
      </c>
      <c r="E221" s="27">
        <v>529</v>
      </c>
    </row>
    <row r="222" spans="1:5" x14ac:dyDescent="0.25">
      <c r="A222" s="26">
        <v>34547</v>
      </c>
      <c r="B222" s="49">
        <f t="shared" si="4"/>
        <v>1994</v>
      </c>
      <c r="C222" s="27" t="s">
        <v>27</v>
      </c>
      <c r="D222" s="27" t="s">
        <v>33</v>
      </c>
      <c r="E222" s="27">
        <v>26</v>
      </c>
    </row>
    <row r="223" spans="1:5" x14ac:dyDescent="0.25">
      <c r="A223" s="26">
        <v>34547</v>
      </c>
      <c r="B223" s="49">
        <f t="shared" si="4"/>
        <v>1994</v>
      </c>
      <c r="C223" s="27" t="s">
        <v>27</v>
      </c>
      <c r="D223" s="27" t="s">
        <v>33</v>
      </c>
      <c r="E223" s="27">
        <v>45</v>
      </c>
    </row>
    <row r="224" spans="1:5" x14ac:dyDescent="0.25">
      <c r="A224" s="26">
        <v>34547</v>
      </c>
      <c r="B224" s="49">
        <f t="shared" si="4"/>
        <v>1994</v>
      </c>
      <c r="C224" s="27" t="s">
        <v>27</v>
      </c>
      <c r="D224" s="27" t="s">
        <v>33</v>
      </c>
      <c r="E224" s="27">
        <v>716</v>
      </c>
    </row>
    <row r="225" spans="1:5" x14ac:dyDescent="0.25">
      <c r="A225" s="26">
        <v>34547</v>
      </c>
      <c r="B225" s="49">
        <f t="shared" si="4"/>
        <v>1994</v>
      </c>
      <c r="C225" s="27" t="s">
        <v>32</v>
      </c>
      <c r="D225" s="27" t="s">
        <v>33</v>
      </c>
      <c r="E225" s="27">
        <v>663</v>
      </c>
    </row>
    <row r="226" spans="1:5" x14ac:dyDescent="0.25">
      <c r="A226" s="26">
        <v>34547</v>
      </c>
      <c r="B226" s="49">
        <f t="shared" si="4"/>
        <v>1994</v>
      </c>
      <c r="C226" s="27" t="s">
        <v>32</v>
      </c>
      <c r="D226" s="27" t="s">
        <v>33</v>
      </c>
      <c r="E226" s="27">
        <v>971</v>
      </c>
    </row>
    <row r="227" spans="1:5" x14ac:dyDescent="0.25">
      <c r="A227" s="26">
        <v>34547</v>
      </c>
      <c r="B227" s="49">
        <f t="shared" si="4"/>
        <v>1994</v>
      </c>
      <c r="C227" s="27" t="s">
        <v>32</v>
      </c>
      <c r="D227" s="27" t="s">
        <v>33</v>
      </c>
      <c r="E227" s="27">
        <v>1351</v>
      </c>
    </row>
    <row r="228" spans="1:5" x14ac:dyDescent="0.25">
      <c r="A228" s="26">
        <v>34578</v>
      </c>
      <c r="B228" s="49">
        <f t="shared" si="4"/>
        <v>1994</v>
      </c>
      <c r="C228" s="27" t="s">
        <v>27</v>
      </c>
      <c r="D228" s="27" t="s">
        <v>28</v>
      </c>
      <c r="E228" s="27">
        <v>124</v>
      </c>
    </row>
    <row r="229" spans="1:5" x14ac:dyDescent="0.25">
      <c r="A229" s="26">
        <v>34578</v>
      </c>
      <c r="B229" s="49">
        <f t="shared" si="4"/>
        <v>1994</v>
      </c>
      <c r="C229" s="27" t="s">
        <v>32</v>
      </c>
      <c r="D229" s="27" t="s">
        <v>28</v>
      </c>
      <c r="E229" s="27">
        <v>2811</v>
      </c>
    </row>
    <row r="230" spans="1:5" x14ac:dyDescent="0.25">
      <c r="A230" s="26">
        <v>34578</v>
      </c>
      <c r="B230" s="49">
        <f t="shared" si="4"/>
        <v>1994</v>
      </c>
      <c r="C230" s="27" t="s">
        <v>32</v>
      </c>
      <c r="D230" s="27" t="s">
        <v>28</v>
      </c>
      <c r="E230" s="27">
        <v>2454</v>
      </c>
    </row>
    <row r="231" spans="1:5" x14ac:dyDescent="0.25">
      <c r="A231" s="26">
        <v>34578</v>
      </c>
      <c r="B231" s="49">
        <f t="shared" si="4"/>
        <v>1994</v>
      </c>
      <c r="C231" s="27" t="s">
        <v>27</v>
      </c>
      <c r="D231" s="27" t="s">
        <v>28</v>
      </c>
      <c r="E231" s="27">
        <v>151</v>
      </c>
    </row>
    <row r="232" spans="1:5" x14ac:dyDescent="0.25">
      <c r="A232" s="26">
        <v>34578</v>
      </c>
      <c r="B232" s="49">
        <f t="shared" si="4"/>
        <v>1994</v>
      </c>
      <c r="C232" s="27" t="s">
        <v>27</v>
      </c>
      <c r="D232" s="27" t="s">
        <v>28</v>
      </c>
      <c r="E232" s="27">
        <v>292</v>
      </c>
    </row>
    <row r="233" spans="1:5" x14ac:dyDescent="0.25">
      <c r="A233" s="26">
        <v>34578</v>
      </c>
      <c r="B233" s="49">
        <f t="shared" si="4"/>
        <v>1994</v>
      </c>
      <c r="C233" s="27" t="s">
        <v>27</v>
      </c>
      <c r="D233" s="27" t="s">
        <v>28</v>
      </c>
      <c r="E233" s="27">
        <v>270</v>
      </c>
    </row>
    <row r="234" spans="1:5" x14ac:dyDescent="0.25">
      <c r="A234" s="26">
        <v>34578</v>
      </c>
      <c r="B234" s="49">
        <f t="shared" si="4"/>
        <v>1994</v>
      </c>
      <c r="C234" s="27" t="s">
        <v>32</v>
      </c>
      <c r="D234" s="27" t="s">
        <v>28</v>
      </c>
      <c r="E234" s="27">
        <v>203</v>
      </c>
    </row>
    <row r="235" spans="1:5" x14ac:dyDescent="0.25">
      <c r="A235" s="26">
        <v>34578</v>
      </c>
      <c r="B235" s="49">
        <f t="shared" si="4"/>
        <v>1994</v>
      </c>
      <c r="C235" s="27" t="s">
        <v>32</v>
      </c>
      <c r="D235" s="27" t="s">
        <v>28</v>
      </c>
      <c r="E235" s="27">
        <v>385</v>
      </c>
    </row>
    <row r="236" spans="1:5" x14ac:dyDescent="0.25">
      <c r="A236" s="26">
        <v>34578</v>
      </c>
      <c r="B236" s="49">
        <f t="shared" si="4"/>
        <v>1994</v>
      </c>
      <c r="C236" s="27" t="s">
        <v>27</v>
      </c>
      <c r="D236" s="27" t="s">
        <v>29</v>
      </c>
      <c r="E236" s="27">
        <v>149</v>
      </c>
    </row>
    <row r="237" spans="1:5" x14ac:dyDescent="0.25">
      <c r="A237" s="26">
        <v>34578</v>
      </c>
      <c r="B237" s="49">
        <f t="shared" si="4"/>
        <v>1994</v>
      </c>
      <c r="C237" s="27" t="s">
        <v>32</v>
      </c>
      <c r="D237" s="27" t="s">
        <v>29</v>
      </c>
      <c r="E237" s="27">
        <v>710</v>
      </c>
    </row>
    <row r="238" spans="1:5" x14ac:dyDescent="0.25">
      <c r="A238" s="26">
        <v>34578</v>
      </c>
      <c r="B238" s="49">
        <f t="shared" si="4"/>
        <v>1994</v>
      </c>
      <c r="C238" s="27" t="s">
        <v>27</v>
      </c>
      <c r="D238" s="27" t="s">
        <v>29</v>
      </c>
      <c r="E238" s="27">
        <v>216</v>
      </c>
    </row>
    <row r="239" spans="1:5" x14ac:dyDescent="0.25">
      <c r="A239" s="26">
        <v>34578</v>
      </c>
      <c r="B239" s="49">
        <f t="shared" si="4"/>
        <v>1994</v>
      </c>
      <c r="C239" s="27" t="s">
        <v>32</v>
      </c>
      <c r="D239" s="27" t="s">
        <v>29</v>
      </c>
      <c r="E239" s="27">
        <v>113</v>
      </c>
    </row>
    <row r="240" spans="1:5" x14ac:dyDescent="0.25">
      <c r="A240" s="26">
        <v>34578</v>
      </c>
      <c r="B240" s="49">
        <f t="shared" si="4"/>
        <v>1994</v>
      </c>
      <c r="C240" s="27" t="s">
        <v>32</v>
      </c>
      <c r="D240" s="27" t="s">
        <v>29</v>
      </c>
      <c r="E240" s="27">
        <v>135</v>
      </c>
    </row>
    <row r="241" spans="1:5" x14ac:dyDescent="0.25">
      <c r="A241" s="26">
        <v>34578</v>
      </c>
      <c r="B241" s="49">
        <f t="shared" si="4"/>
        <v>1994</v>
      </c>
      <c r="C241" s="27" t="s">
        <v>27</v>
      </c>
      <c r="D241" s="27" t="s">
        <v>29</v>
      </c>
      <c r="E241" s="27">
        <v>293</v>
      </c>
    </row>
    <row r="242" spans="1:5" x14ac:dyDescent="0.25">
      <c r="A242" s="26">
        <v>34578</v>
      </c>
      <c r="B242" s="49">
        <f t="shared" si="4"/>
        <v>1994</v>
      </c>
      <c r="C242" s="27" t="s">
        <v>32</v>
      </c>
      <c r="D242" s="27" t="s">
        <v>29</v>
      </c>
      <c r="E242" s="27">
        <v>70</v>
      </c>
    </row>
    <row r="243" spans="1:5" x14ac:dyDescent="0.25">
      <c r="A243" s="26">
        <v>34578</v>
      </c>
      <c r="B243" s="49">
        <f t="shared" si="4"/>
        <v>1994</v>
      </c>
      <c r="C243" s="27" t="s">
        <v>27</v>
      </c>
      <c r="D243" s="27" t="s">
        <v>29</v>
      </c>
      <c r="E243" s="27">
        <v>522</v>
      </c>
    </row>
    <row r="244" spans="1:5" x14ac:dyDescent="0.25">
      <c r="A244" s="26">
        <v>34578</v>
      </c>
      <c r="B244" s="49">
        <f t="shared" si="4"/>
        <v>1994</v>
      </c>
      <c r="C244" s="27" t="s">
        <v>27</v>
      </c>
      <c r="D244" s="27" t="s">
        <v>30</v>
      </c>
      <c r="E244" s="27">
        <v>544</v>
      </c>
    </row>
    <row r="245" spans="1:5" x14ac:dyDescent="0.25">
      <c r="A245" s="26">
        <v>34578</v>
      </c>
      <c r="B245" s="49">
        <f t="shared" si="4"/>
        <v>1994</v>
      </c>
      <c r="C245" s="27" t="s">
        <v>32</v>
      </c>
      <c r="D245" s="27" t="s">
        <v>30</v>
      </c>
      <c r="E245" s="27">
        <v>981</v>
      </c>
    </row>
    <row r="246" spans="1:5" x14ac:dyDescent="0.25">
      <c r="A246" s="26">
        <v>34578</v>
      </c>
      <c r="B246" s="49">
        <f t="shared" si="4"/>
        <v>1994</v>
      </c>
      <c r="C246" s="27" t="s">
        <v>27</v>
      </c>
      <c r="D246" s="27" t="s">
        <v>30</v>
      </c>
      <c r="E246" s="27">
        <v>804</v>
      </c>
    </row>
    <row r="247" spans="1:5" x14ac:dyDescent="0.25">
      <c r="A247" s="26">
        <v>34578</v>
      </c>
      <c r="B247" s="49">
        <f t="shared" si="4"/>
        <v>1994</v>
      </c>
      <c r="C247" s="27" t="s">
        <v>27</v>
      </c>
      <c r="D247" s="27" t="s">
        <v>30</v>
      </c>
      <c r="E247" s="27">
        <v>99</v>
      </c>
    </row>
    <row r="248" spans="1:5" x14ac:dyDescent="0.25">
      <c r="A248" s="26">
        <v>34578</v>
      </c>
      <c r="B248" s="49">
        <f t="shared" si="4"/>
        <v>1994</v>
      </c>
      <c r="C248" s="27" t="s">
        <v>32</v>
      </c>
      <c r="D248" s="27" t="s">
        <v>30</v>
      </c>
      <c r="E248" s="27">
        <v>61</v>
      </c>
    </row>
    <row r="249" spans="1:5" x14ac:dyDescent="0.25">
      <c r="A249" s="26">
        <v>34578</v>
      </c>
      <c r="B249" s="49">
        <f t="shared" si="4"/>
        <v>1994</v>
      </c>
      <c r="C249" s="27" t="s">
        <v>27</v>
      </c>
      <c r="D249" s="27" t="s">
        <v>30</v>
      </c>
      <c r="E249" s="27">
        <v>63</v>
      </c>
    </row>
    <row r="250" spans="1:5" x14ac:dyDescent="0.25">
      <c r="A250" s="26">
        <v>34578</v>
      </c>
      <c r="B250" s="49">
        <f t="shared" si="4"/>
        <v>1994</v>
      </c>
      <c r="C250" s="27" t="s">
        <v>27</v>
      </c>
      <c r="D250" s="27" t="s">
        <v>30</v>
      </c>
      <c r="E250" s="27">
        <v>66</v>
      </c>
    </row>
    <row r="251" spans="1:5" x14ac:dyDescent="0.25">
      <c r="A251" s="26">
        <v>34578</v>
      </c>
      <c r="B251" s="49">
        <f t="shared" si="4"/>
        <v>1994</v>
      </c>
      <c r="C251" s="27" t="s">
        <v>32</v>
      </c>
      <c r="D251" s="27" t="s">
        <v>30</v>
      </c>
      <c r="E251" s="27">
        <v>151</v>
      </c>
    </row>
    <row r="252" spans="1:5" x14ac:dyDescent="0.25">
      <c r="A252" s="26">
        <v>34578</v>
      </c>
      <c r="B252" s="49">
        <f t="shared" si="4"/>
        <v>1994</v>
      </c>
      <c r="C252" s="27" t="s">
        <v>27</v>
      </c>
      <c r="D252" s="27" t="s">
        <v>30</v>
      </c>
      <c r="E252" s="27">
        <v>34</v>
      </c>
    </row>
    <row r="253" spans="1:5" x14ac:dyDescent="0.25">
      <c r="A253" s="26">
        <v>34578</v>
      </c>
      <c r="B253" s="49">
        <f t="shared" si="4"/>
        <v>1994</v>
      </c>
      <c r="C253" s="27" t="s">
        <v>32</v>
      </c>
      <c r="D253" s="27" t="s">
        <v>30</v>
      </c>
      <c r="E253" s="27">
        <v>191</v>
      </c>
    </row>
    <row r="254" spans="1:5" x14ac:dyDescent="0.25">
      <c r="A254" s="26">
        <v>34578</v>
      </c>
      <c r="B254" s="49">
        <f t="shared" si="4"/>
        <v>1994</v>
      </c>
      <c r="C254" s="27" t="s">
        <v>32</v>
      </c>
      <c r="D254" s="27" t="s">
        <v>30</v>
      </c>
      <c r="E254" s="27">
        <v>193</v>
      </c>
    </row>
    <row r="255" spans="1:5" x14ac:dyDescent="0.25">
      <c r="A255" s="26">
        <v>34578</v>
      </c>
      <c r="B255" s="49">
        <f t="shared" si="4"/>
        <v>1994</v>
      </c>
      <c r="C255" s="27" t="s">
        <v>32</v>
      </c>
      <c r="D255" s="27" t="s">
        <v>30</v>
      </c>
      <c r="E255" s="27">
        <v>180</v>
      </c>
    </row>
    <row r="256" spans="1:5" x14ac:dyDescent="0.25">
      <c r="A256" s="26">
        <v>34578</v>
      </c>
      <c r="B256" s="49">
        <f t="shared" si="4"/>
        <v>1994</v>
      </c>
      <c r="C256" s="27" t="s">
        <v>27</v>
      </c>
      <c r="D256" s="27" t="s">
        <v>31</v>
      </c>
      <c r="E256" s="27">
        <v>210</v>
      </c>
    </row>
    <row r="257" spans="1:5" x14ac:dyDescent="0.25">
      <c r="A257" s="26">
        <v>34578</v>
      </c>
      <c r="B257" s="49">
        <f t="shared" si="4"/>
        <v>1994</v>
      </c>
      <c r="C257" s="27" t="s">
        <v>27</v>
      </c>
      <c r="D257" s="27" t="s">
        <v>31</v>
      </c>
      <c r="E257" s="27">
        <v>158</v>
      </c>
    </row>
    <row r="258" spans="1:5" x14ac:dyDescent="0.25">
      <c r="A258" s="26">
        <v>34578</v>
      </c>
      <c r="B258" s="49">
        <f t="shared" si="4"/>
        <v>1994</v>
      </c>
      <c r="C258" s="27" t="s">
        <v>27</v>
      </c>
      <c r="D258" s="27" t="s">
        <v>31</v>
      </c>
      <c r="E258" s="27">
        <v>180</v>
      </c>
    </row>
    <row r="259" spans="1:5" x14ac:dyDescent="0.25">
      <c r="A259" s="26">
        <v>34578</v>
      </c>
      <c r="B259" s="49">
        <f t="shared" ref="B259:B322" si="5">YEAR(A259)</f>
        <v>1994</v>
      </c>
      <c r="C259" s="27" t="s">
        <v>27</v>
      </c>
      <c r="D259" s="27" t="s">
        <v>31</v>
      </c>
      <c r="E259" s="27">
        <v>450</v>
      </c>
    </row>
    <row r="260" spans="1:5" x14ac:dyDescent="0.25">
      <c r="A260" s="26">
        <v>34578</v>
      </c>
      <c r="B260" s="49">
        <f t="shared" si="5"/>
        <v>1994</v>
      </c>
      <c r="C260" s="27" t="s">
        <v>32</v>
      </c>
      <c r="D260" s="27" t="s">
        <v>31</v>
      </c>
      <c r="E260" s="27">
        <v>140</v>
      </c>
    </row>
    <row r="261" spans="1:5" x14ac:dyDescent="0.25">
      <c r="A261" s="26">
        <v>34578</v>
      </c>
      <c r="B261" s="49">
        <f t="shared" si="5"/>
        <v>1994</v>
      </c>
      <c r="C261" s="27" t="s">
        <v>32</v>
      </c>
      <c r="D261" s="27" t="s">
        <v>31</v>
      </c>
      <c r="E261" s="27">
        <v>304</v>
      </c>
    </row>
    <row r="262" spans="1:5" x14ac:dyDescent="0.25">
      <c r="A262" s="26">
        <v>34578</v>
      </c>
      <c r="B262" s="49">
        <f t="shared" si="5"/>
        <v>1994</v>
      </c>
      <c r="C262" s="27" t="s">
        <v>32</v>
      </c>
      <c r="D262" s="27" t="s">
        <v>31</v>
      </c>
      <c r="E262" s="27">
        <v>1345</v>
      </c>
    </row>
    <row r="263" spans="1:5" x14ac:dyDescent="0.25">
      <c r="A263" s="26">
        <v>34578</v>
      </c>
      <c r="B263" s="49">
        <f t="shared" si="5"/>
        <v>1994</v>
      </c>
      <c r="C263" s="27" t="s">
        <v>32</v>
      </c>
      <c r="D263" s="27" t="s">
        <v>31</v>
      </c>
      <c r="E263" s="27">
        <v>576</v>
      </c>
    </row>
    <row r="264" spans="1:5" x14ac:dyDescent="0.25">
      <c r="A264" s="26">
        <v>34578</v>
      </c>
      <c r="B264" s="49">
        <f t="shared" si="5"/>
        <v>1994</v>
      </c>
      <c r="C264" s="27" t="s">
        <v>27</v>
      </c>
      <c r="D264" s="27" t="s">
        <v>33</v>
      </c>
      <c r="E264" s="27">
        <v>18</v>
      </c>
    </row>
    <row r="265" spans="1:5" x14ac:dyDescent="0.25">
      <c r="A265" s="26">
        <v>34578</v>
      </c>
      <c r="B265" s="49">
        <f t="shared" si="5"/>
        <v>1994</v>
      </c>
      <c r="C265" s="27" t="s">
        <v>32</v>
      </c>
      <c r="D265" s="27" t="s">
        <v>33</v>
      </c>
      <c r="E265" s="27">
        <v>1366</v>
      </c>
    </row>
    <row r="266" spans="1:5" x14ac:dyDescent="0.25">
      <c r="A266" s="26">
        <v>34578</v>
      </c>
      <c r="B266" s="49">
        <f t="shared" si="5"/>
        <v>1994</v>
      </c>
      <c r="C266" s="27" t="s">
        <v>27</v>
      </c>
      <c r="D266" s="27" t="s">
        <v>33</v>
      </c>
      <c r="E266" s="27">
        <v>483</v>
      </c>
    </row>
    <row r="267" spans="1:5" x14ac:dyDescent="0.25">
      <c r="A267" s="26">
        <v>34578</v>
      </c>
      <c r="B267" s="49">
        <f t="shared" si="5"/>
        <v>1994</v>
      </c>
      <c r="C267" s="27" t="s">
        <v>32</v>
      </c>
      <c r="D267" s="27" t="s">
        <v>33</v>
      </c>
      <c r="E267" s="27">
        <v>1160</v>
      </c>
    </row>
    <row r="268" spans="1:5" x14ac:dyDescent="0.25">
      <c r="A268" s="26">
        <v>34578</v>
      </c>
      <c r="B268" s="49">
        <f t="shared" si="5"/>
        <v>1994</v>
      </c>
      <c r="C268" s="27" t="s">
        <v>32</v>
      </c>
      <c r="D268" s="27" t="s">
        <v>33</v>
      </c>
      <c r="E268" s="27">
        <v>587</v>
      </c>
    </row>
    <row r="269" spans="1:5" x14ac:dyDescent="0.25">
      <c r="A269" s="26">
        <v>34578</v>
      </c>
      <c r="B269" s="49">
        <f t="shared" si="5"/>
        <v>1994</v>
      </c>
      <c r="C269" s="27" t="s">
        <v>32</v>
      </c>
      <c r="D269" s="27" t="s">
        <v>33</v>
      </c>
      <c r="E269" s="27">
        <v>349</v>
      </c>
    </row>
    <row r="270" spans="1:5" x14ac:dyDescent="0.25">
      <c r="A270" s="26">
        <v>34578</v>
      </c>
      <c r="B270" s="49">
        <f t="shared" si="5"/>
        <v>1994</v>
      </c>
      <c r="C270" s="27" t="s">
        <v>27</v>
      </c>
      <c r="D270" s="27" t="s">
        <v>33</v>
      </c>
      <c r="E270" s="27">
        <v>45</v>
      </c>
    </row>
    <row r="271" spans="1:5" x14ac:dyDescent="0.25">
      <c r="A271" s="26">
        <v>34578</v>
      </c>
      <c r="B271" s="49">
        <f t="shared" si="5"/>
        <v>1994</v>
      </c>
      <c r="C271" s="27" t="s">
        <v>27</v>
      </c>
      <c r="D271" s="27" t="s">
        <v>33</v>
      </c>
      <c r="E271" s="27">
        <v>275</v>
      </c>
    </row>
    <row r="272" spans="1:5" x14ac:dyDescent="0.25">
      <c r="A272" s="26">
        <v>34608</v>
      </c>
      <c r="B272" s="49">
        <f t="shared" si="5"/>
        <v>1994</v>
      </c>
      <c r="C272" s="27" t="s">
        <v>27</v>
      </c>
      <c r="D272" s="27" t="s">
        <v>28</v>
      </c>
      <c r="E272" s="27">
        <v>179</v>
      </c>
    </row>
    <row r="273" spans="1:5" x14ac:dyDescent="0.25">
      <c r="A273" s="26">
        <v>34608</v>
      </c>
      <c r="B273" s="49">
        <f t="shared" si="5"/>
        <v>1994</v>
      </c>
      <c r="C273" s="27" t="s">
        <v>27</v>
      </c>
      <c r="D273" s="27" t="s">
        <v>28</v>
      </c>
      <c r="E273" s="27">
        <v>169</v>
      </c>
    </row>
    <row r="274" spans="1:5" x14ac:dyDescent="0.25">
      <c r="A274" s="26">
        <v>34608</v>
      </c>
      <c r="B274" s="49">
        <f t="shared" si="5"/>
        <v>1994</v>
      </c>
      <c r="C274" s="27" t="s">
        <v>32</v>
      </c>
      <c r="D274" s="27" t="s">
        <v>28</v>
      </c>
      <c r="E274" s="27">
        <v>2266</v>
      </c>
    </row>
    <row r="275" spans="1:5" x14ac:dyDescent="0.25">
      <c r="A275" s="26">
        <v>34608</v>
      </c>
      <c r="B275" s="49">
        <f t="shared" si="5"/>
        <v>1994</v>
      </c>
      <c r="C275" s="27" t="s">
        <v>34</v>
      </c>
      <c r="D275" s="27" t="s">
        <v>28</v>
      </c>
      <c r="E275" s="27">
        <v>1271</v>
      </c>
    </row>
    <row r="276" spans="1:5" x14ac:dyDescent="0.25">
      <c r="A276" s="26">
        <v>34608</v>
      </c>
      <c r="B276" s="49">
        <f t="shared" si="5"/>
        <v>1994</v>
      </c>
      <c r="C276" s="27" t="s">
        <v>32</v>
      </c>
      <c r="D276" s="27" t="s">
        <v>28</v>
      </c>
      <c r="E276" s="27">
        <v>1219</v>
      </c>
    </row>
    <row r="277" spans="1:5" x14ac:dyDescent="0.25">
      <c r="A277" s="26">
        <v>34608</v>
      </c>
      <c r="B277" s="49">
        <f t="shared" si="5"/>
        <v>1994</v>
      </c>
      <c r="C277" s="27" t="s">
        <v>32</v>
      </c>
      <c r="D277" s="27" t="s">
        <v>28</v>
      </c>
      <c r="E277" s="27">
        <v>504</v>
      </c>
    </row>
    <row r="278" spans="1:5" x14ac:dyDescent="0.25">
      <c r="A278" s="26">
        <v>34608</v>
      </c>
      <c r="B278" s="49">
        <f t="shared" si="5"/>
        <v>1994</v>
      </c>
      <c r="C278" s="27" t="s">
        <v>34</v>
      </c>
      <c r="D278" s="27" t="s">
        <v>28</v>
      </c>
      <c r="E278" s="27">
        <v>413</v>
      </c>
    </row>
    <row r="279" spans="1:5" x14ac:dyDescent="0.25">
      <c r="A279" s="26">
        <v>34608</v>
      </c>
      <c r="B279" s="49">
        <f t="shared" si="5"/>
        <v>1994</v>
      </c>
      <c r="C279" s="27" t="s">
        <v>27</v>
      </c>
      <c r="D279" s="27" t="s">
        <v>28</v>
      </c>
      <c r="E279" s="27">
        <v>347</v>
      </c>
    </row>
    <row r="280" spans="1:5" x14ac:dyDescent="0.25">
      <c r="A280" s="26">
        <v>34608</v>
      </c>
      <c r="B280" s="49">
        <f t="shared" si="5"/>
        <v>1994</v>
      </c>
      <c r="C280" s="27" t="s">
        <v>27</v>
      </c>
      <c r="D280" s="27" t="s">
        <v>28</v>
      </c>
      <c r="E280" s="27">
        <v>347</v>
      </c>
    </row>
    <row r="281" spans="1:5" x14ac:dyDescent="0.25">
      <c r="A281" s="26">
        <v>34608</v>
      </c>
      <c r="B281" s="49">
        <f t="shared" si="5"/>
        <v>1994</v>
      </c>
      <c r="C281" s="27" t="s">
        <v>32</v>
      </c>
      <c r="D281" s="27" t="s">
        <v>28</v>
      </c>
      <c r="E281" s="27">
        <v>293</v>
      </c>
    </row>
    <row r="282" spans="1:5" x14ac:dyDescent="0.25">
      <c r="A282" s="26">
        <v>34608</v>
      </c>
      <c r="B282" s="49">
        <f t="shared" si="5"/>
        <v>1994</v>
      </c>
      <c r="C282" s="27" t="s">
        <v>32</v>
      </c>
      <c r="D282" s="27" t="s">
        <v>29</v>
      </c>
      <c r="E282" s="27">
        <v>135</v>
      </c>
    </row>
    <row r="283" spans="1:5" x14ac:dyDescent="0.25">
      <c r="A283" s="26">
        <v>34608</v>
      </c>
      <c r="B283" s="49">
        <f t="shared" si="5"/>
        <v>1994</v>
      </c>
      <c r="C283" s="27" t="s">
        <v>32</v>
      </c>
      <c r="D283" s="27" t="s">
        <v>29</v>
      </c>
      <c r="E283" s="27">
        <v>124</v>
      </c>
    </row>
    <row r="284" spans="1:5" x14ac:dyDescent="0.25">
      <c r="A284" s="26">
        <v>34608</v>
      </c>
      <c r="B284" s="49">
        <f t="shared" si="5"/>
        <v>1994</v>
      </c>
      <c r="C284" s="27" t="s">
        <v>27</v>
      </c>
      <c r="D284" s="27" t="s">
        <v>29</v>
      </c>
      <c r="E284" s="27">
        <v>140</v>
      </c>
    </row>
    <row r="285" spans="1:5" x14ac:dyDescent="0.25">
      <c r="A285" s="26">
        <v>34608</v>
      </c>
      <c r="B285" s="49">
        <f t="shared" si="5"/>
        <v>1994</v>
      </c>
      <c r="C285" s="27" t="s">
        <v>32</v>
      </c>
      <c r="D285" s="27" t="s">
        <v>29</v>
      </c>
      <c r="E285" s="27">
        <v>70</v>
      </c>
    </row>
    <row r="286" spans="1:5" x14ac:dyDescent="0.25">
      <c r="A286" s="26">
        <v>34608</v>
      </c>
      <c r="B286" s="49">
        <f t="shared" si="5"/>
        <v>1994</v>
      </c>
      <c r="C286" s="27" t="s">
        <v>27</v>
      </c>
      <c r="D286" s="27" t="s">
        <v>29</v>
      </c>
      <c r="E286" s="27">
        <v>279</v>
      </c>
    </row>
    <row r="287" spans="1:5" x14ac:dyDescent="0.25">
      <c r="A287" s="26">
        <v>34608</v>
      </c>
      <c r="B287" s="49">
        <f t="shared" si="5"/>
        <v>1994</v>
      </c>
      <c r="C287" s="27" t="s">
        <v>32</v>
      </c>
      <c r="D287" s="27" t="s">
        <v>29</v>
      </c>
      <c r="E287" s="27">
        <v>683</v>
      </c>
    </row>
    <row r="288" spans="1:5" x14ac:dyDescent="0.25">
      <c r="A288" s="26">
        <v>34608</v>
      </c>
      <c r="B288" s="49">
        <f t="shared" si="5"/>
        <v>1994</v>
      </c>
      <c r="C288" s="27" t="s">
        <v>27</v>
      </c>
      <c r="D288" s="27" t="s">
        <v>29</v>
      </c>
      <c r="E288" s="27">
        <v>619</v>
      </c>
    </row>
    <row r="289" spans="1:5" x14ac:dyDescent="0.25">
      <c r="A289" s="26">
        <v>34608</v>
      </c>
      <c r="B289" s="49">
        <f t="shared" si="5"/>
        <v>1994</v>
      </c>
      <c r="C289" s="27" t="s">
        <v>34</v>
      </c>
      <c r="D289" s="27" t="s">
        <v>29</v>
      </c>
      <c r="E289" s="27">
        <v>491</v>
      </c>
    </row>
    <row r="290" spans="1:5" x14ac:dyDescent="0.25">
      <c r="A290" s="26">
        <v>34608</v>
      </c>
      <c r="B290" s="49">
        <f t="shared" si="5"/>
        <v>1994</v>
      </c>
      <c r="C290" s="27" t="s">
        <v>34</v>
      </c>
      <c r="D290" s="27" t="s">
        <v>29</v>
      </c>
      <c r="E290" s="27">
        <v>420</v>
      </c>
    </row>
    <row r="291" spans="1:5" x14ac:dyDescent="0.25">
      <c r="A291" s="26">
        <v>34608</v>
      </c>
      <c r="B291" s="49">
        <f t="shared" si="5"/>
        <v>1994</v>
      </c>
      <c r="C291" s="27" t="s">
        <v>27</v>
      </c>
      <c r="D291" s="27" t="s">
        <v>29</v>
      </c>
      <c r="E291" s="27">
        <v>492</v>
      </c>
    </row>
    <row r="292" spans="1:5" x14ac:dyDescent="0.25">
      <c r="A292" s="26">
        <v>34608</v>
      </c>
      <c r="B292" s="49">
        <f t="shared" si="5"/>
        <v>1994</v>
      </c>
      <c r="C292" s="27" t="s">
        <v>32</v>
      </c>
      <c r="D292" s="27" t="s">
        <v>30</v>
      </c>
      <c r="E292" s="27">
        <v>101</v>
      </c>
    </row>
    <row r="293" spans="1:5" x14ac:dyDescent="0.25">
      <c r="A293" s="26">
        <v>34608</v>
      </c>
      <c r="B293" s="49">
        <f t="shared" si="5"/>
        <v>1994</v>
      </c>
      <c r="C293" s="27" t="s">
        <v>32</v>
      </c>
      <c r="D293" s="27" t="s">
        <v>30</v>
      </c>
      <c r="E293" s="27">
        <v>135</v>
      </c>
    </row>
    <row r="294" spans="1:5" x14ac:dyDescent="0.25">
      <c r="A294" s="26">
        <v>34608</v>
      </c>
      <c r="B294" s="49">
        <f t="shared" si="5"/>
        <v>1994</v>
      </c>
      <c r="C294" s="27" t="s">
        <v>27</v>
      </c>
      <c r="D294" s="27" t="s">
        <v>30</v>
      </c>
      <c r="E294" s="27">
        <v>228</v>
      </c>
    </row>
    <row r="295" spans="1:5" x14ac:dyDescent="0.25">
      <c r="A295" s="26">
        <v>34608</v>
      </c>
      <c r="B295" s="49">
        <f t="shared" si="5"/>
        <v>1994</v>
      </c>
      <c r="C295" s="27" t="s">
        <v>32</v>
      </c>
      <c r="D295" s="27" t="s">
        <v>30</v>
      </c>
      <c r="E295" s="27">
        <v>210</v>
      </c>
    </row>
    <row r="296" spans="1:5" x14ac:dyDescent="0.25">
      <c r="A296" s="26">
        <v>34608</v>
      </c>
      <c r="B296" s="49">
        <f t="shared" si="5"/>
        <v>1994</v>
      </c>
      <c r="C296" s="27" t="s">
        <v>32</v>
      </c>
      <c r="D296" s="27" t="s">
        <v>30</v>
      </c>
      <c r="E296" s="27">
        <v>53</v>
      </c>
    </row>
    <row r="297" spans="1:5" x14ac:dyDescent="0.25">
      <c r="A297" s="26">
        <v>34608</v>
      </c>
      <c r="B297" s="49">
        <f t="shared" si="5"/>
        <v>1994</v>
      </c>
      <c r="C297" s="27" t="s">
        <v>32</v>
      </c>
      <c r="D297" s="27" t="s">
        <v>30</v>
      </c>
      <c r="E297" s="27">
        <v>206</v>
      </c>
    </row>
    <row r="298" spans="1:5" x14ac:dyDescent="0.25">
      <c r="A298" s="26">
        <v>34608</v>
      </c>
      <c r="B298" s="49">
        <f t="shared" si="5"/>
        <v>1994</v>
      </c>
      <c r="C298" s="27" t="s">
        <v>27</v>
      </c>
      <c r="D298" s="27" t="s">
        <v>30</v>
      </c>
      <c r="E298" s="27">
        <v>81</v>
      </c>
    </row>
    <row r="299" spans="1:5" x14ac:dyDescent="0.25">
      <c r="A299" s="26">
        <v>34608</v>
      </c>
      <c r="B299" s="49">
        <f t="shared" si="5"/>
        <v>1994</v>
      </c>
      <c r="C299" s="27" t="s">
        <v>27</v>
      </c>
      <c r="D299" s="27" t="s">
        <v>30</v>
      </c>
      <c r="E299" s="27">
        <v>1215</v>
      </c>
    </row>
    <row r="300" spans="1:5" x14ac:dyDescent="0.25">
      <c r="A300" s="26">
        <v>34608</v>
      </c>
      <c r="B300" s="49">
        <f t="shared" si="5"/>
        <v>1994</v>
      </c>
      <c r="C300" s="27" t="s">
        <v>27</v>
      </c>
      <c r="D300" s="27" t="s">
        <v>30</v>
      </c>
      <c r="E300" s="27">
        <v>53</v>
      </c>
    </row>
    <row r="301" spans="1:5" x14ac:dyDescent="0.25">
      <c r="A301" s="26">
        <v>34608</v>
      </c>
      <c r="B301" s="49">
        <f t="shared" si="5"/>
        <v>1994</v>
      </c>
      <c r="C301" s="27" t="s">
        <v>27</v>
      </c>
      <c r="D301" s="27" t="s">
        <v>30</v>
      </c>
      <c r="E301" s="27">
        <v>44</v>
      </c>
    </row>
    <row r="302" spans="1:5" x14ac:dyDescent="0.25">
      <c r="A302" s="26">
        <v>34608</v>
      </c>
      <c r="B302" s="49">
        <f t="shared" si="5"/>
        <v>1994</v>
      </c>
      <c r="C302" s="27" t="s">
        <v>32</v>
      </c>
      <c r="D302" s="27" t="s">
        <v>30</v>
      </c>
      <c r="E302" s="27">
        <v>1041</v>
      </c>
    </row>
    <row r="303" spans="1:5" x14ac:dyDescent="0.25">
      <c r="A303" s="26">
        <v>34608</v>
      </c>
      <c r="B303" s="49">
        <f t="shared" si="5"/>
        <v>1994</v>
      </c>
      <c r="C303" s="27" t="s">
        <v>27</v>
      </c>
      <c r="D303" s="27" t="s">
        <v>30</v>
      </c>
      <c r="E303" s="27">
        <v>34</v>
      </c>
    </row>
    <row r="304" spans="1:5" x14ac:dyDescent="0.25">
      <c r="A304" s="26">
        <v>34608</v>
      </c>
      <c r="B304" s="49">
        <f t="shared" si="5"/>
        <v>1994</v>
      </c>
      <c r="C304" s="27" t="s">
        <v>27</v>
      </c>
      <c r="D304" s="27" t="s">
        <v>31</v>
      </c>
      <c r="E304" s="27">
        <v>569</v>
      </c>
    </row>
    <row r="305" spans="1:5" x14ac:dyDescent="0.25">
      <c r="A305" s="26">
        <v>34608</v>
      </c>
      <c r="B305" s="49">
        <f t="shared" si="5"/>
        <v>1994</v>
      </c>
      <c r="C305" s="27" t="s">
        <v>32</v>
      </c>
      <c r="D305" s="27" t="s">
        <v>31</v>
      </c>
      <c r="E305" s="27">
        <v>131</v>
      </c>
    </row>
    <row r="306" spans="1:5" x14ac:dyDescent="0.25">
      <c r="A306" s="26">
        <v>34608</v>
      </c>
      <c r="B306" s="49">
        <f t="shared" si="5"/>
        <v>1994</v>
      </c>
      <c r="C306" s="27" t="s">
        <v>27</v>
      </c>
      <c r="D306" s="27" t="s">
        <v>31</v>
      </c>
      <c r="E306" s="27">
        <v>135</v>
      </c>
    </row>
    <row r="307" spans="1:5" x14ac:dyDescent="0.25">
      <c r="A307" s="26">
        <v>34608</v>
      </c>
      <c r="B307" s="49">
        <f t="shared" si="5"/>
        <v>1994</v>
      </c>
      <c r="C307" s="27" t="s">
        <v>32</v>
      </c>
      <c r="D307" s="27" t="s">
        <v>31</v>
      </c>
      <c r="E307" s="27">
        <v>692</v>
      </c>
    </row>
    <row r="308" spans="1:5" x14ac:dyDescent="0.25">
      <c r="A308" s="26">
        <v>34608</v>
      </c>
      <c r="B308" s="49">
        <f t="shared" si="5"/>
        <v>1994</v>
      </c>
      <c r="C308" s="27" t="s">
        <v>27</v>
      </c>
      <c r="D308" s="27" t="s">
        <v>31</v>
      </c>
      <c r="E308" s="27">
        <v>193</v>
      </c>
    </row>
    <row r="309" spans="1:5" x14ac:dyDescent="0.25">
      <c r="A309" s="26">
        <v>34608</v>
      </c>
      <c r="B309" s="49">
        <f t="shared" si="5"/>
        <v>1994</v>
      </c>
      <c r="C309" s="27" t="s">
        <v>32</v>
      </c>
      <c r="D309" s="27" t="s">
        <v>31</v>
      </c>
      <c r="E309" s="27">
        <v>281</v>
      </c>
    </row>
    <row r="310" spans="1:5" x14ac:dyDescent="0.25">
      <c r="A310" s="26">
        <v>34608</v>
      </c>
      <c r="B310" s="49">
        <f t="shared" si="5"/>
        <v>1994</v>
      </c>
      <c r="C310" s="27" t="s">
        <v>27</v>
      </c>
      <c r="D310" s="27" t="s">
        <v>31</v>
      </c>
      <c r="E310" s="27">
        <v>169</v>
      </c>
    </row>
    <row r="311" spans="1:5" x14ac:dyDescent="0.25">
      <c r="A311" s="26">
        <v>34608</v>
      </c>
      <c r="B311" s="49">
        <f t="shared" si="5"/>
        <v>1994</v>
      </c>
      <c r="C311" s="27" t="s">
        <v>34</v>
      </c>
      <c r="D311" s="27" t="s">
        <v>31</v>
      </c>
      <c r="E311" s="27">
        <v>426</v>
      </c>
    </row>
    <row r="312" spans="1:5" x14ac:dyDescent="0.25">
      <c r="A312" s="26">
        <v>34608</v>
      </c>
      <c r="B312" s="49">
        <f t="shared" si="5"/>
        <v>1994</v>
      </c>
      <c r="C312" s="27" t="s">
        <v>34</v>
      </c>
      <c r="D312" s="27" t="s">
        <v>31</v>
      </c>
      <c r="E312" s="27">
        <v>315</v>
      </c>
    </row>
    <row r="313" spans="1:5" x14ac:dyDescent="0.25">
      <c r="A313" s="26">
        <v>34608</v>
      </c>
      <c r="B313" s="49">
        <f t="shared" si="5"/>
        <v>1994</v>
      </c>
      <c r="C313" s="27" t="s">
        <v>32</v>
      </c>
      <c r="D313" s="27" t="s">
        <v>31</v>
      </c>
      <c r="E313" s="27">
        <v>1990</v>
      </c>
    </row>
    <row r="314" spans="1:5" x14ac:dyDescent="0.25">
      <c r="A314" s="26">
        <v>34608</v>
      </c>
      <c r="B314" s="49">
        <f t="shared" si="5"/>
        <v>1994</v>
      </c>
      <c r="C314" s="27" t="s">
        <v>32</v>
      </c>
      <c r="D314" s="27" t="s">
        <v>33</v>
      </c>
      <c r="E314" s="27">
        <v>383</v>
      </c>
    </row>
    <row r="315" spans="1:5" x14ac:dyDescent="0.25">
      <c r="A315" s="26">
        <v>34608</v>
      </c>
      <c r="B315" s="49">
        <f t="shared" si="5"/>
        <v>1994</v>
      </c>
      <c r="C315" s="27" t="s">
        <v>32</v>
      </c>
      <c r="D315" s="27" t="s">
        <v>33</v>
      </c>
      <c r="E315" s="27">
        <v>921</v>
      </c>
    </row>
    <row r="316" spans="1:5" x14ac:dyDescent="0.25">
      <c r="A316" s="26">
        <v>34608</v>
      </c>
      <c r="B316" s="49">
        <f t="shared" si="5"/>
        <v>1994</v>
      </c>
      <c r="C316" s="27" t="s">
        <v>34</v>
      </c>
      <c r="D316" s="27" t="s">
        <v>33</v>
      </c>
      <c r="E316" s="27">
        <v>61</v>
      </c>
    </row>
    <row r="317" spans="1:5" x14ac:dyDescent="0.25">
      <c r="A317" s="26">
        <v>34608</v>
      </c>
      <c r="B317" s="49">
        <f t="shared" si="5"/>
        <v>1994</v>
      </c>
      <c r="C317" s="27" t="s">
        <v>32</v>
      </c>
      <c r="D317" s="27" t="s">
        <v>33</v>
      </c>
      <c r="E317" s="27">
        <v>81</v>
      </c>
    </row>
    <row r="318" spans="1:5" x14ac:dyDescent="0.25">
      <c r="A318" s="26">
        <v>34608</v>
      </c>
      <c r="B318" s="49">
        <f t="shared" si="5"/>
        <v>1994</v>
      </c>
      <c r="C318" s="27" t="s">
        <v>27</v>
      </c>
      <c r="D318" s="27" t="s">
        <v>33</v>
      </c>
      <c r="E318" s="27">
        <v>679</v>
      </c>
    </row>
    <row r="319" spans="1:5" x14ac:dyDescent="0.25">
      <c r="A319" s="26">
        <v>34608</v>
      </c>
      <c r="B319" s="49">
        <f t="shared" si="5"/>
        <v>1994</v>
      </c>
      <c r="C319" s="27" t="s">
        <v>27</v>
      </c>
      <c r="D319" s="27" t="s">
        <v>33</v>
      </c>
      <c r="E319" s="27">
        <v>35</v>
      </c>
    </row>
    <row r="320" spans="1:5" x14ac:dyDescent="0.25">
      <c r="A320" s="26">
        <v>34608</v>
      </c>
      <c r="B320" s="49">
        <f t="shared" si="5"/>
        <v>1994</v>
      </c>
      <c r="C320" s="27" t="s">
        <v>27</v>
      </c>
      <c r="D320" s="27" t="s">
        <v>33</v>
      </c>
      <c r="E320" s="27">
        <v>34</v>
      </c>
    </row>
    <row r="321" spans="1:5" x14ac:dyDescent="0.25">
      <c r="A321" s="26">
        <v>34608</v>
      </c>
      <c r="B321" s="49">
        <f t="shared" si="5"/>
        <v>1994</v>
      </c>
      <c r="C321" s="27" t="s">
        <v>27</v>
      </c>
      <c r="D321" s="27" t="s">
        <v>33</v>
      </c>
      <c r="E321" s="27">
        <v>525</v>
      </c>
    </row>
    <row r="322" spans="1:5" x14ac:dyDescent="0.25">
      <c r="A322" s="26">
        <v>34608</v>
      </c>
      <c r="B322" s="49">
        <f t="shared" si="5"/>
        <v>1994</v>
      </c>
      <c r="C322" s="27" t="s">
        <v>34</v>
      </c>
      <c r="D322" s="27" t="s">
        <v>33</v>
      </c>
      <c r="E322" s="27">
        <v>1006</v>
      </c>
    </row>
    <row r="323" spans="1:5" x14ac:dyDescent="0.25">
      <c r="A323" s="26">
        <v>34608</v>
      </c>
      <c r="B323" s="49">
        <f t="shared" ref="B323:B386" si="6">YEAR(A323)</f>
        <v>1994</v>
      </c>
      <c r="C323" s="27" t="s">
        <v>32</v>
      </c>
      <c r="D323" s="27" t="s">
        <v>33</v>
      </c>
      <c r="E323" s="27">
        <v>1080</v>
      </c>
    </row>
    <row r="324" spans="1:5" x14ac:dyDescent="0.25">
      <c r="A324" s="26">
        <v>34639</v>
      </c>
      <c r="B324" s="49">
        <f t="shared" si="6"/>
        <v>1994</v>
      </c>
      <c r="C324" s="27" t="s">
        <v>27</v>
      </c>
      <c r="D324" s="27" t="s">
        <v>28</v>
      </c>
      <c r="E324" s="27">
        <v>330</v>
      </c>
    </row>
    <row r="325" spans="1:5" x14ac:dyDescent="0.25">
      <c r="A325" s="26">
        <v>34639</v>
      </c>
      <c r="B325" s="49">
        <f t="shared" si="6"/>
        <v>1994</v>
      </c>
      <c r="C325" s="27" t="s">
        <v>27</v>
      </c>
      <c r="D325" s="27" t="s">
        <v>28</v>
      </c>
      <c r="E325" s="27">
        <v>326</v>
      </c>
    </row>
    <row r="326" spans="1:5" x14ac:dyDescent="0.25">
      <c r="A326" s="26">
        <v>34639</v>
      </c>
      <c r="B326" s="49">
        <f t="shared" si="6"/>
        <v>1994</v>
      </c>
      <c r="C326" s="27" t="s">
        <v>27</v>
      </c>
      <c r="D326" s="27" t="s">
        <v>28</v>
      </c>
      <c r="E326" s="27">
        <v>315</v>
      </c>
    </row>
    <row r="327" spans="1:5" x14ac:dyDescent="0.25">
      <c r="A327" s="26">
        <v>34639</v>
      </c>
      <c r="B327" s="49">
        <f t="shared" si="6"/>
        <v>1994</v>
      </c>
      <c r="C327" s="27" t="s">
        <v>27</v>
      </c>
      <c r="D327" s="27" t="s">
        <v>28</v>
      </c>
      <c r="E327" s="27">
        <v>275</v>
      </c>
    </row>
    <row r="328" spans="1:5" x14ac:dyDescent="0.25">
      <c r="A328" s="26">
        <v>34639</v>
      </c>
      <c r="B328" s="49">
        <f t="shared" si="6"/>
        <v>1994</v>
      </c>
      <c r="C328" s="27" t="s">
        <v>32</v>
      </c>
      <c r="D328" s="27" t="s">
        <v>28</v>
      </c>
      <c r="E328" s="27">
        <v>270</v>
      </c>
    </row>
    <row r="329" spans="1:5" x14ac:dyDescent="0.25">
      <c r="A329" s="26">
        <v>34639</v>
      </c>
      <c r="B329" s="49">
        <f t="shared" si="6"/>
        <v>1994</v>
      </c>
      <c r="C329" s="27" t="s">
        <v>34</v>
      </c>
      <c r="D329" s="27" t="s">
        <v>28</v>
      </c>
      <c r="E329" s="27">
        <v>413</v>
      </c>
    </row>
    <row r="330" spans="1:5" x14ac:dyDescent="0.25">
      <c r="A330" s="26">
        <v>34639</v>
      </c>
      <c r="B330" s="49">
        <f t="shared" si="6"/>
        <v>1994</v>
      </c>
      <c r="C330" s="27" t="s">
        <v>32</v>
      </c>
      <c r="D330" s="27" t="s">
        <v>28</v>
      </c>
      <c r="E330" s="27">
        <v>385</v>
      </c>
    </row>
    <row r="331" spans="1:5" x14ac:dyDescent="0.25">
      <c r="A331" s="26">
        <v>34639</v>
      </c>
      <c r="B331" s="49">
        <f t="shared" si="6"/>
        <v>1994</v>
      </c>
      <c r="C331" s="27" t="s">
        <v>32</v>
      </c>
      <c r="D331" s="27" t="s">
        <v>28</v>
      </c>
      <c r="E331" s="27">
        <v>4001</v>
      </c>
    </row>
    <row r="332" spans="1:5" x14ac:dyDescent="0.25">
      <c r="A332" s="26">
        <v>34639</v>
      </c>
      <c r="B332" s="49">
        <f t="shared" si="6"/>
        <v>1994</v>
      </c>
      <c r="C332" s="27" t="s">
        <v>32</v>
      </c>
      <c r="D332" s="27" t="s">
        <v>28</v>
      </c>
      <c r="E332" s="27">
        <v>2110</v>
      </c>
    </row>
    <row r="333" spans="1:5" x14ac:dyDescent="0.25">
      <c r="A333" s="26">
        <v>34639</v>
      </c>
      <c r="B333" s="49">
        <f t="shared" si="6"/>
        <v>1994</v>
      </c>
      <c r="C333" s="27" t="s">
        <v>34</v>
      </c>
      <c r="D333" s="27" t="s">
        <v>28</v>
      </c>
      <c r="E333" s="27">
        <v>1272</v>
      </c>
    </row>
    <row r="334" spans="1:5" x14ac:dyDescent="0.25">
      <c r="A334" s="26">
        <v>34639</v>
      </c>
      <c r="B334" s="49">
        <f t="shared" si="6"/>
        <v>1994</v>
      </c>
      <c r="C334" s="27" t="s">
        <v>27</v>
      </c>
      <c r="D334" s="27" t="s">
        <v>29</v>
      </c>
      <c r="E334" s="27">
        <v>507</v>
      </c>
    </row>
    <row r="335" spans="1:5" x14ac:dyDescent="0.25">
      <c r="A335" s="26">
        <v>34639</v>
      </c>
      <c r="B335" s="49">
        <f t="shared" si="6"/>
        <v>1994</v>
      </c>
      <c r="C335" s="27" t="s">
        <v>32</v>
      </c>
      <c r="D335" s="27" t="s">
        <v>29</v>
      </c>
      <c r="E335" s="27">
        <v>113</v>
      </c>
    </row>
    <row r="336" spans="1:5" x14ac:dyDescent="0.25">
      <c r="A336" s="26">
        <v>34639</v>
      </c>
      <c r="B336" s="49">
        <f t="shared" si="6"/>
        <v>1994</v>
      </c>
      <c r="C336" s="27" t="s">
        <v>34</v>
      </c>
      <c r="D336" s="27" t="s">
        <v>29</v>
      </c>
      <c r="E336" s="27">
        <v>368</v>
      </c>
    </row>
    <row r="337" spans="1:5" x14ac:dyDescent="0.25">
      <c r="A337" s="26">
        <v>34639</v>
      </c>
      <c r="B337" s="49">
        <f t="shared" si="6"/>
        <v>1994</v>
      </c>
      <c r="C337" s="27" t="s">
        <v>34</v>
      </c>
      <c r="D337" s="27" t="s">
        <v>29</v>
      </c>
      <c r="E337" s="27">
        <v>524</v>
      </c>
    </row>
    <row r="338" spans="1:5" x14ac:dyDescent="0.25">
      <c r="A338" s="26">
        <v>34639</v>
      </c>
      <c r="B338" s="49">
        <f t="shared" si="6"/>
        <v>1994</v>
      </c>
      <c r="C338" s="27" t="s">
        <v>32</v>
      </c>
      <c r="D338" s="27" t="s">
        <v>29</v>
      </c>
      <c r="E338" s="27">
        <v>79</v>
      </c>
    </row>
    <row r="339" spans="1:5" x14ac:dyDescent="0.25">
      <c r="A339" s="26">
        <v>34639</v>
      </c>
      <c r="B339" s="49">
        <f t="shared" si="6"/>
        <v>1994</v>
      </c>
      <c r="C339" s="27" t="s">
        <v>27</v>
      </c>
      <c r="D339" s="27" t="s">
        <v>29</v>
      </c>
      <c r="E339" s="27">
        <v>193</v>
      </c>
    </row>
    <row r="340" spans="1:5" x14ac:dyDescent="0.25">
      <c r="A340" s="26">
        <v>34639</v>
      </c>
      <c r="B340" s="49">
        <f t="shared" si="6"/>
        <v>1994</v>
      </c>
      <c r="C340" s="27" t="s">
        <v>27</v>
      </c>
      <c r="D340" s="27" t="s">
        <v>29</v>
      </c>
      <c r="E340" s="27">
        <v>315</v>
      </c>
    </row>
    <row r="341" spans="1:5" x14ac:dyDescent="0.25">
      <c r="A341" s="26">
        <v>34639</v>
      </c>
      <c r="B341" s="49">
        <f t="shared" si="6"/>
        <v>1994</v>
      </c>
      <c r="C341" s="27" t="s">
        <v>27</v>
      </c>
      <c r="D341" s="27" t="s">
        <v>29</v>
      </c>
      <c r="E341" s="27">
        <v>189</v>
      </c>
    </row>
    <row r="342" spans="1:5" x14ac:dyDescent="0.25">
      <c r="A342" s="26">
        <v>34639</v>
      </c>
      <c r="B342" s="49">
        <f t="shared" si="6"/>
        <v>1994</v>
      </c>
      <c r="C342" s="27" t="s">
        <v>32</v>
      </c>
      <c r="D342" s="27" t="s">
        <v>29</v>
      </c>
      <c r="E342" s="27">
        <v>225</v>
      </c>
    </row>
    <row r="343" spans="1:5" x14ac:dyDescent="0.25">
      <c r="A343" s="26">
        <v>34639</v>
      </c>
      <c r="B343" s="49">
        <f t="shared" si="6"/>
        <v>1994</v>
      </c>
      <c r="C343" s="27" t="s">
        <v>32</v>
      </c>
      <c r="D343" s="27" t="s">
        <v>29</v>
      </c>
      <c r="E343" s="27">
        <v>930</v>
      </c>
    </row>
    <row r="344" spans="1:5" x14ac:dyDescent="0.25">
      <c r="A344" s="26">
        <v>34639</v>
      </c>
      <c r="B344" s="49">
        <f t="shared" si="6"/>
        <v>1994</v>
      </c>
      <c r="C344" s="27" t="s">
        <v>32</v>
      </c>
      <c r="D344" s="27" t="s">
        <v>30</v>
      </c>
      <c r="E344" s="27">
        <v>175</v>
      </c>
    </row>
    <row r="345" spans="1:5" x14ac:dyDescent="0.25">
      <c r="A345" s="26">
        <v>34639</v>
      </c>
      <c r="B345" s="49">
        <f t="shared" si="6"/>
        <v>1994</v>
      </c>
      <c r="C345" s="27" t="s">
        <v>32</v>
      </c>
      <c r="D345" s="27" t="s">
        <v>30</v>
      </c>
      <c r="E345" s="27">
        <v>113</v>
      </c>
    </row>
    <row r="346" spans="1:5" x14ac:dyDescent="0.25">
      <c r="A346" s="26">
        <v>34639</v>
      </c>
      <c r="B346" s="49">
        <f t="shared" si="6"/>
        <v>1994</v>
      </c>
      <c r="C346" s="27" t="s">
        <v>27</v>
      </c>
      <c r="D346" s="27" t="s">
        <v>30</v>
      </c>
      <c r="E346" s="27">
        <v>60</v>
      </c>
    </row>
    <row r="347" spans="1:5" x14ac:dyDescent="0.25">
      <c r="A347" s="26">
        <v>34639</v>
      </c>
      <c r="B347" s="49">
        <f t="shared" si="6"/>
        <v>1994</v>
      </c>
      <c r="C347" s="27" t="s">
        <v>27</v>
      </c>
      <c r="D347" s="27" t="s">
        <v>30</v>
      </c>
      <c r="E347" s="27">
        <v>90</v>
      </c>
    </row>
    <row r="348" spans="1:5" x14ac:dyDescent="0.25">
      <c r="A348" s="26">
        <v>34639</v>
      </c>
      <c r="B348" s="49">
        <f t="shared" si="6"/>
        <v>1994</v>
      </c>
      <c r="C348" s="27" t="s">
        <v>27</v>
      </c>
      <c r="D348" s="27" t="s">
        <v>30</v>
      </c>
      <c r="E348" s="27">
        <v>56</v>
      </c>
    </row>
    <row r="349" spans="1:5" x14ac:dyDescent="0.25">
      <c r="A349" s="26">
        <v>34639</v>
      </c>
      <c r="B349" s="49">
        <f t="shared" si="6"/>
        <v>1994</v>
      </c>
      <c r="C349" s="27" t="s">
        <v>27</v>
      </c>
      <c r="D349" s="27" t="s">
        <v>30</v>
      </c>
      <c r="E349" s="27">
        <v>28</v>
      </c>
    </row>
    <row r="350" spans="1:5" x14ac:dyDescent="0.25">
      <c r="A350" s="26">
        <v>34639</v>
      </c>
      <c r="B350" s="49">
        <f t="shared" si="6"/>
        <v>1994</v>
      </c>
      <c r="C350" s="27" t="s">
        <v>32</v>
      </c>
      <c r="D350" s="27" t="s">
        <v>30</v>
      </c>
      <c r="E350" s="27">
        <v>225</v>
      </c>
    </row>
    <row r="351" spans="1:5" x14ac:dyDescent="0.25">
      <c r="A351" s="26">
        <v>34639</v>
      </c>
      <c r="B351" s="49">
        <f t="shared" si="6"/>
        <v>1994</v>
      </c>
      <c r="C351" s="27" t="s">
        <v>32</v>
      </c>
      <c r="D351" s="27" t="s">
        <v>30</v>
      </c>
      <c r="E351" s="27">
        <v>105</v>
      </c>
    </row>
    <row r="352" spans="1:5" x14ac:dyDescent="0.25">
      <c r="A352" s="26">
        <v>34639</v>
      </c>
      <c r="B352" s="49">
        <f t="shared" si="6"/>
        <v>1994</v>
      </c>
      <c r="C352" s="27" t="s">
        <v>32</v>
      </c>
      <c r="D352" s="27" t="s">
        <v>30</v>
      </c>
      <c r="E352" s="27">
        <v>1011</v>
      </c>
    </row>
    <row r="353" spans="1:5" x14ac:dyDescent="0.25">
      <c r="A353" s="26">
        <v>34639</v>
      </c>
      <c r="B353" s="49">
        <f t="shared" si="6"/>
        <v>1994</v>
      </c>
      <c r="C353" s="27" t="s">
        <v>27</v>
      </c>
      <c r="D353" s="27" t="s">
        <v>30</v>
      </c>
      <c r="E353" s="27">
        <v>801</v>
      </c>
    </row>
    <row r="354" spans="1:5" x14ac:dyDescent="0.25">
      <c r="A354" s="26">
        <v>34639</v>
      </c>
      <c r="B354" s="49">
        <f t="shared" si="6"/>
        <v>1994</v>
      </c>
      <c r="C354" s="27" t="s">
        <v>27</v>
      </c>
      <c r="D354" s="27" t="s">
        <v>30</v>
      </c>
      <c r="E354" s="27">
        <v>570</v>
      </c>
    </row>
    <row r="355" spans="1:5" x14ac:dyDescent="0.25">
      <c r="A355" s="26">
        <v>34639</v>
      </c>
      <c r="B355" s="49">
        <f t="shared" si="6"/>
        <v>1994</v>
      </c>
      <c r="C355" s="27" t="s">
        <v>32</v>
      </c>
      <c r="D355" s="27" t="s">
        <v>30</v>
      </c>
      <c r="E355" s="27">
        <v>124</v>
      </c>
    </row>
    <row r="356" spans="1:5" x14ac:dyDescent="0.25">
      <c r="A356" s="26">
        <v>34639</v>
      </c>
      <c r="B356" s="49">
        <f t="shared" si="6"/>
        <v>1994</v>
      </c>
      <c r="C356" s="27" t="s">
        <v>32</v>
      </c>
      <c r="D356" s="27" t="s">
        <v>31</v>
      </c>
      <c r="E356" s="27">
        <v>2130</v>
      </c>
    </row>
    <row r="357" spans="1:5" x14ac:dyDescent="0.25">
      <c r="A357" s="26">
        <v>34639</v>
      </c>
      <c r="B357" s="49">
        <f t="shared" si="6"/>
        <v>1994</v>
      </c>
      <c r="C357" s="27" t="s">
        <v>27</v>
      </c>
      <c r="D357" s="27" t="s">
        <v>31</v>
      </c>
      <c r="E357" s="27">
        <v>620</v>
      </c>
    </row>
    <row r="358" spans="1:5" x14ac:dyDescent="0.25">
      <c r="A358" s="26">
        <v>34639</v>
      </c>
      <c r="B358" s="49">
        <f t="shared" si="6"/>
        <v>1994</v>
      </c>
      <c r="C358" s="27" t="s">
        <v>32</v>
      </c>
      <c r="D358" s="27" t="s">
        <v>31</v>
      </c>
      <c r="E358" s="27">
        <v>601</v>
      </c>
    </row>
    <row r="359" spans="1:5" x14ac:dyDescent="0.25">
      <c r="A359" s="26">
        <v>34639</v>
      </c>
      <c r="B359" s="49">
        <f t="shared" si="6"/>
        <v>1994</v>
      </c>
      <c r="C359" s="27" t="s">
        <v>34</v>
      </c>
      <c r="D359" s="27" t="s">
        <v>31</v>
      </c>
      <c r="E359" s="27">
        <v>371</v>
      </c>
    </row>
    <row r="360" spans="1:5" x14ac:dyDescent="0.25">
      <c r="A360" s="26">
        <v>34639</v>
      </c>
      <c r="B360" s="49">
        <f t="shared" si="6"/>
        <v>1994</v>
      </c>
      <c r="C360" s="27" t="s">
        <v>32</v>
      </c>
      <c r="D360" s="27" t="s">
        <v>31</v>
      </c>
      <c r="E360" s="27">
        <v>149</v>
      </c>
    </row>
    <row r="361" spans="1:5" x14ac:dyDescent="0.25">
      <c r="A361" s="26">
        <v>34639</v>
      </c>
      <c r="B361" s="49">
        <f t="shared" si="6"/>
        <v>1994</v>
      </c>
      <c r="C361" s="27" t="s">
        <v>32</v>
      </c>
      <c r="D361" s="27" t="s">
        <v>31</v>
      </c>
      <c r="E361" s="27">
        <v>304</v>
      </c>
    </row>
    <row r="362" spans="1:5" x14ac:dyDescent="0.25">
      <c r="A362" s="26">
        <v>34639</v>
      </c>
      <c r="B362" s="49">
        <f t="shared" si="6"/>
        <v>1994</v>
      </c>
      <c r="C362" s="27" t="s">
        <v>34</v>
      </c>
      <c r="D362" s="27" t="s">
        <v>31</v>
      </c>
      <c r="E362" s="27">
        <v>289</v>
      </c>
    </row>
    <row r="363" spans="1:5" x14ac:dyDescent="0.25">
      <c r="A363" s="26">
        <v>34639</v>
      </c>
      <c r="B363" s="49">
        <f t="shared" si="6"/>
        <v>1994</v>
      </c>
      <c r="C363" s="27" t="s">
        <v>27</v>
      </c>
      <c r="D363" s="27" t="s">
        <v>31</v>
      </c>
      <c r="E363" s="27">
        <v>248</v>
      </c>
    </row>
    <row r="364" spans="1:5" x14ac:dyDescent="0.25">
      <c r="A364" s="26">
        <v>34639</v>
      </c>
      <c r="B364" s="49">
        <f t="shared" si="6"/>
        <v>1994</v>
      </c>
      <c r="C364" s="27" t="s">
        <v>27</v>
      </c>
      <c r="D364" s="27" t="s">
        <v>31</v>
      </c>
      <c r="E364" s="27">
        <v>225</v>
      </c>
    </row>
    <row r="365" spans="1:5" x14ac:dyDescent="0.25">
      <c r="A365" s="26">
        <v>34639</v>
      </c>
      <c r="B365" s="49">
        <f t="shared" si="6"/>
        <v>1994</v>
      </c>
      <c r="C365" s="27" t="s">
        <v>27</v>
      </c>
      <c r="D365" s="27" t="s">
        <v>31</v>
      </c>
      <c r="E365" s="27">
        <v>210</v>
      </c>
    </row>
    <row r="366" spans="1:5" x14ac:dyDescent="0.25">
      <c r="A366" s="26">
        <v>34639</v>
      </c>
      <c r="B366" s="49">
        <f t="shared" si="6"/>
        <v>1994</v>
      </c>
      <c r="C366" s="27" t="s">
        <v>32</v>
      </c>
      <c r="D366" s="27" t="s">
        <v>33</v>
      </c>
      <c r="E366" s="27">
        <v>293</v>
      </c>
    </row>
    <row r="367" spans="1:5" x14ac:dyDescent="0.25">
      <c r="A367" s="26">
        <v>34639</v>
      </c>
      <c r="B367" s="49">
        <f t="shared" si="6"/>
        <v>1994</v>
      </c>
      <c r="C367" s="27" t="s">
        <v>32</v>
      </c>
      <c r="D367" s="27" t="s">
        <v>33</v>
      </c>
      <c r="E367" s="27">
        <v>1443</v>
      </c>
    </row>
    <row r="368" spans="1:5" x14ac:dyDescent="0.25">
      <c r="A368" s="26">
        <v>34639</v>
      </c>
      <c r="B368" s="49">
        <f t="shared" si="6"/>
        <v>1994</v>
      </c>
      <c r="C368" s="27" t="s">
        <v>27</v>
      </c>
      <c r="D368" s="27" t="s">
        <v>33</v>
      </c>
      <c r="E368" s="27">
        <v>1153</v>
      </c>
    </row>
    <row r="369" spans="1:5" x14ac:dyDescent="0.25">
      <c r="A369" s="26">
        <v>34639</v>
      </c>
      <c r="B369" s="49">
        <f t="shared" si="6"/>
        <v>1994</v>
      </c>
      <c r="C369" s="27" t="s">
        <v>27</v>
      </c>
      <c r="D369" s="27" t="s">
        <v>33</v>
      </c>
      <c r="E369" s="27">
        <v>546</v>
      </c>
    </row>
    <row r="370" spans="1:5" x14ac:dyDescent="0.25">
      <c r="A370" s="26">
        <v>34639</v>
      </c>
      <c r="B370" s="49">
        <f t="shared" si="6"/>
        <v>1994</v>
      </c>
      <c r="C370" s="27" t="s">
        <v>34</v>
      </c>
      <c r="D370" s="27" t="s">
        <v>33</v>
      </c>
      <c r="E370" s="27">
        <v>393</v>
      </c>
    </row>
    <row r="371" spans="1:5" x14ac:dyDescent="0.25">
      <c r="A371" s="26">
        <v>34639</v>
      </c>
      <c r="B371" s="49">
        <f t="shared" si="6"/>
        <v>1994</v>
      </c>
      <c r="C371" s="27" t="s">
        <v>32</v>
      </c>
      <c r="D371" s="27" t="s">
        <v>33</v>
      </c>
      <c r="E371" s="27">
        <v>748</v>
      </c>
    </row>
    <row r="372" spans="1:5" x14ac:dyDescent="0.25">
      <c r="A372" s="26">
        <v>34639</v>
      </c>
      <c r="B372" s="49">
        <f t="shared" si="6"/>
        <v>1994</v>
      </c>
      <c r="C372" s="27" t="s">
        <v>34</v>
      </c>
      <c r="D372" s="27" t="s">
        <v>33</v>
      </c>
      <c r="E372" s="27">
        <v>833</v>
      </c>
    </row>
    <row r="373" spans="1:5" x14ac:dyDescent="0.25">
      <c r="A373" s="26">
        <v>34639</v>
      </c>
      <c r="B373" s="49">
        <f t="shared" si="6"/>
        <v>1994</v>
      </c>
      <c r="C373" s="27" t="s">
        <v>27</v>
      </c>
      <c r="D373" s="27" t="s">
        <v>33</v>
      </c>
      <c r="E373" s="27">
        <v>18</v>
      </c>
    </row>
    <row r="374" spans="1:5" x14ac:dyDescent="0.25">
      <c r="A374" s="26">
        <v>34639</v>
      </c>
      <c r="B374" s="49">
        <f t="shared" si="6"/>
        <v>1994</v>
      </c>
      <c r="C374" s="27" t="s">
        <v>27</v>
      </c>
      <c r="D374" s="27" t="s">
        <v>33</v>
      </c>
      <c r="E374" s="27">
        <v>34</v>
      </c>
    </row>
    <row r="375" spans="1:5" x14ac:dyDescent="0.25">
      <c r="A375" s="26">
        <v>34639</v>
      </c>
      <c r="B375" s="49">
        <f t="shared" si="6"/>
        <v>1994</v>
      </c>
      <c r="C375" s="27" t="s">
        <v>32</v>
      </c>
      <c r="D375" s="27" t="s">
        <v>33</v>
      </c>
      <c r="E375" s="27">
        <v>91</v>
      </c>
    </row>
    <row r="376" spans="1:5" x14ac:dyDescent="0.25">
      <c r="A376" s="26">
        <v>34669</v>
      </c>
      <c r="B376" s="49">
        <f t="shared" si="6"/>
        <v>1994</v>
      </c>
      <c r="C376" s="27" t="s">
        <v>32</v>
      </c>
      <c r="D376" s="27" t="s">
        <v>28</v>
      </c>
      <c r="E376" s="27">
        <v>2049</v>
      </c>
    </row>
    <row r="377" spans="1:5" x14ac:dyDescent="0.25">
      <c r="A377" s="26">
        <v>34669</v>
      </c>
      <c r="B377" s="49">
        <f t="shared" si="6"/>
        <v>1994</v>
      </c>
      <c r="C377" s="27" t="s">
        <v>34</v>
      </c>
      <c r="D377" s="27" t="s">
        <v>28</v>
      </c>
      <c r="E377" s="27">
        <v>1399</v>
      </c>
    </row>
    <row r="378" spans="1:5" x14ac:dyDescent="0.25">
      <c r="A378" s="26">
        <v>34669</v>
      </c>
      <c r="B378" s="49">
        <f t="shared" si="6"/>
        <v>1994</v>
      </c>
      <c r="C378" s="27" t="s">
        <v>34</v>
      </c>
      <c r="D378" s="27" t="s">
        <v>28</v>
      </c>
      <c r="E378" s="27">
        <v>441</v>
      </c>
    </row>
    <row r="379" spans="1:5" x14ac:dyDescent="0.25">
      <c r="A379" s="26">
        <v>34669</v>
      </c>
      <c r="B379" s="49">
        <f t="shared" si="6"/>
        <v>1994</v>
      </c>
      <c r="C379" s="27" t="s">
        <v>27</v>
      </c>
      <c r="D379" s="27" t="s">
        <v>28</v>
      </c>
      <c r="E379" s="27">
        <v>414</v>
      </c>
    </row>
    <row r="380" spans="1:5" x14ac:dyDescent="0.25">
      <c r="A380" s="26">
        <v>34669</v>
      </c>
      <c r="B380" s="49">
        <f t="shared" si="6"/>
        <v>1994</v>
      </c>
      <c r="C380" s="27" t="s">
        <v>27</v>
      </c>
      <c r="D380" s="27" t="s">
        <v>28</v>
      </c>
      <c r="E380" s="27">
        <v>405</v>
      </c>
    </row>
    <row r="381" spans="1:5" x14ac:dyDescent="0.25">
      <c r="A381" s="26">
        <v>34669</v>
      </c>
      <c r="B381" s="49">
        <f t="shared" si="6"/>
        <v>1994</v>
      </c>
      <c r="C381" s="27" t="s">
        <v>27</v>
      </c>
      <c r="D381" s="27" t="s">
        <v>28</v>
      </c>
      <c r="E381" s="27">
        <v>374</v>
      </c>
    </row>
    <row r="382" spans="1:5" x14ac:dyDescent="0.25">
      <c r="A382" s="26">
        <v>34669</v>
      </c>
      <c r="B382" s="49">
        <f t="shared" si="6"/>
        <v>1994</v>
      </c>
      <c r="C382" s="27" t="s">
        <v>32</v>
      </c>
      <c r="D382" s="27" t="s">
        <v>28</v>
      </c>
      <c r="E382" s="27">
        <v>338</v>
      </c>
    </row>
    <row r="383" spans="1:5" x14ac:dyDescent="0.25">
      <c r="A383" s="26">
        <v>34669</v>
      </c>
      <c r="B383" s="49">
        <f t="shared" si="6"/>
        <v>1994</v>
      </c>
      <c r="C383" s="27" t="s">
        <v>27</v>
      </c>
      <c r="D383" s="27" t="s">
        <v>28</v>
      </c>
      <c r="E383" s="27">
        <v>292</v>
      </c>
    </row>
    <row r="384" spans="1:5" x14ac:dyDescent="0.25">
      <c r="A384" s="26">
        <v>34669</v>
      </c>
      <c r="B384" s="49">
        <f t="shared" si="6"/>
        <v>1994</v>
      </c>
      <c r="C384" s="27" t="s">
        <v>32</v>
      </c>
      <c r="D384" s="27" t="s">
        <v>28</v>
      </c>
      <c r="E384" s="27">
        <v>4193</v>
      </c>
    </row>
    <row r="385" spans="1:5" x14ac:dyDescent="0.25">
      <c r="A385" s="26">
        <v>34669</v>
      </c>
      <c r="B385" s="49">
        <f t="shared" si="6"/>
        <v>1994</v>
      </c>
      <c r="C385" s="27" t="s">
        <v>32</v>
      </c>
      <c r="D385" s="27" t="s">
        <v>28</v>
      </c>
      <c r="E385" s="27">
        <v>330</v>
      </c>
    </row>
    <row r="386" spans="1:5" x14ac:dyDescent="0.25">
      <c r="A386" s="26">
        <v>34669</v>
      </c>
      <c r="B386" s="49">
        <f t="shared" si="6"/>
        <v>1994</v>
      </c>
      <c r="C386" s="27" t="s">
        <v>32</v>
      </c>
      <c r="D386" s="27" t="s">
        <v>29</v>
      </c>
      <c r="E386" s="27">
        <v>821</v>
      </c>
    </row>
    <row r="387" spans="1:5" x14ac:dyDescent="0.25">
      <c r="A387" s="26">
        <v>34669</v>
      </c>
      <c r="B387" s="49">
        <f t="shared" ref="B387:B450" si="7">YEAR(A387)</f>
        <v>1994</v>
      </c>
      <c r="C387" s="27" t="s">
        <v>27</v>
      </c>
      <c r="D387" s="27" t="s">
        <v>29</v>
      </c>
      <c r="E387" s="27">
        <v>602</v>
      </c>
    </row>
    <row r="388" spans="1:5" x14ac:dyDescent="0.25">
      <c r="A388" s="26">
        <v>34669</v>
      </c>
      <c r="B388" s="49">
        <f t="shared" si="7"/>
        <v>1994</v>
      </c>
      <c r="C388" s="27" t="s">
        <v>34</v>
      </c>
      <c r="D388" s="27" t="s">
        <v>29</v>
      </c>
      <c r="E388" s="27">
        <v>525</v>
      </c>
    </row>
    <row r="389" spans="1:5" x14ac:dyDescent="0.25">
      <c r="A389" s="26">
        <v>34669</v>
      </c>
      <c r="B389" s="49">
        <f t="shared" si="7"/>
        <v>1994</v>
      </c>
      <c r="C389" s="27" t="s">
        <v>34</v>
      </c>
      <c r="D389" s="27" t="s">
        <v>29</v>
      </c>
      <c r="E389" s="27">
        <v>394</v>
      </c>
    </row>
    <row r="390" spans="1:5" x14ac:dyDescent="0.25">
      <c r="A390" s="26">
        <v>34669</v>
      </c>
      <c r="B390" s="49">
        <f t="shared" si="7"/>
        <v>1994</v>
      </c>
      <c r="C390" s="27" t="s">
        <v>27</v>
      </c>
      <c r="D390" s="27" t="s">
        <v>29</v>
      </c>
      <c r="E390" s="27">
        <v>393</v>
      </c>
    </row>
    <row r="391" spans="1:5" x14ac:dyDescent="0.25">
      <c r="A391" s="26">
        <v>34669</v>
      </c>
      <c r="B391" s="49">
        <f t="shared" si="7"/>
        <v>1994</v>
      </c>
      <c r="C391" s="27" t="s">
        <v>32</v>
      </c>
      <c r="D391" s="27" t="s">
        <v>29</v>
      </c>
      <c r="E391" s="27">
        <v>124</v>
      </c>
    </row>
    <row r="392" spans="1:5" x14ac:dyDescent="0.25">
      <c r="A392" s="26">
        <v>34669</v>
      </c>
      <c r="B392" s="49">
        <f t="shared" si="7"/>
        <v>1994</v>
      </c>
      <c r="C392" s="27" t="s">
        <v>32</v>
      </c>
      <c r="D392" s="27" t="s">
        <v>29</v>
      </c>
      <c r="E392" s="27">
        <v>79</v>
      </c>
    </row>
    <row r="393" spans="1:5" x14ac:dyDescent="0.25">
      <c r="A393" s="26">
        <v>34669</v>
      </c>
      <c r="B393" s="49">
        <f t="shared" si="7"/>
        <v>1994</v>
      </c>
      <c r="C393" s="27" t="s">
        <v>27</v>
      </c>
      <c r="D393" s="27" t="s">
        <v>29</v>
      </c>
      <c r="E393" s="27">
        <v>158</v>
      </c>
    </row>
    <row r="394" spans="1:5" x14ac:dyDescent="0.25">
      <c r="A394" s="26">
        <v>34669</v>
      </c>
      <c r="B394" s="49">
        <f t="shared" si="7"/>
        <v>1994</v>
      </c>
      <c r="C394" s="27" t="s">
        <v>32</v>
      </c>
      <c r="D394" s="27" t="s">
        <v>29</v>
      </c>
      <c r="E394" s="27">
        <v>338</v>
      </c>
    </row>
    <row r="395" spans="1:5" x14ac:dyDescent="0.25">
      <c r="A395" s="26">
        <v>34669</v>
      </c>
      <c r="B395" s="49">
        <f t="shared" si="7"/>
        <v>1994</v>
      </c>
      <c r="C395" s="27" t="s">
        <v>27</v>
      </c>
      <c r="D395" s="27" t="s">
        <v>29</v>
      </c>
      <c r="E395" s="27">
        <v>271</v>
      </c>
    </row>
    <row r="396" spans="1:5" x14ac:dyDescent="0.25">
      <c r="A396" s="26">
        <v>34669</v>
      </c>
      <c r="B396" s="49">
        <f t="shared" si="7"/>
        <v>1994</v>
      </c>
      <c r="C396" s="27" t="s">
        <v>27</v>
      </c>
      <c r="D396" s="27" t="s">
        <v>30</v>
      </c>
      <c r="E396" s="27">
        <v>1049</v>
      </c>
    </row>
    <row r="397" spans="1:5" x14ac:dyDescent="0.25">
      <c r="A397" s="26">
        <v>34669</v>
      </c>
      <c r="B397" s="49">
        <f t="shared" si="7"/>
        <v>1994</v>
      </c>
      <c r="C397" s="27" t="s">
        <v>27</v>
      </c>
      <c r="D397" s="27" t="s">
        <v>30</v>
      </c>
      <c r="E397" s="27">
        <v>1115</v>
      </c>
    </row>
    <row r="398" spans="1:5" x14ac:dyDescent="0.25">
      <c r="A398" s="26">
        <v>34669</v>
      </c>
      <c r="B398" s="49">
        <f t="shared" si="7"/>
        <v>1994</v>
      </c>
      <c r="C398" s="27" t="s">
        <v>32</v>
      </c>
      <c r="D398" s="27" t="s">
        <v>30</v>
      </c>
      <c r="E398" s="27">
        <v>849</v>
      </c>
    </row>
    <row r="399" spans="1:5" x14ac:dyDescent="0.25">
      <c r="A399" s="26">
        <v>34669</v>
      </c>
      <c r="B399" s="49">
        <f t="shared" si="7"/>
        <v>1994</v>
      </c>
      <c r="C399" s="27" t="s">
        <v>32</v>
      </c>
      <c r="D399" s="27" t="s">
        <v>30</v>
      </c>
      <c r="E399" s="27">
        <v>151</v>
      </c>
    </row>
    <row r="400" spans="1:5" x14ac:dyDescent="0.25">
      <c r="A400" s="26">
        <v>34669</v>
      </c>
      <c r="B400" s="49">
        <f t="shared" si="7"/>
        <v>1994</v>
      </c>
      <c r="C400" s="27" t="s">
        <v>27</v>
      </c>
      <c r="D400" s="27" t="s">
        <v>30</v>
      </c>
      <c r="E400" s="27">
        <v>77</v>
      </c>
    </row>
    <row r="401" spans="1:5" x14ac:dyDescent="0.25">
      <c r="A401" s="26">
        <v>34669</v>
      </c>
      <c r="B401" s="49">
        <f t="shared" si="7"/>
        <v>1994</v>
      </c>
      <c r="C401" s="27" t="s">
        <v>27</v>
      </c>
      <c r="D401" s="27" t="s">
        <v>30</v>
      </c>
      <c r="E401" s="27">
        <v>68</v>
      </c>
    </row>
    <row r="402" spans="1:5" x14ac:dyDescent="0.25">
      <c r="A402" s="26">
        <v>34669</v>
      </c>
      <c r="B402" s="49">
        <f t="shared" si="7"/>
        <v>1994</v>
      </c>
      <c r="C402" s="27" t="s">
        <v>32</v>
      </c>
      <c r="D402" s="27" t="s">
        <v>30</v>
      </c>
      <c r="E402" s="27">
        <v>248</v>
      </c>
    </row>
    <row r="403" spans="1:5" x14ac:dyDescent="0.25">
      <c r="A403" s="26">
        <v>34669</v>
      </c>
      <c r="B403" s="49">
        <f t="shared" si="7"/>
        <v>1994</v>
      </c>
      <c r="C403" s="27" t="s">
        <v>32</v>
      </c>
      <c r="D403" s="27" t="s">
        <v>30</v>
      </c>
      <c r="E403" s="27">
        <v>135</v>
      </c>
    </row>
    <row r="404" spans="1:5" x14ac:dyDescent="0.25">
      <c r="A404" s="26">
        <v>34669</v>
      </c>
      <c r="B404" s="49">
        <f t="shared" si="7"/>
        <v>1994</v>
      </c>
      <c r="C404" s="27" t="s">
        <v>32</v>
      </c>
      <c r="D404" s="27" t="s">
        <v>30</v>
      </c>
      <c r="E404" s="27">
        <v>140</v>
      </c>
    </row>
    <row r="405" spans="1:5" x14ac:dyDescent="0.25">
      <c r="A405" s="26">
        <v>34669</v>
      </c>
      <c r="B405" s="49">
        <f t="shared" si="7"/>
        <v>1994</v>
      </c>
      <c r="C405" s="27" t="s">
        <v>27</v>
      </c>
      <c r="D405" s="27" t="s">
        <v>30</v>
      </c>
      <c r="E405" s="27">
        <v>99</v>
      </c>
    </row>
    <row r="406" spans="1:5" x14ac:dyDescent="0.25">
      <c r="A406" s="26">
        <v>34669</v>
      </c>
      <c r="B406" s="49">
        <f t="shared" si="7"/>
        <v>1994</v>
      </c>
      <c r="C406" s="27" t="s">
        <v>32</v>
      </c>
      <c r="D406" s="27" t="s">
        <v>30</v>
      </c>
      <c r="E406" s="27">
        <v>123</v>
      </c>
    </row>
    <row r="407" spans="1:5" x14ac:dyDescent="0.25">
      <c r="A407" s="26">
        <v>34669</v>
      </c>
      <c r="B407" s="49">
        <f t="shared" si="7"/>
        <v>1994</v>
      </c>
      <c r="C407" s="27" t="s">
        <v>27</v>
      </c>
      <c r="D407" s="27" t="s">
        <v>30</v>
      </c>
      <c r="E407" s="27">
        <v>28</v>
      </c>
    </row>
    <row r="408" spans="1:5" x14ac:dyDescent="0.25">
      <c r="A408" s="26">
        <v>34669</v>
      </c>
      <c r="B408" s="49">
        <f t="shared" si="7"/>
        <v>1994</v>
      </c>
      <c r="C408" s="27" t="s">
        <v>27</v>
      </c>
      <c r="D408" s="27" t="s">
        <v>31</v>
      </c>
      <c r="E408" s="27">
        <v>210</v>
      </c>
    </row>
    <row r="409" spans="1:5" x14ac:dyDescent="0.25">
      <c r="A409" s="26">
        <v>34669</v>
      </c>
      <c r="B409" s="49">
        <f t="shared" si="7"/>
        <v>1994</v>
      </c>
      <c r="C409" s="27" t="s">
        <v>32</v>
      </c>
      <c r="D409" s="27" t="s">
        <v>31</v>
      </c>
      <c r="E409" s="27">
        <v>131</v>
      </c>
    </row>
    <row r="410" spans="1:5" x14ac:dyDescent="0.25">
      <c r="A410" s="26">
        <v>34669</v>
      </c>
      <c r="B410" s="49">
        <f t="shared" si="7"/>
        <v>1994</v>
      </c>
      <c r="C410" s="27" t="s">
        <v>27</v>
      </c>
      <c r="D410" s="27" t="s">
        <v>31</v>
      </c>
      <c r="E410" s="27">
        <v>304</v>
      </c>
    </row>
    <row r="411" spans="1:5" x14ac:dyDescent="0.25">
      <c r="A411" s="26">
        <v>34669</v>
      </c>
      <c r="B411" s="49">
        <f t="shared" si="7"/>
        <v>1994</v>
      </c>
      <c r="C411" s="27" t="s">
        <v>27</v>
      </c>
      <c r="D411" s="27" t="s">
        <v>31</v>
      </c>
      <c r="E411" s="27">
        <v>248</v>
      </c>
    </row>
    <row r="412" spans="1:5" x14ac:dyDescent="0.25">
      <c r="A412" s="26">
        <v>34669</v>
      </c>
      <c r="B412" s="49">
        <f t="shared" si="7"/>
        <v>1994</v>
      </c>
      <c r="C412" s="27" t="s">
        <v>34</v>
      </c>
      <c r="D412" s="27" t="s">
        <v>31</v>
      </c>
      <c r="E412" s="27">
        <v>338</v>
      </c>
    </row>
    <row r="413" spans="1:5" x14ac:dyDescent="0.25">
      <c r="A413" s="26">
        <v>34669</v>
      </c>
      <c r="B413" s="49">
        <f t="shared" si="7"/>
        <v>1994</v>
      </c>
      <c r="C413" s="27" t="s">
        <v>32</v>
      </c>
      <c r="D413" s="27" t="s">
        <v>31</v>
      </c>
      <c r="E413" s="27">
        <v>888</v>
      </c>
    </row>
    <row r="414" spans="1:5" x14ac:dyDescent="0.25">
      <c r="A414" s="26">
        <v>34669</v>
      </c>
      <c r="B414" s="49">
        <f t="shared" si="7"/>
        <v>1994</v>
      </c>
      <c r="C414" s="27" t="s">
        <v>27</v>
      </c>
      <c r="D414" s="27" t="s">
        <v>31</v>
      </c>
      <c r="E414" s="27">
        <v>808</v>
      </c>
    </row>
    <row r="415" spans="1:5" x14ac:dyDescent="0.25">
      <c r="A415" s="26">
        <v>34669</v>
      </c>
      <c r="B415" s="49">
        <f t="shared" si="7"/>
        <v>1994</v>
      </c>
      <c r="C415" s="27" t="s">
        <v>32</v>
      </c>
      <c r="D415" s="27" t="s">
        <v>31</v>
      </c>
      <c r="E415" s="27">
        <v>371</v>
      </c>
    </row>
    <row r="416" spans="1:5" x14ac:dyDescent="0.25">
      <c r="A416" s="26">
        <v>34669</v>
      </c>
      <c r="B416" s="49">
        <f t="shared" si="7"/>
        <v>1994</v>
      </c>
      <c r="C416" s="27" t="s">
        <v>34</v>
      </c>
      <c r="D416" s="27" t="s">
        <v>31</v>
      </c>
      <c r="E416" s="27">
        <v>341</v>
      </c>
    </row>
    <row r="417" spans="1:5" x14ac:dyDescent="0.25">
      <c r="A417" s="26">
        <v>34669</v>
      </c>
      <c r="B417" s="49">
        <f t="shared" si="7"/>
        <v>1994</v>
      </c>
      <c r="C417" s="27" t="s">
        <v>32</v>
      </c>
      <c r="D417" s="27" t="s">
        <v>31</v>
      </c>
      <c r="E417" s="27">
        <v>2110</v>
      </c>
    </row>
    <row r="418" spans="1:5" x14ac:dyDescent="0.25">
      <c r="A418" s="26">
        <v>34669</v>
      </c>
      <c r="B418" s="49">
        <f t="shared" si="7"/>
        <v>1994</v>
      </c>
      <c r="C418" s="27" t="s">
        <v>27</v>
      </c>
      <c r="D418" s="27" t="s">
        <v>33</v>
      </c>
      <c r="E418" s="27">
        <v>18</v>
      </c>
    </row>
    <row r="419" spans="1:5" x14ac:dyDescent="0.25">
      <c r="A419" s="26">
        <v>34669</v>
      </c>
      <c r="B419" s="49">
        <f t="shared" si="7"/>
        <v>1994</v>
      </c>
      <c r="C419" s="27" t="s">
        <v>32</v>
      </c>
      <c r="D419" s="27" t="s">
        <v>33</v>
      </c>
      <c r="E419" s="27">
        <v>1875</v>
      </c>
    </row>
    <row r="420" spans="1:5" x14ac:dyDescent="0.25">
      <c r="A420" s="26">
        <v>34669</v>
      </c>
      <c r="B420" s="49">
        <f t="shared" si="7"/>
        <v>1994</v>
      </c>
      <c r="C420" s="27" t="s">
        <v>27</v>
      </c>
      <c r="D420" s="27" t="s">
        <v>33</v>
      </c>
      <c r="E420" s="27">
        <v>56</v>
      </c>
    </row>
    <row r="421" spans="1:5" x14ac:dyDescent="0.25">
      <c r="A421" s="26">
        <v>34669</v>
      </c>
      <c r="B421" s="49">
        <f t="shared" si="7"/>
        <v>1994</v>
      </c>
      <c r="C421" s="27" t="s">
        <v>27</v>
      </c>
      <c r="D421" s="27" t="s">
        <v>33</v>
      </c>
      <c r="E421" s="27">
        <v>1281</v>
      </c>
    </row>
    <row r="422" spans="1:5" x14ac:dyDescent="0.25">
      <c r="A422" s="26">
        <v>34669</v>
      </c>
      <c r="B422" s="49">
        <f t="shared" si="7"/>
        <v>1994</v>
      </c>
      <c r="C422" s="27" t="s">
        <v>32</v>
      </c>
      <c r="D422" s="27" t="s">
        <v>33</v>
      </c>
      <c r="E422" s="27">
        <v>172</v>
      </c>
    </row>
    <row r="423" spans="1:5" x14ac:dyDescent="0.25">
      <c r="A423" s="26">
        <v>34669</v>
      </c>
      <c r="B423" s="49">
        <f t="shared" si="7"/>
        <v>1994</v>
      </c>
      <c r="C423" s="27" t="s">
        <v>34</v>
      </c>
      <c r="D423" s="27" t="s">
        <v>33</v>
      </c>
      <c r="E423" s="27">
        <v>1315</v>
      </c>
    </row>
    <row r="424" spans="1:5" x14ac:dyDescent="0.25">
      <c r="A424" s="26">
        <v>34669</v>
      </c>
      <c r="B424" s="49">
        <f t="shared" si="7"/>
        <v>1994</v>
      </c>
      <c r="C424" s="27" t="s">
        <v>32</v>
      </c>
      <c r="D424" s="27" t="s">
        <v>33</v>
      </c>
      <c r="E424" s="27">
        <v>360</v>
      </c>
    </row>
    <row r="425" spans="1:5" x14ac:dyDescent="0.25">
      <c r="A425" s="26">
        <v>34669</v>
      </c>
      <c r="B425" s="49">
        <f t="shared" si="7"/>
        <v>1994</v>
      </c>
      <c r="C425" s="27" t="s">
        <v>27</v>
      </c>
      <c r="D425" s="27" t="s">
        <v>33</v>
      </c>
      <c r="E425" s="27">
        <v>454</v>
      </c>
    </row>
    <row r="426" spans="1:5" x14ac:dyDescent="0.25">
      <c r="A426" s="26">
        <v>34669</v>
      </c>
      <c r="B426" s="49">
        <f t="shared" si="7"/>
        <v>1994</v>
      </c>
      <c r="C426" s="27" t="s">
        <v>32</v>
      </c>
      <c r="D426" s="27" t="s">
        <v>33</v>
      </c>
      <c r="E426" s="27">
        <v>517</v>
      </c>
    </row>
    <row r="427" spans="1:5" x14ac:dyDescent="0.25">
      <c r="A427" s="26">
        <v>34669</v>
      </c>
      <c r="B427" s="49">
        <f t="shared" si="7"/>
        <v>1994</v>
      </c>
      <c r="C427" s="27" t="s">
        <v>34</v>
      </c>
      <c r="D427" s="27" t="s">
        <v>33</v>
      </c>
      <c r="E427" s="27">
        <v>1006</v>
      </c>
    </row>
    <row r="428" spans="1:5" x14ac:dyDescent="0.25">
      <c r="A428" s="26">
        <v>34700</v>
      </c>
      <c r="B428" s="49">
        <f t="shared" si="7"/>
        <v>1995</v>
      </c>
      <c r="C428" s="27" t="s">
        <v>34</v>
      </c>
      <c r="D428" s="27" t="s">
        <v>28</v>
      </c>
      <c r="E428" s="27">
        <v>561</v>
      </c>
    </row>
    <row r="429" spans="1:5" x14ac:dyDescent="0.25">
      <c r="A429" s="26">
        <v>34700</v>
      </c>
      <c r="B429" s="49">
        <f t="shared" si="7"/>
        <v>1995</v>
      </c>
      <c r="C429" s="27" t="s">
        <v>32</v>
      </c>
      <c r="D429" s="27" t="s">
        <v>28</v>
      </c>
      <c r="E429" s="27">
        <v>3730</v>
      </c>
    </row>
    <row r="430" spans="1:5" x14ac:dyDescent="0.25">
      <c r="A430" s="26">
        <v>34700</v>
      </c>
      <c r="B430" s="49">
        <f t="shared" si="7"/>
        <v>1995</v>
      </c>
      <c r="C430" s="27" t="s">
        <v>32</v>
      </c>
      <c r="D430" s="27" t="s">
        <v>28</v>
      </c>
      <c r="E430" s="27">
        <v>2244</v>
      </c>
    </row>
    <row r="431" spans="1:5" x14ac:dyDescent="0.25">
      <c r="A431" s="26">
        <v>34700</v>
      </c>
      <c r="B431" s="49">
        <f t="shared" si="7"/>
        <v>1995</v>
      </c>
      <c r="C431" s="27" t="s">
        <v>34</v>
      </c>
      <c r="D431" s="27" t="s">
        <v>28</v>
      </c>
      <c r="E431" s="27">
        <v>1418</v>
      </c>
    </row>
    <row r="432" spans="1:5" x14ac:dyDescent="0.25">
      <c r="A432" s="26">
        <v>34700</v>
      </c>
      <c r="B432" s="49">
        <f t="shared" si="7"/>
        <v>1995</v>
      </c>
      <c r="C432" s="27" t="s">
        <v>34</v>
      </c>
      <c r="D432" s="27" t="s">
        <v>28</v>
      </c>
      <c r="E432" s="27">
        <v>1399</v>
      </c>
    </row>
    <row r="433" spans="1:5" x14ac:dyDescent="0.25">
      <c r="A433" s="26">
        <v>34700</v>
      </c>
      <c r="B433" s="49">
        <f t="shared" si="7"/>
        <v>1995</v>
      </c>
      <c r="C433" s="27" t="s">
        <v>34</v>
      </c>
      <c r="D433" s="27" t="s">
        <v>28</v>
      </c>
      <c r="E433" s="27">
        <v>836</v>
      </c>
    </row>
    <row r="434" spans="1:5" x14ac:dyDescent="0.25">
      <c r="A434" s="26">
        <v>34700</v>
      </c>
      <c r="B434" s="49">
        <f t="shared" si="7"/>
        <v>1995</v>
      </c>
      <c r="C434" s="27" t="s">
        <v>32</v>
      </c>
      <c r="D434" s="27" t="s">
        <v>28</v>
      </c>
      <c r="E434" s="27">
        <v>413</v>
      </c>
    </row>
    <row r="435" spans="1:5" x14ac:dyDescent="0.25">
      <c r="A435" s="26">
        <v>34700</v>
      </c>
      <c r="B435" s="49">
        <f t="shared" si="7"/>
        <v>1995</v>
      </c>
      <c r="C435" s="27" t="s">
        <v>27</v>
      </c>
      <c r="D435" s="27" t="s">
        <v>28</v>
      </c>
      <c r="E435" s="27">
        <v>405</v>
      </c>
    </row>
    <row r="436" spans="1:5" x14ac:dyDescent="0.25">
      <c r="A436" s="26">
        <v>34700</v>
      </c>
      <c r="B436" s="49">
        <f t="shared" si="7"/>
        <v>1995</v>
      </c>
      <c r="C436" s="27" t="s">
        <v>27</v>
      </c>
      <c r="D436" s="27" t="s">
        <v>28</v>
      </c>
      <c r="E436" s="27">
        <v>400</v>
      </c>
    </row>
    <row r="437" spans="1:5" x14ac:dyDescent="0.25">
      <c r="A437" s="26">
        <v>34700</v>
      </c>
      <c r="B437" s="49">
        <f t="shared" si="7"/>
        <v>1995</v>
      </c>
      <c r="C437" s="27" t="s">
        <v>32</v>
      </c>
      <c r="D437" s="27" t="s">
        <v>28</v>
      </c>
      <c r="E437" s="27">
        <v>383</v>
      </c>
    </row>
    <row r="438" spans="1:5" x14ac:dyDescent="0.25">
      <c r="A438" s="26">
        <v>34700</v>
      </c>
      <c r="B438" s="49">
        <f t="shared" si="7"/>
        <v>1995</v>
      </c>
      <c r="C438" s="27" t="s">
        <v>27</v>
      </c>
      <c r="D438" s="27" t="s">
        <v>28</v>
      </c>
      <c r="E438" s="27">
        <v>369</v>
      </c>
    </row>
    <row r="439" spans="1:5" x14ac:dyDescent="0.25">
      <c r="A439" s="26">
        <v>34700</v>
      </c>
      <c r="B439" s="49">
        <f t="shared" si="7"/>
        <v>1995</v>
      </c>
      <c r="C439" s="27" t="s">
        <v>27</v>
      </c>
      <c r="D439" s="27" t="s">
        <v>28</v>
      </c>
      <c r="E439" s="27">
        <v>303</v>
      </c>
    </row>
    <row r="440" spans="1:5" x14ac:dyDescent="0.25">
      <c r="A440" s="26">
        <v>34700</v>
      </c>
      <c r="B440" s="49">
        <f t="shared" si="7"/>
        <v>1995</v>
      </c>
      <c r="C440" s="27" t="s">
        <v>34</v>
      </c>
      <c r="D440" s="27" t="s">
        <v>29</v>
      </c>
      <c r="E440" s="27">
        <v>315</v>
      </c>
    </row>
    <row r="441" spans="1:5" x14ac:dyDescent="0.25">
      <c r="A441" s="26">
        <v>34700</v>
      </c>
      <c r="B441" s="49">
        <f t="shared" si="7"/>
        <v>1995</v>
      </c>
      <c r="C441" s="27" t="s">
        <v>32</v>
      </c>
      <c r="D441" s="27" t="s">
        <v>29</v>
      </c>
      <c r="E441" s="27">
        <v>315</v>
      </c>
    </row>
    <row r="442" spans="1:5" x14ac:dyDescent="0.25">
      <c r="A442" s="26">
        <v>34700</v>
      </c>
      <c r="B442" s="49">
        <f t="shared" si="7"/>
        <v>1995</v>
      </c>
      <c r="C442" s="27" t="s">
        <v>27</v>
      </c>
      <c r="D442" s="27" t="s">
        <v>29</v>
      </c>
      <c r="E442" s="27">
        <v>564</v>
      </c>
    </row>
    <row r="443" spans="1:5" x14ac:dyDescent="0.25">
      <c r="A443" s="26">
        <v>34700</v>
      </c>
      <c r="B443" s="49">
        <f t="shared" si="7"/>
        <v>1995</v>
      </c>
      <c r="C443" s="27" t="s">
        <v>27</v>
      </c>
      <c r="D443" s="27" t="s">
        <v>29</v>
      </c>
      <c r="E443" s="27">
        <v>405</v>
      </c>
    </row>
    <row r="444" spans="1:5" x14ac:dyDescent="0.25">
      <c r="A444" s="26">
        <v>34700</v>
      </c>
      <c r="B444" s="49">
        <f t="shared" si="7"/>
        <v>1995</v>
      </c>
      <c r="C444" s="27" t="s">
        <v>34</v>
      </c>
      <c r="D444" s="27" t="s">
        <v>29</v>
      </c>
      <c r="E444" s="27">
        <v>405</v>
      </c>
    </row>
    <row r="445" spans="1:5" x14ac:dyDescent="0.25">
      <c r="A445" s="26">
        <v>34700</v>
      </c>
      <c r="B445" s="49">
        <f t="shared" si="7"/>
        <v>1995</v>
      </c>
      <c r="C445" s="27" t="s">
        <v>34</v>
      </c>
      <c r="D445" s="27" t="s">
        <v>29</v>
      </c>
      <c r="E445" s="27">
        <v>394</v>
      </c>
    </row>
    <row r="446" spans="1:5" x14ac:dyDescent="0.25">
      <c r="A446" s="26">
        <v>34700</v>
      </c>
      <c r="B446" s="49">
        <f t="shared" si="7"/>
        <v>1995</v>
      </c>
      <c r="C446" s="27" t="s">
        <v>27</v>
      </c>
      <c r="D446" s="27" t="s">
        <v>29</v>
      </c>
      <c r="E446" s="27">
        <v>171</v>
      </c>
    </row>
    <row r="447" spans="1:5" x14ac:dyDescent="0.25">
      <c r="A447" s="26">
        <v>34700</v>
      </c>
      <c r="B447" s="49">
        <f t="shared" si="7"/>
        <v>1995</v>
      </c>
      <c r="C447" s="27" t="s">
        <v>32</v>
      </c>
      <c r="D447" s="27" t="s">
        <v>29</v>
      </c>
      <c r="E447" s="27">
        <v>158</v>
      </c>
    </row>
    <row r="448" spans="1:5" x14ac:dyDescent="0.25">
      <c r="A448" s="26">
        <v>34700</v>
      </c>
      <c r="B448" s="49">
        <f t="shared" si="7"/>
        <v>1995</v>
      </c>
      <c r="C448" s="27" t="s">
        <v>32</v>
      </c>
      <c r="D448" s="27" t="s">
        <v>29</v>
      </c>
      <c r="E448" s="27">
        <v>135</v>
      </c>
    </row>
    <row r="449" spans="1:5" x14ac:dyDescent="0.25">
      <c r="A449" s="26">
        <v>34700</v>
      </c>
      <c r="B449" s="49">
        <f t="shared" si="7"/>
        <v>1995</v>
      </c>
      <c r="C449" s="27" t="s">
        <v>32</v>
      </c>
      <c r="D449" s="27" t="s">
        <v>29</v>
      </c>
      <c r="E449" s="27">
        <v>96</v>
      </c>
    </row>
    <row r="450" spans="1:5" x14ac:dyDescent="0.25">
      <c r="A450" s="26">
        <v>34700</v>
      </c>
      <c r="B450" s="49">
        <f t="shared" si="7"/>
        <v>1995</v>
      </c>
      <c r="C450" s="27" t="s">
        <v>27</v>
      </c>
      <c r="D450" s="27" t="s">
        <v>29</v>
      </c>
      <c r="E450" s="27">
        <v>280</v>
      </c>
    </row>
    <row r="451" spans="1:5" x14ac:dyDescent="0.25">
      <c r="A451" s="26">
        <v>34700</v>
      </c>
      <c r="B451" s="49">
        <f t="shared" ref="B451:B514" si="8">YEAR(A451)</f>
        <v>1995</v>
      </c>
      <c r="C451" s="27" t="s">
        <v>34</v>
      </c>
      <c r="D451" s="27" t="s">
        <v>29</v>
      </c>
      <c r="E451" s="27">
        <v>557</v>
      </c>
    </row>
    <row r="452" spans="1:5" x14ac:dyDescent="0.25">
      <c r="A452" s="26">
        <v>34700</v>
      </c>
      <c r="B452" s="49">
        <f t="shared" si="8"/>
        <v>1995</v>
      </c>
      <c r="C452" s="27" t="s">
        <v>27</v>
      </c>
      <c r="D452" s="27" t="s">
        <v>30</v>
      </c>
      <c r="E452" s="27">
        <v>68</v>
      </c>
    </row>
    <row r="453" spans="1:5" x14ac:dyDescent="0.25">
      <c r="A453" s="26">
        <v>34700</v>
      </c>
      <c r="B453" s="49">
        <f t="shared" si="8"/>
        <v>1995</v>
      </c>
      <c r="C453" s="27" t="s">
        <v>27</v>
      </c>
      <c r="D453" s="27" t="s">
        <v>30</v>
      </c>
      <c r="E453" s="27">
        <v>99</v>
      </c>
    </row>
    <row r="454" spans="1:5" x14ac:dyDescent="0.25">
      <c r="A454" s="26">
        <v>34700</v>
      </c>
      <c r="B454" s="49">
        <f t="shared" si="8"/>
        <v>1995</v>
      </c>
      <c r="C454" s="27" t="s">
        <v>32</v>
      </c>
      <c r="D454" s="27" t="s">
        <v>30</v>
      </c>
      <c r="E454" s="27">
        <v>124</v>
      </c>
    </row>
    <row r="455" spans="1:5" x14ac:dyDescent="0.25">
      <c r="A455" s="26">
        <v>34700</v>
      </c>
      <c r="B455" s="49">
        <f t="shared" si="8"/>
        <v>1995</v>
      </c>
      <c r="C455" s="27" t="s">
        <v>32</v>
      </c>
      <c r="D455" s="27" t="s">
        <v>30</v>
      </c>
      <c r="E455" s="27">
        <v>114</v>
      </c>
    </row>
    <row r="456" spans="1:5" x14ac:dyDescent="0.25">
      <c r="A456" s="26">
        <v>34700</v>
      </c>
      <c r="B456" s="49">
        <f t="shared" si="8"/>
        <v>1995</v>
      </c>
      <c r="C456" s="27" t="s">
        <v>32</v>
      </c>
      <c r="D456" s="27" t="s">
        <v>30</v>
      </c>
      <c r="E456" s="27">
        <v>151</v>
      </c>
    </row>
    <row r="457" spans="1:5" x14ac:dyDescent="0.25">
      <c r="A457" s="26">
        <v>34700</v>
      </c>
      <c r="B457" s="49">
        <f t="shared" si="8"/>
        <v>1995</v>
      </c>
      <c r="C457" s="27" t="s">
        <v>27</v>
      </c>
      <c r="D457" s="27" t="s">
        <v>30</v>
      </c>
      <c r="E457" s="27">
        <v>44</v>
      </c>
    </row>
    <row r="458" spans="1:5" x14ac:dyDescent="0.25">
      <c r="A458" s="26">
        <v>34700</v>
      </c>
      <c r="B458" s="49">
        <f t="shared" si="8"/>
        <v>1995</v>
      </c>
      <c r="C458" s="27" t="s">
        <v>32</v>
      </c>
      <c r="D458" s="27" t="s">
        <v>30</v>
      </c>
      <c r="E458" s="27">
        <v>140</v>
      </c>
    </row>
    <row r="459" spans="1:5" x14ac:dyDescent="0.25">
      <c r="A459" s="26">
        <v>34700</v>
      </c>
      <c r="B459" s="49">
        <f t="shared" si="8"/>
        <v>1995</v>
      </c>
      <c r="C459" s="27" t="s">
        <v>32</v>
      </c>
      <c r="D459" s="27" t="s">
        <v>30</v>
      </c>
      <c r="E459" s="27">
        <v>293</v>
      </c>
    </row>
    <row r="460" spans="1:5" x14ac:dyDescent="0.25">
      <c r="A460" s="26">
        <v>34700</v>
      </c>
      <c r="B460" s="49">
        <f t="shared" si="8"/>
        <v>1995</v>
      </c>
      <c r="C460" s="27" t="s">
        <v>27</v>
      </c>
      <c r="D460" s="27" t="s">
        <v>30</v>
      </c>
      <c r="E460" s="27">
        <v>60</v>
      </c>
    </row>
    <row r="461" spans="1:5" x14ac:dyDescent="0.25">
      <c r="A461" s="26">
        <v>34700</v>
      </c>
      <c r="B461" s="49">
        <f t="shared" si="8"/>
        <v>1995</v>
      </c>
      <c r="C461" s="27" t="s">
        <v>27</v>
      </c>
      <c r="D461" s="27" t="s">
        <v>30</v>
      </c>
      <c r="E461" s="27">
        <v>416</v>
      </c>
    </row>
    <row r="462" spans="1:5" x14ac:dyDescent="0.25">
      <c r="A462" s="26">
        <v>34700</v>
      </c>
      <c r="B462" s="49">
        <f t="shared" si="8"/>
        <v>1995</v>
      </c>
      <c r="C462" s="27" t="s">
        <v>27</v>
      </c>
      <c r="D462" s="27" t="s">
        <v>30</v>
      </c>
      <c r="E462" s="27">
        <v>1204</v>
      </c>
    </row>
    <row r="463" spans="1:5" x14ac:dyDescent="0.25">
      <c r="A463" s="26">
        <v>34700</v>
      </c>
      <c r="B463" s="49">
        <f t="shared" si="8"/>
        <v>1995</v>
      </c>
      <c r="C463" s="27" t="s">
        <v>32</v>
      </c>
      <c r="D463" s="27" t="s">
        <v>30</v>
      </c>
      <c r="E463" s="27">
        <v>912</v>
      </c>
    </row>
    <row r="464" spans="1:5" x14ac:dyDescent="0.25">
      <c r="A464" s="26">
        <v>34700</v>
      </c>
      <c r="B464" s="49">
        <f t="shared" si="8"/>
        <v>1995</v>
      </c>
      <c r="C464" s="27" t="s">
        <v>32</v>
      </c>
      <c r="D464" s="27" t="s">
        <v>31</v>
      </c>
      <c r="E464" s="27">
        <v>1358</v>
      </c>
    </row>
    <row r="465" spans="1:5" x14ac:dyDescent="0.25">
      <c r="A465" s="26">
        <v>34700</v>
      </c>
      <c r="B465" s="49">
        <f t="shared" si="8"/>
        <v>1995</v>
      </c>
      <c r="C465" s="27" t="s">
        <v>32</v>
      </c>
      <c r="D465" s="27" t="s">
        <v>31</v>
      </c>
      <c r="E465" s="27">
        <v>970</v>
      </c>
    </row>
    <row r="466" spans="1:5" x14ac:dyDescent="0.25">
      <c r="A466" s="26">
        <v>34700</v>
      </c>
      <c r="B466" s="49">
        <f t="shared" si="8"/>
        <v>1995</v>
      </c>
      <c r="C466" s="27" t="s">
        <v>27</v>
      </c>
      <c r="D466" s="27" t="s">
        <v>31</v>
      </c>
      <c r="E466" s="27">
        <v>840</v>
      </c>
    </row>
    <row r="467" spans="1:5" x14ac:dyDescent="0.25">
      <c r="A467" s="26">
        <v>34700</v>
      </c>
      <c r="B467" s="49">
        <f t="shared" si="8"/>
        <v>1995</v>
      </c>
      <c r="C467" s="27" t="s">
        <v>34</v>
      </c>
      <c r="D467" s="27" t="s">
        <v>31</v>
      </c>
      <c r="E467" s="27">
        <v>289</v>
      </c>
    </row>
    <row r="468" spans="1:5" x14ac:dyDescent="0.25">
      <c r="A468" s="26">
        <v>34700</v>
      </c>
      <c r="B468" s="49">
        <f t="shared" si="8"/>
        <v>1995</v>
      </c>
      <c r="C468" s="27" t="s">
        <v>27</v>
      </c>
      <c r="D468" s="27" t="s">
        <v>31</v>
      </c>
      <c r="E468" s="27">
        <v>293</v>
      </c>
    </row>
    <row r="469" spans="1:5" x14ac:dyDescent="0.25">
      <c r="A469" s="26">
        <v>34700</v>
      </c>
      <c r="B469" s="49">
        <f t="shared" si="8"/>
        <v>1995</v>
      </c>
      <c r="C469" s="27" t="s">
        <v>34</v>
      </c>
      <c r="D469" s="27" t="s">
        <v>31</v>
      </c>
      <c r="E469" s="27">
        <v>270</v>
      </c>
    </row>
    <row r="470" spans="1:5" x14ac:dyDescent="0.25">
      <c r="A470" s="26">
        <v>34700</v>
      </c>
      <c r="B470" s="49">
        <f t="shared" si="8"/>
        <v>1995</v>
      </c>
      <c r="C470" s="27" t="s">
        <v>27</v>
      </c>
      <c r="D470" s="27" t="s">
        <v>31</v>
      </c>
      <c r="E470" s="27">
        <v>193</v>
      </c>
    </row>
    <row r="471" spans="1:5" x14ac:dyDescent="0.25">
      <c r="A471" s="26">
        <v>34700</v>
      </c>
      <c r="B471" s="49">
        <f t="shared" si="8"/>
        <v>1995</v>
      </c>
      <c r="C471" s="27" t="s">
        <v>32</v>
      </c>
      <c r="D471" s="27" t="s">
        <v>31</v>
      </c>
      <c r="E471" s="27">
        <v>149</v>
      </c>
    </row>
    <row r="472" spans="1:5" x14ac:dyDescent="0.25">
      <c r="A472" s="26">
        <v>34700</v>
      </c>
      <c r="B472" s="49">
        <f t="shared" si="8"/>
        <v>1995</v>
      </c>
      <c r="C472" s="27" t="s">
        <v>32</v>
      </c>
      <c r="D472" s="27" t="s">
        <v>31</v>
      </c>
      <c r="E472" s="27">
        <v>360</v>
      </c>
    </row>
    <row r="473" spans="1:5" x14ac:dyDescent="0.25">
      <c r="A473" s="26">
        <v>34700</v>
      </c>
      <c r="B473" s="49">
        <f t="shared" si="8"/>
        <v>1995</v>
      </c>
      <c r="C473" s="27" t="s">
        <v>34</v>
      </c>
      <c r="D473" s="27" t="s">
        <v>31</v>
      </c>
      <c r="E473" s="27">
        <v>338</v>
      </c>
    </row>
    <row r="474" spans="1:5" x14ac:dyDescent="0.25">
      <c r="A474" s="26">
        <v>34700</v>
      </c>
      <c r="B474" s="49">
        <f t="shared" si="8"/>
        <v>1995</v>
      </c>
      <c r="C474" s="27" t="s">
        <v>27</v>
      </c>
      <c r="D474" s="27" t="s">
        <v>31</v>
      </c>
      <c r="E474" s="27">
        <v>326</v>
      </c>
    </row>
    <row r="475" spans="1:5" x14ac:dyDescent="0.25">
      <c r="A475" s="26">
        <v>34700</v>
      </c>
      <c r="B475" s="49">
        <f t="shared" si="8"/>
        <v>1995</v>
      </c>
      <c r="C475" s="27" t="s">
        <v>34</v>
      </c>
      <c r="D475" s="27" t="s">
        <v>31</v>
      </c>
      <c r="E475" s="27">
        <v>105</v>
      </c>
    </row>
    <row r="476" spans="1:5" x14ac:dyDescent="0.25">
      <c r="A476" s="26">
        <v>34700</v>
      </c>
      <c r="B476" s="49">
        <f t="shared" si="8"/>
        <v>1995</v>
      </c>
      <c r="C476" s="27" t="s">
        <v>32</v>
      </c>
      <c r="D476" s="27" t="s">
        <v>33</v>
      </c>
      <c r="E476" s="27">
        <v>693</v>
      </c>
    </row>
    <row r="477" spans="1:5" x14ac:dyDescent="0.25">
      <c r="A477" s="26">
        <v>34700</v>
      </c>
      <c r="B477" s="49">
        <f t="shared" si="8"/>
        <v>1995</v>
      </c>
      <c r="C477" s="27" t="s">
        <v>32</v>
      </c>
      <c r="D477" s="27" t="s">
        <v>33</v>
      </c>
      <c r="E477" s="27">
        <v>349</v>
      </c>
    </row>
    <row r="478" spans="1:5" x14ac:dyDescent="0.25">
      <c r="A478" s="26">
        <v>34700</v>
      </c>
      <c r="B478" s="49">
        <f t="shared" si="8"/>
        <v>1995</v>
      </c>
      <c r="C478" s="27" t="s">
        <v>34</v>
      </c>
      <c r="D478" s="27" t="s">
        <v>33</v>
      </c>
      <c r="E478" s="27">
        <v>930</v>
      </c>
    </row>
    <row r="479" spans="1:5" x14ac:dyDescent="0.25">
      <c r="A479" s="26">
        <v>34700</v>
      </c>
      <c r="B479" s="49">
        <f t="shared" si="8"/>
        <v>1995</v>
      </c>
      <c r="C479" s="27" t="s">
        <v>27</v>
      </c>
      <c r="D479" s="27" t="s">
        <v>33</v>
      </c>
      <c r="E479" s="27">
        <v>1068</v>
      </c>
    </row>
    <row r="480" spans="1:5" x14ac:dyDescent="0.25">
      <c r="A480" s="26">
        <v>34700</v>
      </c>
      <c r="B480" s="49">
        <f t="shared" si="8"/>
        <v>1995</v>
      </c>
      <c r="C480" s="27" t="s">
        <v>32</v>
      </c>
      <c r="D480" s="27" t="s">
        <v>33</v>
      </c>
      <c r="E480" s="27">
        <v>1762</v>
      </c>
    </row>
    <row r="481" spans="1:5" x14ac:dyDescent="0.25">
      <c r="A481" s="26">
        <v>34700</v>
      </c>
      <c r="B481" s="49">
        <f t="shared" si="8"/>
        <v>1995</v>
      </c>
      <c r="C481" s="27" t="s">
        <v>34</v>
      </c>
      <c r="D481" s="27" t="s">
        <v>33</v>
      </c>
      <c r="E481" s="27">
        <v>1980</v>
      </c>
    </row>
    <row r="482" spans="1:5" x14ac:dyDescent="0.25">
      <c r="A482" s="26">
        <v>34700</v>
      </c>
      <c r="B482" s="49">
        <f t="shared" si="8"/>
        <v>1995</v>
      </c>
      <c r="C482" s="27" t="s">
        <v>34</v>
      </c>
      <c r="D482" s="27" t="s">
        <v>33</v>
      </c>
      <c r="E482" s="27">
        <v>56</v>
      </c>
    </row>
    <row r="483" spans="1:5" x14ac:dyDescent="0.25">
      <c r="A483" s="26">
        <v>34700</v>
      </c>
      <c r="B483" s="49">
        <f t="shared" si="8"/>
        <v>1995</v>
      </c>
      <c r="C483" s="27" t="s">
        <v>27</v>
      </c>
      <c r="D483" s="27" t="s">
        <v>33</v>
      </c>
      <c r="E483" s="27">
        <v>45</v>
      </c>
    </row>
    <row r="484" spans="1:5" x14ac:dyDescent="0.25">
      <c r="A484" s="26">
        <v>34700</v>
      </c>
      <c r="B484" s="49">
        <f t="shared" si="8"/>
        <v>1995</v>
      </c>
      <c r="C484" s="27" t="s">
        <v>34</v>
      </c>
      <c r="D484" s="27" t="s">
        <v>33</v>
      </c>
      <c r="E484" s="27">
        <v>185</v>
      </c>
    </row>
    <row r="485" spans="1:5" x14ac:dyDescent="0.25">
      <c r="A485" s="26">
        <v>34700</v>
      </c>
      <c r="B485" s="49">
        <f t="shared" si="8"/>
        <v>1995</v>
      </c>
      <c r="C485" s="27" t="s">
        <v>32</v>
      </c>
      <c r="D485" s="27" t="s">
        <v>33</v>
      </c>
      <c r="E485" s="27">
        <v>186</v>
      </c>
    </row>
    <row r="486" spans="1:5" x14ac:dyDescent="0.25">
      <c r="A486" s="26">
        <v>34700</v>
      </c>
      <c r="B486" s="49">
        <f t="shared" si="8"/>
        <v>1995</v>
      </c>
      <c r="C486" s="27" t="s">
        <v>27</v>
      </c>
      <c r="D486" s="27" t="s">
        <v>33</v>
      </c>
      <c r="E486" s="27">
        <v>18</v>
      </c>
    </row>
    <row r="487" spans="1:5" x14ac:dyDescent="0.25">
      <c r="A487" s="26">
        <v>34700</v>
      </c>
      <c r="B487" s="49">
        <f t="shared" si="8"/>
        <v>1995</v>
      </c>
      <c r="C487" s="27" t="s">
        <v>27</v>
      </c>
      <c r="D487" s="27" t="s">
        <v>33</v>
      </c>
      <c r="E487" s="27">
        <v>481</v>
      </c>
    </row>
    <row r="488" spans="1:5" x14ac:dyDescent="0.25">
      <c r="A488" s="26">
        <v>34731</v>
      </c>
      <c r="B488" s="49">
        <f t="shared" si="8"/>
        <v>1995</v>
      </c>
      <c r="C488" s="27" t="s">
        <v>27</v>
      </c>
      <c r="D488" s="27" t="s">
        <v>28</v>
      </c>
      <c r="E488" s="27">
        <v>469</v>
      </c>
    </row>
    <row r="489" spans="1:5" x14ac:dyDescent="0.25">
      <c r="A489" s="26">
        <v>34731</v>
      </c>
      <c r="B489" s="49">
        <f t="shared" si="8"/>
        <v>1995</v>
      </c>
      <c r="C489" s="27" t="s">
        <v>32</v>
      </c>
      <c r="D489" s="27" t="s">
        <v>28</v>
      </c>
      <c r="E489" s="27">
        <v>588</v>
      </c>
    </row>
    <row r="490" spans="1:5" x14ac:dyDescent="0.25">
      <c r="A490" s="26">
        <v>34731</v>
      </c>
      <c r="B490" s="49">
        <f t="shared" si="8"/>
        <v>1995</v>
      </c>
      <c r="C490" s="27" t="s">
        <v>34</v>
      </c>
      <c r="D490" s="27" t="s">
        <v>28</v>
      </c>
      <c r="E490" s="27">
        <v>521</v>
      </c>
    </row>
    <row r="491" spans="1:5" x14ac:dyDescent="0.25">
      <c r="A491" s="26">
        <v>34731</v>
      </c>
      <c r="B491" s="49">
        <f t="shared" si="8"/>
        <v>1995</v>
      </c>
      <c r="C491" s="27" t="s">
        <v>32</v>
      </c>
      <c r="D491" s="27" t="s">
        <v>28</v>
      </c>
      <c r="E491" s="27">
        <v>433</v>
      </c>
    </row>
    <row r="492" spans="1:5" x14ac:dyDescent="0.25">
      <c r="A492" s="26">
        <v>34731</v>
      </c>
      <c r="B492" s="49">
        <f t="shared" si="8"/>
        <v>1995</v>
      </c>
      <c r="C492" s="27" t="s">
        <v>27</v>
      </c>
      <c r="D492" s="27" t="s">
        <v>28</v>
      </c>
      <c r="E492" s="27">
        <v>432</v>
      </c>
    </row>
    <row r="493" spans="1:5" x14ac:dyDescent="0.25">
      <c r="A493" s="26">
        <v>34731</v>
      </c>
      <c r="B493" s="49">
        <f t="shared" si="8"/>
        <v>1995</v>
      </c>
      <c r="C493" s="27" t="s">
        <v>27</v>
      </c>
      <c r="D493" s="27" t="s">
        <v>28</v>
      </c>
      <c r="E493" s="27">
        <v>374</v>
      </c>
    </row>
    <row r="494" spans="1:5" x14ac:dyDescent="0.25">
      <c r="A494" s="26">
        <v>34731</v>
      </c>
      <c r="B494" s="49">
        <f t="shared" si="8"/>
        <v>1995</v>
      </c>
      <c r="C494" s="27" t="s">
        <v>27</v>
      </c>
      <c r="D494" s="27" t="s">
        <v>28</v>
      </c>
      <c r="E494" s="27">
        <v>508</v>
      </c>
    </row>
    <row r="495" spans="1:5" x14ac:dyDescent="0.25">
      <c r="A495" s="26">
        <v>34731</v>
      </c>
      <c r="B495" s="49">
        <f t="shared" si="8"/>
        <v>1995</v>
      </c>
      <c r="C495" s="27" t="s">
        <v>32</v>
      </c>
      <c r="D495" s="27" t="s">
        <v>28</v>
      </c>
      <c r="E495" s="27">
        <v>3293</v>
      </c>
    </row>
    <row r="496" spans="1:5" x14ac:dyDescent="0.25">
      <c r="A496" s="26">
        <v>34731</v>
      </c>
      <c r="B496" s="49">
        <f t="shared" si="8"/>
        <v>1995</v>
      </c>
      <c r="C496" s="27" t="s">
        <v>32</v>
      </c>
      <c r="D496" s="27" t="s">
        <v>28</v>
      </c>
      <c r="E496" s="27">
        <v>1849</v>
      </c>
    </row>
    <row r="497" spans="1:5" x14ac:dyDescent="0.25">
      <c r="A497" s="26">
        <v>34731</v>
      </c>
      <c r="B497" s="49">
        <f t="shared" si="8"/>
        <v>1995</v>
      </c>
      <c r="C497" s="27" t="s">
        <v>34</v>
      </c>
      <c r="D497" s="27" t="s">
        <v>28</v>
      </c>
      <c r="E497" s="27">
        <v>1567</v>
      </c>
    </row>
    <row r="498" spans="1:5" x14ac:dyDescent="0.25">
      <c r="A498" s="26">
        <v>34731</v>
      </c>
      <c r="B498" s="49">
        <f t="shared" si="8"/>
        <v>1995</v>
      </c>
      <c r="C498" s="27" t="s">
        <v>34</v>
      </c>
      <c r="D498" s="27" t="s">
        <v>28</v>
      </c>
      <c r="E498" s="27">
        <v>1129</v>
      </c>
    </row>
    <row r="499" spans="1:5" x14ac:dyDescent="0.25">
      <c r="A499" s="26">
        <v>34731</v>
      </c>
      <c r="B499" s="49">
        <f t="shared" si="8"/>
        <v>1995</v>
      </c>
      <c r="C499" s="27" t="s">
        <v>34</v>
      </c>
      <c r="D499" s="27" t="s">
        <v>28</v>
      </c>
      <c r="E499" s="27">
        <v>886</v>
      </c>
    </row>
    <row r="500" spans="1:5" x14ac:dyDescent="0.25">
      <c r="A500" s="26">
        <v>34731</v>
      </c>
      <c r="B500" s="49">
        <f t="shared" si="8"/>
        <v>1995</v>
      </c>
      <c r="C500" s="27" t="s">
        <v>27</v>
      </c>
      <c r="D500" s="27" t="s">
        <v>29</v>
      </c>
      <c r="E500" s="27">
        <v>610</v>
      </c>
    </row>
    <row r="501" spans="1:5" x14ac:dyDescent="0.25">
      <c r="A501" s="26">
        <v>34731</v>
      </c>
      <c r="B501" s="49">
        <f t="shared" si="8"/>
        <v>1995</v>
      </c>
      <c r="C501" s="27" t="s">
        <v>34</v>
      </c>
      <c r="D501" s="27" t="s">
        <v>29</v>
      </c>
      <c r="E501" s="27">
        <v>524</v>
      </c>
    </row>
    <row r="502" spans="1:5" x14ac:dyDescent="0.25">
      <c r="A502" s="26">
        <v>34731</v>
      </c>
      <c r="B502" s="49">
        <f t="shared" si="8"/>
        <v>1995</v>
      </c>
      <c r="C502" s="27" t="s">
        <v>32</v>
      </c>
      <c r="D502" s="27" t="s">
        <v>29</v>
      </c>
      <c r="E502" s="27">
        <v>123</v>
      </c>
    </row>
    <row r="503" spans="1:5" x14ac:dyDescent="0.25">
      <c r="A503" s="26">
        <v>34731</v>
      </c>
      <c r="B503" s="49">
        <f t="shared" si="8"/>
        <v>1995</v>
      </c>
      <c r="C503" s="27" t="s">
        <v>27</v>
      </c>
      <c r="D503" s="27" t="s">
        <v>29</v>
      </c>
      <c r="E503" s="27">
        <v>503</v>
      </c>
    </row>
    <row r="504" spans="1:5" x14ac:dyDescent="0.25">
      <c r="A504" s="26">
        <v>34731</v>
      </c>
      <c r="B504" s="49">
        <f t="shared" si="8"/>
        <v>1995</v>
      </c>
      <c r="C504" s="27" t="s">
        <v>34</v>
      </c>
      <c r="D504" s="27" t="s">
        <v>29</v>
      </c>
      <c r="E504" s="27">
        <v>473</v>
      </c>
    </row>
    <row r="505" spans="1:5" x14ac:dyDescent="0.25">
      <c r="A505" s="26">
        <v>34731</v>
      </c>
      <c r="B505" s="49">
        <f t="shared" si="8"/>
        <v>1995</v>
      </c>
      <c r="C505" s="27" t="s">
        <v>34</v>
      </c>
      <c r="D505" s="27" t="s">
        <v>29</v>
      </c>
      <c r="E505" s="27">
        <v>368</v>
      </c>
    </row>
    <row r="506" spans="1:5" x14ac:dyDescent="0.25">
      <c r="A506" s="26">
        <v>34731</v>
      </c>
      <c r="B506" s="49">
        <f t="shared" si="8"/>
        <v>1995</v>
      </c>
      <c r="C506" s="27" t="s">
        <v>34</v>
      </c>
      <c r="D506" s="27" t="s">
        <v>29</v>
      </c>
      <c r="E506" s="27">
        <v>368</v>
      </c>
    </row>
    <row r="507" spans="1:5" x14ac:dyDescent="0.25">
      <c r="A507" s="26">
        <v>34731</v>
      </c>
      <c r="B507" s="49">
        <f t="shared" si="8"/>
        <v>1995</v>
      </c>
      <c r="C507" s="27" t="s">
        <v>32</v>
      </c>
      <c r="D507" s="27" t="s">
        <v>29</v>
      </c>
      <c r="E507" s="27">
        <v>360</v>
      </c>
    </row>
    <row r="508" spans="1:5" x14ac:dyDescent="0.25">
      <c r="A508" s="26">
        <v>34731</v>
      </c>
      <c r="B508" s="49">
        <f t="shared" si="8"/>
        <v>1995</v>
      </c>
      <c r="C508" s="27" t="s">
        <v>27</v>
      </c>
      <c r="D508" s="27" t="s">
        <v>29</v>
      </c>
      <c r="E508" s="27">
        <v>180</v>
      </c>
    </row>
    <row r="509" spans="1:5" x14ac:dyDescent="0.25">
      <c r="A509" s="26">
        <v>34731</v>
      </c>
      <c r="B509" s="49">
        <f t="shared" si="8"/>
        <v>1995</v>
      </c>
      <c r="C509" s="27" t="s">
        <v>32</v>
      </c>
      <c r="D509" s="27" t="s">
        <v>29</v>
      </c>
      <c r="E509" s="27">
        <v>135</v>
      </c>
    </row>
    <row r="510" spans="1:5" x14ac:dyDescent="0.25">
      <c r="A510" s="26">
        <v>34731</v>
      </c>
      <c r="B510" s="49">
        <f t="shared" si="8"/>
        <v>1995</v>
      </c>
      <c r="C510" s="27" t="s">
        <v>32</v>
      </c>
      <c r="D510" s="27" t="s">
        <v>29</v>
      </c>
      <c r="E510" s="27">
        <v>105</v>
      </c>
    </row>
    <row r="511" spans="1:5" x14ac:dyDescent="0.25">
      <c r="A511" s="26">
        <v>34731</v>
      </c>
      <c r="B511" s="49">
        <f t="shared" si="8"/>
        <v>1995</v>
      </c>
      <c r="C511" s="27" t="s">
        <v>27</v>
      </c>
      <c r="D511" s="27" t="s">
        <v>29</v>
      </c>
      <c r="E511" s="27">
        <v>333</v>
      </c>
    </row>
    <row r="512" spans="1:5" x14ac:dyDescent="0.25">
      <c r="A512" s="26">
        <v>34731</v>
      </c>
      <c r="B512" s="49">
        <f t="shared" si="8"/>
        <v>1995</v>
      </c>
      <c r="C512" s="27" t="s">
        <v>32</v>
      </c>
      <c r="D512" s="27" t="s">
        <v>30</v>
      </c>
      <c r="E512" s="27">
        <v>873</v>
      </c>
    </row>
    <row r="513" spans="1:5" x14ac:dyDescent="0.25">
      <c r="A513" s="26">
        <v>34731</v>
      </c>
      <c r="B513" s="49">
        <f t="shared" si="8"/>
        <v>1995</v>
      </c>
      <c r="C513" s="27" t="s">
        <v>27</v>
      </c>
      <c r="D513" s="27" t="s">
        <v>30</v>
      </c>
      <c r="E513" s="27">
        <v>1387</v>
      </c>
    </row>
    <row r="514" spans="1:5" x14ac:dyDescent="0.25">
      <c r="A514" s="26">
        <v>34731</v>
      </c>
      <c r="B514" s="49">
        <f t="shared" si="8"/>
        <v>1995</v>
      </c>
      <c r="C514" s="27" t="s">
        <v>27</v>
      </c>
      <c r="D514" s="27" t="s">
        <v>30</v>
      </c>
      <c r="E514" s="27">
        <v>1359</v>
      </c>
    </row>
    <row r="515" spans="1:5" x14ac:dyDescent="0.25">
      <c r="A515" s="26">
        <v>34731</v>
      </c>
      <c r="B515" s="49">
        <f t="shared" ref="B515:B578" si="9">YEAR(A515)</f>
        <v>1995</v>
      </c>
      <c r="C515" s="27" t="s">
        <v>27</v>
      </c>
      <c r="D515" s="27" t="s">
        <v>30</v>
      </c>
      <c r="E515" s="27">
        <v>55</v>
      </c>
    </row>
    <row r="516" spans="1:5" x14ac:dyDescent="0.25">
      <c r="A516" s="26">
        <v>34731</v>
      </c>
      <c r="B516" s="49">
        <f t="shared" si="9"/>
        <v>1995</v>
      </c>
      <c r="C516" s="27" t="s">
        <v>27</v>
      </c>
      <c r="D516" s="27" t="s">
        <v>30</v>
      </c>
      <c r="E516" s="27">
        <v>63</v>
      </c>
    </row>
    <row r="517" spans="1:5" x14ac:dyDescent="0.25">
      <c r="A517" s="26">
        <v>34731</v>
      </c>
      <c r="B517" s="49">
        <f t="shared" si="9"/>
        <v>1995</v>
      </c>
      <c r="C517" s="27" t="s">
        <v>32</v>
      </c>
      <c r="D517" s="27" t="s">
        <v>30</v>
      </c>
      <c r="E517" s="27">
        <v>88</v>
      </c>
    </row>
    <row r="518" spans="1:5" x14ac:dyDescent="0.25">
      <c r="A518" s="26">
        <v>34731</v>
      </c>
      <c r="B518" s="49">
        <f t="shared" si="9"/>
        <v>1995</v>
      </c>
      <c r="C518" s="27" t="s">
        <v>32</v>
      </c>
      <c r="D518" s="27" t="s">
        <v>30</v>
      </c>
      <c r="E518" s="27">
        <v>140</v>
      </c>
    </row>
    <row r="519" spans="1:5" x14ac:dyDescent="0.25">
      <c r="A519" s="26">
        <v>34731</v>
      </c>
      <c r="B519" s="49">
        <f t="shared" si="9"/>
        <v>1995</v>
      </c>
      <c r="C519" s="27" t="s">
        <v>27</v>
      </c>
      <c r="D519" s="27" t="s">
        <v>30</v>
      </c>
      <c r="E519" s="27">
        <v>79</v>
      </c>
    </row>
    <row r="520" spans="1:5" x14ac:dyDescent="0.25">
      <c r="A520" s="26">
        <v>34731</v>
      </c>
      <c r="B520" s="49">
        <f t="shared" si="9"/>
        <v>1995</v>
      </c>
      <c r="C520" s="27" t="s">
        <v>27</v>
      </c>
      <c r="D520" s="27" t="s">
        <v>30</v>
      </c>
      <c r="E520" s="27">
        <v>104</v>
      </c>
    </row>
    <row r="521" spans="1:5" x14ac:dyDescent="0.25">
      <c r="A521" s="26">
        <v>34731</v>
      </c>
      <c r="B521" s="49">
        <f t="shared" si="9"/>
        <v>1995</v>
      </c>
      <c r="C521" s="27" t="s">
        <v>32</v>
      </c>
      <c r="D521" s="27" t="s">
        <v>30</v>
      </c>
      <c r="E521" s="27">
        <v>146</v>
      </c>
    </row>
    <row r="522" spans="1:5" x14ac:dyDescent="0.25">
      <c r="A522" s="26">
        <v>34731</v>
      </c>
      <c r="B522" s="49">
        <f t="shared" si="9"/>
        <v>1995</v>
      </c>
      <c r="C522" s="27" t="s">
        <v>32</v>
      </c>
      <c r="D522" s="27" t="s">
        <v>30</v>
      </c>
      <c r="E522" s="27">
        <v>180</v>
      </c>
    </row>
    <row r="523" spans="1:5" x14ac:dyDescent="0.25">
      <c r="A523" s="26">
        <v>34731</v>
      </c>
      <c r="B523" s="49">
        <f t="shared" si="9"/>
        <v>1995</v>
      </c>
      <c r="C523" s="27" t="s">
        <v>32</v>
      </c>
      <c r="D523" s="27" t="s">
        <v>30</v>
      </c>
      <c r="E523" s="27">
        <v>179</v>
      </c>
    </row>
    <row r="524" spans="1:5" x14ac:dyDescent="0.25">
      <c r="A524" s="26">
        <v>34731</v>
      </c>
      <c r="B524" s="49">
        <f t="shared" si="9"/>
        <v>1995</v>
      </c>
      <c r="C524" s="27" t="s">
        <v>32</v>
      </c>
      <c r="D524" s="27" t="s">
        <v>31</v>
      </c>
      <c r="E524" s="27">
        <v>175</v>
      </c>
    </row>
    <row r="525" spans="1:5" x14ac:dyDescent="0.25">
      <c r="A525" s="26">
        <v>34731</v>
      </c>
      <c r="B525" s="49">
        <f t="shared" si="9"/>
        <v>1995</v>
      </c>
      <c r="C525" s="27" t="s">
        <v>27</v>
      </c>
      <c r="D525" s="27" t="s">
        <v>31</v>
      </c>
      <c r="E525" s="27">
        <v>175</v>
      </c>
    </row>
    <row r="526" spans="1:5" x14ac:dyDescent="0.25">
      <c r="A526" s="26">
        <v>34731</v>
      </c>
      <c r="B526" s="49">
        <f t="shared" si="9"/>
        <v>1995</v>
      </c>
      <c r="C526" s="27" t="s">
        <v>32</v>
      </c>
      <c r="D526" s="27" t="s">
        <v>31</v>
      </c>
      <c r="E526" s="27">
        <v>404</v>
      </c>
    </row>
    <row r="527" spans="1:5" x14ac:dyDescent="0.25">
      <c r="A527" s="26">
        <v>34731</v>
      </c>
      <c r="B527" s="49">
        <f t="shared" si="9"/>
        <v>1995</v>
      </c>
      <c r="C527" s="27" t="s">
        <v>34</v>
      </c>
      <c r="D527" s="27" t="s">
        <v>31</v>
      </c>
      <c r="E527" s="27">
        <v>105</v>
      </c>
    </row>
    <row r="528" spans="1:5" x14ac:dyDescent="0.25">
      <c r="A528" s="26">
        <v>34731</v>
      </c>
      <c r="B528" s="49">
        <f t="shared" si="9"/>
        <v>1995</v>
      </c>
      <c r="C528" s="27" t="s">
        <v>34</v>
      </c>
      <c r="D528" s="27" t="s">
        <v>31</v>
      </c>
      <c r="E528" s="27">
        <v>270</v>
      </c>
    </row>
    <row r="529" spans="1:5" x14ac:dyDescent="0.25">
      <c r="A529" s="26">
        <v>34731</v>
      </c>
      <c r="B529" s="49">
        <f t="shared" si="9"/>
        <v>1995</v>
      </c>
      <c r="C529" s="27" t="s">
        <v>34</v>
      </c>
      <c r="D529" s="27" t="s">
        <v>31</v>
      </c>
      <c r="E529" s="27">
        <v>371</v>
      </c>
    </row>
    <row r="530" spans="1:5" x14ac:dyDescent="0.25">
      <c r="A530" s="26">
        <v>34731</v>
      </c>
      <c r="B530" s="49">
        <f t="shared" si="9"/>
        <v>1995</v>
      </c>
      <c r="C530" s="27" t="s">
        <v>27</v>
      </c>
      <c r="D530" s="27" t="s">
        <v>31</v>
      </c>
      <c r="E530" s="27">
        <v>180</v>
      </c>
    </row>
    <row r="531" spans="1:5" x14ac:dyDescent="0.25">
      <c r="A531" s="26">
        <v>34731</v>
      </c>
      <c r="B531" s="49">
        <f t="shared" si="9"/>
        <v>1995</v>
      </c>
      <c r="C531" s="27" t="s">
        <v>34</v>
      </c>
      <c r="D531" s="27" t="s">
        <v>31</v>
      </c>
      <c r="E531" s="27">
        <v>341</v>
      </c>
    </row>
    <row r="532" spans="1:5" x14ac:dyDescent="0.25">
      <c r="A532" s="26">
        <v>34731</v>
      </c>
      <c r="B532" s="49">
        <f t="shared" si="9"/>
        <v>1995</v>
      </c>
      <c r="C532" s="27" t="s">
        <v>27</v>
      </c>
      <c r="D532" s="27" t="s">
        <v>31</v>
      </c>
      <c r="E532" s="27">
        <v>998</v>
      </c>
    </row>
    <row r="533" spans="1:5" x14ac:dyDescent="0.25">
      <c r="A533" s="26">
        <v>34731</v>
      </c>
      <c r="B533" s="49">
        <f t="shared" si="9"/>
        <v>1995</v>
      </c>
      <c r="C533" s="27" t="s">
        <v>32</v>
      </c>
      <c r="D533" s="27" t="s">
        <v>31</v>
      </c>
      <c r="E533" s="27">
        <v>1338</v>
      </c>
    </row>
    <row r="534" spans="1:5" x14ac:dyDescent="0.25">
      <c r="A534" s="26">
        <v>34731</v>
      </c>
      <c r="B534" s="49">
        <f t="shared" si="9"/>
        <v>1995</v>
      </c>
      <c r="C534" s="27" t="s">
        <v>32</v>
      </c>
      <c r="D534" s="27" t="s">
        <v>31</v>
      </c>
      <c r="E534" s="27">
        <v>1080</v>
      </c>
    </row>
    <row r="535" spans="1:5" x14ac:dyDescent="0.25">
      <c r="A535" s="26">
        <v>34731</v>
      </c>
      <c r="B535" s="49">
        <f t="shared" si="9"/>
        <v>1995</v>
      </c>
      <c r="C535" s="27" t="s">
        <v>27</v>
      </c>
      <c r="D535" s="27" t="s">
        <v>31</v>
      </c>
      <c r="E535" s="27">
        <v>404</v>
      </c>
    </row>
    <row r="536" spans="1:5" x14ac:dyDescent="0.25">
      <c r="A536" s="26">
        <v>34731</v>
      </c>
      <c r="B536" s="49">
        <f t="shared" si="9"/>
        <v>1995</v>
      </c>
      <c r="C536" s="27" t="s">
        <v>27</v>
      </c>
      <c r="D536" s="27" t="s">
        <v>33</v>
      </c>
      <c r="E536" s="27">
        <v>511</v>
      </c>
    </row>
    <row r="537" spans="1:5" x14ac:dyDescent="0.25">
      <c r="A537" s="26">
        <v>34731</v>
      </c>
      <c r="B537" s="49">
        <f t="shared" si="9"/>
        <v>1995</v>
      </c>
      <c r="C537" s="27" t="s">
        <v>32</v>
      </c>
      <c r="D537" s="27" t="s">
        <v>33</v>
      </c>
      <c r="E537" s="27">
        <v>497</v>
      </c>
    </row>
    <row r="538" spans="1:5" x14ac:dyDescent="0.25">
      <c r="A538" s="26">
        <v>34731</v>
      </c>
      <c r="B538" s="49">
        <f t="shared" si="9"/>
        <v>1995</v>
      </c>
      <c r="C538" s="27" t="s">
        <v>32</v>
      </c>
      <c r="D538" s="27" t="s">
        <v>33</v>
      </c>
      <c r="E538" s="27">
        <v>394</v>
      </c>
    </row>
    <row r="539" spans="1:5" x14ac:dyDescent="0.25">
      <c r="A539" s="26">
        <v>34731</v>
      </c>
      <c r="B539" s="49">
        <f t="shared" si="9"/>
        <v>1995</v>
      </c>
      <c r="C539" s="27" t="s">
        <v>32</v>
      </c>
      <c r="D539" s="27" t="s">
        <v>33</v>
      </c>
      <c r="E539" s="27">
        <v>1983</v>
      </c>
    </row>
    <row r="540" spans="1:5" x14ac:dyDescent="0.25">
      <c r="A540" s="26">
        <v>34731</v>
      </c>
      <c r="B540" s="49">
        <f t="shared" si="9"/>
        <v>1995</v>
      </c>
      <c r="C540" s="27" t="s">
        <v>34</v>
      </c>
      <c r="D540" s="27" t="s">
        <v>33</v>
      </c>
      <c r="E540" s="27">
        <v>1854</v>
      </c>
    </row>
    <row r="541" spans="1:5" x14ac:dyDescent="0.25">
      <c r="A541" s="26">
        <v>34731</v>
      </c>
      <c r="B541" s="49">
        <f t="shared" si="9"/>
        <v>1995</v>
      </c>
      <c r="C541" s="27" t="s">
        <v>27</v>
      </c>
      <c r="D541" s="27" t="s">
        <v>33</v>
      </c>
      <c r="E541" s="27">
        <v>1480</v>
      </c>
    </row>
    <row r="542" spans="1:5" x14ac:dyDescent="0.25">
      <c r="A542" s="26">
        <v>34731</v>
      </c>
      <c r="B542" s="49">
        <f t="shared" si="9"/>
        <v>1995</v>
      </c>
      <c r="C542" s="27" t="s">
        <v>34</v>
      </c>
      <c r="D542" s="27" t="s">
        <v>33</v>
      </c>
      <c r="E542" s="27">
        <v>1203</v>
      </c>
    </row>
    <row r="543" spans="1:5" x14ac:dyDescent="0.25">
      <c r="A543" s="26">
        <v>34731</v>
      </c>
      <c r="B543" s="49">
        <f t="shared" si="9"/>
        <v>1995</v>
      </c>
      <c r="C543" s="27" t="s">
        <v>27</v>
      </c>
      <c r="D543" s="27" t="s">
        <v>33</v>
      </c>
      <c r="E543" s="27">
        <v>26</v>
      </c>
    </row>
    <row r="544" spans="1:5" x14ac:dyDescent="0.25">
      <c r="A544" s="26">
        <v>34731</v>
      </c>
      <c r="B544" s="49">
        <f t="shared" si="9"/>
        <v>1995</v>
      </c>
      <c r="C544" s="27" t="s">
        <v>32</v>
      </c>
      <c r="D544" s="27" t="s">
        <v>33</v>
      </c>
      <c r="E544" s="27">
        <v>172</v>
      </c>
    </row>
    <row r="545" spans="1:5" x14ac:dyDescent="0.25">
      <c r="A545" s="26">
        <v>34731</v>
      </c>
      <c r="B545" s="49">
        <f t="shared" si="9"/>
        <v>1995</v>
      </c>
      <c r="C545" s="27" t="s">
        <v>34</v>
      </c>
      <c r="D545" s="27" t="s">
        <v>33</v>
      </c>
      <c r="E545" s="27">
        <v>171</v>
      </c>
    </row>
    <row r="546" spans="1:5" x14ac:dyDescent="0.25">
      <c r="A546" s="26">
        <v>34731</v>
      </c>
      <c r="B546" s="49">
        <f t="shared" si="9"/>
        <v>1995</v>
      </c>
      <c r="C546" s="27" t="s">
        <v>34</v>
      </c>
      <c r="D546" s="27" t="s">
        <v>33</v>
      </c>
      <c r="E546" s="27">
        <v>63</v>
      </c>
    </row>
    <row r="547" spans="1:5" x14ac:dyDescent="0.25">
      <c r="A547" s="26">
        <v>34731</v>
      </c>
      <c r="B547" s="49">
        <f t="shared" si="9"/>
        <v>1995</v>
      </c>
      <c r="C547" s="27" t="s">
        <v>27</v>
      </c>
      <c r="D547" s="27" t="s">
        <v>33</v>
      </c>
      <c r="E547" s="27">
        <v>56</v>
      </c>
    </row>
    <row r="548" spans="1:5" x14ac:dyDescent="0.25">
      <c r="A548" s="26">
        <v>34759</v>
      </c>
      <c r="B548" s="49">
        <f t="shared" si="9"/>
        <v>1995</v>
      </c>
      <c r="C548" s="27" t="s">
        <v>32</v>
      </c>
      <c r="D548" s="27" t="s">
        <v>28</v>
      </c>
      <c r="E548" s="27">
        <v>338</v>
      </c>
    </row>
    <row r="549" spans="1:5" x14ac:dyDescent="0.25">
      <c r="A549" s="26">
        <v>34759</v>
      </c>
      <c r="B549" s="49">
        <f t="shared" si="9"/>
        <v>1995</v>
      </c>
      <c r="C549" s="27" t="s">
        <v>34</v>
      </c>
      <c r="D549" s="27" t="s">
        <v>28</v>
      </c>
      <c r="E549" s="27">
        <v>1451</v>
      </c>
    </row>
    <row r="550" spans="1:5" x14ac:dyDescent="0.25">
      <c r="A550" s="26">
        <v>34759</v>
      </c>
      <c r="B550" s="49">
        <f t="shared" si="9"/>
        <v>1995</v>
      </c>
      <c r="C550" s="27" t="s">
        <v>32</v>
      </c>
      <c r="D550" s="27" t="s">
        <v>28</v>
      </c>
      <c r="E550" s="27">
        <v>3986</v>
      </c>
    </row>
    <row r="551" spans="1:5" x14ac:dyDescent="0.25">
      <c r="A551" s="26">
        <v>34759</v>
      </c>
      <c r="B551" s="49">
        <f t="shared" si="9"/>
        <v>1995</v>
      </c>
      <c r="C551" s="27" t="s">
        <v>34</v>
      </c>
      <c r="D551" s="27" t="s">
        <v>28</v>
      </c>
      <c r="E551" s="27">
        <v>2180</v>
      </c>
    </row>
    <row r="552" spans="1:5" x14ac:dyDescent="0.25">
      <c r="A552" s="26">
        <v>34759</v>
      </c>
      <c r="B552" s="49">
        <f t="shared" si="9"/>
        <v>1995</v>
      </c>
      <c r="C552" s="27" t="s">
        <v>32</v>
      </c>
      <c r="D552" s="27" t="s">
        <v>28</v>
      </c>
      <c r="E552" s="27">
        <v>1515</v>
      </c>
    </row>
    <row r="553" spans="1:5" x14ac:dyDescent="0.25">
      <c r="A553" s="26">
        <v>34759</v>
      </c>
      <c r="B553" s="49">
        <f t="shared" si="9"/>
        <v>1995</v>
      </c>
      <c r="C553" s="27" t="s">
        <v>27</v>
      </c>
      <c r="D553" s="27" t="s">
        <v>28</v>
      </c>
      <c r="E553" s="27">
        <v>275</v>
      </c>
    </row>
    <row r="554" spans="1:5" x14ac:dyDescent="0.25">
      <c r="A554" s="26">
        <v>34759</v>
      </c>
      <c r="B554" s="49">
        <f t="shared" si="9"/>
        <v>1995</v>
      </c>
      <c r="C554" s="27" t="s">
        <v>34</v>
      </c>
      <c r="D554" s="27" t="s">
        <v>28</v>
      </c>
      <c r="E554" s="27">
        <v>1092</v>
      </c>
    </row>
    <row r="555" spans="1:5" x14ac:dyDescent="0.25">
      <c r="A555" s="26">
        <v>34759</v>
      </c>
      <c r="B555" s="49">
        <f t="shared" si="9"/>
        <v>1995</v>
      </c>
      <c r="C555" s="27" t="s">
        <v>34</v>
      </c>
      <c r="D555" s="27" t="s">
        <v>28</v>
      </c>
      <c r="E555" s="27">
        <v>601</v>
      </c>
    </row>
    <row r="556" spans="1:5" x14ac:dyDescent="0.25">
      <c r="A556" s="26">
        <v>34759</v>
      </c>
      <c r="B556" s="49">
        <f t="shared" si="9"/>
        <v>1995</v>
      </c>
      <c r="C556" s="27" t="s">
        <v>27</v>
      </c>
      <c r="D556" s="27" t="s">
        <v>28</v>
      </c>
      <c r="E556" s="27">
        <v>504</v>
      </c>
    </row>
    <row r="557" spans="1:5" x14ac:dyDescent="0.25">
      <c r="A557" s="26">
        <v>34759</v>
      </c>
      <c r="B557" s="49">
        <f t="shared" si="9"/>
        <v>1995</v>
      </c>
      <c r="C557" s="27" t="s">
        <v>32</v>
      </c>
      <c r="D557" s="27" t="s">
        <v>28</v>
      </c>
      <c r="E557" s="27">
        <v>440</v>
      </c>
    </row>
    <row r="558" spans="1:5" x14ac:dyDescent="0.25">
      <c r="A558" s="26">
        <v>34759</v>
      </c>
      <c r="B558" s="49">
        <f t="shared" si="9"/>
        <v>1995</v>
      </c>
      <c r="C558" s="27" t="s">
        <v>27</v>
      </c>
      <c r="D558" s="27" t="s">
        <v>28</v>
      </c>
      <c r="E558" s="27">
        <v>415</v>
      </c>
    </row>
    <row r="559" spans="1:5" x14ac:dyDescent="0.25">
      <c r="A559" s="26">
        <v>34759</v>
      </c>
      <c r="B559" s="49">
        <f t="shared" si="9"/>
        <v>1995</v>
      </c>
      <c r="C559" s="27" t="s">
        <v>27</v>
      </c>
      <c r="D559" s="27" t="s">
        <v>28</v>
      </c>
      <c r="E559" s="27">
        <v>358</v>
      </c>
    </row>
    <row r="560" spans="1:5" x14ac:dyDescent="0.25">
      <c r="A560" s="26">
        <v>34759</v>
      </c>
      <c r="B560" s="49">
        <f t="shared" si="9"/>
        <v>1995</v>
      </c>
      <c r="C560" s="27" t="s">
        <v>34</v>
      </c>
      <c r="D560" s="27" t="s">
        <v>29</v>
      </c>
      <c r="E560" s="27">
        <v>524</v>
      </c>
    </row>
    <row r="561" spans="1:5" x14ac:dyDescent="0.25">
      <c r="A561" s="26">
        <v>34759</v>
      </c>
      <c r="B561" s="49">
        <f t="shared" si="9"/>
        <v>1995</v>
      </c>
      <c r="C561" s="27" t="s">
        <v>27</v>
      </c>
      <c r="D561" s="27" t="s">
        <v>29</v>
      </c>
      <c r="E561" s="27">
        <v>655</v>
      </c>
    </row>
    <row r="562" spans="1:5" x14ac:dyDescent="0.25">
      <c r="A562" s="26">
        <v>34759</v>
      </c>
      <c r="B562" s="49">
        <f t="shared" si="9"/>
        <v>1995</v>
      </c>
      <c r="C562" s="27" t="s">
        <v>27</v>
      </c>
      <c r="D562" s="27" t="s">
        <v>29</v>
      </c>
      <c r="E562" s="27">
        <v>458</v>
      </c>
    </row>
    <row r="563" spans="1:5" x14ac:dyDescent="0.25">
      <c r="A563" s="26">
        <v>34759</v>
      </c>
      <c r="B563" s="49">
        <f t="shared" si="9"/>
        <v>1995</v>
      </c>
      <c r="C563" s="27" t="s">
        <v>34</v>
      </c>
      <c r="D563" s="27" t="s">
        <v>29</v>
      </c>
      <c r="E563" s="27">
        <v>433</v>
      </c>
    </row>
    <row r="564" spans="1:5" x14ac:dyDescent="0.25">
      <c r="A564" s="26">
        <v>34759</v>
      </c>
      <c r="B564" s="49">
        <f t="shared" si="9"/>
        <v>1995</v>
      </c>
      <c r="C564" s="27" t="s">
        <v>34</v>
      </c>
      <c r="D564" s="27" t="s">
        <v>29</v>
      </c>
      <c r="E564" s="27">
        <v>411</v>
      </c>
    </row>
    <row r="565" spans="1:5" x14ac:dyDescent="0.25">
      <c r="A565" s="26">
        <v>34759</v>
      </c>
      <c r="B565" s="49">
        <f t="shared" si="9"/>
        <v>1995</v>
      </c>
      <c r="C565" s="27" t="s">
        <v>34</v>
      </c>
      <c r="D565" s="27" t="s">
        <v>29</v>
      </c>
      <c r="E565" s="27">
        <v>368</v>
      </c>
    </row>
    <row r="566" spans="1:5" x14ac:dyDescent="0.25">
      <c r="A566" s="26">
        <v>34759</v>
      </c>
      <c r="B566" s="49">
        <f t="shared" si="9"/>
        <v>1995</v>
      </c>
      <c r="C566" s="27" t="s">
        <v>32</v>
      </c>
      <c r="D566" s="27" t="s">
        <v>29</v>
      </c>
      <c r="E566" s="27">
        <v>338</v>
      </c>
    </row>
    <row r="567" spans="1:5" x14ac:dyDescent="0.25">
      <c r="A567" s="26">
        <v>34759</v>
      </c>
      <c r="B567" s="49">
        <f t="shared" si="9"/>
        <v>1995</v>
      </c>
      <c r="C567" s="27" t="s">
        <v>32</v>
      </c>
      <c r="D567" s="27" t="s">
        <v>29</v>
      </c>
      <c r="E567" s="27">
        <v>193</v>
      </c>
    </row>
    <row r="568" spans="1:5" x14ac:dyDescent="0.25">
      <c r="A568" s="26">
        <v>34759</v>
      </c>
      <c r="B568" s="49">
        <f t="shared" si="9"/>
        <v>1995</v>
      </c>
      <c r="C568" s="27" t="s">
        <v>27</v>
      </c>
      <c r="D568" s="27" t="s">
        <v>29</v>
      </c>
      <c r="E568" s="27">
        <v>171</v>
      </c>
    </row>
    <row r="569" spans="1:5" x14ac:dyDescent="0.25">
      <c r="A569" s="26">
        <v>34759</v>
      </c>
      <c r="B569" s="49">
        <f t="shared" si="9"/>
        <v>1995</v>
      </c>
      <c r="C569" s="27" t="s">
        <v>32</v>
      </c>
      <c r="D569" s="27" t="s">
        <v>29</v>
      </c>
      <c r="E569" s="27">
        <v>146</v>
      </c>
    </row>
    <row r="570" spans="1:5" x14ac:dyDescent="0.25">
      <c r="A570" s="26">
        <v>34759</v>
      </c>
      <c r="B570" s="49">
        <f t="shared" si="9"/>
        <v>1995</v>
      </c>
      <c r="C570" s="27" t="s">
        <v>27</v>
      </c>
      <c r="D570" s="27" t="s">
        <v>29</v>
      </c>
      <c r="E570" s="27">
        <v>263</v>
      </c>
    </row>
    <row r="571" spans="1:5" x14ac:dyDescent="0.25">
      <c r="A571" s="26">
        <v>34759</v>
      </c>
      <c r="B571" s="49">
        <f t="shared" si="9"/>
        <v>1995</v>
      </c>
      <c r="C571" s="27" t="s">
        <v>32</v>
      </c>
      <c r="D571" s="27" t="s">
        <v>29</v>
      </c>
      <c r="E571" s="27">
        <v>88</v>
      </c>
    </row>
    <row r="572" spans="1:5" x14ac:dyDescent="0.25">
      <c r="A572" s="26">
        <v>34759</v>
      </c>
      <c r="B572" s="49">
        <f t="shared" si="9"/>
        <v>1995</v>
      </c>
      <c r="C572" s="27" t="s">
        <v>27</v>
      </c>
      <c r="D572" s="27" t="s">
        <v>30</v>
      </c>
      <c r="E572" s="27">
        <v>2066</v>
      </c>
    </row>
    <row r="573" spans="1:5" x14ac:dyDescent="0.25">
      <c r="A573" s="26">
        <v>34759</v>
      </c>
      <c r="B573" s="49">
        <f t="shared" si="9"/>
        <v>1995</v>
      </c>
      <c r="C573" s="27" t="s">
        <v>32</v>
      </c>
      <c r="D573" s="27" t="s">
        <v>30</v>
      </c>
      <c r="E573" s="27">
        <v>841</v>
      </c>
    </row>
    <row r="574" spans="1:5" x14ac:dyDescent="0.25">
      <c r="A574" s="26">
        <v>34759</v>
      </c>
      <c r="B574" s="49">
        <f t="shared" si="9"/>
        <v>1995</v>
      </c>
      <c r="C574" s="27" t="s">
        <v>27</v>
      </c>
      <c r="D574" s="27" t="s">
        <v>30</v>
      </c>
      <c r="E574" s="27">
        <v>1400</v>
      </c>
    </row>
    <row r="575" spans="1:5" x14ac:dyDescent="0.25">
      <c r="A575" s="26">
        <v>34759</v>
      </c>
      <c r="B575" s="49">
        <f t="shared" si="9"/>
        <v>1995</v>
      </c>
      <c r="C575" s="27" t="s">
        <v>32</v>
      </c>
      <c r="D575" s="27" t="s">
        <v>30</v>
      </c>
      <c r="E575" s="27">
        <v>90</v>
      </c>
    </row>
    <row r="576" spans="1:5" x14ac:dyDescent="0.25">
      <c r="A576" s="26">
        <v>34759</v>
      </c>
      <c r="B576" s="49">
        <f t="shared" si="9"/>
        <v>1995</v>
      </c>
      <c r="C576" s="27" t="s">
        <v>32</v>
      </c>
      <c r="D576" s="27" t="s">
        <v>30</v>
      </c>
      <c r="E576" s="27">
        <v>70</v>
      </c>
    </row>
    <row r="577" spans="1:5" x14ac:dyDescent="0.25">
      <c r="A577" s="26">
        <v>34759</v>
      </c>
      <c r="B577" s="49">
        <f t="shared" si="9"/>
        <v>1995</v>
      </c>
      <c r="C577" s="27" t="s">
        <v>27</v>
      </c>
      <c r="D577" s="27" t="s">
        <v>30</v>
      </c>
      <c r="E577" s="27">
        <v>90</v>
      </c>
    </row>
    <row r="578" spans="1:5" x14ac:dyDescent="0.25">
      <c r="A578" s="26">
        <v>34759</v>
      </c>
      <c r="B578" s="49">
        <f t="shared" si="9"/>
        <v>1995</v>
      </c>
      <c r="C578" s="27" t="s">
        <v>27</v>
      </c>
      <c r="D578" s="27" t="s">
        <v>30</v>
      </c>
      <c r="E578" s="27">
        <v>55</v>
      </c>
    </row>
    <row r="579" spans="1:5" x14ac:dyDescent="0.25">
      <c r="A579" s="26">
        <v>34759</v>
      </c>
      <c r="B579" s="49">
        <f t="shared" ref="B579:B642" si="10">YEAR(A579)</f>
        <v>1995</v>
      </c>
      <c r="C579" s="27" t="s">
        <v>27</v>
      </c>
      <c r="D579" s="27" t="s">
        <v>30</v>
      </c>
      <c r="E579" s="27">
        <v>53</v>
      </c>
    </row>
    <row r="580" spans="1:5" x14ac:dyDescent="0.25">
      <c r="A580" s="26">
        <v>34759</v>
      </c>
      <c r="B580" s="49">
        <f t="shared" si="10"/>
        <v>1995</v>
      </c>
      <c r="C580" s="27" t="s">
        <v>27</v>
      </c>
      <c r="D580" s="27" t="s">
        <v>30</v>
      </c>
      <c r="E580" s="27">
        <v>113</v>
      </c>
    </row>
    <row r="581" spans="1:5" x14ac:dyDescent="0.25">
      <c r="A581" s="26">
        <v>34759</v>
      </c>
      <c r="B581" s="49">
        <f t="shared" si="10"/>
        <v>1995</v>
      </c>
      <c r="C581" s="27" t="s">
        <v>32</v>
      </c>
      <c r="D581" s="27" t="s">
        <v>30</v>
      </c>
      <c r="E581" s="27">
        <v>124</v>
      </c>
    </row>
    <row r="582" spans="1:5" x14ac:dyDescent="0.25">
      <c r="A582" s="26">
        <v>34759</v>
      </c>
      <c r="B582" s="49">
        <f t="shared" si="10"/>
        <v>1995</v>
      </c>
      <c r="C582" s="27" t="s">
        <v>32</v>
      </c>
      <c r="D582" s="27" t="s">
        <v>30</v>
      </c>
      <c r="E582" s="27">
        <v>131</v>
      </c>
    </row>
    <row r="583" spans="1:5" x14ac:dyDescent="0.25">
      <c r="A583" s="26">
        <v>34759</v>
      </c>
      <c r="B583" s="49">
        <f t="shared" si="10"/>
        <v>1995</v>
      </c>
      <c r="C583" s="27" t="s">
        <v>32</v>
      </c>
      <c r="D583" s="27" t="s">
        <v>30</v>
      </c>
      <c r="E583" s="27">
        <v>151</v>
      </c>
    </row>
    <row r="584" spans="1:5" x14ac:dyDescent="0.25">
      <c r="A584" s="26">
        <v>34759</v>
      </c>
      <c r="B584" s="49">
        <f t="shared" si="10"/>
        <v>1995</v>
      </c>
      <c r="C584" s="27" t="s">
        <v>34</v>
      </c>
      <c r="D584" s="27" t="s">
        <v>31</v>
      </c>
      <c r="E584" s="27">
        <v>270</v>
      </c>
    </row>
    <row r="585" spans="1:5" x14ac:dyDescent="0.25">
      <c r="A585" s="26">
        <v>34759</v>
      </c>
      <c r="B585" s="49">
        <f t="shared" si="10"/>
        <v>1995</v>
      </c>
      <c r="C585" s="27" t="s">
        <v>27</v>
      </c>
      <c r="D585" s="27" t="s">
        <v>31</v>
      </c>
      <c r="E585" s="27">
        <v>281</v>
      </c>
    </row>
    <row r="586" spans="1:5" x14ac:dyDescent="0.25">
      <c r="A586" s="26">
        <v>34759</v>
      </c>
      <c r="B586" s="49">
        <f t="shared" si="10"/>
        <v>1995</v>
      </c>
      <c r="C586" s="27" t="s">
        <v>34</v>
      </c>
      <c r="D586" s="27" t="s">
        <v>31</v>
      </c>
      <c r="E586" s="27">
        <v>408</v>
      </c>
    </row>
    <row r="587" spans="1:5" x14ac:dyDescent="0.25">
      <c r="A587" s="26">
        <v>34759</v>
      </c>
      <c r="B587" s="49">
        <f t="shared" si="10"/>
        <v>1995</v>
      </c>
      <c r="C587" s="27" t="s">
        <v>27</v>
      </c>
      <c r="D587" s="27" t="s">
        <v>31</v>
      </c>
      <c r="E587" s="27">
        <v>823</v>
      </c>
    </row>
    <row r="588" spans="1:5" x14ac:dyDescent="0.25">
      <c r="A588" s="26">
        <v>34759</v>
      </c>
      <c r="B588" s="49">
        <f t="shared" si="10"/>
        <v>1995</v>
      </c>
      <c r="C588" s="27" t="s">
        <v>32</v>
      </c>
      <c r="D588" s="27" t="s">
        <v>31</v>
      </c>
      <c r="E588" s="27">
        <v>2302</v>
      </c>
    </row>
    <row r="589" spans="1:5" x14ac:dyDescent="0.25">
      <c r="A589" s="26">
        <v>34759</v>
      </c>
      <c r="B589" s="49">
        <f t="shared" si="10"/>
        <v>1995</v>
      </c>
      <c r="C589" s="27" t="s">
        <v>32</v>
      </c>
      <c r="D589" s="27" t="s">
        <v>31</v>
      </c>
      <c r="E589" s="27">
        <v>360</v>
      </c>
    </row>
    <row r="590" spans="1:5" x14ac:dyDescent="0.25">
      <c r="A590" s="26">
        <v>34759</v>
      </c>
      <c r="B590" s="49">
        <f t="shared" si="10"/>
        <v>1995</v>
      </c>
      <c r="C590" s="27" t="s">
        <v>34</v>
      </c>
      <c r="D590" s="27" t="s">
        <v>31</v>
      </c>
      <c r="E590" s="27">
        <v>371</v>
      </c>
    </row>
    <row r="591" spans="1:5" x14ac:dyDescent="0.25">
      <c r="A591" s="26">
        <v>34759</v>
      </c>
      <c r="B591" s="49">
        <f t="shared" si="10"/>
        <v>1995</v>
      </c>
      <c r="C591" s="27" t="s">
        <v>32</v>
      </c>
      <c r="D591" s="27" t="s">
        <v>31</v>
      </c>
      <c r="E591" s="27">
        <v>149</v>
      </c>
    </row>
    <row r="592" spans="1:5" x14ac:dyDescent="0.25">
      <c r="A592" s="26">
        <v>34759</v>
      </c>
      <c r="B592" s="49">
        <f t="shared" si="10"/>
        <v>1995</v>
      </c>
      <c r="C592" s="27" t="s">
        <v>32</v>
      </c>
      <c r="D592" s="27" t="s">
        <v>31</v>
      </c>
      <c r="E592" s="27">
        <v>105</v>
      </c>
    </row>
    <row r="593" spans="1:5" x14ac:dyDescent="0.25">
      <c r="A593" s="26">
        <v>34759</v>
      </c>
      <c r="B593" s="49">
        <f t="shared" si="10"/>
        <v>1995</v>
      </c>
      <c r="C593" s="27" t="s">
        <v>27</v>
      </c>
      <c r="D593" s="27" t="s">
        <v>31</v>
      </c>
      <c r="E593" s="27">
        <v>90</v>
      </c>
    </row>
    <row r="594" spans="1:5" x14ac:dyDescent="0.25">
      <c r="A594" s="26">
        <v>34759</v>
      </c>
      <c r="B594" s="49">
        <f t="shared" si="10"/>
        <v>1995</v>
      </c>
      <c r="C594" s="27" t="s">
        <v>27</v>
      </c>
      <c r="D594" s="27" t="s">
        <v>31</v>
      </c>
      <c r="E594" s="27">
        <v>193</v>
      </c>
    </row>
    <row r="595" spans="1:5" x14ac:dyDescent="0.25">
      <c r="A595" s="26">
        <v>34759</v>
      </c>
      <c r="B595" s="49">
        <f t="shared" si="10"/>
        <v>1995</v>
      </c>
      <c r="C595" s="27" t="s">
        <v>34</v>
      </c>
      <c r="D595" s="27" t="s">
        <v>31</v>
      </c>
      <c r="E595" s="27">
        <v>105</v>
      </c>
    </row>
    <row r="596" spans="1:5" x14ac:dyDescent="0.25">
      <c r="A596" s="26">
        <v>34759</v>
      </c>
      <c r="B596" s="49">
        <f t="shared" si="10"/>
        <v>1995</v>
      </c>
      <c r="C596" s="27" t="s">
        <v>27</v>
      </c>
      <c r="D596" s="27" t="s">
        <v>33</v>
      </c>
      <c r="E596" s="27">
        <v>637</v>
      </c>
    </row>
    <row r="597" spans="1:5" x14ac:dyDescent="0.25">
      <c r="A597" s="26">
        <v>34759</v>
      </c>
      <c r="B597" s="49">
        <f t="shared" si="10"/>
        <v>1995</v>
      </c>
      <c r="C597" s="27" t="s">
        <v>32</v>
      </c>
      <c r="D597" s="27" t="s">
        <v>33</v>
      </c>
      <c r="E597" s="27">
        <v>394</v>
      </c>
    </row>
    <row r="598" spans="1:5" x14ac:dyDescent="0.25">
      <c r="A598" s="26">
        <v>34759</v>
      </c>
      <c r="B598" s="49">
        <f t="shared" si="10"/>
        <v>1995</v>
      </c>
      <c r="C598" s="27" t="s">
        <v>32</v>
      </c>
      <c r="D598" s="27" t="s">
        <v>33</v>
      </c>
      <c r="E598" s="27">
        <v>586</v>
      </c>
    </row>
    <row r="599" spans="1:5" x14ac:dyDescent="0.25">
      <c r="A599" s="26">
        <v>34759</v>
      </c>
      <c r="B599" s="49">
        <f t="shared" si="10"/>
        <v>1995</v>
      </c>
      <c r="C599" s="27" t="s">
        <v>34</v>
      </c>
      <c r="D599" s="27" t="s">
        <v>33</v>
      </c>
      <c r="E599" s="27">
        <v>56</v>
      </c>
    </row>
    <row r="600" spans="1:5" x14ac:dyDescent="0.25">
      <c r="A600" s="26">
        <v>34759</v>
      </c>
      <c r="B600" s="49">
        <f t="shared" si="10"/>
        <v>1995</v>
      </c>
      <c r="C600" s="27" t="s">
        <v>27</v>
      </c>
      <c r="D600" s="27" t="s">
        <v>33</v>
      </c>
      <c r="E600" s="27">
        <v>56</v>
      </c>
    </row>
    <row r="601" spans="1:5" x14ac:dyDescent="0.25">
      <c r="A601" s="26">
        <v>34759</v>
      </c>
      <c r="B601" s="49">
        <f t="shared" si="10"/>
        <v>1995</v>
      </c>
      <c r="C601" s="27" t="s">
        <v>27</v>
      </c>
      <c r="D601" s="27" t="s">
        <v>33</v>
      </c>
      <c r="E601" s="27">
        <v>26</v>
      </c>
    </row>
    <row r="602" spans="1:5" x14ac:dyDescent="0.25">
      <c r="A602" s="26">
        <v>34759</v>
      </c>
      <c r="B602" s="49">
        <f t="shared" si="10"/>
        <v>1995</v>
      </c>
      <c r="C602" s="27" t="s">
        <v>34</v>
      </c>
      <c r="D602" s="27" t="s">
        <v>33</v>
      </c>
      <c r="E602" s="27">
        <v>252</v>
      </c>
    </row>
    <row r="603" spans="1:5" x14ac:dyDescent="0.25">
      <c r="A603" s="26">
        <v>34759</v>
      </c>
      <c r="B603" s="49">
        <f t="shared" si="10"/>
        <v>1995</v>
      </c>
      <c r="C603" s="27" t="s">
        <v>32</v>
      </c>
      <c r="D603" s="27" t="s">
        <v>33</v>
      </c>
      <c r="E603" s="27">
        <v>249</v>
      </c>
    </row>
    <row r="604" spans="1:5" x14ac:dyDescent="0.25">
      <c r="A604" s="26">
        <v>34759</v>
      </c>
      <c r="B604" s="49">
        <f t="shared" si="10"/>
        <v>1995</v>
      </c>
      <c r="C604" s="27" t="s">
        <v>32</v>
      </c>
      <c r="D604" s="27" t="s">
        <v>33</v>
      </c>
      <c r="E604" s="27">
        <v>1811</v>
      </c>
    </row>
    <row r="605" spans="1:5" x14ac:dyDescent="0.25">
      <c r="A605" s="26">
        <v>34759</v>
      </c>
      <c r="B605" s="49">
        <f t="shared" si="10"/>
        <v>1995</v>
      </c>
      <c r="C605" s="27" t="s">
        <v>34</v>
      </c>
      <c r="D605" s="27" t="s">
        <v>33</v>
      </c>
      <c r="E605" s="27">
        <v>1621</v>
      </c>
    </row>
    <row r="606" spans="1:5" x14ac:dyDescent="0.25">
      <c r="A606" s="26">
        <v>34759</v>
      </c>
      <c r="B606" s="49">
        <f t="shared" si="10"/>
        <v>1995</v>
      </c>
      <c r="C606" s="27" t="s">
        <v>34</v>
      </c>
      <c r="D606" s="27" t="s">
        <v>33</v>
      </c>
      <c r="E606" s="27">
        <v>1130</v>
      </c>
    </row>
    <row r="607" spans="1:5" x14ac:dyDescent="0.25">
      <c r="A607" s="26">
        <v>34759</v>
      </c>
      <c r="B607" s="49">
        <f t="shared" si="10"/>
        <v>1995</v>
      </c>
      <c r="C607" s="27" t="s">
        <v>27</v>
      </c>
      <c r="D607" s="27" t="s">
        <v>33</v>
      </c>
      <c r="E607" s="27">
        <v>911</v>
      </c>
    </row>
    <row r="608" spans="1:5" x14ac:dyDescent="0.25">
      <c r="A608" s="26">
        <v>34790</v>
      </c>
      <c r="B608" s="49">
        <f t="shared" si="10"/>
        <v>1995</v>
      </c>
      <c r="C608" s="27" t="s">
        <v>35</v>
      </c>
      <c r="D608" s="27" t="s">
        <v>28</v>
      </c>
      <c r="E608" s="27">
        <v>135</v>
      </c>
    </row>
    <row r="609" spans="1:5" x14ac:dyDescent="0.25">
      <c r="A609" s="26">
        <v>34790</v>
      </c>
      <c r="B609" s="49">
        <f t="shared" si="10"/>
        <v>1995</v>
      </c>
      <c r="C609" s="27" t="s">
        <v>34</v>
      </c>
      <c r="D609" s="27" t="s">
        <v>28</v>
      </c>
      <c r="E609" s="27">
        <v>521</v>
      </c>
    </row>
    <row r="610" spans="1:5" x14ac:dyDescent="0.25">
      <c r="A610" s="26">
        <v>34790</v>
      </c>
      <c r="B610" s="49">
        <f t="shared" si="10"/>
        <v>1995</v>
      </c>
      <c r="C610" s="27" t="s">
        <v>27</v>
      </c>
      <c r="D610" s="27" t="s">
        <v>28</v>
      </c>
      <c r="E610" s="27">
        <v>516</v>
      </c>
    </row>
    <row r="611" spans="1:5" x14ac:dyDescent="0.25">
      <c r="A611" s="26">
        <v>34790</v>
      </c>
      <c r="B611" s="49">
        <f t="shared" si="10"/>
        <v>1995</v>
      </c>
      <c r="C611" s="27" t="s">
        <v>27</v>
      </c>
      <c r="D611" s="27" t="s">
        <v>28</v>
      </c>
      <c r="E611" s="27">
        <v>385</v>
      </c>
    </row>
    <row r="612" spans="1:5" x14ac:dyDescent="0.25">
      <c r="A612" s="26">
        <v>34790</v>
      </c>
      <c r="B612" s="49">
        <f t="shared" si="10"/>
        <v>1995</v>
      </c>
      <c r="C612" s="27" t="s">
        <v>27</v>
      </c>
      <c r="D612" s="27" t="s">
        <v>28</v>
      </c>
      <c r="E612" s="27">
        <v>330</v>
      </c>
    </row>
    <row r="613" spans="1:5" x14ac:dyDescent="0.25">
      <c r="A613" s="26">
        <v>34790</v>
      </c>
      <c r="B613" s="49">
        <f t="shared" si="10"/>
        <v>1995</v>
      </c>
      <c r="C613" s="27" t="s">
        <v>34</v>
      </c>
      <c r="D613" s="27" t="s">
        <v>28</v>
      </c>
      <c r="E613" s="27">
        <v>270</v>
      </c>
    </row>
    <row r="614" spans="1:5" x14ac:dyDescent="0.25">
      <c r="A614" s="26">
        <v>34790</v>
      </c>
      <c r="B614" s="49">
        <f t="shared" si="10"/>
        <v>1995</v>
      </c>
      <c r="C614" s="27" t="s">
        <v>32</v>
      </c>
      <c r="D614" s="27" t="s">
        <v>28</v>
      </c>
      <c r="E614" s="27">
        <v>180</v>
      </c>
    </row>
    <row r="615" spans="1:5" x14ac:dyDescent="0.25">
      <c r="A615" s="26">
        <v>34790</v>
      </c>
      <c r="B615" s="49">
        <f t="shared" si="10"/>
        <v>1995</v>
      </c>
      <c r="C615" s="27" t="s">
        <v>35</v>
      </c>
      <c r="D615" s="27" t="s">
        <v>28</v>
      </c>
      <c r="E615" s="27">
        <v>151</v>
      </c>
    </row>
    <row r="616" spans="1:5" x14ac:dyDescent="0.25">
      <c r="A616" s="26">
        <v>34790</v>
      </c>
      <c r="B616" s="49">
        <f t="shared" si="10"/>
        <v>1995</v>
      </c>
      <c r="C616" s="27" t="s">
        <v>34</v>
      </c>
      <c r="D616" s="27" t="s">
        <v>28</v>
      </c>
      <c r="E616" s="27">
        <v>814</v>
      </c>
    </row>
    <row r="617" spans="1:5" x14ac:dyDescent="0.25">
      <c r="A617" s="26">
        <v>34790</v>
      </c>
      <c r="B617" s="49">
        <f t="shared" si="10"/>
        <v>1995</v>
      </c>
      <c r="C617" s="27" t="s">
        <v>32</v>
      </c>
      <c r="D617" s="27" t="s">
        <v>28</v>
      </c>
      <c r="E617" s="27">
        <v>523</v>
      </c>
    </row>
    <row r="618" spans="1:5" x14ac:dyDescent="0.25">
      <c r="A618" s="26">
        <v>34790</v>
      </c>
      <c r="B618" s="49">
        <f t="shared" si="10"/>
        <v>1995</v>
      </c>
      <c r="C618" s="27" t="s">
        <v>32</v>
      </c>
      <c r="D618" s="27" t="s">
        <v>28</v>
      </c>
      <c r="E618" s="27">
        <v>2227</v>
      </c>
    </row>
    <row r="619" spans="1:5" x14ac:dyDescent="0.25">
      <c r="A619" s="26">
        <v>34790</v>
      </c>
      <c r="B619" s="49">
        <f t="shared" si="10"/>
        <v>1995</v>
      </c>
      <c r="C619" s="27" t="s">
        <v>32</v>
      </c>
      <c r="D619" s="27" t="s">
        <v>28</v>
      </c>
      <c r="E619" s="27">
        <v>1888</v>
      </c>
    </row>
    <row r="620" spans="1:5" x14ac:dyDescent="0.25">
      <c r="A620" s="26">
        <v>34790</v>
      </c>
      <c r="B620" s="49">
        <f t="shared" si="10"/>
        <v>1995</v>
      </c>
      <c r="C620" s="27" t="s">
        <v>34</v>
      </c>
      <c r="D620" s="27" t="s">
        <v>28</v>
      </c>
      <c r="E620" s="27">
        <v>1782</v>
      </c>
    </row>
    <row r="621" spans="1:5" x14ac:dyDescent="0.25">
      <c r="A621" s="26">
        <v>34790</v>
      </c>
      <c r="B621" s="49">
        <f t="shared" si="10"/>
        <v>1995</v>
      </c>
      <c r="C621" s="27" t="s">
        <v>27</v>
      </c>
      <c r="D621" s="27" t="s">
        <v>28</v>
      </c>
      <c r="E621" s="27">
        <v>525</v>
      </c>
    </row>
    <row r="622" spans="1:5" x14ac:dyDescent="0.25">
      <c r="A622" s="26">
        <v>34790</v>
      </c>
      <c r="B622" s="49">
        <f t="shared" si="10"/>
        <v>1995</v>
      </c>
      <c r="C622" s="27" t="s">
        <v>32</v>
      </c>
      <c r="D622" s="27" t="s">
        <v>29</v>
      </c>
      <c r="E622" s="27">
        <v>146</v>
      </c>
    </row>
    <row r="623" spans="1:5" x14ac:dyDescent="0.25">
      <c r="A623" s="26">
        <v>34790</v>
      </c>
      <c r="B623" s="49">
        <f t="shared" si="10"/>
        <v>1995</v>
      </c>
      <c r="C623" s="27" t="s">
        <v>35</v>
      </c>
      <c r="D623" s="27" t="s">
        <v>29</v>
      </c>
      <c r="E623" s="27">
        <v>135</v>
      </c>
    </row>
    <row r="624" spans="1:5" x14ac:dyDescent="0.25">
      <c r="A624" s="26">
        <v>34790</v>
      </c>
      <c r="B624" s="49">
        <f t="shared" si="10"/>
        <v>1995</v>
      </c>
      <c r="C624" s="27" t="s">
        <v>32</v>
      </c>
      <c r="D624" s="27" t="s">
        <v>29</v>
      </c>
      <c r="E624" s="27">
        <v>88</v>
      </c>
    </row>
    <row r="625" spans="1:5" x14ac:dyDescent="0.25">
      <c r="A625" s="26">
        <v>34790</v>
      </c>
      <c r="B625" s="49">
        <f t="shared" si="10"/>
        <v>1995</v>
      </c>
      <c r="C625" s="27" t="s">
        <v>35</v>
      </c>
      <c r="D625" s="27" t="s">
        <v>29</v>
      </c>
      <c r="E625" s="27">
        <v>96</v>
      </c>
    </row>
    <row r="626" spans="1:5" x14ac:dyDescent="0.25">
      <c r="A626" s="26">
        <v>34790</v>
      </c>
      <c r="B626" s="49">
        <f t="shared" si="10"/>
        <v>1995</v>
      </c>
      <c r="C626" s="27" t="s">
        <v>34</v>
      </c>
      <c r="D626" s="27" t="s">
        <v>29</v>
      </c>
      <c r="E626" s="27">
        <v>263</v>
      </c>
    </row>
    <row r="627" spans="1:5" x14ac:dyDescent="0.25">
      <c r="A627" s="26">
        <v>34790</v>
      </c>
      <c r="B627" s="49">
        <f t="shared" si="10"/>
        <v>1995</v>
      </c>
      <c r="C627" s="27" t="s">
        <v>32</v>
      </c>
      <c r="D627" s="27" t="s">
        <v>29</v>
      </c>
      <c r="E627" s="27">
        <v>175</v>
      </c>
    </row>
    <row r="628" spans="1:5" x14ac:dyDescent="0.25">
      <c r="A628" s="26">
        <v>34790</v>
      </c>
      <c r="B628" s="49">
        <f t="shared" si="10"/>
        <v>1995</v>
      </c>
      <c r="C628" s="27" t="s">
        <v>27</v>
      </c>
      <c r="D628" s="27" t="s">
        <v>29</v>
      </c>
      <c r="E628" s="27">
        <v>546</v>
      </c>
    </row>
    <row r="629" spans="1:5" x14ac:dyDescent="0.25">
      <c r="A629" s="26">
        <v>34790</v>
      </c>
      <c r="B629" s="49">
        <f t="shared" si="10"/>
        <v>1995</v>
      </c>
      <c r="C629" s="27" t="s">
        <v>34</v>
      </c>
      <c r="D629" s="27" t="s">
        <v>29</v>
      </c>
      <c r="E629" s="27">
        <v>492</v>
      </c>
    </row>
    <row r="630" spans="1:5" x14ac:dyDescent="0.25">
      <c r="A630" s="26">
        <v>34790</v>
      </c>
      <c r="B630" s="49">
        <f t="shared" si="10"/>
        <v>1995</v>
      </c>
      <c r="C630" s="27" t="s">
        <v>34</v>
      </c>
      <c r="D630" s="27" t="s">
        <v>29</v>
      </c>
      <c r="E630" s="27">
        <v>408</v>
      </c>
    </row>
    <row r="631" spans="1:5" x14ac:dyDescent="0.25">
      <c r="A631" s="26">
        <v>34790</v>
      </c>
      <c r="B631" s="49">
        <f t="shared" si="10"/>
        <v>1995</v>
      </c>
      <c r="C631" s="27" t="s">
        <v>34</v>
      </c>
      <c r="D631" s="27" t="s">
        <v>29</v>
      </c>
      <c r="E631" s="27">
        <v>405</v>
      </c>
    </row>
    <row r="632" spans="1:5" x14ac:dyDescent="0.25">
      <c r="A632" s="26">
        <v>34790</v>
      </c>
      <c r="B632" s="49">
        <f t="shared" si="10"/>
        <v>1995</v>
      </c>
      <c r="C632" s="27" t="s">
        <v>32</v>
      </c>
      <c r="D632" s="27" t="s">
        <v>29</v>
      </c>
      <c r="E632" s="27">
        <v>315</v>
      </c>
    </row>
    <row r="633" spans="1:5" x14ac:dyDescent="0.25">
      <c r="A633" s="26">
        <v>34790</v>
      </c>
      <c r="B633" s="49">
        <f t="shared" si="10"/>
        <v>1995</v>
      </c>
      <c r="C633" s="27" t="s">
        <v>27</v>
      </c>
      <c r="D633" s="27" t="s">
        <v>29</v>
      </c>
      <c r="E633" s="27">
        <v>280</v>
      </c>
    </row>
    <row r="634" spans="1:5" x14ac:dyDescent="0.25">
      <c r="A634" s="26">
        <v>34790</v>
      </c>
      <c r="B634" s="49">
        <f t="shared" si="10"/>
        <v>1995</v>
      </c>
      <c r="C634" s="27" t="s">
        <v>27</v>
      </c>
      <c r="D634" s="27" t="s">
        <v>29</v>
      </c>
      <c r="E634" s="27">
        <v>194</v>
      </c>
    </row>
    <row r="635" spans="1:5" x14ac:dyDescent="0.25">
      <c r="A635" s="26">
        <v>34790</v>
      </c>
      <c r="B635" s="49">
        <f t="shared" si="10"/>
        <v>1995</v>
      </c>
      <c r="C635" s="27" t="s">
        <v>27</v>
      </c>
      <c r="D635" s="27" t="s">
        <v>29</v>
      </c>
      <c r="E635" s="27">
        <v>633</v>
      </c>
    </row>
    <row r="636" spans="1:5" x14ac:dyDescent="0.25">
      <c r="A636" s="26">
        <v>34790</v>
      </c>
      <c r="B636" s="49">
        <f t="shared" si="10"/>
        <v>1995</v>
      </c>
      <c r="C636" s="27" t="s">
        <v>27</v>
      </c>
      <c r="D636" s="27" t="s">
        <v>30</v>
      </c>
      <c r="E636" s="27">
        <v>66</v>
      </c>
    </row>
    <row r="637" spans="1:5" x14ac:dyDescent="0.25">
      <c r="A637" s="26">
        <v>34790</v>
      </c>
      <c r="B637" s="49">
        <f t="shared" si="10"/>
        <v>1995</v>
      </c>
      <c r="C637" s="27" t="s">
        <v>27</v>
      </c>
      <c r="D637" s="27" t="s">
        <v>30</v>
      </c>
      <c r="E637" s="27">
        <v>46</v>
      </c>
    </row>
    <row r="638" spans="1:5" x14ac:dyDescent="0.25">
      <c r="A638" s="26">
        <v>34790</v>
      </c>
      <c r="B638" s="49">
        <f t="shared" si="10"/>
        <v>1995</v>
      </c>
      <c r="C638" s="27" t="s">
        <v>32</v>
      </c>
      <c r="D638" s="27" t="s">
        <v>30</v>
      </c>
      <c r="E638" s="27">
        <v>70</v>
      </c>
    </row>
    <row r="639" spans="1:5" x14ac:dyDescent="0.25">
      <c r="A639" s="26">
        <v>34790</v>
      </c>
      <c r="B639" s="49">
        <f t="shared" si="10"/>
        <v>1995</v>
      </c>
      <c r="C639" s="27" t="s">
        <v>32</v>
      </c>
      <c r="D639" s="27" t="s">
        <v>30</v>
      </c>
      <c r="E639" s="27">
        <v>921</v>
      </c>
    </row>
    <row r="640" spans="1:5" x14ac:dyDescent="0.25">
      <c r="A640" s="26">
        <v>34790</v>
      </c>
      <c r="B640" s="49">
        <f t="shared" si="10"/>
        <v>1995</v>
      </c>
      <c r="C640" s="27" t="s">
        <v>27</v>
      </c>
      <c r="D640" s="27" t="s">
        <v>30</v>
      </c>
      <c r="E640" s="27">
        <v>1916</v>
      </c>
    </row>
    <row r="641" spans="1:5" x14ac:dyDescent="0.25">
      <c r="A641" s="26">
        <v>34790</v>
      </c>
      <c r="B641" s="49">
        <f t="shared" si="10"/>
        <v>1995</v>
      </c>
      <c r="C641" s="27" t="s">
        <v>27</v>
      </c>
      <c r="D641" s="27" t="s">
        <v>30</v>
      </c>
      <c r="E641" s="27">
        <v>1519</v>
      </c>
    </row>
    <row r="642" spans="1:5" x14ac:dyDescent="0.25">
      <c r="A642" s="26">
        <v>34790</v>
      </c>
      <c r="B642" s="49">
        <f t="shared" si="10"/>
        <v>1995</v>
      </c>
      <c r="C642" s="27" t="s">
        <v>32</v>
      </c>
      <c r="D642" s="27" t="s">
        <v>30</v>
      </c>
      <c r="E642" s="27">
        <v>146</v>
      </c>
    </row>
    <row r="643" spans="1:5" x14ac:dyDescent="0.25">
      <c r="A643" s="26">
        <v>34790</v>
      </c>
      <c r="B643" s="49">
        <f t="shared" ref="B643:B706" si="11">YEAR(A643)</f>
        <v>1995</v>
      </c>
      <c r="C643" s="27" t="s">
        <v>32</v>
      </c>
      <c r="D643" s="27" t="s">
        <v>30</v>
      </c>
      <c r="E643" s="27">
        <v>140</v>
      </c>
    </row>
    <row r="644" spans="1:5" x14ac:dyDescent="0.25">
      <c r="A644" s="26">
        <v>34790</v>
      </c>
      <c r="B644" s="49">
        <f t="shared" si="11"/>
        <v>1995</v>
      </c>
      <c r="C644" s="27" t="s">
        <v>27</v>
      </c>
      <c r="D644" s="27" t="s">
        <v>30</v>
      </c>
      <c r="E644" s="27">
        <v>126</v>
      </c>
    </row>
    <row r="645" spans="1:5" x14ac:dyDescent="0.25">
      <c r="A645" s="26">
        <v>34790</v>
      </c>
      <c r="B645" s="49">
        <f t="shared" si="11"/>
        <v>1995</v>
      </c>
      <c r="C645" s="27" t="s">
        <v>27</v>
      </c>
      <c r="D645" s="27" t="s">
        <v>30</v>
      </c>
      <c r="E645" s="27">
        <v>113</v>
      </c>
    </row>
    <row r="646" spans="1:5" x14ac:dyDescent="0.25">
      <c r="A646" s="26">
        <v>34790</v>
      </c>
      <c r="B646" s="49">
        <f t="shared" si="11"/>
        <v>1995</v>
      </c>
      <c r="C646" s="27" t="s">
        <v>32</v>
      </c>
      <c r="D646" s="27" t="s">
        <v>30</v>
      </c>
      <c r="E646" s="27">
        <v>113</v>
      </c>
    </row>
    <row r="647" spans="1:5" x14ac:dyDescent="0.25">
      <c r="A647" s="26">
        <v>34790</v>
      </c>
      <c r="B647" s="49">
        <f t="shared" si="11"/>
        <v>1995</v>
      </c>
      <c r="C647" s="27" t="s">
        <v>32</v>
      </c>
      <c r="D647" s="27" t="s">
        <v>30</v>
      </c>
      <c r="E647" s="27">
        <v>165</v>
      </c>
    </row>
    <row r="648" spans="1:5" x14ac:dyDescent="0.25">
      <c r="A648" s="26">
        <v>34790</v>
      </c>
      <c r="B648" s="49">
        <f t="shared" si="11"/>
        <v>1995</v>
      </c>
      <c r="C648" s="27" t="s">
        <v>32</v>
      </c>
      <c r="D648" s="27" t="s">
        <v>31</v>
      </c>
      <c r="E648" s="27">
        <v>1345</v>
      </c>
    </row>
    <row r="649" spans="1:5" x14ac:dyDescent="0.25">
      <c r="A649" s="26">
        <v>34790</v>
      </c>
      <c r="B649" s="49">
        <f t="shared" si="11"/>
        <v>1995</v>
      </c>
      <c r="C649" s="27" t="s">
        <v>27</v>
      </c>
      <c r="D649" s="27" t="s">
        <v>31</v>
      </c>
      <c r="E649" s="27">
        <v>956</v>
      </c>
    </row>
    <row r="650" spans="1:5" x14ac:dyDescent="0.25">
      <c r="A650" s="26">
        <v>34790</v>
      </c>
      <c r="B650" s="49">
        <f t="shared" si="11"/>
        <v>1995</v>
      </c>
      <c r="C650" s="27" t="s">
        <v>32</v>
      </c>
      <c r="D650" s="27" t="s">
        <v>31</v>
      </c>
      <c r="E650" s="27">
        <v>1553</v>
      </c>
    </row>
    <row r="651" spans="1:5" x14ac:dyDescent="0.25">
      <c r="A651" s="26">
        <v>34790</v>
      </c>
      <c r="B651" s="49">
        <f t="shared" si="11"/>
        <v>1995</v>
      </c>
      <c r="C651" s="27" t="s">
        <v>35</v>
      </c>
      <c r="D651" s="27" t="s">
        <v>31</v>
      </c>
      <c r="E651" s="27">
        <v>88</v>
      </c>
    </row>
    <row r="652" spans="1:5" x14ac:dyDescent="0.25">
      <c r="A652" s="26">
        <v>34790</v>
      </c>
      <c r="B652" s="49">
        <f t="shared" si="11"/>
        <v>1995</v>
      </c>
      <c r="C652" s="27" t="s">
        <v>34</v>
      </c>
      <c r="D652" s="27" t="s">
        <v>31</v>
      </c>
      <c r="E652" s="27">
        <v>210</v>
      </c>
    </row>
    <row r="653" spans="1:5" x14ac:dyDescent="0.25">
      <c r="A653" s="26">
        <v>34790</v>
      </c>
      <c r="B653" s="49">
        <f t="shared" si="11"/>
        <v>1995</v>
      </c>
      <c r="C653" s="27" t="s">
        <v>27</v>
      </c>
      <c r="D653" s="27" t="s">
        <v>31</v>
      </c>
      <c r="E653" s="27">
        <v>210</v>
      </c>
    </row>
    <row r="654" spans="1:5" x14ac:dyDescent="0.25">
      <c r="A654" s="26">
        <v>34790</v>
      </c>
      <c r="B654" s="49">
        <f t="shared" si="11"/>
        <v>1995</v>
      </c>
      <c r="C654" s="27" t="s">
        <v>27</v>
      </c>
      <c r="D654" s="27" t="s">
        <v>31</v>
      </c>
      <c r="E654" s="27">
        <v>236</v>
      </c>
    </row>
    <row r="655" spans="1:5" x14ac:dyDescent="0.25">
      <c r="A655" s="26">
        <v>34790</v>
      </c>
      <c r="B655" s="49">
        <f t="shared" si="11"/>
        <v>1995</v>
      </c>
      <c r="C655" s="27" t="s">
        <v>35</v>
      </c>
      <c r="D655" s="27" t="s">
        <v>31</v>
      </c>
      <c r="E655" s="27">
        <v>124</v>
      </c>
    </row>
    <row r="656" spans="1:5" x14ac:dyDescent="0.25">
      <c r="A656" s="26">
        <v>34790</v>
      </c>
      <c r="B656" s="49">
        <f t="shared" si="11"/>
        <v>1995</v>
      </c>
      <c r="C656" s="27" t="s">
        <v>32</v>
      </c>
      <c r="D656" s="27" t="s">
        <v>31</v>
      </c>
      <c r="E656" s="27">
        <v>123</v>
      </c>
    </row>
    <row r="657" spans="1:5" x14ac:dyDescent="0.25">
      <c r="A657" s="26">
        <v>34790</v>
      </c>
      <c r="B657" s="49">
        <f t="shared" si="11"/>
        <v>1995</v>
      </c>
      <c r="C657" s="27" t="s">
        <v>27</v>
      </c>
      <c r="D657" s="27" t="s">
        <v>31</v>
      </c>
      <c r="E657" s="27">
        <v>113</v>
      </c>
    </row>
    <row r="658" spans="1:5" x14ac:dyDescent="0.25">
      <c r="A658" s="26">
        <v>34790</v>
      </c>
      <c r="B658" s="49">
        <f t="shared" si="11"/>
        <v>1995</v>
      </c>
      <c r="C658" s="27" t="s">
        <v>34</v>
      </c>
      <c r="D658" s="27" t="s">
        <v>31</v>
      </c>
      <c r="E658" s="27">
        <v>270</v>
      </c>
    </row>
    <row r="659" spans="1:5" x14ac:dyDescent="0.25">
      <c r="A659" s="26">
        <v>34790</v>
      </c>
      <c r="B659" s="49">
        <f t="shared" si="11"/>
        <v>1995</v>
      </c>
      <c r="C659" s="27" t="s">
        <v>32</v>
      </c>
      <c r="D659" s="27" t="s">
        <v>31</v>
      </c>
      <c r="E659" s="27">
        <v>437</v>
      </c>
    </row>
    <row r="660" spans="1:5" x14ac:dyDescent="0.25">
      <c r="A660" s="26">
        <v>34790</v>
      </c>
      <c r="B660" s="49">
        <f t="shared" si="11"/>
        <v>1995</v>
      </c>
      <c r="C660" s="27" t="s">
        <v>34</v>
      </c>
      <c r="D660" s="27" t="s">
        <v>31</v>
      </c>
      <c r="E660" s="27">
        <v>459</v>
      </c>
    </row>
    <row r="661" spans="1:5" x14ac:dyDescent="0.25">
      <c r="A661" s="26">
        <v>34790</v>
      </c>
      <c r="B661" s="49">
        <f t="shared" si="11"/>
        <v>1995</v>
      </c>
      <c r="C661" s="27" t="s">
        <v>34</v>
      </c>
      <c r="D661" s="27" t="s">
        <v>31</v>
      </c>
      <c r="E661" s="27">
        <v>341</v>
      </c>
    </row>
    <row r="662" spans="1:5" x14ac:dyDescent="0.25">
      <c r="A662" s="26">
        <v>34790</v>
      </c>
      <c r="B662" s="49">
        <f t="shared" si="11"/>
        <v>1995</v>
      </c>
      <c r="C662" s="27" t="s">
        <v>34</v>
      </c>
      <c r="D662" s="27" t="s">
        <v>33</v>
      </c>
      <c r="E662" s="27">
        <v>2370</v>
      </c>
    </row>
    <row r="663" spans="1:5" x14ac:dyDescent="0.25">
      <c r="A663" s="26">
        <v>34790</v>
      </c>
      <c r="B663" s="49">
        <f t="shared" si="11"/>
        <v>1995</v>
      </c>
      <c r="C663" s="27" t="s">
        <v>34</v>
      </c>
      <c r="D663" s="27" t="s">
        <v>33</v>
      </c>
      <c r="E663" s="27">
        <v>1006</v>
      </c>
    </row>
    <row r="664" spans="1:5" x14ac:dyDescent="0.25">
      <c r="A664" s="26">
        <v>34790</v>
      </c>
      <c r="B664" s="49">
        <f t="shared" si="11"/>
        <v>1995</v>
      </c>
      <c r="C664" s="27" t="s">
        <v>27</v>
      </c>
      <c r="D664" s="27" t="s">
        <v>33</v>
      </c>
      <c r="E664" s="27">
        <v>1204</v>
      </c>
    </row>
    <row r="665" spans="1:5" x14ac:dyDescent="0.25">
      <c r="A665" s="26">
        <v>34790</v>
      </c>
      <c r="B665" s="49">
        <f t="shared" si="11"/>
        <v>1995</v>
      </c>
      <c r="C665" s="27" t="s">
        <v>27</v>
      </c>
      <c r="D665" s="27" t="s">
        <v>33</v>
      </c>
      <c r="E665" s="27">
        <v>569</v>
      </c>
    </row>
    <row r="666" spans="1:5" x14ac:dyDescent="0.25">
      <c r="A666" s="26">
        <v>34790</v>
      </c>
      <c r="B666" s="49">
        <f t="shared" si="11"/>
        <v>1995</v>
      </c>
      <c r="C666" s="27" t="s">
        <v>32</v>
      </c>
      <c r="D666" s="27" t="s">
        <v>33</v>
      </c>
      <c r="E666" s="27">
        <v>2061</v>
      </c>
    </row>
    <row r="667" spans="1:5" x14ac:dyDescent="0.25">
      <c r="A667" s="26">
        <v>34790</v>
      </c>
      <c r="B667" s="49">
        <f t="shared" si="11"/>
        <v>1995</v>
      </c>
      <c r="C667" s="27" t="s">
        <v>35</v>
      </c>
      <c r="D667" s="27" t="s">
        <v>33</v>
      </c>
      <c r="E667" s="27">
        <v>90</v>
      </c>
    </row>
    <row r="668" spans="1:5" x14ac:dyDescent="0.25">
      <c r="A668" s="26">
        <v>34790</v>
      </c>
      <c r="B668" s="49">
        <f t="shared" si="11"/>
        <v>1995</v>
      </c>
      <c r="C668" s="27" t="s">
        <v>32</v>
      </c>
      <c r="D668" s="27" t="s">
        <v>33</v>
      </c>
      <c r="E668" s="27">
        <v>117</v>
      </c>
    </row>
    <row r="669" spans="1:5" x14ac:dyDescent="0.25">
      <c r="A669" s="26">
        <v>34790</v>
      </c>
      <c r="B669" s="49">
        <f t="shared" si="11"/>
        <v>1995</v>
      </c>
      <c r="C669" s="27" t="s">
        <v>34</v>
      </c>
      <c r="D669" s="27" t="s">
        <v>33</v>
      </c>
      <c r="E669" s="27">
        <v>72</v>
      </c>
    </row>
    <row r="670" spans="1:5" x14ac:dyDescent="0.25">
      <c r="A670" s="26">
        <v>34790</v>
      </c>
      <c r="B670" s="49">
        <f t="shared" si="11"/>
        <v>1995</v>
      </c>
      <c r="C670" s="27" t="s">
        <v>34</v>
      </c>
      <c r="D670" s="27" t="s">
        <v>33</v>
      </c>
      <c r="E670" s="27">
        <v>63</v>
      </c>
    </row>
    <row r="671" spans="1:5" x14ac:dyDescent="0.25">
      <c r="A671" s="26">
        <v>34790</v>
      </c>
      <c r="B671" s="49">
        <f t="shared" si="11"/>
        <v>1995</v>
      </c>
      <c r="C671" s="27" t="s">
        <v>27</v>
      </c>
      <c r="D671" s="27" t="s">
        <v>33</v>
      </c>
      <c r="E671" s="27">
        <v>35</v>
      </c>
    </row>
    <row r="672" spans="1:5" x14ac:dyDescent="0.25">
      <c r="A672" s="26">
        <v>34790</v>
      </c>
      <c r="B672" s="49">
        <f t="shared" si="11"/>
        <v>1995</v>
      </c>
      <c r="C672" s="27" t="s">
        <v>27</v>
      </c>
      <c r="D672" s="27" t="s">
        <v>33</v>
      </c>
      <c r="E672" s="27">
        <v>56</v>
      </c>
    </row>
    <row r="673" spans="1:5" x14ac:dyDescent="0.25">
      <c r="A673" s="26">
        <v>34790</v>
      </c>
      <c r="B673" s="49">
        <f t="shared" si="11"/>
        <v>1995</v>
      </c>
      <c r="C673" s="27" t="s">
        <v>35</v>
      </c>
      <c r="D673" s="27" t="s">
        <v>33</v>
      </c>
      <c r="E673" s="27">
        <v>61</v>
      </c>
    </row>
    <row r="674" spans="1:5" x14ac:dyDescent="0.25">
      <c r="A674" s="26">
        <v>34790</v>
      </c>
      <c r="B674" s="49">
        <f t="shared" si="11"/>
        <v>1995</v>
      </c>
      <c r="C674" s="27" t="s">
        <v>32</v>
      </c>
      <c r="D674" s="27" t="s">
        <v>33</v>
      </c>
      <c r="E674" s="27">
        <v>437</v>
      </c>
    </row>
    <row r="675" spans="1:5" x14ac:dyDescent="0.25">
      <c r="A675" s="26">
        <v>34790</v>
      </c>
      <c r="B675" s="49">
        <f t="shared" si="11"/>
        <v>1995</v>
      </c>
      <c r="C675" s="27" t="s">
        <v>32</v>
      </c>
      <c r="D675" s="27" t="s">
        <v>33</v>
      </c>
      <c r="E675" s="27">
        <v>315</v>
      </c>
    </row>
    <row r="676" spans="1:5" x14ac:dyDescent="0.25">
      <c r="A676" s="26">
        <v>34820</v>
      </c>
      <c r="B676" s="49">
        <f t="shared" si="11"/>
        <v>1995</v>
      </c>
      <c r="C676" s="27" t="s">
        <v>34</v>
      </c>
      <c r="D676" s="27" t="s">
        <v>28</v>
      </c>
      <c r="E676" s="27">
        <v>1817</v>
      </c>
    </row>
    <row r="677" spans="1:5" x14ac:dyDescent="0.25">
      <c r="A677" s="26">
        <v>34820</v>
      </c>
      <c r="B677" s="49">
        <f t="shared" si="11"/>
        <v>1995</v>
      </c>
      <c r="C677" s="27" t="s">
        <v>32</v>
      </c>
      <c r="D677" s="27" t="s">
        <v>28</v>
      </c>
      <c r="E677" s="27">
        <v>1667</v>
      </c>
    </row>
    <row r="678" spans="1:5" x14ac:dyDescent="0.25">
      <c r="A678" s="26">
        <v>34820</v>
      </c>
      <c r="B678" s="49">
        <f t="shared" si="11"/>
        <v>1995</v>
      </c>
      <c r="C678" s="27" t="s">
        <v>34</v>
      </c>
      <c r="D678" s="27" t="s">
        <v>28</v>
      </c>
      <c r="E678" s="27">
        <v>716</v>
      </c>
    </row>
    <row r="679" spans="1:5" x14ac:dyDescent="0.25">
      <c r="A679" s="26">
        <v>34820</v>
      </c>
      <c r="B679" s="49">
        <f t="shared" si="11"/>
        <v>1995</v>
      </c>
      <c r="C679" s="27" t="s">
        <v>27</v>
      </c>
      <c r="D679" s="27" t="s">
        <v>28</v>
      </c>
      <c r="E679" s="27">
        <v>608</v>
      </c>
    </row>
    <row r="680" spans="1:5" x14ac:dyDescent="0.25">
      <c r="A680" s="26">
        <v>34820</v>
      </c>
      <c r="B680" s="49">
        <f t="shared" si="11"/>
        <v>1995</v>
      </c>
      <c r="C680" s="27" t="s">
        <v>32</v>
      </c>
      <c r="D680" s="27" t="s">
        <v>28</v>
      </c>
      <c r="E680" s="27">
        <v>500</v>
      </c>
    </row>
    <row r="681" spans="1:5" x14ac:dyDescent="0.25">
      <c r="A681" s="26">
        <v>34820</v>
      </c>
      <c r="B681" s="49">
        <f t="shared" si="11"/>
        <v>1995</v>
      </c>
      <c r="C681" s="27" t="s">
        <v>34</v>
      </c>
      <c r="D681" s="27" t="s">
        <v>28</v>
      </c>
      <c r="E681" s="27">
        <v>440</v>
      </c>
    </row>
    <row r="682" spans="1:5" x14ac:dyDescent="0.25">
      <c r="A682" s="26">
        <v>34820</v>
      </c>
      <c r="B682" s="49">
        <f t="shared" si="11"/>
        <v>1995</v>
      </c>
      <c r="C682" s="27" t="s">
        <v>27</v>
      </c>
      <c r="D682" s="27" t="s">
        <v>28</v>
      </c>
      <c r="E682" s="27">
        <v>429</v>
      </c>
    </row>
    <row r="683" spans="1:5" x14ac:dyDescent="0.25">
      <c r="A683" s="26">
        <v>34820</v>
      </c>
      <c r="B683" s="49">
        <f t="shared" si="11"/>
        <v>1995</v>
      </c>
      <c r="C683" s="27" t="s">
        <v>32</v>
      </c>
      <c r="D683" s="27" t="s">
        <v>28</v>
      </c>
      <c r="E683" s="27">
        <v>2159</v>
      </c>
    </row>
    <row r="684" spans="1:5" x14ac:dyDescent="0.25">
      <c r="A684" s="26">
        <v>34820</v>
      </c>
      <c r="B684" s="49">
        <f t="shared" si="11"/>
        <v>1995</v>
      </c>
      <c r="C684" s="27" t="s">
        <v>27</v>
      </c>
      <c r="D684" s="27" t="s">
        <v>28</v>
      </c>
      <c r="E684" s="27">
        <v>385</v>
      </c>
    </row>
    <row r="685" spans="1:5" x14ac:dyDescent="0.25">
      <c r="A685" s="26">
        <v>34820</v>
      </c>
      <c r="B685" s="49">
        <f t="shared" si="11"/>
        <v>1995</v>
      </c>
      <c r="C685" s="27" t="s">
        <v>27</v>
      </c>
      <c r="D685" s="27" t="s">
        <v>28</v>
      </c>
      <c r="E685" s="27">
        <v>415</v>
      </c>
    </row>
    <row r="686" spans="1:5" x14ac:dyDescent="0.25">
      <c r="A686" s="26">
        <v>34820</v>
      </c>
      <c r="B686" s="49">
        <f t="shared" si="11"/>
        <v>1995</v>
      </c>
      <c r="C686" s="27" t="s">
        <v>34</v>
      </c>
      <c r="D686" s="27" t="s">
        <v>28</v>
      </c>
      <c r="E686" s="27">
        <v>270</v>
      </c>
    </row>
    <row r="687" spans="1:5" x14ac:dyDescent="0.25">
      <c r="A687" s="26">
        <v>34820</v>
      </c>
      <c r="B687" s="49">
        <f t="shared" si="11"/>
        <v>1995</v>
      </c>
      <c r="C687" s="27" t="s">
        <v>32</v>
      </c>
      <c r="D687" s="27" t="s">
        <v>28</v>
      </c>
      <c r="E687" s="27">
        <v>248</v>
      </c>
    </row>
    <row r="688" spans="1:5" x14ac:dyDescent="0.25">
      <c r="A688" s="26">
        <v>34820</v>
      </c>
      <c r="B688" s="49">
        <f t="shared" si="11"/>
        <v>1995</v>
      </c>
      <c r="C688" s="27" t="s">
        <v>35</v>
      </c>
      <c r="D688" s="27" t="s">
        <v>28</v>
      </c>
      <c r="E688" s="27">
        <v>151</v>
      </c>
    </row>
    <row r="689" spans="1:5" x14ac:dyDescent="0.25">
      <c r="A689" s="26">
        <v>34820</v>
      </c>
      <c r="B689" s="49">
        <f t="shared" si="11"/>
        <v>1995</v>
      </c>
      <c r="C689" s="27" t="s">
        <v>35</v>
      </c>
      <c r="D689" s="27" t="s">
        <v>28</v>
      </c>
      <c r="E689" s="27">
        <v>113</v>
      </c>
    </row>
    <row r="690" spans="1:5" x14ac:dyDescent="0.25">
      <c r="A690" s="26">
        <v>34820</v>
      </c>
      <c r="B690" s="49">
        <f t="shared" si="11"/>
        <v>1995</v>
      </c>
      <c r="C690" s="27" t="s">
        <v>34</v>
      </c>
      <c r="D690" s="27" t="s">
        <v>29</v>
      </c>
      <c r="E690" s="27">
        <v>433</v>
      </c>
    </row>
    <row r="691" spans="1:5" x14ac:dyDescent="0.25">
      <c r="A691" s="26">
        <v>34820</v>
      </c>
      <c r="B691" s="49">
        <f t="shared" si="11"/>
        <v>1995</v>
      </c>
      <c r="C691" s="27" t="s">
        <v>27</v>
      </c>
      <c r="D691" s="27" t="s">
        <v>29</v>
      </c>
      <c r="E691" s="27">
        <v>686</v>
      </c>
    </row>
    <row r="692" spans="1:5" x14ac:dyDescent="0.25">
      <c r="A692" s="26">
        <v>34820</v>
      </c>
      <c r="B692" s="49">
        <f t="shared" si="11"/>
        <v>1995</v>
      </c>
      <c r="C692" s="27" t="s">
        <v>27</v>
      </c>
      <c r="D692" s="27" t="s">
        <v>29</v>
      </c>
      <c r="E692" s="27">
        <v>535</v>
      </c>
    </row>
    <row r="693" spans="1:5" x14ac:dyDescent="0.25">
      <c r="A693" s="26">
        <v>34820</v>
      </c>
      <c r="B693" s="49">
        <f t="shared" si="11"/>
        <v>1995</v>
      </c>
      <c r="C693" s="27" t="s">
        <v>34</v>
      </c>
      <c r="D693" s="27" t="s">
        <v>29</v>
      </c>
      <c r="E693" s="27">
        <v>492</v>
      </c>
    </row>
    <row r="694" spans="1:5" x14ac:dyDescent="0.25">
      <c r="A694" s="26">
        <v>34820</v>
      </c>
      <c r="B694" s="49">
        <f t="shared" si="11"/>
        <v>1995</v>
      </c>
      <c r="C694" s="27" t="s">
        <v>32</v>
      </c>
      <c r="D694" s="27" t="s">
        <v>29</v>
      </c>
      <c r="E694" s="27">
        <v>333</v>
      </c>
    </row>
    <row r="695" spans="1:5" x14ac:dyDescent="0.25">
      <c r="A695" s="26">
        <v>34820</v>
      </c>
      <c r="B695" s="49">
        <f t="shared" si="11"/>
        <v>1995</v>
      </c>
      <c r="C695" s="27" t="s">
        <v>27</v>
      </c>
      <c r="D695" s="27" t="s">
        <v>29</v>
      </c>
      <c r="E695" s="27">
        <v>289</v>
      </c>
    </row>
    <row r="696" spans="1:5" x14ac:dyDescent="0.25">
      <c r="A696" s="26">
        <v>34820</v>
      </c>
      <c r="B696" s="49">
        <f t="shared" si="11"/>
        <v>1995</v>
      </c>
      <c r="C696" s="27" t="s">
        <v>34</v>
      </c>
      <c r="D696" s="27" t="s">
        <v>29</v>
      </c>
      <c r="E696" s="27">
        <v>270</v>
      </c>
    </row>
    <row r="697" spans="1:5" x14ac:dyDescent="0.25">
      <c r="A697" s="26">
        <v>34820</v>
      </c>
      <c r="B697" s="49">
        <f t="shared" si="11"/>
        <v>1995</v>
      </c>
      <c r="C697" s="27" t="s">
        <v>32</v>
      </c>
      <c r="D697" s="27" t="s">
        <v>29</v>
      </c>
      <c r="E697" s="27">
        <v>248</v>
      </c>
    </row>
    <row r="698" spans="1:5" x14ac:dyDescent="0.25">
      <c r="A698" s="26">
        <v>34820</v>
      </c>
      <c r="B698" s="49">
        <f t="shared" si="11"/>
        <v>1995</v>
      </c>
      <c r="C698" s="27" t="s">
        <v>27</v>
      </c>
      <c r="D698" s="27" t="s">
        <v>29</v>
      </c>
      <c r="E698" s="27">
        <v>203</v>
      </c>
    </row>
    <row r="699" spans="1:5" x14ac:dyDescent="0.25">
      <c r="A699" s="26">
        <v>34820</v>
      </c>
      <c r="B699" s="49">
        <f t="shared" si="11"/>
        <v>1995</v>
      </c>
      <c r="C699" s="27" t="s">
        <v>32</v>
      </c>
      <c r="D699" s="27" t="s">
        <v>29</v>
      </c>
      <c r="E699" s="27">
        <v>169</v>
      </c>
    </row>
    <row r="700" spans="1:5" x14ac:dyDescent="0.25">
      <c r="A700" s="26">
        <v>34820</v>
      </c>
      <c r="B700" s="49">
        <f t="shared" si="11"/>
        <v>1995</v>
      </c>
      <c r="C700" s="27" t="s">
        <v>34</v>
      </c>
      <c r="D700" s="27" t="s">
        <v>29</v>
      </c>
      <c r="E700" s="27">
        <v>158</v>
      </c>
    </row>
    <row r="701" spans="1:5" x14ac:dyDescent="0.25">
      <c r="A701" s="26">
        <v>34820</v>
      </c>
      <c r="B701" s="49">
        <f t="shared" si="11"/>
        <v>1995</v>
      </c>
      <c r="C701" s="27" t="s">
        <v>32</v>
      </c>
      <c r="D701" s="27" t="s">
        <v>29</v>
      </c>
      <c r="E701" s="27">
        <v>96</v>
      </c>
    </row>
    <row r="702" spans="1:5" x14ac:dyDescent="0.25">
      <c r="A702" s="26">
        <v>34820</v>
      </c>
      <c r="B702" s="49">
        <f t="shared" si="11"/>
        <v>1995</v>
      </c>
      <c r="C702" s="27" t="s">
        <v>35</v>
      </c>
      <c r="D702" s="27" t="s">
        <v>29</v>
      </c>
      <c r="E702" s="27">
        <v>96</v>
      </c>
    </row>
    <row r="703" spans="1:5" x14ac:dyDescent="0.25">
      <c r="A703" s="26">
        <v>34820</v>
      </c>
      <c r="B703" s="49">
        <f t="shared" si="11"/>
        <v>1995</v>
      </c>
      <c r="C703" s="27" t="s">
        <v>35</v>
      </c>
      <c r="D703" s="27" t="s">
        <v>29</v>
      </c>
      <c r="E703" s="27">
        <v>146</v>
      </c>
    </row>
    <row r="704" spans="1:5" x14ac:dyDescent="0.25">
      <c r="A704" s="26">
        <v>34820</v>
      </c>
      <c r="B704" s="49">
        <f t="shared" si="11"/>
        <v>1995</v>
      </c>
      <c r="C704" s="27" t="s">
        <v>32</v>
      </c>
      <c r="D704" s="27" t="s">
        <v>30</v>
      </c>
      <c r="E704" s="27">
        <v>950</v>
      </c>
    </row>
    <row r="705" spans="1:5" x14ac:dyDescent="0.25">
      <c r="A705" s="26">
        <v>34820</v>
      </c>
      <c r="B705" s="49">
        <f t="shared" si="11"/>
        <v>1995</v>
      </c>
      <c r="C705" s="27" t="s">
        <v>27</v>
      </c>
      <c r="D705" s="27" t="s">
        <v>30</v>
      </c>
      <c r="E705" s="27">
        <v>1424</v>
      </c>
    </row>
    <row r="706" spans="1:5" x14ac:dyDescent="0.25">
      <c r="A706" s="26">
        <v>34820</v>
      </c>
      <c r="B706" s="49">
        <f t="shared" si="11"/>
        <v>1995</v>
      </c>
      <c r="C706" s="27" t="s">
        <v>27</v>
      </c>
      <c r="D706" s="27" t="s">
        <v>30</v>
      </c>
      <c r="E706" s="27">
        <v>1672</v>
      </c>
    </row>
    <row r="707" spans="1:5" x14ac:dyDescent="0.25">
      <c r="A707" s="26">
        <v>34820</v>
      </c>
      <c r="B707" s="49">
        <f t="shared" ref="B707:B770" si="12">YEAR(A707)</f>
        <v>1995</v>
      </c>
      <c r="C707" s="27" t="s">
        <v>32</v>
      </c>
      <c r="D707" s="27" t="s">
        <v>30</v>
      </c>
      <c r="E707" s="27">
        <v>88</v>
      </c>
    </row>
    <row r="708" spans="1:5" x14ac:dyDescent="0.25">
      <c r="A708" s="26">
        <v>34820</v>
      </c>
      <c r="B708" s="49">
        <f t="shared" si="12"/>
        <v>1995</v>
      </c>
      <c r="C708" s="27" t="s">
        <v>27</v>
      </c>
      <c r="D708" s="27" t="s">
        <v>30</v>
      </c>
      <c r="E708" s="27">
        <v>72</v>
      </c>
    </row>
    <row r="709" spans="1:5" x14ac:dyDescent="0.25">
      <c r="A709" s="26">
        <v>34820</v>
      </c>
      <c r="B709" s="49">
        <f t="shared" si="12"/>
        <v>1995</v>
      </c>
      <c r="C709" s="27" t="s">
        <v>27</v>
      </c>
      <c r="D709" s="27" t="s">
        <v>30</v>
      </c>
      <c r="E709" s="27">
        <v>46</v>
      </c>
    </row>
    <row r="710" spans="1:5" x14ac:dyDescent="0.25">
      <c r="A710" s="26">
        <v>34820</v>
      </c>
      <c r="B710" s="49">
        <f t="shared" si="12"/>
        <v>1995</v>
      </c>
      <c r="C710" s="27" t="s">
        <v>32</v>
      </c>
      <c r="D710" s="27" t="s">
        <v>30</v>
      </c>
      <c r="E710" s="27">
        <v>180</v>
      </c>
    </row>
    <row r="711" spans="1:5" x14ac:dyDescent="0.25">
      <c r="A711" s="26">
        <v>34820</v>
      </c>
      <c r="B711" s="49">
        <f t="shared" si="12"/>
        <v>1995</v>
      </c>
      <c r="C711" s="27" t="s">
        <v>32</v>
      </c>
      <c r="D711" s="27" t="s">
        <v>30</v>
      </c>
      <c r="E711" s="27">
        <v>140</v>
      </c>
    </row>
    <row r="712" spans="1:5" x14ac:dyDescent="0.25">
      <c r="A712" s="26">
        <v>34820</v>
      </c>
      <c r="B712" s="49">
        <f t="shared" si="12"/>
        <v>1995</v>
      </c>
      <c r="C712" s="27" t="s">
        <v>27</v>
      </c>
      <c r="D712" s="27" t="s">
        <v>30</v>
      </c>
      <c r="E712" s="27">
        <v>113</v>
      </c>
    </row>
    <row r="713" spans="1:5" x14ac:dyDescent="0.25">
      <c r="A713" s="26">
        <v>34820</v>
      </c>
      <c r="B713" s="49">
        <f t="shared" si="12"/>
        <v>1995</v>
      </c>
      <c r="C713" s="27" t="s">
        <v>32</v>
      </c>
      <c r="D713" s="27" t="s">
        <v>30</v>
      </c>
      <c r="E713" s="27">
        <v>90</v>
      </c>
    </row>
    <row r="714" spans="1:5" x14ac:dyDescent="0.25">
      <c r="A714" s="26">
        <v>34820</v>
      </c>
      <c r="B714" s="49">
        <f t="shared" si="12"/>
        <v>1995</v>
      </c>
      <c r="C714" s="27" t="s">
        <v>27</v>
      </c>
      <c r="D714" s="27" t="s">
        <v>30</v>
      </c>
      <c r="E714" s="27">
        <v>90</v>
      </c>
    </row>
    <row r="715" spans="1:5" x14ac:dyDescent="0.25">
      <c r="A715" s="26">
        <v>34820</v>
      </c>
      <c r="B715" s="49">
        <f t="shared" si="12"/>
        <v>1995</v>
      </c>
      <c r="C715" s="27" t="s">
        <v>32</v>
      </c>
      <c r="D715" s="27" t="s">
        <v>30</v>
      </c>
      <c r="E715" s="27">
        <v>193</v>
      </c>
    </row>
    <row r="716" spans="1:5" x14ac:dyDescent="0.25">
      <c r="A716" s="26">
        <v>34820</v>
      </c>
      <c r="B716" s="49">
        <f t="shared" si="12"/>
        <v>1995</v>
      </c>
      <c r="C716" s="27" t="s">
        <v>34</v>
      </c>
      <c r="D716" s="27" t="s">
        <v>31</v>
      </c>
      <c r="E716" s="27">
        <v>525</v>
      </c>
    </row>
    <row r="717" spans="1:5" x14ac:dyDescent="0.25">
      <c r="A717" s="26">
        <v>34820</v>
      </c>
      <c r="B717" s="49">
        <f t="shared" si="12"/>
        <v>1995</v>
      </c>
      <c r="C717" s="27" t="s">
        <v>32</v>
      </c>
      <c r="D717" s="27" t="s">
        <v>31</v>
      </c>
      <c r="E717" s="27">
        <v>1260</v>
      </c>
    </row>
    <row r="718" spans="1:5" x14ac:dyDescent="0.25">
      <c r="A718" s="26">
        <v>34820</v>
      </c>
      <c r="B718" s="49">
        <f t="shared" si="12"/>
        <v>1995</v>
      </c>
      <c r="C718" s="27" t="s">
        <v>32</v>
      </c>
      <c r="D718" s="27" t="s">
        <v>31</v>
      </c>
      <c r="E718" s="27">
        <v>1132</v>
      </c>
    </row>
    <row r="719" spans="1:5" x14ac:dyDescent="0.25">
      <c r="A719" s="26">
        <v>34820</v>
      </c>
      <c r="B719" s="49">
        <f t="shared" si="12"/>
        <v>1995</v>
      </c>
      <c r="C719" s="27" t="s">
        <v>27</v>
      </c>
      <c r="D719" s="27" t="s">
        <v>31</v>
      </c>
      <c r="E719" s="27">
        <v>899</v>
      </c>
    </row>
    <row r="720" spans="1:5" x14ac:dyDescent="0.25">
      <c r="A720" s="26">
        <v>34820</v>
      </c>
      <c r="B720" s="49">
        <f t="shared" si="12"/>
        <v>1995</v>
      </c>
      <c r="C720" s="27" t="s">
        <v>32</v>
      </c>
      <c r="D720" s="27" t="s">
        <v>31</v>
      </c>
      <c r="E720" s="27">
        <v>437</v>
      </c>
    </row>
    <row r="721" spans="1:5" x14ac:dyDescent="0.25">
      <c r="A721" s="26">
        <v>34820</v>
      </c>
      <c r="B721" s="49">
        <f t="shared" si="12"/>
        <v>1995</v>
      </c>
      <c r="C721" s="27" t="s">
        <v>34</v>
      </c>
      <c r="D721" s="27" t="s">
        <v>31</v>
      </c>
      <c r="E721" s="27">
        <v>210</v>
      </c>
    </row>
    <row r="722" spans="1:5" x14ac:dyDescent="0.25">
      <c r="A722" s="26">
        <v>34820</v>
      </c>
      <c r="B722" s="49">
        <f t="shared" si="12"/>
        <v>1995</v>
      </c>
      <c r="C722" s="27" t="s">
        <v>27</v>
      </c>
      <c r="D722" s="27" t="s">
        <v>31</v>
      </c>
      <c r="E722" s="27">
        <v>90</v>
      </c>
    </row>
    <row r="723" spans="1:5" x14ac:dyDescent="0.25">
      <c r="A723" s="26">
        <v>34820</v>
      </c>
      <c r="B723" s="49">
        <f t="shared" si="12"/>
        <v>1995</v>
      </c>
      <c r="C723" s="27" t="s">
        <v>35</v>
      </c>
      <c r="D723" s="27" t="s">
        <v>31</v>
      </c>
      <c r="E723" s="27">
        <v>88</v>
      </c>
    </row>
    <row r="724" spans="1:5" x14ac:dyDescent="0.25">
      <c r="A724" s="26">
        <v>34820</v>
      </c>
      <c r="B724" s="49">
        <f t="shared" si="12"/>
        <v>1995</v>
      </c>
      <c r="C724" s="27" t="s">
        <v>34</v>
      </c>
      <c r="D724" s="27" t="s">
        <v>31</v>
      </c>
      <c r="E724" s="27">
        <v>210</v>
      </c>
    </row>
    <row r="725" spans="1:5" x14ac:dyDescent="0.25">
      <c r="A725" s="26">
        <v>34820</v>
      </c>
      <c r="B725" s="49">
        <f t="shared" si="12"/>
        <v>1995</v>
      </c>
      <c r="C725" s="27" t="s">
        <v>27</v>
      </c>
      <c r="D725" s="27" t="s">
        <v>31</v>
      </c>
      <c r="E725" s="27">
        <v>175</v>
      </c>
    </row>
    <row r="726" spans="1:5" x14ac:dyDescent="0.25">
      <c r="A726" s="26">
        <v>34820</v>
      </c>
      <c r="B726" s="49">
        <f t="shared" si="12"/>
        <v>1995</v>
      </c>
      <c r="C726" s="27" t="s">
        <v>35</v>
      </c>
      <c r="D726" s="27" t="s">
        <v>31</v>
      </c>
      <c r="E726" s="27">
        <v>124</v>
      </c>
    </row>
    <row r="727" spans="1:5" x14ac:dyDescent="0.25">
      <c r="A727" s="26">
        <v>34820</v>
      </c>
      <c r="B727" s="49">
        <f t="shared" si="12"/>
        <v>1995</v>
      </c>
      <c r="C727" s="27" t="s">
        <v>27</v>
      </c>
      <c r="D727" s="27" t="s">
        <v>31</v>
      </c>
      <c r="E727" s="27">
        <v>259</v>
      </c>
    </row>
    <row r="728" spans="1:5" x14ac:dyDescent="0.25">
      <c r="A728" s="26">
        <v>34820</v>
      </c>
      <c r="B728" s="49">
        <f t="shared" si="12"/>
        <v>1995</v>
      </c>
      <c r="C728" s="27" t="s">
        <v>34</v>
      </c>
      <c r="D728" s="27" t="s">
        <v>31</v>
      </c>
      <c r="E728" s="27">
        <v>203</v>
      </c>
    </row>
    <row r="729" spans="1:5" x14ac:dyDescent="0.25">
      <c r="A729" s="26">
        <v>34820</v>
      </c>
      <c r="B729" s="49">
        <f t="shared" si="12"/>
        <v>1995</v>
      </c>
      <c r="C729" s="27" t="s">
        <v>32</v>
      </c>
      <c r="D729" s="27" t="s">
        <v>31</v>
      </c>
      <c r="E729" s="27">
        <v>263</v>
      </c>
    </row>
    <row r="730" spans="1:5" x14ac:dyDescent="0.25">
      <c r="A730" s="26">
        <v>34820</v>
      </c>
      <c r="B730" s="49">
        <f t="shared" si="12"/>
        <v>1995</v>
      </c>
      <c r="C730" s="27" t="s">
        <v>32</v>
      </c>
      <c r="D730" s="27" t="s">
        <v>33</v>
      </c>
      <c r="E730" s="27">
        <v>501</v>
      </c>
    </row>
    <row r="731" spans="1:5" x14ac:dyDescent="0.25">
      <c r="A731" s="26">
        <v>34820</v>
      </c>
      <c r="B731" s="49">
        <f t="shared" si="12"/>
        <v>1995</v>
      </c>
      <c r="C731" s="27" t="s">
        <v>32</v>
      </c>
      <c r="D731" s="27" t="s">
        <v>33</v>
      </c>
      <c r="E731" s="27">
        <v>405</v>
      </c>
    </row>
    <row r="732" spans="1:5" x14ac:dyDescent="0.25">
      <c r="A732" s="26">
        <v>34820</v>
      </c>
      <c r="B732" s="49">
        <f t="shared" si="12"/>
        <v>1995</v>
      </c>
      <c r="C732" s="27" t="s">
        <v>32</v>
      </c>
      <c r="D732" s="27" t="s">
        <v>33</v>
      </c>
      <c r="E732" s="27">
        <v>2104</v>
      </c>
    </row>
    <row r="733" spans="1:5" x14ac:dyDescent="0.25">
      <c r="A733" s="26">
        <v>34820</v>
      </c>
      <c r="B733" s="49">
        <f t="shared" si="12"/>
        <v>1995</v>
      </c>
      <c r="C733" s="27" t="s">
        <v>34</v>
      </c>
      <c r="D733" s="27" t="s">
        <v>33</v>
      </c>
      <c r="E733" s="27">
        <v>1470</v>
      </c>
    </row>
    <row r="734" spans="1:5" x14ac:dyDescent="0.25">
      <c r="A734" s="26">
        <v>34820</v>
      </c>
      <c r="B734" s="49">
        <f t="shared" si="12"/>
        <v>1995</v>
      </c>
      <c r="C734" s="27" t="s">
        <v>34</v>
      </c>
      <c r="D734" s="27" t="s">
        <v>33</v>
      </c>
      <c r="E734" s="27">
        <v>1431</v>
      </c>
    </row>
    <row r="735" spans="1:5" x14ac:dyDescent="0.25">
      <c r="A735" s="26">
        <v>34820</v>
      </c>
      <c r="B735" s="49">
        <f t="shared" si="12"/>
        <v>1995</v>
      </c>
      <c r="C735" s="27" t="s">
        <v>27</v>
      </c>
      <c r="D735" s="27" t="s">
        <v>33</v>
      </c>
      <c r="E735" s="27">
        <v>778</v>
      </c>
    </row>
    <row r="736" spans="1:5" x14ac:dyDescent="0.25">
      <c r="A736" s="26">
        <v>34820</v>
      </c>
      <c r="B736" s="49">
        <f t="shared" si="12"/>
        <v>1995</v>
      </c>
      <c r="C736" s="27" t="s">
        <v>27</v>
      </c>
      <c r="D736" s="27" t="s">
        <v>33</v>
      </c>
      <c r="E736" s="27">
        <v>1785</v>
      </c>
    </row>
    <row r="737" spans="1:5" x14ac:dyDescent="0.25">
      <c r="A737" s="26">
        <v>34820</v>
      </c>
      <c r="B737" s="49">
        <f t="shared" si="12"/>
        <v>1995</v>
      </c>
      <c r="C737" s="27" t="s">
        <v>35</v>
      </c>
      <c r="D737" s="27" t="s">
        <v>33</v>
      </c>
      <c r="E737" s="27">
        <v>61</v>
      </c>
    </row>
    <row r="738" spans="1:5" x14ac:dyDescent="0.25">
      <c r="A738" s="26">
        <v>34820</v>
      </c>
      <c r="B738" s="49">
        <f t="shared" si="12"/>
        <v>1995</v>
      </c>
      <c r="C738" s="27" t="s">
        <v>34</v>
      </c>
      <c r="D738" s="27" t="s">
        <v>33</v>
      </c>
      <c r="E738" s="27">
        <v>50</v>
      </c>
    </row>
    <row r="739" spans="1:5" x14ac:dyDescent="0.25">
      <c r="A739" s="26">
        <v>34820</v>
      </c>
      <c r="B739" s="49">
        <f t="shared" si="12"/>
        <v>1995</v>
      </c>
      <c r="C739" s="27" t="s">
        <v>34</v>
      </c>
      <c r="D739" s="27" t="s">
        <v>33</v>
      </c>
      <c r="E739" s="27">
        <v>39</v>
      </c>
    </row>
    <row r="740" spans="1:5" x14ac:dyDescent="0.25">
      <c r="A740" s="26">
        <v>34820</v>
      </c>
      <c r="B740" s="49">
        <f t="shared" si="12"/>
        <v>1995</v>
      </c>
      <c r="C740" s="27" t="s">
        <v>27</v>
      </c>
      <c r="D740" s="27" t="s">
        <v>33</v>
      </c>
      <c r="E740" s="27">
        <v>35</v>
      </c>
    </row>
    <row r="741" spans="1:5" x14ac:dyDescent="0.25">
      <c r="A741" s="26">
        <v>34820</v>
      </c>
      <c r="B741" s="49">
        <f t="shared" si="12"/>
        <v>1995</v>
      </c>
      <c r="C741" s="27" t="s">
        <v>27</v>
      </c>
      <c r="D741" s="27" t="s">
        <v>33</v>
      </c>
      <c r="E741" s="27">
        <v>68</v>
      </c>
    </row>
    <row r="742" spans="1:5" x14ac:dyDescent="0.25">
      <c r="A742" s="26">
        <v>34820</v>
      </c>
      <c r="B742" s="49">
        <f t="shared" si="12"/>
        <v>1995</v>
      </c>
      <c r="C742" s="27" t="s">
        <v>35</v>
      </c>
      <c r="D742" s="27" t="s">
        <v>33</v>
      </c>
      <c r="E742" s="27">
        <v>90</v>
      </c>
    </row>
    <row r="743" spans="1:5" x14ac:dyDescent="0.25">
      <c r="A743" s="26">
        <v>34820</v>
      </c>
      <c r="B743" s="49">
        <f t="shared" si="12"/>
        <v>1995</v>
      </c>
      <c r="C743" s="27" t="s">
        <v>32</v>
      </c>
      <c r="D743" s="27" t="s">
        <v>33</v>
      </c>
      <c r="E743" s="27">
        <v>153</v>
      </c>
    </row>
    <row r="744" spans="1:5" x14ac:dyDescent="0.25">
      <c r="A744" s="26">
        <v>34820</v>
      </c>
      <c r="B744" s="49">
        <f t="shared" si="12"/>
        <v>1995</v>
      </c>
      <c r="C744" s="27" t="s">
        <v>32</v>
      </c>
      <c r="D744" s="27" t="s">
        <v>36</v>
      </c>
      <c r="E744" s="27">
        <v>158</v>
      </c>
    </row>
    <row r="745" spans="1:5" x14ac:dyDescent="0.25">
      <c r="A745" s="26">
        <v>34820</v>
      </c>
      <c r="B745" s="49">
        <f t="shared" si="12"/>
        <v>1995</v>
      </c>
      <c r="C745" s="27" t="s">
        <v>27</v>
      </c>
      <c r="D745" s="27" t="s">
        <v>36</v>
      </c>
      <c r="E745" s="27">
        <v>179</v>
      </c>
    </row>
    <row r="746" spans="1:5" x14ac:dyDescent="0.25">
      <c r="A746" s="26">
        <v>34820</v>
      </c>
      <c r="B746" s="49">
        <f t="shared" si="12"/>
        <v>1995</v>
      </c>
      <c r="C746" s="27" t="s">
        <v>32</v>
      </c>
      <c r="D746" s="27" t="s">
        <v>36</v>
      </c>
      <c r="E746" s="27">
        <v>180</v>
      </c>
    </row>
    <row r="747" spans="1:5" x14ac:dyDescent="0.25">
      <c r="A747" s="26">
        <v>34820</v>
      </c>
      <c r="B747" s="49">
        <f t="shared" si="12"/>
        <v>1995</v>
      </c>
      <c r="C747" s="27" t="s">
        <v>32</v>
      </c>
      <c r="D747" s="27" t="s">
        <v>36</v>
      </c>
      <c r="E747" s="27">
        <v>180</v>
      </c>
    </row>
    <row r="748" spans="1:5" x14ac:dyDescent="0.25">
      <c r="A748" s="26">
        <v>34820</v>
      </c>
      <c r="B748" s="49">
        <f t="shared" si="12"/>
        <v>1995</v>
      </c>
      <c r="C748" s="27" t="s">
        <v>32</v>
      </c>
      <c r="D748" s="27" t="s">
        <v>36</v>
      </c>
      <c r="E748" s="27">
        <v>193</v>
      </c>
    </row>
    <row r="749" spans="1:5" x14ac:dyDescent="0.25">
      <c r="A749" s="26">
        <v>34820</v>
      </c>
      <c r="B749" s="49">
        <f t="shared" si="12"/>
        <v>1995</v>
      </c>
      <c r="C749" s="27" t="s">
        <v>32</v>
      </c>
      <c r="D749" s="27" t="s">
        <v>36</v>
      </c>
      <c r="E749" s="27">
        <v>140</v>
      </c>
    </row>
    <row r="750" spans="1:5" x14ac:dyDescent="0.25">
      <c r="A750" s="26">
        <v>34820</v>
      </c>
      <c r="B750" s="49">
        <f t="shared" si="12"/>
        <v>1995</v>
      </c>
      <c r="C750" s="27" t="s">
        <v>35</v>
      </c>
      <c r="D750" s="27" t="s">
        <v>36</v>
      </c>
      <c r="E750" s="27">
        <v>124</v>
      </c>
    </row>
    <row r="751" spans="1:5" x14ac:dyDescent="0.25">
      <c r="A751" s="26">
        <v>34820</v>
      </c>
      <c r="B751" s="49">
        <f t="shared" si="12"/>
        <v>1995</v>
      </c>
      <c r="C751" s="27" t="s">
        <v>27</v>
      </c>
      <c r="D751" s="27" t="s">
        <v>36</v>
      </c>
      <c r="E751" s="27">
        <v>124</v>
      </c>
    </row>
    <row r="752" spans="1:5" x14ac:dyDescent="0.25">
      <c r="A752" s="26">
        <v>34820</v>
      </c>
      <c r="B752" s="49">
        <f t="shared" si="12"/>
        <v>1995</v>
      </c>
      <c r="C752" s="27" t="s">
        <v>35</v>
      </c>
      <c r="D752" s="27" t="s">
        <v>36</v>
      </c>
      <c r="E752" s="27">
        <v>138</v>
      </c>
    </row>
    <row r="753" spans="1:5" x14ac:dyDescent="0.25">
      <c r="A753" s="26">
        <v>34820</v>
      </c>
      <c r="B753" s="49">
        <f t="shared" si="12"/>
        <v>1995</v>
      </c>
      <c r="C753" s="27" t="s">
        <v>34</v>
      </c>
      <c r="D753" s="27" t="s">
        <v>36</v>
      </c>
      <c r="E753" s="27">
        <v>304</v>
      </c>
    </row>
    <row r="754" spans="1:5" x14ac:dyDescent="0.25">
      <c r="A754" s="26">
        <v>34820</v>
      </c>
      <c r="B754" s="49">
        <f t="shared" si="12"/>
        <v>1995</v>
      </c>
      <c r="C754" s="27" t="s">
        <v>34</v>
      </c>
      <c r="D754" s="27" t="s">
        <v>36</v>
      </c>
      <c r="E754" s="27">
        <v>400</v>
      </c>
    </row>
    <row r="755" spans="1:5" x14ac:dyDescent="0.25">
      <c r="A755" s="26">
        <v>34820</v>
      </c>
      <c r="B755" s="49">
        <f t="shared" si="12"/>
        <v>1995</v>
      </c>
      <c r="C755" s="27" t="s">
        <v>34</v>
      </c>
      <c r="D755" s="27" t="s">
        <v>36</v>
      </c>
      <c r="E755" s="27">
        <v>413</v>
      </c>
    </row>
    <row r="756" spans="1:5" x14ac:dyDescent="0.25">
      <c r="A756" s="26">
        <v>34820</v>
      </c>
      <c r="B756" s="49">
        <f t="shared" si="12"/>
        <v>1995</v>
      </c>
      <c r="C756" s="27" t="s">
        <v>34</v>
      </c>
      <c r="D756" s="27" t="s">
        <v>36</v>
      </c>
      <c r="E756" s="27">
        <v>210</v>
      </c>
    </row>
    <row r="757" spans="1:5" x14ac:dyDescent="0.25">
      <c r="A757" s="26">
        <v>34820</v>
      </c>
      <c r="B757" s="49">
        <f t="shared" si="12"/>
        <v>1995</v>
      </c>
      <c r="C757" s="27" t="s">
        <v>32</v>
      </c>
      <c r="D757" s="27" t="s">
        <v>36</v>
      </c>
      <c r="E757" s="27">
        <v>220</v>
      </c>
    </row>
    <row r="758" spans="1:5" x14ac:dyDescent="0.25">
      <c r="A758" s="26">
        <v>34820</v>
      </c>
      <c r="B758" s="49">
        <f t="shared" si="12"/>
        <v>1995</v>
      </c>
      <c r="C758" s="27" t="s">
        <v>27</v>
      </c>
      <c r="D758" s="27" t="s">
        <v>36</v>
      </c>
      <c r="E758" s="27">
        <v>28</v>
      </c>
    </row>
    <row r="759" spans="1:5" x14ac:dyDescent="0.25">
      <c r="A759" s="26">
        <v>34820</v>
      </c>
      <c r="B759" s="49">
        <f t="shared" si="12"/>
        <v>1995</v>
      </c>
      <c r="C759" s="27" t="s">
        <v>35</v>
      </c>
      <c r="D759" s="27" t="s">
        <v>36</v>
      </c>
      <c r="E759" s="27">
        <v>79</v>
      </c>
    </row>
    <row r="760" spans="1:5" x14ac:dyDescent="0.25">
      <c r="A760" s="26">
        <v>34820</v>
      </c>
      <c r="B760" s="49">
        <f t="shared" si="12"/>
        <v>1995</v>
      </c>
      <c r="C760" s="27" t="s">
        <v>27</v>
      </c>
      <c r="D760" s="27" t="s">
        <v>36</v>
      </c>
      <c r="E760" s="27">
        <v>105</v>
      </c>
    </row>
    <row r="761" spans="1:5" x14ac:dyDescent="0.25">
      <c r="A761" s="26">
        <v>34820</v>
      </c>
      <c r="B761" s="49">
        <f t="shared" si="12"/>
        <v>1995</v>
      </c>
      <c r="C761" s="27" t="s">
        <v>27</v>
      </c>
      <c r="D761" s="27" t="s">
        <v>36</v>
      </c>
      <c r="E761" s="27">
        <v>36</v>
      </c>
    </row>
    <row r="762" spans="1:5" x14ac:dyDescent="0.25">
      <c r="A762" s="26">
        <v>34820</v>
      </c>
      <c r="B762" s="49">
        <f t="shared" si="12"/>
        <v>1995</v>
      </c>
      <c r="C762" s="27" t="s">
        <v>27</v>
      </c>
      <c r="D762" s="27" t="s">
        <v>36</v>
      </c>
      <c r="E762" s="27">
        <v>44</v>
      </c>
    </row>
    <row r="763" spans="1:5" x14ac:dyDescent="0.25">
      <c r="A763" s="26">
        <v>34820</v>
      </c>
      <c r="B763" s="49">
        <f t="shared" si="12"/>
        <v>1995</v>
      </c>
      <c r="C763" s="27" t="s">
        <v>34</v>
      </c>
      <c r="D763" s="27" t="s">
        <v>36</v>
      </c>
      <c r="E763" s="27">
        <v>68</v>
      </c>
    </row>
    <row r="764" spans="1:5" x14ac:dyDescent="0.25">
      <c r="A764" s="26">
        <v>34851</v>
      </c>
      <c r="B764" s="49">
        <f t="shared" si="12"/>
        <v>1995</v>
      </c>
      <c r="C764" s="27" t="s">
        <v>32</v>
      </c>
      <c r="D764" s="27" t="s">
        <v>28</v>
      </c>
      <c r="E764" s="27">
        <v>1280</v>
      </c>
    </row>
    <row r="765" spans="1:5" x14ac:dyDescent="0.25">
      <c r="A765" s="26">
        <v>34851</v>
      </c>
      <c r="B765" s="49">
        <f t="shared" si="12"/>
        <v>1995</v>
      </c>
      <c r="C765" s="27" t="s">
        <v>32</v>
      </c>
      <c r="D765" s="27" t="s">
        <v>28</v>
      </c>
      <c r="E765" s="27">
        <v>896</v>
      </c>
    </row>
    <row r="766" spans="1:5" x14ac:dyDescent="0.25">
      <c r="A766" s="26">
        <v>34851</v>
      </c>
      <c r="B766" s="49">
        <f t="shared" si="12"/>
        <v>1995</v>
      </c>
      <c r="C766" s="27" t="s">
        <v>32</v>
      </c>
      <c r="D766" s="27" t="s">
        <v>28</v>
      </c>
      <c r="E766" s="27">
        <v>2131</v>
      </c>
    </row>
    <row r="767" spans="1:5" x14ac:dyDescent="0.25">
      <c r="A767" s="26">
        <v>34851</v>
      </c>
      <c r="B767" s="49">
        <f t="shared" si="12"/>
        <v>1995</v>
      </c>
      <c r="C767" s="27" t="s">
        <v>34</v>
      </c>
      <c r="D767" s="27" t="s">
        <v>28</v>
      </c>
      <c r="E767" s="27">
        <v>717</v>
      </c>
    </row>
    <row r="768" spans="1:5" x14ac:dyDescent="0.25">
      <c r="A768" s="26">
        <v>34851</v>
      </c>
      <c r="B768" s="49">
        <f t="shared" si="12"/>
        <v>1995</v>
      </c>
      <c r="C768" s="27" t="s">
        <v>27</v>
      </c>
      <c r="D768" s="27" t="s">
        <v>28</v>
      </c>
      <c r="E768" s="27">
        <v>525</v>
      </c>
    </row>
    <row r="769" spans="1:5" x14ac:dyDescent="0.25">
      <c r="A769" s="26">
        <v>34851</v>
      </c>
      <c r="B769" s="49">
        <f t="shared" si="12"/>
        <v>1995</v>
      </c>
      <c r="C769" s="27" t="s">
        <v>27</v>
      </c>
      <c r="D769" s="27" t="s">
        <v>28</v>
      </c>
      <c r="E769" s="27">
        <v>513</v>
      </c>
    </row>
    <row r="770" spans="1:5" x14ac:dyDescent="0.25">
      <c r="A770" s="26">
        <v>34851</v>
      </c>
      <c r="B770" s="49">
        <f t="shared" si="12"/>
        <v>1995</v>
      </c>
      <c r="C770" s="27" t="s">
        <v>27</v>
      </c>
      <c r="D770" s="27" t="s">
        <v>28</v>
      </c>
      <c r="E770" s="27">
        <v>495</v>
      </c>
    </row>
    <row r="771" spans="1:5" x14ac:dyDescent="0.25">
      <c r="A771" s="26">
        <v>34851</v>
      </c>
      <c r="B771" s="49">
        <f t="shared" ref="B771:B834" si="13">YEAR(A771)</f>
        <v>1995</v>
      </c>
      <c r="C771" s="27" t="s">
        <v>34</v>
      </c>
      <c r="D771" s="27" t="s">
        <v>28</v>
      </c>
      <c r="E771" s="27">
        <v>441</v>
      </c>
    </row>
    <row r="772" spans="1:5" x14ac:dyDescent="0.25">
      <c r="A772" s="26">
        <v>34851</v>
      </c>
      <c r="B772" s="49">
        <f t="shared" si="13"/>
        <v>1995</v>
      </c>
      <c r="C772" s="27" t="s">
        <v>27</v>
      </c>
      <c r="D772" s="27" t="s">
        <v>28</v>
      </c>
      <c r="E772" s="27">
        <v>427</v>
      </c>
    </row>
    <row r="773" spans="1:5" x14ac:dyDescent="0.25">
      <c r="A773" s="26">
        <v>34851</v>
      </c>
      <c r="B773" s="49">
        <f t="shared" si="13"/>
        <v>1995</v>
      </c>
      <c r="C773" s="27" t="s">
        <v>35</v>
      </c>
      <c r="D773" s="27" t="s">
        <v>28</v>
      </c>
      <c r="E773" s="27">
        <v>113</v>
      </c>
    </row>
    <row r="774" spans="1:5" x14ac:dyDescent="0.25">
      <c r="A774" s="26">
        <v>34851</v>
      </c>
      <c r="B774" s="49">
        <f t="shared" si="13"/>
        <v>1995</v>
      </c>
      <c r="C774" s="27" t="s">
        <v>34</v>
      </c>
      <c r="D774" s="27" t="s">
        <v>28</v>
      </c>
      <c r="E774" s="27">
        <v>338</v>
      </c>
    </row>
    <row r="775" spans="1:5" x14ac:dyDescent="0.25">
      <c r="A775" s="26">
        <v>34851</v>
      </c>
      <c r="B775" s="49">
        <f t="shared" si="13"/>
        <v>1995</v>
      </c>
      <c r="C775" s="27" t="s">
        <v>35</v>
      </c>
      <c r="D775" s="27" t="s">
        <v>28</v>
      </c>
      <c r="E775" s="27">
        <v>151</v>
      </c>
    </row>
    <row r="776" spans="1:5" x14ac:dyDescent="0.25">
      <c r="A776" s="26">
        <v>34851</v>
      </c>
      <c r="B776" s="49">
        <f t="shared" si="13"/>
        <v>1995</v>
      </c>
      <c r="C776" s="27" t="s">
        <v>32</v>
      </c>
      <c r="D776" s="27" t="s">
        <v>28</v>
      </c>
      <c r="E776" s="27">
        <v>225</v>
      </c>
    </row>
    <row r="777" spans="1:5" x14ac:dyDescent="0.25">
      <c r="A777" s="26">
        <v>34851</v>
      </c>
      <c r="B777" s="49">
        <f t="shared" si="13"/>
        <v>1995</v>
      </c>
      <c r="C777" s="27" t="s">
        <v>34</v>
      </c>
      <c r="D777" s="27" t="s">
        <v>28</v>
      </c>
      <c r="E777" s="27">
        <v>1916</v>
      </c>
    </row>
    <row r="778" spans="1:5" x14ac:dyDescent="0.25">
      <c r="A778" s="26">
        <v>34851</v>
      </c>
      <c r="B778" s="49">
        <f t="shared" si="13"/>
        <v>1995</v>
      </c>
      <c r="C778" s="27" t="s">
        <v>27</v>
      </c>
      <c r="D778" s="27" t="s">
        <v>29</v>
      </c>
      <c r="E778" s="27">
        <v>736</v>
      </c>
    </row>
    <row r="779" spans="1:5" x14ac:dyDescent="0.25">
      <c r="A779" s="26">
        <v>34851</v>
      </c>
      <c r="B779" s="49">
        <f t="shared" si="13"/>
        <v>1995</v>
      </c>
      <c r="C779" s="27" t="s">
        <v>27</v>
      </c>
      <c r="D779" s="27" t="s">
        <v>29</v>
      </c>
      <c r="E779" s="27">
        <v>721</v>
      </c>
    </row>
    <row r="780" spans="1:5" x14ac:dyDescent="0.25">
      <c r="A780" s="26">
        <v>34851</v>
      </c>
      <c r="B780" s="49">
        <f t="shared" si="13"/>
        <v>1995</v>
      </c>
      <c r="C780" s="27" t="s">
        <v>34</v>
      </c>
      <c r="D780" s="27" t="s">
        <v>29</v>
      </c>
      <c r="E780" s="27">
        <v>459</v>
      </c>
    </row>
    <row r="781" spans="1:5" x14ac:dyDescent="0.25">
      <c r="A781" s="26">
        <v>34851</v>
      </c>
      <c r="B781" s="49">
        <f t="shared" si="13"/>
        <v>1995</v>
      </c>
      <c r="C781" s="27" t="s">
        <v>32</v>
      </c>
      <c r="D781" s="27" t="s">
        <v>29</v>
      </c>
      <c r="E781" s="27">
        <v>96</v>
      </c>
    </row>
    <row r="782" spans="1:5" x14ac:dyDescent="0.25">
      <c r="A782" s="26">
        <v>34851</v>
      </c>
      <c r="B782" s="49">
        <f t="shared" si="13"/>
        <v>1995</v>
      </c>
      <c r="C782" s="27" t="s">
        <v>35</v>
      </c>
      <c r="D782" s="27" t="s">
        <v>29</v>
      </c>
      <c r="E782" s="27">
        <v>105</v>
      </c>
    </row>
    <row r="783" spans="1:5" x14ac:dyDescent="0.25">
      <c r="A783" s="26">
        <v>34851</v>
      </c>
      <c r="B783" s="49">
        <f t="shared" si="13"/>
        <v>1995</v>
      </c>
      <c r="C783" s="27" t="s">
        <v>27</v>
      </c>
      <c r="D783" s="27" t="s">
        <v>29</v>
      </c>
      <c r="E783" s="27">
        <v>359</v>
      </c>
    </row>
    <row r="784" spans="1:5" x14ac:dyDescent="0.25">
      <c r="A784" s="26">
        <v>34851</v>
      </c>
      <c r="B784" s="49">
        <f t="shared" si="13"/>
        <v>1995</v>
      </c>
      <c r="C784" s="27" t="s">
        <v>32</v>
      </c>
      <c r="D784" s="27" t="s">
        <v>29</v>
      </c>
      <c r="E784" s="27">
        <v>315</v>
      </c>
    </row>
    <row r="785" spans="1:5" x14ac:dyDescent="0.25">
      <c r="A785" s="26">
        <v>34851</v>
      </c>
      <c r="B785" s="49">
        <f t="shared" si="13"/>
        <v>1995</v>
      </c>
      <c r="C785" s="27" t="s">
        <v>34</v>
      </c>
      <c r="D785" s="27" t="s">
        <v>29</v>
      </c>
      <c r="E785" s="27">
        <v>315</v>
      </c>
    </row>
    <row r="786" spans="1:5" x14ac:dyDescent="0.25">
      <c r="A786" s="26">
        <v>34851</v>
      </c>
      <c r="B786" s="49">
        <f t="shared" si="13"/>
        <v>1995</v>
      </c>
      <c r="C786" s="27" t="s">
        <v>32</v>
      </c>
      <c r="D786" s="27" t="s">
        <v>29</v>
      </c>
      <c r="E786" s="27">
        <v>293</v>
      </c>
    </row>
    <row r="787" spans="1:5" x14ac:dyDescent="0.25">
      <c r="A787" s="26">
        <v>34851</v>
      </c>
      <c r="B787" s="49">
        <f t="shared" si="13"/>
        <v>1995</v>
      </c>
      <c r="C787" s="27" t="s">
        <v>35</v>
      </c>
      <c r="D787" s="27" t="s">
        <v>29</v>
      </c>
      <c r="E787" s="27">
        <v>169</v>
      </c>
    </row>
    <row r="788" spans="1:5" x14ac:dyDescent="0.25">
      <c r="A788" s="26">
        <v>34851</v>
      </c>
      <c r="B788" s="49">
        <f t="shared" si="13"/>
        <v>1995</v>
      </c>
      <c r="C788" s="27" t="s">
        <v>32</v>
      </c>
      <c r="D788" s="27" t="s">
        <v>29</v>
      </c>
      <c r="E788" s="27">
        <v>169</v>
      </c>
    </row>
    <row r="789" spans="1:5" x14ac:dyDescent="0.25">
      <c r="A789" s="26">
        <v>34851</v>
      </c>
      <c r="B789" s="49">
        <f t="shared" si="13"/>
        <v>1995</v>
      </c>
      <c r="C789" s="27" t="s">
        <v>34</v>
      </c>
      <c r="D789" s="27" t="s">
        <v>29</v>
      </c>
      <c r="E789" s="27">
        <v>270</v>
      </c>
    </row>
    <row r="790" spans="1:5" x14ac:dyDescent="0.25">
      <c r="A790" s="26">
        <v>34851</v>
      </c>
      <c r="B790" s="49">
        <f t="shared" si="13"/>
        <v>1995</v>
      </c>
      <c r="C790" s="27" t="s">
        <v>27</v>
      </c>
      <c r="D790" s="27" t="s">
        <v>29</v>
      </c>
      <c r="E790" s="27">
        <v>216</v>
      </c>
    </row>
    <row r="791" spans="1:5" x14ac:dyDescent="0.25">
      <c r="A791" s="26">
        <v>34851</v>
      </c>
      <c r="B791" s="49">
        <f t="shared" si="13"/>
        <v>1995</v>
      </c>
      <c r="C791" s="27" t="s">
        <v>34</v>
      </c>
      <c r="D791" s="27" t="s">
        <v>29</v>
      </c>
      <c r="E791" s="27">
        <v>524</v>
      </c>
    </row>
    <row r="792" spans="1:5" x14ac:dyDescent="0.25">
      <c r="A792" s="26">
        <v>34851</v>
      </c>
      <c r="B792" s="49">
        <f t="shared" si="13"/>
        <v>1995</v>
      </c>
      <c r="C792" s="27" t="s">
        <v>32</v>
      </c>
      <c r="D792" s="27" t="s">
        <v>30</v>
      </c>
      <c r="E792" s="27">
        <v>220</v>
      </c>
    </row>
    <row r="793" spans="1:5" x14ac:dyDescent="0.25">
      <c r="A793" s="26">
        <v>34851</v>
      </c>
      <c r="B793" s="49">
        <f t="shared" si="13"/>
        <v>1995</v>
      </c>
      <c r="C793" s="27" t="s">
        <v>27</v>
      </c>
      <c r="D793" s="27" t="s">
        <v>30</v>
      </c>
      <c r="E793" s="27">
        <v>2443</v>
      </c>
    </row>
    <row r="794" spans="1:5" x14ac:dyDescent="0.25">
      <c r="A794" s="26">
        <v>34851</v>
      </c>
      <c r="B794" s="49">
        <f t="shared" si="13"/>
        <v>1995</v>
      </c>
      <c r="C794" s="27" t="s">
        <v>32</v>
      </c>
      <c r="D794" s="27" t="s">
        <v>30</v>
      </c>
      <c r="E794" s="27">
        <v>123</v>
      </c>
    </row>
    <row r="795" spans="1:5" x14ac:dyDescent="0.25">
      <c r="A795" s="26">
        <v>34851</v>
      </c>
      <c r="B795" s="49">
        <f t="shared" si="13"/>
        <v>1995</v>
      </c>
      <c r="C795" s="27" t="s">
        <v>32</v>
      </c>
      <c r="D795" s="27" t="s">
        <v>30</v>
      </c>
      <c r="E795" s="27">
        <v>45</v>
      </c>
    </row>
    <row r="796" spans="1:5" x14ac:dyDescent="0.25">
      <c r="A796" s="26">
        <v>34851</v>
      </c>
      <c r="B796" s="49">
        <f t="shared" si="13"/>
        <v>1995</v>
      </c>
      <c r="C796" s="27" t="s">
        <v>27</v>
      </c>
      <c r="D796" s="27" t="s">
        <v>30</v>
      </c>
      <c r="E796" s="27">
        <v>53</v>
      </c>
    </row>
    <row r="797" spans="1:5" x14ac:dyDescent="0.25">
      <c r="A797" s="26">
        <v>34851</v>
      </c>
      <c r="B797" s="49">
        <f t="shared" si="13"/>
        <v>1995</v>
      </c>
      <c r="C797" s="27" t="s">
        <v>27</v>
      </c>
      <c r="D797" s="27" t="s">
        <v>30</v>
      </c>
      <c r="E797" s="27">
        <v>79</v>
      </c>
    </row>
    <row r="798" spans="1:5" x14ac:dyDescent="0.25">
      <c r="A798" s="26">
        <v>34851</v>
      </c>
      <c r="B798" s="49">
        <f t="shared" si="13"/>
        <v>1995</v>
      </c>
      <c r="C798" s="27" t="s">
        <v>27</v>
      </c>
      <c r="D798" s="27" t="s">
        <v>30</v>
      </c>
      <c r="E798" s="27">
        <v>94</v>
      </c>
    </row>
    <row r="799" spans="1:5" x14ac:dyDescent="0.25">
      <c r="A799" s="26">
        <v>34851</v>
      </c>
      <c r="B799" s="49">
        <f t="shared" si="13"/>
        <v>1995</v>
      </c>
      <c r="C799" s="27" t="s">
        <v>27</v>
      </c>
      <c r="D799" s="27" t="s">
        <v>30</v>
      </c>
      <c r="E799" s="27">
        <v>104</v>
      </c>
    </row>
    <row r="800" spans="1:5" x14ac:dyDescent="0.25">
      <c r="A800" s="26">
        <v>34851</v>
      </c>
      <c r="B800" s="49">
        <f t="shared" si="13"/>
        <v>1995</v>
      </c>
      <c r="C800" s="27" t="s">
        <v>32</v>
      </c>
      <c r="D800" s="27" t="s">
        <v>30</v>
      </c>
      <c r="E800" s="27">
        <v>149</v>
      </c>
    </row>
    <row r="801" spans="1:5" x14ac:dyDescent="0.25">
      <c r="A801" s="26">
        <v>34851</v>
      </c>
      <c r="B801" s="49">
        <f t="shared" si="13"/>
        <v>1995</v>
      </c>
      <c r="C801" s="27" t="s">
        <v>32</v>
      </c>
      <c r="D801" s="27" t="s">
        <v>30</v>
      </c>
      <c r="E801" s="27">
        <v>146</v>
      </c>
    </row>
    <row r="802" spans="1:5" x14ac:dyDescent="0.25">
      <c r="A802" s="26">
        <v>34851</v>
      </c>
      <c r="B802" s="49">
        <f t="shared" si="13"/>
        <v>1995</v>
      </c>
      <c r="C802" s="27" t="s">
        <v>27</v>
      </c>
      <c r="D802" s="27" t="s">
        <v>30</v>
      </c>
      <c r="E802" s="27">
        <v>1554</v>
      </c>
    </row>
    <row r="803" spans="1:5" x14ac:dyDescent="0.25">
      <c r="A803" s="26">
        <v>34851</v>
      </c>
      <c r="B803" s="49">
        <f t="shared" si="13"/>
        <v>1995</v>
      </c>
      <c r="C803" s="27" t="s">
        <v>32</v>
      </c>
      <c r="D803" s="27" t="s">
        <v>30</v>
      </c>
      <c r="E803" s="27">
        <v>549</v>
      </c>
    </row>
    <row r="804" spans="1:5" x14ac:dyDescent="0.25">
      <c r="A804" s="26">
        <v>34851</v>
      </c>
      <c r="B804" s="49">
        <f t="shared" si="13"/>
        <v>1995</v>
      </c>
      <c r="C804" s="27" t="s">
        <v>27</v>
      </c>
      <c r="D804" s="27" t="s">
        <v>31</v>
      </c>
      <c r="E804" s="27">
        <v>45</v>
      </c>
    </row>
    <row r="805" spans="1:5" x14ac:dyDescent="0.25">
      <c r="A805" s="26">
        <v>34851</v>
      </c>
      <c r="B805" s="49">
        <f t="shared" si="13"/>
        <v>1995</v>
      </c>
      <c r="C805" s="27" t="s">
        <v>27</v>
      </c>
      <c r="D805" s="27" t="s">
        <v>31</v>
      </c>
      <c r="E805" s="27">
        <v>980</v>
      </c>
    </row>
    <row r="806" spans="1:5" x14ac:dyDescent="0.25">
      <c r="A806" s="26">
        <v>34851</v>
      </c>
      <c r="B806" s="49">
        <f t="shared" si="13"/>
        <v>1995</v>
      </c>
      <c r="C806" s="27" t="s">
        <v>35</v>
      </c>
      <c r="D806" s="27" t="s">
        <v>31</v>
      </c>
      <c r="E806" s="27">
        <v>135</v>
      </c>
    </row>
    <row r="807" spans="1:5" x14ac:dyDescent="0.25">
      <c r="A807" s="26">
        <v>34851</v>
      </c>
      <c r="B807" s="49">
        <f t="shared" si="13"/>
        <v>1995</v>
      </c>
      <c r="C807" s="27" t="s">
        <v>27</v>
      </c>
      <c r="D807" s="27" t="s">
        <v>31</v>
      </c>
      <c r="E807" s="27">
        <v>140</v>
      </c>
    </row>
    <row r="808" spans="1:5" x14ac:dyDescent="0.25">
      <c r="A808" s="26">
        <v>34851</v>
      </c>
      <c r="B808" s="49">
        <f t="shared" si="13"/>
        <v>1995</v>
      </c>
      <c r="C808" s="27" t="s">
        <v>27</v>
      </c>
      <c r="D808" s="27" t="s">
        <v>31</v>
      </c>
      <c r="E808" s="27">
        <v>270</v>
      </c>
    </row>
    <row r="809" spans="1:5" x14ac:dyDescent="0.25">
      <c r="A809" s="26">
        <v>34851</v>
      </c>
      <c r="B809" s="49">
        <f t="shared" si="13"/>
        <v>1995</v>
      </c>
      <c r="C809" s="27" t="s">
        <v>34</v>
      </c>
      <c r="D809" s="27" t="s">
        <v>31</v>
      </c>
      <c r="E809" s="27">
        <v>263</v>
      </c>
    </row>
    <row r="810" spans="1:5" x14ac:dyDescent="0.25">
      <c r="A810" s="26">
        <v>34851</v>
      </c>
      <c r="B810" s="49">
        <f t="shared" si="13"/>
        <v>1995</v>
      </c>
      <c r="C810" s="27" t="s">
        <v>34</v>
      </c>
      <c r="D810" s="27" t="s">
        <v>31</v>
      </c>
      <c r="E810" s="27">
        <v>203</v>
      </c>
    </row>
    <row r="811" spans="1:5" x14ac:dyDescent="0.25">
      <c r="A811" s="26">
        <v>34851</v>
      </c>
      <c r="B811" s="49">
        <f t="shared" si="13"/>
        <v>1995</v>
      </c>
      <c r="C811" s="27" t="s">
        <v>32</v>
      </c>
      <c r="D811" s="27" t="s">
        <v>31</v>
      </c>
      <c r="E811" s="27">
        <v>245</v>
      </c>
    </row>
    <row r="812" spans="1:5" x14ac:dyDescent="0.25">
      <c r="A812" s="26">
        <v>34851</v>
      </c>
      <c r="B812" s="49">
        <f t="shared" si="13"/>
        <v>1995</v>
      </c>
      <c r="C812" s="27" t="s">
        <v>34</v>
      </c>
      <c r="D812" s="27" t="s">
        <v>31</v>
      </c>
      <c r="E812" s="27">
        <v>210</v>
      </c>
    </row>
    <row r="813" spans="1:5" x14ac:dyDescent="0.25">
      <c r="A813" s="26">
        <v>34851</v>
      </c>
      <c r="B813" s="49">
        <f t="shared" si="13"/>
        <v>1995</v>
      </c>
      <c r="C813" s="27" t="s">
        <v>34</v>
      </c>
      <c r="D813" s="27" t="s">
        <v>31</v>
      </c>
      <c r="E813" s="27">
        <v>622</v>
      </c>
    </row>
    <row r="814" spans="1:5" x14ac:dyDescent="0.25">
      <c r="A814" s="26">
        <v>34851</v>
      </c>
      <c r="B814" s="49">
        <f t="shared" si="13"/>
        <v>1995</v>
      </c>
      <c r="C814" s="27" t="s">
        <v>35</v>
      </c>
      <c r="D814" s="27" t="s">
        <v>31</v>
      </c>
      <c r="E814" s="27">
        <v>96</v>
      </c>
    </row>
    <row r="815" spans="1:5" x14ac:dyDescent="0.25">
      <c r="A815" s="26">
        <v>34851</v>
      </c>
      <c r="B815" s="49">
        <f t="shared" si="13"/>
        <v>1995</v>
      </c>
      <c r="C815" s="27" t="s">
        <v>32</v>
      </c>
      <c r="D815" s="27" t="s">
        <v>31</v>
      </c>
      <c r="E815" s="27">
        <v>416</v>
      </c>
    </row>
    <row r="816" spans="1:5" x14ac:dyDescent="0.25">
      <c r="A816" s="26">
        <v>34851</v>
      </c>
      <c r="B816" s="49">
        <f t="shared" si="13"/>
        <v>1995</v>
      </c>
      <c r="C816" s="27" t="s">
        <v>32</v>
      </c>
      <c r="D816" s="27" t="s">
        <v>31</v>
      </c>
      <c r="E816" s="27">
        <v>1318</v>
      </c>
    </row>
    <row r="817" spans="1:5" x14ac:dyDescent="0.25">
      <c r="A817" s="26">
        <v>34851</v>
      </c>
      <c r="B817" s="49">
        <f t="shared" si="13"/>
        <v>1995</v>
      </c>
      <c r="C817" s="27" t="s">
        <v>32</v>
      </c>
      <c r="D817" s="27" t="s">
        <v>31</v>
      </c>
      <c r="E817" s="27">
        <v>1286</v>
      </c>
    </row>
    <row r="818" spans="1:5" x14ac:dyDescent="0.25">
      <c r="A818" s="26">
        <v>34851</v>
      </c>
      <c r="B818" s="49">
        <f t="shared" si="13"/>
        <v>1995</v>
      </c>
      <c r="C818" s="27" t="s">
        <v>34</v>
      </c>
      <c r="D818" s="27" t="s">
        <v>33</v>
      </c>
      <c r="E818" s="27">
        <v>2134</v>
      </c>
    </row>
    <row r="819" spans="1:5" x14ac:dyDescent="0.25">
      <c r="A819" s="26">
        <v>34851</v>
      </c>
      <c r="B819" s="49">
        <f t="shared" si="13"/>
        <v>1995</v>
      </c>
      <c r="C819" s="27" t="s">
        <v>32</v>
      </c>
      <c r="D819" s="27" t="s">
        <v>33</v>
      </c>
      <c r="E819" s="27">
        <v>697</v>
      </c>
    </row>
    <row r="820" spans="1:5" x14ac:dyDescent="0.25">
      <c r="A820" s="26">
        <v>34851</v>
      </c>
      <c r="B820" s="49">
        <f t="shared" si="13"/>
        <v>1995</v>
      </c>
      <c r="C820" s="27" t="s">
        <v>27</v>
      </c>
      <c r="D820" s="27" t="s">
        <v>33</v>
      </c>
      <c r="E820" s="27">
        <v>947</v>
      </c>
    </row>
    <row r="821" spans="1:5" x14ac:dyDescent="0.25">
      <c r="A821" s="26">
        <v>34851</v>
      </c>
      <c r="B821" s="49">
        <f t="shared" si="13"/>
        <v>1995</v>
      </c>
      <c r="C821" s="27" t="s">
        <v>27</v>
      </c>
      <c r="D821" s="27" t="s">
        <v>33</v>
      </c>
      <c r="E821" s="27">
        <v>737</v>
      </c>
    </row>
    <row r="822" spans="1:5" x14ac:dyDescent="0.25">
      <c r="A822" s="26">
        <v>34851</v>
      </c>
      <c r="B822" s="49">
        <f t="shared" si="13"/>
        <v>1995</v>
      </c>
      <c r="C822" s="27" t="s">
        <v>32</v>
      </c>
      <c r="D822" s="27" t="s">
        <v>33</v>
      </c>
      <c r="E822" s="27">
        <v>394</v>
      </c>
    </row>
    <row r="823" spans="1:5" x14ac:dyDescent="0.25">
      <c r="A823" s="26">
        <v>34851</v>
      </c>
      <c r="B823" s="49">
        <f t="shared" si="13"/>
        <v>1995</v>
      </c>
      <c r="C823" s="27" t="s">
        <v>34</v>
      </c>
      <c r="D823" s="27" t="s">
        <v>33</v>
      </c>
      <c r="E823" s="27">
        <v>1188</v>
      </c>
    </row>
    <row r="824" spans="1:5" x14ac:dyDescent="0.25">
      <c r="A824" s="26">
        <v>34851</v>
      </c>
      <c r="B824" s="49">
        <f t="shared" si="13"/>
        <v>1995</v>
      </c>
      <c r="C824" s="27" t="s">
        <v>32</v>
      </c>
      <c r="D824" s="27" t="s">
        <v>33</v>
      </c>
      <c r="E824" s="27">
        <v>2279</v>
      </c>
    </row>
    <row r="825" spans="1:5" x14ac:dyDescent="0.25">
      <c r="A825" s="26">
        <v>34851</v>
      </c>
      <c r="B825" s="49">
        <f t="shared" si="13"/>
        <v>1995</v>
      </c>
      <c r="C825" s="27" t="s">
        <v>34</v>
      </c>
      <c r="D825" s="27" t="s">
        <v>33</v>
      </c>
      <c r="E825" s="27">
        <v>32</v>
      </c>
    </row>
    <row r="826" spans="1:5" x14ac:dyDescent="0.25">
      <c r="A826" s="26">
        <v>34851</v>
      </c>
      <c r="B826" s="49">
        <f t="shared" si="13"/>
        <v>1995</v>
      </c>
      <c r="C826" s="27" t="s">
        <v>27</v>
      </c>
      <c r="D826" s="27" t="s">
        <v>33</v>
      </c>
      <c r="E826" s="27">
        <v>44</v>
      </c>
    </row>
    <row r="827" spans="1:5" x14ac:dyDescent="0.25">
      <c r="A827" s="26">
        <v>34851</v>
      </c>
      <c r="B827" s="49">
        <f t="shared" si="13"/>
        <v>1995</v>
      </c>
      <c r="C827" s="27" t="s">
        <v>27</v>
      </c>
      <c r="D827" s="27" t="s">
        <v>33</v>
      </c>
      <c r="E827" s="27">
        <v>68</v>
      </c>
    </row>
    <row r="828" spans="1:5" x14ac:dyDescent="0.25">
      <c r="A828" s="26">
        <v>34851</v>
      </c>
      <c r="B828" s="49">
        <f t="shared" si="13"/>
        <v>1995</v>
      </c>
      <c r="C828" s="27" t="s">
        <v>34</v>
      </c>
      <c r="D828" s="27" t="s">
        <v>33</v>
      </c>
      <c r="E828" s="27">
        <v>56</v>
      </c>
    </row>
    <row r="829" spans="1:5" x14ac:dyDescent="0.25">
      <c r="A829" s="26">
        <v>34851</v>
      </c>
      <c r="B829" s="49">
        <f t="shared" si="13"/>
        <v>1995</v>
      </c>
      <c r="C829" s="27" t="s">
        <v>35</v>
      </c>
      <c r="D829" s="27" t="s">
        <v>33</v>
      </c>
      <c r="E829" s="27">
        <v>70</v>
      </c>
    </row>
    <row r="830" spans="1:5" x14ac:dyDescent="0.25">
      <c r="A830" s="26">
        <v>34851</v>
      </c>
      <c r="B830" s="49">
        <f t="shared" si="13"/>
        <v>1995</v>
      </c>
      <c r="C830" s="27" t="s">
        <v>35</v>
      </c>
      <c r="D830" s="27" t="s">
        <v>33</v>
      </c>
      <c r="E830" s="27">
        <v>90</v>
      </c>
    </row>
    <row r="831" spans="1:5" x14ac:dyDescent="0.25">
      <c r="A831" s="26">
        <v>34851</v>
      </c>
      <c r="B831" s="49">
        <f t="shared" si="13"/>
        <v>1995</v>
      </c>
      <c r="C831" s="27" t="s">
        <v>32</v>
      </c>
      <c r="D831" s="27" t="s">
        <v>33</v>
      </c>
      <c r="E831" s="27">
        <v>171</v>
      </c>
    </row>
    <row r="832" spans="1:5" x14ac:dyDescent="0.25">
      <c r="A832" s="26">
        <v>34851</v>
      </c>
      <c r="B832" s="49">
        <f t="shared" si="13"/>
        <v>1995</v>
      </c>
      <c r="C832" s="27" t="s">
        <v>32</v>
      </c>
      <c r="D832" s="27" t="s">
        <v>36</v>
      </c>
      <c r="E832" s="27">
        <v>293</v>
      </c>
    </row>
    <row r="833" spans="1:5" x14ac:dyDescent="0.25">
      <c r="A833" s="26">
        <v>34851</v>
      </c>
      <c r="B833" s="49">
        <f t="shared" si="13"/>
        <v>1995</v>
      </c>
      <c r="C833" s="27" t="s">
        <v>32</v>
      </c>
      <c r="D833" s="27" t="s">
        <v>36</v>
      </c>
      <c r="E833" s="27">
        <v>149</v>
      </c>
    </row>
    <row r="834" spans="1:5" x14ac:dyDescent="0.25">
      <c r="A834" s="26">
        <v>34851</v>
      </c>
      <c r="B834" s="49">
        <f t="shared" si="13"/>
        <v>1995</v>
      </c>
      <c r="C834" s="27" t="s">
        <v>35</v>
      </c>
      <c r="D834" s="27" t="s">
        <v>36</v>
      </c>
      <c r="E834" s="27">
        <v>151</v>
      </c>
    </row>
    <row r="835" spans="1:5" x14ac:dyDescent="0.25">
      <c r="A835" s="26">
        <v>34851</v>
      </c>
      <c r="B835" s="49">
        <f t="shared" ref="B835:B898" si="14">YEAR(A835)</f>
        <v>1995</v>
      </c>
      <c r="C835" s="27" t="s">
        <v>27</v>
      </c>
      <c r="D835" s="27" t="s">
        <v>36</v>
      </c>
      <c r="E835" s="27">
        <v>165</v>
      </c>
    </row>
    <row r="836" spans="1:5" x14ac:dyDescent="0.25">
      <c r="A836" s="26">
        <v>34851</v>
      </c>
      <c r="B836" s="49">
        <f t="shared" si="14"/>
        <v>1995</v>
      </c>
      <c r="C836" s="27" t="s">
        <v>34</v>
      </c>
      <c r="D836" s="27" t="s">
        <v>36</v>
      </c>
      <c r="E836" s="27">
        <v>289</v>
      </c>
    </row>
    <row r="837" spans="1:5" x14ac:dyDescent="0.25">
      <c r="A837" s="26">
        <v>34851</v>
      </c>
      <c r="B837" s="49">
        <f t="shared" si="14"/>
        <v>1995</v>
      </c>
      <c r="C837" s="27" t="s">
        <v>32</v>
      </c>
      <c r="D837" s="27" t="s">
        <v>36</v>
      </c>
      <c r="E837" s="27">
        <v>140</v>
      </c>
    </row>
    <row r="838" spans="1:5" x14ac:dyDescent="0.25">
      <c r="A838" s="26">
        <v>34851</v>
      </c>
      <c r="B838" s="49">
        <f t="shared" si="14"/>
        <v>1995</v>
      </c>
      <c r="C838" s="27" t="s">
        <v>27</v>
      </c>
      <c r="D838" s="27" t="s">
        <v>36</v>
      </c>
      <c r="E838" s="27">
        <v>146</v>
      </c>
    </row>
    <row r="839" spans="1:5" x14ac:dyDescent="0.25">
      <c r="A839" s="26">
        <v>34851</v>
      </c>
      <c r="B839" s="49">
        <f t="shared" si="14"/>
        <v>1995</v>
      </c>
      <c r="C839" s="27" t="s">
        <v>32</v>
      </c>
      <c r="D839" s="27" t="s">
        <v>36</v>
      </c>
      <c r="E839" s="27">
        <v>193</v>
      </c>
    </row>
    <row r="840" spans="1:5" x14ac:dyDescent="0.25">
      <c r="A840" s="26">
        <v>34851</v>
      </c>
      <c r="B840" s="49">
        <f t="shared" si="14"/>
        <v>1995</v>
      </c>
      <c r="C840" s="27" t="s">
        <v>32</v>
      </c>
      <c r="D840" s="27" t="s">
        <v>36</v>
      </c>
      <c r="E840" s="27">
        <v>206</v>
      </c>
    </row>
    <row r="841" spans="1:5" x14ac:dyDescent="0.25">
      <c r="A841" s="26">
        <v>34851</v>
      </c>
      <c r="B841" s="49">
        <f t="shared" si="14"/>
        <v>1995</v>
      </c>
      <c r="C841" s="27" t="s">
        <v>32</v>
      </c>
      <c r="D841" s="27" t="s">
        <v>36</v>
      </c>
      <c r="E841" s="27">
        <v>225</v>
      </c>
    </row>
    <row r="842" spans="1:5" x14ac:dyDescent="0.25">
      <c r="A842" s="26">
        <v>34851</v>
      </c>
      <c r="B842" s="49">
        <f t="shared" si="14"/>
        <v>1995</v>
      </c>
      <c r="C842" s="27" t="s">
        <v>34</v>
      </c>
      <c r="D842" s="27" t="s">
        <v>36</v>
      </c>
      <c r="E842" s="27">
        <v>338</v>
      </c>
    </row>
    <row r="843" spans="1:5" x14ac:dyDescent="0.25">
      <c r="A843" s="26">
        <v>34851</v>
      </c>
      <c r="B843" s="49">
        <f t="shared" si="14"/>
        <v>1995</v>
      </c>
      <c r="C843" s="27" t="s">
        <v>34</v>
      </c>
      <c r="D843" s="27" t="s">
        <v>36</v>
      </c>
      <c r="E843" s="27">
        <v>540</v>
      </c>
    </row>
    <row r="844" spans="1:5" x14ac:dyDescent="0.25">
      <c r="A844" s="26">
        <v>34851</v>
      </c>
      <c r="B844" s="49">
        <f t="shared" si="14"/>
        <v>1995</v>
      </c>
      <c r="C844" s="27" t="s">
        <v>27</v>
      </c>
      <c r="D844" s="27" t="s">
        <v>36</v>
      </c>
      <c r="E844" s="27">
        <v>39</v>
      </c>
    </row>
    <row r="845" spans="1:5" x14ac:dyDescent="0.25">
      <c r="A845" s="26">
        <v>34851</v>
      </c>
      <c r="B845" s="49">
        <f t="shared" si="14"/>
        <v>1995</v>
      </c>
      <c r="C845" s="27" t="s">
        <v>27</v>
      </c>
      <c r="D845" s="27" t="s">
        <v>36</v>
      </c>
      <c r="E845" s="27">
        <v>28</v>
      </c>
    </row>
    <row r="846" spans="1:5" x14ac:dyDescent="0.25">
      <c r="A846" s="26">
        <v>34851</v>
      </c>
      <c r="B846" s="49">
        <f t="shared" si="14"/>
        <v>1995</v>
      </c>
      <c r="C846" s="27" t="s">
        <v>34</v>
      </c>
      <c r="D846" s="27" t="s">
        <v>36</v>
      </c>
      <c r="E846" s="27">
        <v>53</v>
      </c>
    </row>
    <row r="847" spans="1:5" x14ac:dyDescent="0.25">
      <c r="A847" s="26">
        <v>34851</v>
      </c>
      <c r="B847" s="49">
        <f t="shared" si="14"/>
        <v>1995</v>
      </c>
      <c r="C847" s="27" t="s">
        <v>34</v>
      </c>
      <c r="D847" s="27" t="s">
        <v>36</v>
      </c>
      <c r="E847" s="27">
        <v>413</v>
      </c>
    </row>
    <row r="848" spans="1:5" x14ac:dyDescent="0.25">
      <c r="A848" s="26">
        <v>34851</v>
      </c>
      <c r="B848" s="49">
        <f t="shared" si="14"/>
        <v>1995</v>
      </c>
      <c r="C848" s="27" t="s">
        <v>35</v>
      </c>
      <c r="D848" s="27" t="s">
        <v>36</v>
      </c>
      <c r="E848" s="27">
        <v>88</v>
      </c>
    </row>
    <row r="849" spans="1:5" x14ac:dyDescent="0.25">
      <c r="A849" s="26">
        <v>34851</v>
      </c>
      <c r="B849" s="49">
        <f t="shared" si="14"/>
        <v>1995</v>
      </c>
      <c r="C849" s="27" t="s">
        <v>27</v>
      </c>
      <c r="D849" s="27" t="s">
        <v>36</v>
      </c>
      <c r="E849" s="27">
        <v>96</v>
      </c>
    </row>
    <row r="850" spans="1:5" x14ac:dyDescent="0.25">
      <c r="A850" s="26">
        <v>34851</v>
      </c>
      <c r="B850" s="49">
        <f t="shared" si="14"/>
        <v>1995</v>
      </c>
      <c r="C850" s="27" t="s">
        <v>35</v>
      </c>
      <c r="D850" s="27" t="s">
        <v>36</v>
      </c>
      <c r="E850" s="27">
        <v>135</v>
      </c>
    </row>
    <row r="851" spans="1:5" x14ac:dyDescent="0.25">
      <c r="A851" s="26">
        <v>34851</v>
      </c>
      <c r="B851" s="49">
        <f t="shared" si="14"/>
        <v>1995</v>
      </c>
      <c r="C851" s="27" t="s">
        <v>27</v>
      </c>
      <c r="D851" s="27" t="s">
        <v>36</v>
      </c>
      <c r="E851" s="27">
        <v>41</v>
      </c>
    </row>
    <row r="852" spans="1:5" x14ac:dyDescent="0.25">
      <c r="A852" s="26">
        <v>34851</v>
      </c>
      <c r="B852" s="49">
        <f t="shared" si="14"/>
        <v>1995</v>
      </c>
      <c r="C852" s="27" t="s">
        <v>34</v>
      </c>
      <c r="D852" s="27" t="s">
        <v>36</v>
      </c>
      <c r="E852" s="27">
        <v>210</v>
      </c>
    </row>
    <row r="853" spans="1:5" x14ac:dyDescent="0.25">
      <c r="A853" s="26">
        <v>34881</v>
      </c>
      <c r="B853" s="49">
        <f t="shared" si="14"/>
        <v>1995</v>
      </c>
      <c r="C853" s="27" t="s">
        <v>34</v>
      </c>
      <c r="D853" s="27" t="s">
        <v>28</v>
      </c>
      <c r="E853" s="27">
        <v>1758</v>
      </c>
    </row>
    <row r="854" spans="1:5" x14ac:dyDescent="0.25">
      <c r="A854" s="26">
        <v>34881</v>
      </c>
      <c r="B854" s="49">
        <f t="shared" si="14"/>
        <v>1995</v>
      </c>
      <c r="C854" s="27" t="s">
        <v>34</v>
      </c>
      <c r="D854" s="27" t="s">
        <v>28</v>
      </c>
      <c r="E854" s="27">
        <v>338</v>
      </c>
    </row>
    <row r="855" spans="1:5" x14ac:dyDescent="0.25">
      <c r="A855" s="26">
        <v>34881</v>
      </c>
      <c r="B855" s="49">
        <f t="shared" si="14"/>
        <v>1995</v>
      </c>
      <c r="C855" s="27" t="s">
        <v>32</v>
      </c>
      <c r="D855" s="27" t="s">
        <v>28</v>
      </c>
      <c r="E855" s="27">
        <v>338</v>
      </c>
    </row>
    <row r="856" spans="1:5" x14ac:dyDescent="0.25">
      <c r="A856" s="26">
        <v>34881</v>
      </c>
      <c r="B856" s="49">
        <f t="shared" si="14"/>
        <v>1995</v>
      </c>
      <c r="C856" s="27" t="s">
        <v>34</v>
      </c>
      <c r="D856" s="27" t="s">
        <v>28</v>
      </c>
      <c r="E856" s="27">
        <v>441</v>
      </c>
    </row>
    <row r="857" spans="1:5" x14ac:dyDescent="0.25">
      <c r="A857" s="26">
        <v>34881</v>
      </c>
      <c r="B857" s="49">
        <f t="shared" si="14"/>
        <v>1995</v>
      </c>
      <c r="C857" s="27" t="s">
        <v>27</v>
      </c>
      <c r="D857" s="27" t="s">
        <v>28</v>
      </c>
      <c r="E857" s="27">
        <v>546</v>
      </c>
    </row>
    <row r="858" spans="1:5" x14ac:dyDescent="0.25">
      <c r="A858" s="26">
        <v>34881</v>
      </c>
      <c r="B858" s="49">
        <f t="shared" si="14"/>
        <v>1995</v>
      </c>
      <c r="C858" s="27" t="s">
        <v>34</v>
      </c>
      <c r="D858" s="27" t="s">
        <v>28</v>
      </c>
      <c r="E858" s="27">
        <v>570</v>
      </c>
    </row>
    <row r="859" spans="1:5" x14ac:dyDescent="0.25">
      <c r="A859" s="26">
        <v>34881</v>
      </c>
      <c r="B859" s="49">
        <f t="shared" si="14"/>
        <v>1995</v>
      </c>
      <c r="C859" s="27" t="s">
        <v>27</v>
      </c>
      <c r="D859" s="27" t="s">
        <v>28</v>
      </c>
      <c r="E859" s="27">
        <v>581</v>
      </c>
    </row>
    <row r="860" spans="1:5" x14ac:dyDescent="0.25">
      <c r="A860" s="26">
        <v>34881</v>
      </c>
      <c r="B860" s="49">
        <f t="shared" si="14"/>
        <v>1995</v>
      </c>
      <c r="C860" s="27" t="s">
        <v>27</v>
      </c>
      <c r="D860" s="27" t="s">
        <v>28</v>
      </c>
      <c r="E860" s="27">
        <v>730</v>
      </c>
    </row>
    <row r="861" spans="1:5" x14ac:dyDescent="0.25">
      <c r="A861" s="26">
        <v>34881</v>
      </c>
      <c r="B861" s="49">
        <f t="shared" si="14"/>
        <v>1995</v>
      </c>
      <c r="C861" s="27" t="s">
        <v>32</v>
      </c>
      <c r="D861" s="27" t="s">
        <v>28</v>
      </c>
      <c r="E861" s="27">
        <v>1040</v>
      </c>
    </row>
    <row r="862" spans="1:5" x14ac:dyDescent="0.25">
      <c r="A862" s="26">
        <v>34881</v>
      </c>
      <c r="B862" s="49">
        <f t="shared" si="14"/>
        <v>1995</v>
      </c>
      <c r="C862" s="27" t="s">
        <v>32</v>
      </c>
      <c r="D862" s="27" t="s">
        <v>28</v>
      </c>
      <c r="E862" s="27">
        <v>995</v>
      </c>
    </row>
    <row r="863" spans="1:5" x14ac:dyDescent="0.25">
      <c r="A863" s="26">
        <v>34881</v>
      </c>
      <c r="B863" s="49">
        <f t="shared" si="14"/>
        <v>1995</v>
      </c>
      <c r="C863" s="27" t="s">
        <v>27</v>
      </c>
      <c r="D863" s="27" t="s">
        <v>28</v>
      </c>
      <c r="E863" s="27">
        <v>303</v>
      </c>
    </row>
    <row r="864" spans="1:5" x14ac:dyDescent="0.25">
      <c r="A864" s="26">
        <v>34881</v>
      </c>
      <c r="B864" s="49">
        <f t="shared" si="14"/>
        <v>1995</v>
      </c>
      <c r="C864" s="27" t="s">
        <v>35</v>
      </c>
      <c r="D864" s="27" t="s">
        <v>28</v>
      </c>
      <c r="E864" s="27">
        <v>72</v>
      </c>
    </row>
    <row r="865" spans="1:5" x14ac:dyDescent="0.25">
      <c r="A865" s="26">
        <v>34881</v>
      </c>
      <c r="B865" s="49">
        <f t="shared" si="14"/>
        <v>1995</v>
      </c>
      <c r="C865" s="27" t="s">
        <v>32</v>
      </c>
      <c r="D865" s="27" t="s">
        <v>28</v>
      </c>
      <c r="E865" s="27">
        <v>96</v>
      </c>
    </row>
    <row r="866" spans="1:5" x14ac:dyDescent="0.25">
      <c r="A866" s="26">
        <v>34881</v>
      </c>
      <c r="B866" s="49">
        <f t="shared" si="14"/>
        <v>1995</v>
      </c>
      <c r="C866" s="27" t="s">
        <v>35</v>
      </c>
      <c r="D866" s="27" t="s">
        <v>28</v>
      </c>
      <c r="E866" s="27">
        <v>101</v>
      </c>
    </row>
    <row r="867" spans="1:5" x14ac:dyDescent="0.25">
      <c r="A867" s="26">
        <v>34881</v>
      </c>
      <c r="B867" s="49">
        <f t="shared" si="14"/>
        <v>1995</v>
      </c>
      <c r="C867" s="27" t="s">
        <v>35</v>
      </c>
      <c r="D867" s="27" t="s">
        <v>28</v>
      </c>
      <c r="E867" s="27">
        <v>122</v>
      </c>
    </row>
    <row r="868" spans="1:5" x14ac:dyDescent="0.25">
      <c r="A868" s="26">
        <v>34881</v>
      </c>
      <c r="B868" s="49">
        <f t="shared" si="14"/>
        <v>1995</v>
      </c>
      <c r="C868" s="27" t="s">
        <v>35</v>
      </c>
      <c r="D868" s="27" t="s">
        <v>28</v>
      </c>
      <c r="E868" s="27">
        <v>151</v>
      </c>
    </row>
    <row r="869" spans="1:5" x14ac:dyDescent="0.25">
      <c r="A869" s="26">
        <v>34881</v>
      </c>
      <c r="B869" s="49">
        <f t="shared" si="14"/>
        <v>1995</v>
      </c>
      <c r="C869" s="27" t="s">
        <v>32</v>
      </c>
      <c r="D869" s="27" t="s">
        <v>29</v>
      </c>
      <c r="E869" s="27">
        <v>477</v>
      </c>
    </row>
    <row r="870" spans="1:5" x14ac:dyDescent="0.25">
      <c r="A870" s="26">
        <v>34881</v>
      </c>
      <c r="B870" s="49">
        <f t="shared" si="14"/>
        <v>1995</v>
      </c>
      <c r="C870" s="27" t="s">
        <v>32</v>
      </c>
      <c r="D870" s="27" t="s">
        <v>29</v>
      </c>
      <c r="E870" s="27">
        <v>640</v>
      </c>
    </row>
    <row r="871" spans="1:5" x14ac:dyDescent="0.25">
      <c r="A871" s="26">
        <v>34881</v>
      </c>
      <c r="B871" s="49">
        <f t="shared" si="14"/>
        <v>1995</v>
      </c>
      <c r="C871" s="27" t="s">
        <v>27</v>
      </c>
      <c r="D871" s="27" t="s">
        <v>29</v>
      </c>
      <c r="E871" s="27">
        <v>732</v>
      </c>
    </row>
    <row r="872" spans="1:5" x14ac:dyDescent="0.25">
      <c r="A872" s="26">
        <v>34881</v>
      </c>
      <c r="B872" s="49">
        <f t="shared" si="14"/>
        <v>1995</v>
      </c>
      <c r="C872" s="27" t="s">
        <v>27</v>
      </c>
      <c r="D872" s="27" t="s">
        <v>29</v>
      </c>
      <c r="E872" s="27">
        <v>945</v>
      </c>
    </row>
    <row r="873" spans="1:5" x14ac:dyDescent="0.25">
      <c r="A873" s="26">
        <v>34881</v>
      </c>
      <c r="B873" s="49">
        <f t="shared" si="14"/>
        <v>1995</v>
      </c>
      <c r="C873" s="27" t="s">
        <v>34</v>
      </c>
      <c r="D873" s="27" t="s">
        <v>29</v>
      </c>
      <c r="E873" s="27">
        <v>407</v>
      </c>
    </row>
    <row r="874" spans="1:5" x14ac:dyDescent="0.25">
      <c r="A874" s="26">
        <v>34881</v>
      </c>
      <c r="B874" s="49">
        <f t="shared" si="14"/>
        <v>1995</v>
      </c>
      <c r="C874" s="27" t="s">
        <v>32</v>
      </c>
      <c r="D874" s="27" t="s">
        <v>29</v>
      </c>
      <c r="E874" s="27">
        <v>53</v>
      </c>
    </row>
    <row r="875" spans="1:5" x14ac:dyDescent="0.25">
      <c r="A875" s="26">
        <v>34881</v>
      </c>
      <c r="B875" s="49">
        <f t="shared" si="14"/>
        <v>1995</v>
      </c>
      <c r="C875" s="27" t="s">
        <v>34</v>
      </c>
      <c r="D875" s="27" t="s">
        <v>29</v>
      </c>
      <c r="E875" s="27">
        <v>459</v>
      </c>
    </row>
    <row r="876" spans="1:5" x14ac:dyDescent="0.25">
      <c r="A876" s="26">
        <v>34881</v>
      </c>
      <c r="B876" s="49">
        <f t="shared" si="14"/>
        <v>1995</v>
      </c>
      <c r="C876" s="27" t="s">
        <v>34</v>
      </c>
      <c r="D876" s="27" t="s">
        <v>29</v>
      </c>
      <c r="E876" s="27">
        <v>420</v>
      </c>
    </row>
    <row r="877" spans="1:5" x14ac:dyDescent="0.25">
      <c r="A877" s="26">
        <v>34881</v>
      </c>
      <c r="B877" s="49">
        <f t="shared" si="14"/>
        <v>1995</v>
      </c>
      <c r="C877" s="27" t="s">
        <v>35</v>
      </c>
      <c r="D877" s="27" t="s">
        <v>29</v>
      </c>
      <c r="E877" s="27">
        <v>54</v>
      </c>
    </row>
    <row r="878" spans="1:5" x14ac:dyDescent="0.25">
      <c r="A878" s="26">
        <v>34881</v>
      </c>
      <c r="B878" s="49">
        <f t="shared" si="14"/>
        <v>1995</v>
      </c>
      <c r="C878" s="27" t="s">
        <v>35</v>
      </c>
      <c r="D878" s="27" t="s">
        <v>29</v>
      </c>
      <c r="E878" s="27">
        <v>67</v>
      </c>
    </row>
    <row r="879" spans="1:5" x14ac:dyDescent="0.25">
      <c r="A879" s="26">
        <v>34881</v>
      </c>
      <c r="B879" s="49">
        <f t="shared" si="14"/>
        <v>1995</v>
      </c>
      <c r="C879" s="27" t="s">
        <v>35</v>
      </c>
      <c r="D879" s="27" t="s">
        <v>29</v>
      </c>
      <c r="E879" s="27">
        <v>105</v>
      </c>
    </row>
    <row r="880" spans="1:5" x14ac:dyDescent="0.25">
      <c r="A880" s="26">
        <v>34881</v>
      </c>
      <c r="B880" s="49">
        <f t="shared" si="14"/>
        <v>1995</v>
      </c>
      <c r="C880" s="27" t="s">
        <v>35</v>
      </c>
      <c r="D880" s="27" t="s">
        <v>29</v>
      </c>
      <c r="E880" s="27">
        <v>146</v>
      </c>
    </row>
    <row r="881" spans="1:5" x14ac:dyDescent="0.25">
      <c r="A881" s="26">
        <v>34881</v>
      </c>
      <c r="B881" s="49">
        <f t="shared" si="14"/>
        <v>1995</v>
      </c>
      <c r="C881" s="27" t="s">
        <v>32</v>
      </c>
      <c r="D881" s="27" t="s">
        <v>29</v>
      </c>
      <c r="E881" s="27">
        <v>169</v>
      </c>
    </row>
    <row r="882" spans="1:5" x14ac:dyDescent="0.25">
      <c r="A882" s="26">
        <v>34881</v>
      </c>
      <c r="B882" s="49">
        <f t="shared" si="14"/>
        <v>1995</v>
      </c>
      <c r="C882" s="27" t="s">
        <v>27</v>
      </c>
      <c r="D882" s="27" t="s">
        <v>29</v>
      </c>
      <c r="E882" s="27">
        <v>261</v>
      </c>
    </row>
    <row r="883" spans="1:5" x14ac:dyDescent="0.25">
      <c r="A883" s="26">
        <v>34881</v>
      </c>
      <c r="B883" s="49">
        <f t="shared" si="14"/>
        <v>1995</v>
      </c>
      <c r="C883" s="27" t="s">
        <v>34</v>
      </c>
      <c r="D883" s="27" t="s">
        <v>29</v>
      </c>
      <c r="E883" s="27">
        <v>338</v>
      </c>
    </row>
    <row r="884" spans="1:5" x14ac:dyDescent="0.25">
      <c r="A884" s="26">
        <v>34881</v>
      </c>
      <c r="B884" s="49">
        <f t="shared" si="14"/>
        <v>1995</v>
      </c>
      <c r="C884" s="27" t="s">
        <v>27</v>
      </c>
      <c r="D884" s="27" t="s">
        <v>29</v>
      </c>
      <c r="E884" s="27">
        <v>341</v>
      </c>
    </row>
    <row r="885" spans="1:5" x14ac:dyDescent="0.25">
      <c r="A885" s="26">
        <v>34881</v>
      </c>
      <c r="B885" s="49">
        <f t="shared" si="14"/>
        <v>1995</v>
      </c>
      <c r="C885" s="27" t="s">
        <v>27</v>
      </c>
      <c r="D885" s="27" t="s">
        <v>30</v>
      </c>
      <c r="E885" s="27">
        <v>99</v>
      </c>
    </row>
    <row r="886" spans="1:5" x14ac:dyDescent="0.25">
      <c r="A886" s="26">
        <v>34881</v>
      </c>
      <c r="B886" s="49">
        <f t="shared" si="14"/>
        <v>1995</v>
      </c>
      <c r="C886" s="27" t="s">
        <v>32</v>
      </c>
      <c r="D886" s="27" t="s">
        <v>30</v>
      </c>
      <c r="E886" s="27">
        <v>113</v>
      </c>
    </row>
    <row r="887" spans="1:5" x14ac:dyDescent="0.25">
      <c r="A887" s="26">
        <v>34881</v>
      </c>
      <c r="B887" s="49">
        <f t="shared" si="14"/>
        <v>1995</v>
      </c>
      <c r="C887" s="27" t="s">
        <v>32</v>
      </c>
      <c r="D887" s="27" t="s">
        <v>30</v>
      </c>
      <c r="E887" s="27">
        <v>193</v>
      </c>
    </row>
    <row r="888" spans="1:5" x14ac:dyDescent="0.25">
      <c r="A888" s="26">
        <v>34881</v>
      </c>
      <c r="B888" s="49">
        <f t="shared" si="14"/>
        <v>1995</v>
      </c>
      <c r="C888" s="27" t="s">
        <v>32</v>
      </c>
      <c r="D888" s="27" t="s">
        <v>30</v>
      </c>
      <c r="E888" s="27">
        <v>175</v>
      </c>
    </row>
    <row r="889" spans="1:5" x14ac:dyDescent="0.25">
      <c r="A889" s="26">
        <v>34881</v>
      </c>
      <c r="B889" s="49">
        <f t="shared" si="14"/>
        <v>1995</v>
      </c>
      <c r="C889" s="27" t="s">
        <v>32</v>
      </c>
      <c r="D889" s="27" t="s">
        <v>30</v>
      </c>
      <c r="E889" s="27">
        <v>140</v>
      </c>
    </row>
    <row r="890" spans="1:5" x14ac:dyDescent="0.25">
      <c r="A890" s="26">
        <v>34881</v>
      </c>
      <c r="B890" s="49">
        <f t="shared" si="14"/>
        <v>1995</v>
      </c>
      <c r="C890" s="27" t="s">
        <v>32</v>
      </c>
      <c r="D890" s="27" t="s">
        <v>30</v>
      </c>
      <c r="E890" s="27">
        <v>90</v>
      </c>
    </row>
    <row r="891" spans="1:5" x14ac:dyDescent="0.25">
      <c r="A891" s="26">
        <v>34881</v>
      </c>
      <c r="B891" s="49">
        <f t="shared" si="14"/>
        <v>1995</v>
      </c>
      <c r="C891" s="27" t="s">
        <v>27</v>
      </c>
      <c r="D891" s="27" t="s">
        <v>30</v>
      </c>
      <c r="E891" s="27">
        <v>60</v>
      </c>
    </row>
    <row r="892" spans="1:5" x14ac:dyDescent="0.25">
      <c r="A892" s="26">
        <v>34881</v>
      </c>
      <c r="B892" s="49">
        <f t="shared" si="14"/>
        <v>1995</v>
      </c>
      <c r="C892" s="27" t="s">
        <v>27</v>
      </c>
      <c r="D892" s="27" t="s">
        <v>30</v>
      </c>
      <c r="E892" s="27">
        <v>56</v>
      </c>
    </row>
    <row r="893" spans="1:5" x14ac:dyDescent="0.25">
      <c r="A893" s="26">
        <v>34881</v>
      </c>
      <c r="B893" s="49">
        <f t="shared" si="14"/>
        <v>1995</v>
      </c>
      <c r="C893" s="27" t="s">
        <v>27</v>
      </c>
      <c r="D893" s="27" t="s">
        <v>30</v>
      </c>
      <c r="E893" s="27">
        <v>72</v>
      </c>
    </row>
    <row r="894" spans="1:5" x14ac:dyDescent="0.25">
      <c r="A894" s="26">
        <v>34881</v>
      </c>
      <c r="B894" s="49">
        <f t="shared" si="14"/>
        <v>1995</v>
      </c>
      <c r="C894" s="27" t="s">
        <v>27</v>
      </c>
      <c r="D894" s="27" t="s">
        <v>30</v>
      </c>
      <c r="E894" s="27">
        <v>1483</v>
      </c>
    </row>
    <row r="895" spans="1:5" x14ac:dyDescent="0.25">
      <c r="A895" s="26">
        <v>34881</v>
      </c>
      <c r="B895" s="49">
        <f t="shared" si="14"/>
        <v>1995</v>
      </c>
      <c r="C895" s="27" t="s">
        <v>27</v>
      </c>
      <c r="D895" s="27" t="s">
        <v>30</v>
      </c>
      <c r="E895" s="27">
        <v>1567</v>
      </c>
    </row>
    <row r="896" spans="1:5" x14ac:dyDescent="0.25">
      <c r="A896" s="26">
        <v>34881</v>
      </c>
      <c r="B896" s="49">
        <f t="shared" si="14"/>
        <v>1995</v>
      </c>
      <c r="C896" s="27" t="s">
        <v>32</v>
      </c>
      <c r="D896" s="27" t="s">
        <v>30</v>
      </c>
      <c r="E896" s="27">
        <v>766</v>
      </c>
    </row>
    <row r="897" spans="1:5" x14ac:dyDescent="0.25">
      <c r="A897" s="26">
        <v>34881</v>
      </c>
      <c r="B897" s="49">
        <f t="shared" si="14"/>
        <v>1995</v>
      </c>
      <c r="C897" s="27" t="s">
        <v>32</v>
      </c>
      <c r="D897" s="27" t="s">
        <v>31</v>
      </c>
      <c r="E897" s="27">
        <v>383</v>
      </c>
    </row>
    <row r="898" spans="1:5" x14ac:dyDescent="0.25">
      <c r="A898" s="26">
        <v>34881</v>
      </c>
      <c r="B898" s="49">
        <f t="shared" si="14"/>
        <v>1995</v>
      </c>
      <c r="C898" s="27" t="s">
        <v>32</v>
      </c>
      <c r="D898" s="27" t="s">
        <v>31</v>
      </c>
      <c r="E898" s="27">
        <v>1740</v>
      </c>
    </row>
    <row r="899" spans="1:5" x14ac:dyDescent="0.25">
      <c r="A899" s="26">
        <v>34881</v>
      </c>
      <c r="B899" s="49">
        <f t="shared" ref="B899:B962" si="15">YEAR(A899)</f>
        <v>1995</v>
      </c>
      <c r="C899" s="27" t="s">
        <v>34</v>
      </c>
      <c r="D899" s="27" t="s">
        <v>31</v>
      </c>
      <c r="E899" s="27">
        <v>826</v>
      </c>
    </row>
    <row r="900" spans="1:5" x14ac:dyDescent="0.25">
      <c r="A900" s="26">
        <v>34881</v>
      </c>
      <c r="B900" s="49">
        <f t="shared" si="15"/>
        <v>1995</v>
      </c>
      <c r="C900" s="27" t="s">
        <v>27</v>
      </c>
      <c r="D900" s="27" t="s">
        <v>31</v>
      </c>
      <c r="E900" s="27">
        <v>922</v>
      </c>
    </row>
    <row r="901" spans="1:5" x14ac:dyDescent="0.25">
      <c r="A901" s="26">
        <v>34881</v>
      </c>
      <c r="B901" s="49">
        <f t="shared" si="15"/>
        <v>1995</v>
      </c>
      <c r="C901" s="27" t="s">
        <v>32</v>
      </c>
      <c r="D901" s="27" t="s">
        <v>31</v>
      </c>
      <c r="E901" s="27">
        <v>1138</v>
      </c>
    </row>
    <row r="902" spans="1:5" x14ac:dyDescent="0.25">
      <c r="A902" s="26">
        <v>34881</v>
      </c>
      <c r="B902" s="49">
        <f t="shared" si="15"/>
        <v>1995</v>
      </c>
      <c r="C902" s="27" t="s">
        <v>32</v>
      </c>
      <c r="D902" s="27" t="s">
        <v>31</v>
      </c>
      <c r="E902" s="27">
        <v>403</v>
      </c>
    </row>
    <row r="903" spans="1:5" x14ac:dyDescent="0.25">
      <c r="A903" s="26">
        <v>34881</v>
      </c>
      <c r="B903" s="49">
        <f t="shared" si="15"/>
        <v>1995</v>
      </c>
      <c r="C903" s="27" t="s">
        <v>35</v>
      </c>
      <c r="D903" s="27" t="s">
        <v>31</v>
      </c>
      <c r="E903" s="27">
        <v>86</v>
      </c>
    </row>
    <row r="904" spans="1:5" x14ac:dyDescent="0.25">
      <c r="A904" s="26">
        <v>34881</v>
      </c>
      <c r="B904" s="49">
        <f t="shared" si="15"/>
        <v>1995</v>
      </c>
      <c r="C904" s="27" t="s">
        <v>35</v>
      </c>
      <c r="D904" s="27" t="s">
        <v>31</v>
      </c>
      <c r="E904" s="27">
        <v>53</v>
      </c>
    </row>
    <row r="905" spans="1:5" x14ac:dyDescent="0.25">
      <c r="A905" s="26">
        <v>34881</v>
      </c>
      <c r="B905" s="49">
        <f t="shared" si="15"/>
        <v>1995</v>
      </c>
      <c r="C905" s="27" t="s">
        <v>27</v>
      </c>
      <c r="D905" s="27" t="s">
        <v>31</v>
      </c>
      <c r="E905" s="27">
        <v>259</v>
      </c>
    </row>
    <row r="906" spans="1:5" x14ac:dyDescent="0.25">
      <c r="A906" s="26">
        <v>34881</v>
      </c>
      <c r="B906" s="49">
        <f t="shared" si="15"/>
        <v>1995</v>
      </c>
      <c r="C906" s="27" t="s">
        <v>34</v>
      </c>
      <c r="D906" s="27" t="s">
        <v>31</v>
      </c>
      <c r="E906" s="27">
        <v>270</v>
      </c>
    </row>
    <row r="907" spans="1:5" x14ac:dyDescent="0.25">
      <c r="A907" s="26">
        <v>34881</v>
      </c>
      <c r="B907" s="49">
        <f t="shared" si="15"/>
        <v>1995</v>
      </c>
      <c r="C907" s="27" t="s">
        <v>34</v>
      </c>
      <c r="D907" s="27" t="s">
        <v>31</v>
      </c>
      <c r="E907" s="27">
        <v>184</v>
      </c>
    </row>
    <row r="908" spans="1:5" x14ac:dyDescent="0.25">
      <c r="A908" s="26">
        <v>34881</v>
      </c>
      <c r="B908" s="49">
        <f t="shared" si="15"/>
        <v>1995</v>
      </c>
      <c r="C908" s="27" t="s">
        <v>34</v>
      </c>
      <c r="D908" s="27" t="s">
        <v>31</v>
      </c>
      <c r="E908" s="27">
        <v>315</v>
      </c>
    </row>
    <row r="909" spans="1:5" x14ac:dyDescent="0.25">
      <c r="A909" s="26">
        <v>34881</v>
      </c>
      <c r="B909" s="49">
        <f t="shared" si="15"/>
        <v>1995</v>
      </c>
      <c r="C909" s="27" t="s">
        <v>35</v>
      </c>
      <c r="D909" s="27" t="s">
        <v>31</v>
      </c>
      <c r="E909" s="27">
        <v>96</v>
      </c>
    </row>
    <row r="910" spans="1:5" x14ac:dyDescent="0.25">
      <c r="A910" s="26">
        <v>34881</v>
      </c>
      <c r="B910" s="49">
        <f t="shared" si="15"/>
        <v>1995</v>
      </c>
      <c r="C910" s="27" t="s">
        <v>27</v>
      </c>
      <c r="D910" s="27" t="s">
        <v>31</v>
      </c>
      <c r="E910" s="27">
        <v>140</v>
      </c>
    </row>
    <row r="911" spans="1:5" x14ac:dyDescent="0.25">
      <c r="A911" s="26">
        <v>34881</v>
      </c>
      <c r="B911" s="49">
        <f t="shared" si="15"/>
        <v>1995</v>
      </c>
      <c r="C911" s="27" t="s">
        <v>27</v>
      </c>
      <c r="D911" s="27" t="s">
        <v>31</v>
      </c>
      <c r="E911" s="27">
        <v>113</v>
      </c>
    </row>
    <row r="912" spans="1:5" x14ac:dyDescent="0.25">
      <c r="A912" s="26">
        <v>34881</v>
      </c>
      <c r="B912" s="49">
        <f t="shared" si="15"/>
        <v>1995</v>
      </c>
      <c r="C912" s="27" t="s">
        <v>35</v>
      </c>
      <c r="D912" s="27" t="s">
        <v>31</v>
      </c>
      <c r="E912" s="27">
        <v>124</v>
      </c>
    </row>
    <row r="913" spans="1:5" x14ac:dyDescent="0.25">
      <c r="A913" s="26">
        <v>34881</v>
      </c>
      <c r="B913" s="49">
        <f t="shared" si="15"/>
        <v>1995</v>
      </c>
      <c r="C913" s="27" t="s">
        <v>32</v>
      </c>
      <c r="D913" s="27" t="s">
        <v>33</v>
      </c>
      <c r="E913" s="27">
        <v>326</v>
      </c>
    </row>
    <row r="914" spans="1:5" x14ac:dyDescent="0.25">
      <c r="A914" s="26">
        <v>34881</v>
      </c>
      <c r="B914" s="49">
        <f t="shared" si="15"/>
        <v>1995</v>
      </c>
      <c r="C914" s="27" t="s">
        <v>35</v>
      </c>
      <c r="D914" s="27" t="s">
        <v>33</v>
      </c>
      <c r="E914" s="27">
        <v>90</v>
      </c>
    </row>
    <row r="915" spans="1:5" x14ac:dyDescent="0.25">
      <c r="A915" s="26">
        <v>34881</v>
      </c>
      <c r="B915" s="49">
        <f t="shared" si="15"/>
        <v>1995</v>
      </c>
      <c r="C915" s="27" t="s">
        <v>34</v>
      </c>
      <c r="D915" s="27" t="s">
        <v>33</v>
      </c>
      <c r="E915" s="27">
        <v>81</v>
      </c>
    </row>
    <row r="916" spans="1:5" x14ac:dyDescent="0.25">
      <c r="A916" s="26">
        <v>34881</v>
      </c>
      <c r="B916" s="49">
        <f t="shared" si="15"/>
        <v>1995</v>
      </c>
      <c r="C916" s="27" t="s">
        <v>27</v>
      </c>
      <c r="D916" s="27" t="s">
        <v>33</v>
      </c>
      <c r="E916" s="27">
        <v>68</v>
      </c>
    </row>
    <row r="917" spans="1:5" x14ac:dyDescent="0.25">
      <c r="A917" s="26">
        <v>34881</v>
      </c>
      <c r="B917" s="49">
        <f t="shared" si="15"/>
        <v>1995</v>
      </c>
      <c r="C917" s="27" t="s">
        <v>34</v>
      </c>
      <c r="D917" s="27" t="s">
        <v>33</v>
      </c>
      <c r="E917" s="27">
        <v>2892</v>
      </c>
    </row>
    <row r="918" spans="1:5" x14ac:dyDescent="0.25">
      <c r="A918" s="26">
        <v>34881</v>
      </c>
      <c r="B918" s="49">
        <f t="shared" si="15"/>
        <v>1995</v>
      </c>
      <c r="C918" s="27" t="s">
        <v>32</v>
      </c>
      <c r="D918" s="27" t="s">
        <v>33</v>
      </c>
      <c r="E918" s="27">
        <v>1999</v>
      </c>
    </row>
    <row r="919" spans="1:5" x14ac:dyDescent="0.25">
      <c r="A919" s="26">
        <v>34881</v>
      </c>
      <c r="B919" s="49">
        <f t="shared" si="15"/>
        <v>1995</v>
      </c>
      <c r="C919" s="27" t="s">
        <v>27</v>
      </c>
      <c r="D919" s="27" t="s">
        <v>33</v>
      </c>
      <c r="E919" s="27">
        <v>1220</v>
      </c>
    </row>
    <row r="920" spans="1:5" x14ac:dyDescent="0.25">
      <c r="A920" s="26">
        <v>34881</v>
      </c>
      <c r="B920" s="49">
        <f t="shared" si="15"/>
        <v>1995</v>
      </c>
      <c r="C920" s="27" t="s">
        <v>34</v>
      </c>
      <c r="D920" s="27" t="s">
        <v>33</v>
      </c>
      <c r="E920" s="27">
        <v>1079</v>
      </c>
    </row>
    <row r="921" spans="1:5" x14ac:dyDescent="0.25">
      <c r="A921" s="26">
        <v>34881</v>
      </c>
      <c r="B921" s="49">
        <f t="shared" si="15"/>
        <v>1995</v>
      </c>
      <c r="C921" s="27" t="s">
        <v>32</v>
      </c>
      <c r="D921" s="27" t="s">
        <v>33</v>
      </c>
      <c r="E921" s="27">
        <v>793</v>
      </c>
    </row>
    <row r="922" spans="1:5" x14ac:dyDescent="0.25">
      <c r="A922" s="26">
        <v>34881</v>
      </c>
      <c r="B922" s="49">
        <f t="shared" si="15"/>
        <v>1995</v>
      </c>
      <c r="C922" s="27" t="s">
        <v>32</v>
      </c>
      <c r="D922" s="27" t="s">
        <v>33</v>
      </c>
      <c r="E922" s="27">
        <v>221</v>
      </c>
    </row>
    <row r="923" spans="1:5" x14ac:dyDescent="0.25">
      <c r="A923" s="26">
        <v>34881</v>
      </c>
      <c r="B923" s="49">
        <f t="shared" si="15"/>
        <v>1995</v>
      </c>
      <c r="C923" s="27" t="s">
        <v>27</v>
      </c>
      <c r="D923" s="27" t="s">
        <v>33</v>
      </c>
      <c r="E923" s="27">
        <v>650</v>
      </c>
    </row>
    <row r="924" spans="1:5" x14ac:dyDescent="0.25">
      <c r="A924" s="26">
        <v>34881</v>
      </c>
      <c r="B924" s="49">
        <f t="shared" si="15"/>
        <v>1995</v>
      </c>
      <c r="C924" s="27" t="s">
        <v>35</v>
      </c>
      <c r="D924" s="27" t="s">
        <v>33</v>
      </c>
      <c r="E924" s="27">
        <v>61</v>
      </c>
    </row>
    <row r="925" spans="1:5" x14ac:dyDescent="0.25">
      <c r="A925" s="26">
        <v>34881</v>
      </c>
      <c r="B925" s="49">
        <f t="shared" si="15"/>
        <v>1995</v>
      </c>
      <c r="C925" s="27" t="s">
        <v>34</v>
      </c>
      <c r="D925" s="27" t="s">
        <v>33</v>
      </c>
      <c r="E925" s="27">
        <v>50</v>
      </c>
    </row>
    <row r="926" spans="1:5" x14ac:dyDescent="0.25">
      <c r="A926" s="26">
        <v>34881</v>
      </c>
      <c r="B926" s="49">
        <f t="shared" si="15"/>
        <v>1995</v>
      </c>
      <c r="C926" s="27" t="s">
        <v>35</v>
      </c>
      <c r="D926" s="27" t="s">
        <v>33</v>
      </c>
      <c r="E926" s="27">
        <v>49</v>
      </c>
    </row>
    <row r="927" spans="1:5" x14ac:dyDescent="0.25">
      <c r="A927" s="26">
        <v>34881</v>
      </c>
      <c r="B927" s="49">
        <f t="shared" si="15"/>
        <v>1995</v>
      </c>
      <c r="C927" s="27" t="s">
        <v>27</v>
      </c>
      <c r="D927" s="27" t="s">
        <v>33</v>
      </c>
      <c r="E927" s="27">
        <v>44</v>
      </c>
    </row>
    <row r="928" spans="1:5" x14ac:dyDescent="0.25">
      <c r="A928" s="26">
        <v>34881</v>
      </c>
      <c r="B928" s="49">
        <f t="shared" si="15"/>
        <v>1995</v>
      </c>
      <c r="C928" s="27" t="s">
        <v>35</v>
      </c>
      <c r="D928" s="27" t="s">
        <v>33</v>
      </c>
      <c r="E928" s="27">
        <v>27</v>
      </c>
    </row>
    <row r="929" spans="1:5" x14ac:dyDescent="0.25">
      <c r="A929" s="26">
        <v>34881</v>
      </c>
      <c r="B929" s="49">
        <f t="shared" si="15"/>
        <v>1995</v>
      </c>
      <c r="C929" s="27" t="s">
        <v>27</v>
      </c>
      <c r="D929" s="27" t="s">
        <v>36</v>
      </c>
      <c r="E929" s="27">
        <v>39</v>
      </c>
    </row>
    <row r="930" spans="1:5" x14ac:dyDescent="0.25">
      <c r="A930" s="26">
        <v>34881</v>
      </c>
      <c r="B930" s="49">
        <f t="shared" si="15"/>
        <v>1995</v>
      </c>
      <c r="C930" s="27" t="s">
        <v>27</v>
      </c>
      <c r="D930" s="27" t="s">
        <v>36</v>
      </c>
      <c r="E930" s="27">
        <v>32</v>
      </c>
    </row>
    <row r="931" spans="1:5" x14ac:dyDescent="0.25">
      <c r="A931" s="26">
        <v>34881</v>
      </c>
      <c r="B931" s="49">
        <f t="shared" si="15"/>
        <v>1995</v>
      </c>
      <c r="C931" s="27" t="s">
        <v>27</v>
      </c>
      <c r="D931" s="27" t="s">
        <v>36</v>
      </c>
      <c r="E931" s="27">
        <v>28</v>
      </c>
    </row>
    <row r="932" spans="1:5" x14ac:dyDescent="0.25">
      <c r="A932" s="26">
        <v>34881</v>
      </c>
      <c r="B932" s="49">
        <f t="shared" si="15"/>
        <v>1995</v>
      </c>
      <c r="C932" s="27" t="s">
        <v>32</v>
      </c>
      <c r="D932" s="27" t="s">
        <v>36</v>
      </c>
      <c r="E932" s="27">
        <v>140</v>
      </c>
    </row>
    <row r="933" spans="1:5" x14ac:dyDescent="0.25">
      <c r="A933" s="26">
        <v>34881</v>
      </c>
      <c r="B933" s="49">
        <f t="shared" si="15"/>
        <v>1995</v>
      </c>
      <c r="C933" s="27" t="s">
        <v>34</v>
      </c>
      <c r="D933" s="27" t="s">
        <v>36</v>
      </c>
      <c r="E933" s="27">
        <v>236</v>
      </c>
    </row>
    <row r="934" spans="1:5" x14ac:dyDescent="0.25">
      <c r="A934" s="26">
        <v>34881</v>
      </c>
      <c r="B934" s="49">
        <f t="shared" si="15"/>
        <v>1995</v>
      </c>
      <c r="C934" s="27" t="s">
        <v>32</v>
      </c>
      <c r="D934" s="27" t="s">
        <v>36</v>
      </c>
      <c r="E934" s="27">
        <v>214</v>
      </c>
    </row>
    <row r="935" spans="1:5" x14ac:dyDescent="0.25">
      <c r="A935" s="26">
        <v>34881</v>
      </c>
      <c r="B935" s="49">
        <f t="shared" si="15"/>
        <v>1995</v>
      </c>
      <c r="C935" s="27" t="s">
        <v>32</v>
      </c>
      <c r="D935" s="27" t="s">
        <v>36</v>
      </c>
      <c r="E935" s="27">
        <v>179</v>
      </c>
    </row>
    <row r="936" spans="1:5" x14ac:dyDescent="0.25">
      <c r="A936" s="26">
        <v>34881</v>
      </c>
      <c r="B936" s="49">
        <f t="shared" si="15"/>
        <v>1995</v>
      </c>
      <c r="C936" s="27" t="s">
        <v>34</v>
      </c>
      <c r="D936" s="27" t="s">
        <v>36</v>
      </c>
      <c r="E936" s="27">
        <v>330</v>
      </c>
    </row>
    <row r="937" spans="1:5" x14ac:dyDescent="0.25">
      <c r="A937" s="26">
        <v>34881</v>
      </c>
      <c r="B937" s="49">
        <f t="shared" si="15"/>
        <v>1995</v>
      </c>
      <c r="C937" s="27" t="s">
        <v>32</v>
      </c>
      <c r="D937" s="27" t="s">
        <v>36</v>
      </c>
      <c r="E937" s="27">
        <v>165</v>
      </c>
    </row>
    <row r="938" spans="1:5" x14ac:dyDescent="0.25">
      <c r="A938" s="26">
        <v>34881</v>
      </c>
      <c r="B938" s="49">
        <f t="shared" si="15"/>
        <v>1995</v>
      </c>
      <c r="C938" s="27" t="s">
        <v>32</v>
      </c>
      <c r="D938" s="27" t="s">
        <v>36</v>
      </c>
      <c r="E938" s="27">
        <v>293</v>
      </c>
    </row>
    <row r="939" spans="1:5" x14ac:dyDescent="0.25">
      <c r="A939" s="26">
        <v>34881</v>
      </c>
      <c r="B939" s="49">
        <f t="shared" si="15"/>
        <v>1995</v>
      </c>
      <c r="C939" s="27" t="s">
        <v>34</v>
      </c>
      <c r="D939" s="27" t="s">
        <v>36</v>
      </c>
      <c r="E939" s="27">
        <v>657</v>
      </c>
    </row>
    <row r="940" spans="1:5" x14ac:dyDescent="0.25">
      <c r="A940" s="26">
        <v>34881</v>
      </c>
      <c r="B940" s="49">
        <f t="shared" si="15"/>
        <v>1995</v>
      </c>
      <c r="C940" s="27" t="s">
        <v>34</v>
      </c>
      <c r="D940" s="27" t="s">
        <v>36</v>
      </c>
      <c r="E940" s="27">
        <v>426</v>
      </c>
    </row>
    <row r="941" spans="1:5" x14ac:dyDescent="0.25">
      <c r="A941" s="26">
        <v>34881</v>
      </c>
      <c r="B941" s="49">
        <f t="shared" si="15"/>
        <v>1995</v>
      </c>
      <c r="C941" s="27" t="s">
        <v>34</v>
      </c>
      <c r="D941" s="27" t="s">
        <v>36</v>
      </c>
      <c r="E941" s="27">
        <v>413</v>
      </c>
    </row>
    <row r="942" spans="1:5" x14ac:dyDescent="0.25">
      <c r="A942" s="26">
        <v>34881</v>
      </c>
      <c r="B942" s="49">
        <f t="shared" si="15"/>
        <v>1995</v>
      </c>
      <c r="C942" s="27" t="s">
        <v>27</v>
      </c>
      <c r="D942" s="27" t="s">
        <v>36</v>
      </c>
      <c r="E942" s="27">
        <v>88</v>
      </c>
    </row>
    <row r="943" spans="1:5" x14ac:dyDescent="0.25">
      <c r="A943" s="26">
        <v>34881</v>
      </c>
      <c r="B943" s="49">
        <f t="shared" si="15"/>
        <v>1995</v>
      </c>
      <c r="C943" s="27" t="s">
        <v>35</v>
      </c>
      <c r="D943" s="27" t="s">
        <v>36</v>
      </c>
      <c r="E943" s="27">
        <v>79</v>
      </c>
    </row>
    <row r="944" spans="1:5" x14ac:dyDescent="0.25">
      <c r="A944" s="26">
        <v>34881</v>
      </c>
      <c r="B944" s="49">
        <f t="shared" si="15"/>
        <v>1995</v>
      </c>
      <c r="C944" s="27" t="s">
        <v>35</v>
      </c>
      <c r="D944" s="27" t="s">
        <v>36</v>
      </c>
      <c r="E944" s="27">
        <v>67</v>
      </c>
    </row>
    <row r="945" spans="1:5" x14ac:dyDescent="0.25">
      <c r="A945" s="26">
        <v>34881</v>
      </c>
      <c r="B945" s="49">
        <f t="shared" si="15"/>
        <v>1995</v>
      </c>
      <c r="C945" s="27" t="s">
        <v>35</v>
      </c>
      <c r="D945" s="27" t="s">
        <v>36</v>
      </c>
      <c r="E945" s="27">
        <v>122</v>
      </c>
    </row>
    <row r="946" spans="1:5" x14ac:dyDescent="0.25">
      <c r="A946" s="26">
        <v>34881</v>
      </c>
      <c r="B946" s="49">
        <f t="shared" si="15"/>
        <v>1995</v>
      </c>
      <c r="C946" s="27" t="s">
        <v>34</v>
      </c>
      <c r="D946" s="27" t="s">
        <v>36</v>
      </c>
      <c r="E946" s="27">
        <v>53</v>
      </c>
    </row>
    <row r="947" spans="1:5" x14ac:dyDescent="0.25">
      <c r="A947" s="26">
        <v>34881</v>
      </c>
      <c r="B947" s="49">
        <f t="shared" si="15"/>
        <v>1995</v>
      </c>
      <c r="C947" s="27" t="s">
        <v>27</v>
      </c>
      <c r="D947" s="27" t="s">
        <v>36</v>
      </c>
      <c r="E947" s="27">
        <v>124</v>
      </c>
    </row>
    <row r="948" spans="1:5" x14ac:dyDescent="0.25">
      <c r="A948" s="26">
        <v>34881</v>
      </c>
      <c r="B948" s="49">
        <f t="shared" si="15"/>
        <v>1995</v>
      </c>
      <c r="C948" s="27" t="s">
        <v>35</v>
      </c>
      <c r="D948" s="27" t="s">
        <v>36</v>
      </c>
      <c r="E948" s="27">
        <v>138</v>
      </c>
    </row>
    <row r="949" spans="1:5" x14ac:dyDescent="0.25">
      <c r="A949" s="26">
        <v>34881</v>
      </c>
      <c r="B949" s="49">
        <f t="shared" si="15"/>
        <v>1995</v>
      </c>
      <c r="C949" s="27" t="s">
        <v>27</v>
      </c>
      <c r="D949" s="27" t="s">
        <v>36</v>
      </c>
      <c r="E949" s="27">
        <v>124</v>
      </c>
    </row>
    <row r="950" spans="1:5" x14ac:dyDescent="0.25">
      <c r="A950" s="26">
        <v>34881</v>
      </c>
      <c r="B950" s="49">
        <f t="shared" si="15"/>
        <v>1995</v>
      </c>
      <c r="C950" s="27" t="s">
        <v>35</v>
      </c>
      <c r="D950" s="27" t="s">
        <v>36</v>
      </c>
      <c r="E950" s="27">
        <v>124</v>
      </c>
    </row>
    <row r="951" spans="1:5" x14ac:dyDescent="0.25">
      <c r="A951" s="26">
        <v>34881</v>
      </c>
      <c r="B951" s="49">
        <f t="shared" si="15"/>
        <v>1995</v>
      </c>
      <c r="C951" s="27" t="s">
        <v>32</v>
      </c>
      <c r="D951" s="27" t="s">
        <v>36</v>
      </c>
      <c r="E951" s="27">
        <v>123</v>
      </c>
    </row>
    <row r="952" spans="1:5" x14ac:dyDescent="0.25">
      <c r="A952" s="26">
        <v>34881</v>
      </c>
      <c r="B952" s="49">
        <f t="shared" si="15"/>
        <v>1995</v>
      </c>
      <c r="C952" s="27" t="s">
        <v>35</v>
      </c>
      <c r="D952" s="27" t="s">
        <v>36</v>
      </c>
      <c r="E952" s="27">
        <v>127</v>
      </c>
    </row>
    <row r="953" spans="1:5" x14ac:dyDescent="0.25">
      <c r="A953" s="26">
        <v>34912</v>
      </c>
      <c r="B953" s="49">
        <f t="shared" si="15"/>
        <v>1995</v>
      </c>
      <c r="C953" s="27" t="s">
        <v>35</v>
      </c>
      <c r="D953" s="27" t="s">
        <v>28</v>
      </c>
      <c r="E953" s="27">
        <v>61</v>
      </c>
    </row>
    <row r="954" spans="1:5" x14ac:dyDescent="0.25">
      <c r="A954" s="26">
        <v>34912</v>
      </c>
      <c r="B954" s="49">
        <f t="shared" si="15"/>
        <v>1995</v>
      </c>
      <c r="C954" s="27" t="s">
        <v>35</v>
      </c>
      <c r="D954" s="27" t="s">
        <v>28</v>
      </c>
      <c r="E954" s="27">
        <v>101</v>
      </c>
    </row>
    <row r="955" spans="1:5" x14ac:dyDescent="0.25">
      <c r="A955" s="26">
        <v>34912</v>
      </c>
      <c r="B955" s="49">
        <f t="shared" si="15"/>
        <v>1995</v>
      </c>
      <c r="C955" s="27" t="s">
        <v>35</v>
      </c>
      <c r="D955" s="27" t="s">
        <v>28</v>
      </c>
      <c r="E955" s="27">
        <v>117</v>
      </c>
    </row>
    <row r="956" spans="1:5" x14ac:dyDescent="0.25">
      <c r="A956" s="26">
        <v>34912</v>
      </c>
      <c r="B956" s="49">
        <f t="shared" si="15"/>
        <v>1995</v>
      </c>
      <c r="C956" s="27" t="s">
        <v>32</v>
      </c>
      <c r="D956" s="27" t="s">
        <v>28</v>
      </c>
      <c r="E956" s="27">
        <v>860</v>
      </c>
    </row>
    <row r="957" spans="1:5" x14ac:dyDescent="0.25">
      <c r="A957" s="26">
        <v>34912</v>
      </c>
      <c r="B957" s="49">
        <f t="shared" si="15"/>
        <v>1995</v>
      </c>
      <c r="C957" s="27" t="s">
        <v>35</v>
      </c>
      <c r="D957" s="27" t="s">
        <v>28</v>
      </c>
      <c r="E957" s="27">
        <v>151</v>
      </c>
    </row>
    <row r="958" spans="1:5" x14ac:dyDescent="0.25">
      <c r="A958" s="26">
        <v>34912</v>
      </c>
      <c r="B958" s="49">
        <f t="shared" si="15"/>
        <v>1995</v>
      </c>
      <c r="C958" s="27" t="s">
        <v>34</v>
      </c>
      <c r="D958" s="27" t="s">
        <v>28</v>
      </c>
      <c r="E958" s="27">
        <v>203</v>
      </c>
    </row>
    <row r="959" spans="1:5" x14ac:dyDescent="0.25">
      <c r="A959" s="26">
        <v>34912</v>
      </c>
      <c r="B959" s="49">
        <f t="shared" si="15"/>
        <v>1995</v>
      </c>
      <c r="C959" s="27" t="s">
        <v>32</v>
      </c>
      <c r="D959" s="27" t="s">
        <v>28</v>
      </c>
      <c r="E959" s="27">
        <v>293</v>
      </c>
    </row>
    <row r="960" spans="1:5" x14ac:dyDescent="0.25">
      <c r="A960" s="26">
        <v>34912</v>
      </c>
      <c r="B960" s="49">
        <f t="shared" si="15"/>
        <v>1995</v>
      </c>
      <c r="C960" s="27" t="s">
        <v>27</v>
      </c>
      <c r="D960" s="27" t="s">
        <v>28</v>
      </c>
      <c r="E960" s="27">
        <v>303</v>
      </c>
    </row>
    <row r="961" spans="1:5" x14ac:dyDescent="0.25">
      <c r="A961" s="26">
        <v>34912</v>
      </c>
      <c r="B961" s="49">
        <f t="shared" si="15"/>
        <v>1995</v>
      </c>
      <c r="C961" s="27" t="s">
        <v>34</v>
      </c>
      <c r="D961" s="27" t="s">
        <v>28</v>
      </c>
      <c r="E961" s="27">
        <v>440</v>
      </c>
    </row>
    <row r="962" spans="1:5" x14ac:dyDescent="0.25">
      <c r="A962" s="26">
        <v>34912</v>
      </c>
      <c r="B962" s="49">
        <f t="shared" si="15"/>
        <v>1995</v>
      </c>
      <c r="C962" s="27" t="s">
        <v>27</v>
      </c>
      <c r="D962" s="27" t="s">
        <v>28</v>
      </c>
      <c r="E962" s="27">
        <v>594</v>
      </c>
    </row>
    <row r="963" spans="1:5" x14ac:dyDescent="0.25">
      <c r="A963" s="26">
        <v>34912</v>
      </c>
      <c r="B963" s="49">
        <f t="shared" ref="B963:B1026" si="16">YEAR(A963)</f>
        <v>1995</v>
      </c>
      <c r="C963" s="27" t="s">
        <v>27</v>
      </c>
      <c r="D963" s="27" t="s">
        <v>28</v>
      </c>
      <c r="E963" s="27">
        <v>618</v>
      </c>
    </row>
    <row r="964" spans="1:5" x14ac:dyDescent="0.25">
      <c r="A964" s="26">
        <v>34912</v>
      </c>
      <c r="B964" s="49">
        <f t="shared" si="16"/>
        <v>1995</v>
      </c>
      <c r="C964" s="27" t="s">
        <v>34</v>
      </c>
      <c r="D964" s="27" t="s">
        <v>28</v>
      </c>
      <c r="E964" s="27">
        <v>813</v>
      </c>
    </row>
    <row r="965" spans="1:5" x14ac:dyDescent="0.25">
      <c r="A965" s="26">
        <v>34912</v>
      </c>
      <c r="B965" s="49">
        <f t="shared" si="16"/>
        <v>1995</v>
      </c>
      <c r="C965" s="27" t="s">
        <v>32</v>
      </c>
      <c r="D965" s="27" t="s">
        <v>28</v>
      </c>
      <c r="E965" s="27">
        <v>1202</v>
      </c>
    </row>
    <row r="966" spans="1:5" x14ac:dyDescent="0.25">
      <c r="A966" s="26">
        <v>34912</v>
      </c>
      <c r="B966" s="49">
        <f t="shared" si="16"/>
        <v>1995</v>
      </c>
      <c r="C966" s="27" t="s">
        <v>34</v>
      </c>
      <c r="D966" s="27" t="s">
        <v>28</v>
      </c>
      <c r="E966" s="27">
        <v>1943</v>
      </c>
    </row>
    <row r="967" spans="1:5" x14ac:dyDescent="0.25">
      <c r="A967" s="26">
        <v>34912</v>
      </c>
      <c r="B967" s="49">
        <f t="shared" si="16"/>
        <v>1995</v>
      </c>
      <c r="C967" s="27" t="s">
        <v>32</v>
      </c>
      <c r="D967" s="27" t="s">
        <v>28</v>
      </c>
      <c r="E967" s="27">
        <v>138</v>
      </c>
    </row>
    <row r="968" spans="1:5" x14ac:dyDescent="0.25">
      <c r="A968" s="26">
        <v>34912</v>
      </c>
      <c r="B968" s="49">
        <f t="shared" si="16"/>
        <v>1995</v>
      </c>
      <c r="C968" s="27" t="s">
        <v>27</v>
      </c>
      <c r="D968" s="27" t="s">
        <v>28</v>
      </c>
      <c r="E968" s="27">
        <v>689</v>
      </c>
    </row>
    <row r="969" spans="1:5" x14ac:dyDescent="0.25">
      <c r="A969" s="26">
        <v>34912</v>
      </c>
      <c r="B969" s="49">
        <f t="shared" si="16"/>
        <v>1995</v>
      </c>
      <c r="C969" s="27" t="s">
        <v>35</v>
      </c>
      <c r="D969" s="27" t="s">
        <v>29</v>
      </c>
      <c r="E969" s="27">
        <v>50</v>
      </c>
    </row>
    <row r="970" spans="1:5" x14ac:dyDescent="0.25">
      <c r="A970" s="26">
        <v>34912</v>
      </c>
      <c r="B970" s="49">
        <f t="shared" si="16"/>
        <v>1995</v>
      </c>
      <c r="C970" s="27" t="s">
        <v>35</v>
      </c>
      <c r="D970" s="27" t="s">
        <v>29</v>
      </c>
      <c r="E970" s="27">
        <v>67</v>
      </c>
    </row>
    <row r="971" spans="1:5" x14ac:dyDescent="0.25">
      <c r="A971" s="26">
        <v>34912</v>
      </c>
      <c r="B971" s="49">
        <f t="shared" si="16"/>
        <v>1995</v>
      </c>
      <c r="C971" s="27" t="s">
        <v>32</v>
      </c>
      <c r="D971" s="27" t="s">
        <v>29</v>
      </c>
      <c r="E971" s="27">
        <v>70</v>
      </c>
    </row>
    <row r="972" spans="1:5" x14ac:dyDescent="0.25">
      <c r="A972" s="26">
        <v>34912</v>
      </c>
      <c r="B972" s="49">
        <f t="shared" si="16"/>
        <v>1995</v>
      </c>
      <c r="C972" s="27" t="s">
        <v>27</v>
      </c>
      <c r="D972" s="27" t="s">
        <v>29</v>
      </c>
      <c r="E972" s="27">
        <v>368</v>
      </c>
    </row>
    <row r="973" spans="1:5" x14ac:dyDescent="0.25">
      <c r="A973" s="26">
        <v>34912</v>
      </c>
      <c r="B973" s="49">
        <f t="shared" si="16"/>
        <v>1995</v>
      </c>
      <c r="C973" s="27" t="s">
        <v>35</v>
      </c>
      <c r="D973" s="27" t="s">
        <v>29</v>
      </c>
      <c r="E973" s="27">
        <v>146</v>
      </c>
    </row>
    <row r="974" spans="1:5" x14ac:dyDescent="0.25">
      <c r="A974" s="26">
        <v>34912</v>
      </c>
      <c r="B974" s="49">
        <f t="shared" si="16"/>
        <v>1995</v>
      </c>
      <c r="C974" s="27" t="s">
        <v>32</v>
      </c>
      <c r="D974" s="27" t="s">
        <v>29</v>
      </c>
      <c r="E974" s="27">
        <v>180</v>
      </c>
    </row>
    <row r="975" spans="1:5" x14ac:dyDescent="0.25">
      <c r="A975" s="26">
        <v>34912</v>
      </c>
      <c r="B975" s="49">
        <f t="shared" si="16"/>
        <v>1995</v>
      </c>
      <c r="C975" s="27" t="s">
        <v>34</v>
      </c>
      <c r="D975" s="27" t="s">
        <v>29</v>
      </c>
      <c r="E975" s="27">
        <v>270</v>
      </c>
    </row>
    <row r="976" spans="1:5" x14ac:dyDescent="0.25">
      <c r="A976" s="26">
        <v>34912</v>
      </c>
      <c r="B976" s="49">
        <f t="shared" si="16"/>
        <v>1995</v>
      </c>
      <c r="C976" s="27" t="s">
        <v>27</v>
      </c>
      <c r="D976" s="27" t="s">
        <v>29</v>
      </c>
      <c r="E976" s="27">
        <v>279</v>
      </c>
    </row>
    <row r="977" spans="1:5" x14ac:dyDescent="0.25">
      <c r="A977" s="26">
        <v>34912</v>
      </c>
      <c r="B977" s="49">
        <f t="shared" si="16"/>
        <v>1995</v>
      </c>
      <c r="C977" s="27" t="s">
        <v>35</v>
      </c>
      <c r="D977" s="27" t="s">
        <v>29</v>
      </c>
      <c r="E977" s="27">
        <v>114</v>
      </c>
    </row>
    <row r="978" spans="1:5" x14ac:dyDescent="0.25">
      <c r="A978" s="26">
        <v>34912</v>
      </c>
      <c r="B978" s="49">
        <f t="shared" si="16"/>
        <v>1995</v>
      </c>
      <c r="C978" s="27" t="s">
        <v>34</v>
      </c>
      <c r="D978" s="27" t="s">
        <v>29</v>
      </c>
      <c r="E978" s="27">
        <v>420</v>
      </c>
    </row>
    <row r="979" spans="1:5" x14ac:dyDescent="0.25">
      <c r="A979" s="26">
        <v>34912</v>
      </c>
      <c r="B979" s="49">
        <f t="shared" si="16"/>
        <v>1995</v>
      </c>
      <c r="C979" s="27" t="s">
        <v>34</v>
      </c>
      <c r="D979" s="27" t="s">
        <v>29</v>
      </c>
      <c r="E979" s="27">
        <v>459</v>
      </c>
    </row>
    <row r="980" spans="1:5" x14ac:dyDescent="0.25">
      <c r="A980" s="26">
        <v>34912</v>
      </c>
      <c r="B980" s="49">
        <f t="shared" si="16"/>
        <v>1995</v>
      </c>
      <c r="C980" s="27" t="s">
        <v>34</v>
      </c>
      <c r="D980" s="27" t="s">
        <v>29</v>
      </c>
      <c r="E980" s="27">
        <v>557</v>
      </c>
    </row>
    <row r="981" spans="1:5" x14ac:dyDescent="0.25">
      <c r="A981" s="26">
        <v>34912</v>
      </c>
      <c r="B981" s="49">
        <f t="shared" si="16"/>
        <v>1995</v>
      </c>
      <c r="C981" s="27" t="s">
        <v>32</v>
      </c>
      <c r="D981" s="27" t="s">
        <v>29</v>
      </c>
      <c r="E981" s="27">
        <v>604</v>
      </c>
    </row>
    <row r="982" spans="1:5" x14ac:dyDescent="0.25">
      <c r="A982" s="26">
        <v>34912</v>
      </c>
      <c r="B982" s="49">
        <f t="shared" si="16"/>
        <v>1995</v>
      </c>
      <c r="C982" s="27" t="s">
        <v>32</v>
      </c>
      <c r="D982" s="27" t="s">
        <v>29</v>
      </c>
      <c r="E982" s="27">
        <v>834</v>
      </c>
    </row>
    <row r="983" spans="1:5" x14ac:dyDescent="0.25">
      <c r="A983" s="26">
        <v>34912</v>
      </c>
      <c r="B983" s="49">
        <f t="shared" si="16"/>
        <v>1995</v>
      </c>
      <c r="C983" s="27" t="s">
        <v>27</v>
      </c>
      <c r="D983" s="27" t="s">
        <v>29</v>
      </c>
      <c r="E983" s="27">
        <v>836</v>
      </c>
    </row>
    <row r="984" spans="1:5" x14ac:dyDescent="0.25">
      <c r="A984" s="26">
        <v>34912</v>
      </c>
      <c r="B984" s="49">
        <f t="shared" si="16"/>
        <v>1995</v>
      </c>
      <c r="C984" s="27" t="s">
        <v>27</v>
      </c>
      <c r="D984" s="27" t="s">
        <v>29</v>
      </c>
      <c r="E984" s="27">
        <v>862</v>
      </c>
    </row>
    <row r="985" spans="1:5" x14ac:dyDescent="0.25">
      <c r="A985" s="26">
        <v>34912</v>
      </c>
      <c r="B985" s="49">
        <f t="shared" si="16"/>
        <v>1995</v>
      </c>
      <c r="C985" s="27" t="s">
        <v>32</v>
      </c>
      <c r="D985" s="27" t="s">
        <v>30</v>
      </c>
      <c r="E985" s="27">
        <v>45</v>
      </c>
    </row>
    <row r="986" spans="1:5" x14ac:dyDescent="0.25">
      <c r="A986" s="26">
        <v>34912</v>
      </c>
      <c r="B986" s="49">
        <f t="shared" si="16"/>
        <v>1995</v>
      </c>
      <c r="C986" s="27" t="s">
        <v>27</v>
      </c>
      <c r="D986" s="27" t="s">
        <v>30</v>
      </c>
      <c r="E986" s="27">
        <v>42</v>
      </c>
    </row>
    <row r="987" spans="1:5" x14ac:dyDescent="0.25">
      <c r="A987" s="26">
        <v>34912</v>
      </c>
      <c r="B987" s="49">
        <f t="shared" si="16"/>
        <v>1995</v>
      </c>
      <c r="C987" s="27" t="s">
        <v>32</v>
      </c>
      <c r="D987" s="27" t="s">
        <v>30</v>
      </c>
      <c r="E987" s="27">
        <v>140</v>
      </c>
    </row>
    <row r="988" spans="1:5" x14ac:dyDescent="0.25">
      <c r="A988" s="26">
        <v>34912</v>
      </c>
      <c r="B988" s="49">
        <f t="shared" si="16"/>
        <v>1995</v>
      </c>
      <c r="C988" s="27" t="s">
        <v>27</v>
      </c>
      <c r="D988" s="27" t="s">
        <v>30</v>
      </c>
      <c r="E988" s="27">
        <v>1477</v>
      </c>
    </row>
    <row r="989" spans="1:5" x14ac:dyDescent="0.25">
      <c r="A989" s="26">
        <v>34912</v>
      </c>
      <c r="B989" s="49">
        <f t="shared" si="16"/>
        <v>1995</v>
      </c>
      <c r="C989" s="27" t="s">
        <v>27</v>
      </c>
      <c r="D989" s="27" t="s">
        <v>30</v>
      </c>
      <c r="E989" s="27">
        <v>2207</v>
      </c>
    </row>
    <row r="990" spans="1:5" x14ac:dyDescent="0.25">
      <c r="A990" s="26">
        <v>34912</v>
      </c>
      <c r="B990" s="49">
        <f t="shared" si="16"/>
        <v>1995</v>
      </c>
      <c r="C990" s="27" t="s">
        <v>32</v>
      </c>
      <c r="D990" s="27" t="s">
        <v>30</v>
      </c>
      <c r="E990" s="27">
        <v>90</v>
      </c>
    </row>
    <row r="991" spans="1:5" x14ac:dyDescent="0.25">
      <c r="A991" s="26">
        <v>34912</v>
      </c>
      <c r="B991" s="49">
        <f t="shared" si="16"/>
        <v>1995</v>
      </c>
      <c r="C991" s="27" t="s">
        <v>27</v>
      </c>
      <c r="D991" s="27" t="s">
        <v>30</v>
      </c>
      <c r="E991" s="27">
        <v>126</v>
      </c>
    </row>
    <row r="992" spans="1:5" x14ac:dyDescent="0.25">
      <c r="A992" s="26">
        <v>34912</v>
      </c>
      <c r="B992" s="49">
        <f t="shared" si="16"/>
        <v>1995</v>
      </c>
      <c r="C992" s="27" t="s">
        <v>32</v>
      </c>
      <c r="D992" s="27" t="s">
        <v>30</v>
      </c>
      <c r="E992" s="27">
        <v>206</v>
      </c>
    </row>
    <row r="993" spans="1:5" x14ac:dyDescent="0.25">
      <c r="A993" s="26">
        <v>34912</v>
      </c>
      <c r="B993" s="49">
        <f t="shared" si="16"/>
        <v>1995</v>
      </c>
      <c r="C993" s="27" t="s">
        <v>27</v>
      </c>
      <c r="D993" s="27" t="s">
        <v>30</v>
      </c>
      <c r="E993" s="27">
        <v>68</v>
      </c>
    </row>
    <row r="994" spans="1:5" x14ac:dyDescent="0.25">
      <c r="A994" s="26">
        <v>34912</v>
      </c>
      <c r="B994" s="49">
        <f t="shared" si="16"/>
        <v>1995</v>
      </c>
      <c r="C994" s="27" t="s">
        <v>27</v>
      </c>
      <c r="D994" s="27" t="s">
        <v>30</v>
      </c>
      <c r="E994" s="27">
        <v>66</v>
      </c>
    </row>
    <row r="995" spans="1:5" x14ac:dyDescent="0.25">
      <c r="A995" s="26">
        <v>34912</v>
      </c>
      <c r="B995" s="49">
        <f t="shared" si="16"/>
        <v>1995</v>
      </c>
      <c r="C995" s="27" t="s">
        <v>32</v>
      </c>
      <c r="D995" s="27" t="s">
        <v>30</v>
      </c>
      <c r="E995" s="27">
        <v>158</v>
      </c>
    </row>
    <row r="996" spans="1:5" x14ac:dyDescent="0.25">
      <c r="A996" s="26">
        <v>34912</v>
      </c>
      <c r="B996" s="49">
        <f t="shared" si="16"/>
        <v>1995</v>
      </c>
      <c r="C996" s="27" t="s">
        <v>32</v>
      </c>
      <c r="D996" s="27" t="s">
        <v>30</v>
      </c>
      <c r="E996" s="27">
        <v>832</v>
      </c>
    </row>
    <row r="997" spans="1:5" x14ac:dyDescent="0.25">
      <c r="A997" s="26">
        <v>34912</v>
      </c>
      <c r="B997" s="49">
        <f t="shared" si="16"/>
        <v>1995</v>
      </c>
      <c r="C997" s="27" t="s">
        <v>34</v>
      </c>
      <c r="D997" s="27" t="s">
        <v>31</v>
      </c>
      <c r="E997" s="27">
        <v>184</v>
      </c>
    </row>
    <row r="998" spans="1:5" x14ac:dyDescent="0.25">
      <c r="A998" s="26">
        <v>34912</v>
      </c>
      <c r="B998" s="49">
        <f t="shared" si="16"/>
        <v>1995</v>
      </c>
      <c r="C998" s="27" t="s">
        <v>27</v>
      </c>
      <c r="D998" s="27" t="s">
        <v>31</v>
      </c>
      <c r="E998" s="27">
        <v>88</v>
      </c>
    </row>
    <row r="999" spans="1:5" x14ac:dyDescent="0.25">
      <c r="A999" s="26">
        <v>34912</v>
      </c>
      <c r="B999" s="49">
        <f t="shared" si="16"/>
        <v>1995</v>
      </c>
      <c r="C999" s="27" t="s">
        <v>27</v>
      </c>
      <c r="D999" s="27" t="s">
        <v>31</v>
      </c>
      <c r="E999" s="27">
        <v>45</v>
      </c>
    </row>
    <row r="1000" spans="1:5" x14ac:dyDescent="0.25">
      <c r="A1000" s="26">
        <v>34912</v>
      </c>
      <c r="B1000" s="49">
        <f t="shared" si="16"/>
        <v>1995</v>
      </c>
      <c r="C1000" s="27" t="s">
        <v>35</v>
      </c>
      <c r="D1000" s="27" t="s">
        <v>31</v>
      </c>
      <c r="E1000" s="27">
        <v>53</v>
      </c>
    </row>
    <row r="1001" spans="1:5" x14ac:dyDescent="0.25">
      <c r="A1001" s="26">
        <v>34912</v>
      </c>
      <c r="B1001" s="49">
        <f t="shared" si="16"/>
        <v>1995</v>
      </c>
      <c r="C1001" s="27" t="s">
        <v>35</v>
      </c>
      <c r="D1001" s="27" t="s">
        <v>31</v>
      </c>
      <c r="E1001" s="27">
        <v>86</v>
      </c>
    </row>
    <row r="1002" spans="1:5" x14ac:dyDescent="0.25">
      <c r="A1002" s="26">
        <v>34912</v>
      </c>
      <c r="B1002" s="49">
        <f t="shared" si="16"/>
        <v>1995</v>
      </c>
      <c r="C1002" s="27" t="s">
        <v>35</v>
      </c>
      <c r="D1002" s="27" t="s">
        <v>31</v>
      </c>
      <c r="E1002" s="27">
        <v>113</v>
      </c>
    </row>
    <row r="1003" spans="1:5" x14ac:dyDescent="0.25">
      <c r="A1003" s="26">
        <v>34912</v>
      </c>
      <c r="B1003" s="49">
        <f t="shared" si="16"/>
        <v>1995</v>
      </c>
      <c r="C1003" s="27" t="s">
        <v>35</v>
      </c>
      <c r="D1003" s="27" t="s">
        <v>31</v>
      </c>
      <c r="E1003" s="27">
        <v>96</v>
      </c>
    </row>
    <row r="1004" spans="1:5" x14ac:dyDescent="0.25">
      <c r="A1004" s="26">
        <v>34912</v>
      </c>
      <c r="B1004" s="49">
        <f t="shared" si="16"/>
        <v>1995</v>
      </c>
      <c r="C1004" s="27" t="s">
        <v>34</v>
      </c>
      <c r="D1004" s="27" t="s">
        <v>31</v>
      </c>
      <c r="E1004" s="27">
        <v>688</v>
      </c>
    </row>
    <row r="1005" spans="1:5" x14ac:dyDescent="0.25">
      <c r="A1005" s="26">
        <v>34912</v>
      </c>
      <c r="B1005" s="49">
        <f t="shared" si="16"/>
        <v>1995</v>
      </c>
      <c r="C1005" s="27" t="s">
        <v>32</v>
      </c>
      <c r="D1005" s="27" t="s">
        <v>31</v>
      </c>
      <c r="E1005" s="27">
        <v>525</v>
      </c>
    </row>
    <row r="1006" spans="1:5" x14ac:dyDescent="0.25">
      <c r="A1006" s="26">
        <v>34912</v>
      </c>
      <c r="B1006" s="49">
        <f t="shared" si="16"/>
        <v>1995</v>
      </c>
      <c r="C1006" s="27" t="s">
        <v>32</v>
      </c>
      <c r="D1006" s="27" t="s">
        <v>31</v>
      </c>
      <c r="E1006" s="27">
        <v>349</v>
      </c>
    </row>
    <row r="1007" spans="1:5" x14ac:dyDescent="0.25">
      <c r="A1007" s="26">
        <v>34912</v>
      </c>
      <c r="B1007" s="49">
        <f t="shared" si="16"/>
        <v>1995</v>
      </c>
      <c r="C1007" s="27" t="s">
        <v>32</v>
      </c>
      <c r="D1007" s="27" t="s">
        <v>31</v>
      </c>
      <c r="E1007" s="27">
        <v>1560</v>
      </c>
    </row>
    <row r="1008" spans="1:5" x14ac:dyDescent="0.25">
      <c r="A1008" s="26">
        <v>34912</v>
      </c>
      <c r="B1008" s="49">
        <f t="shared" si="16"/>
        <v>1995</v>
      </c>
      <c r="C1008" s="27" t="s">
        <v>27</v>
      </c>
      <c r="D1008" s="27" t="s">
        <v>31</v>
      </c>
      <c r="E1008" s="27">
        <v>1039</v>
      </c>
    </row>
    <row r="1009" spans="1:5" x14ac:dyDescent="0.25">
      <c r="A1009" s="26">
        <v>34912</v>
      </c>
      <c r="B1009" s="49">
        <f t="shared" si="16"/>
        <v>1995</v>
      </c>
      <c r="C1009" s="27" t="s">
        <v>32</v>
      </c>
      <c r="D1009" s="27" t="s">
        <v>31</v>
      </c>
      <c r="E1009" s="27">
        <v>1031</v>
      </c>
    </row>
    <row r="1010" spans="1:5" x14ac:dyDescent="0.25">
      <c r="A1010" s="26">
        <v>34912</v>
      </c>
      <c r="B1010" s="49">
        <f t="shared" si="16"/>
        <v>1995</v>
      </c>
      <c r="C1010" s="27" t="s">
        <v>34</v>
      </c>
      <c r="D1010" s="27" t="s">
        <v>31</v>
      </c>
      <c r="E1010" s="27">
        <v>263</v>
      </c>
    </row>
    <row r="1011" spans="1:5" x14ac:dyDescent="0.25">
      <c r="A1011" s="26">
        <v>34912</v>
      </c>
      <c r="B1011" s="49">
        <f t="shared" si="16"/>
        <v>1995</v>
      </c>
      <c r="C1011" s="27" t="s">
        <v>34</v>
      </c>
      <c r="D1011" s="27" t="s">
        <v>31</v>
      </c>
      <c r="E1011" s="27">
        <v>203</v>
      </c>
    </row>
    <row r="1012" spans="1:5" x14ac:dyDescent="0.25">
      <c r="A1012" s="26">
        <v>34912</v>
      </c>
      <c r="B1012" s="49">
        <f t="shared" si="16"/>
        <v>1995</v>
      </c>
      <c r="C1012" s="27" t="s">
        <v>27</v>
      </c>
      <c r="D1012" s="27" t="s">
        <v>31</v>
      </c>
      <c r="E1012" s="27">
        <v>293</v>
      </c>
    </row>
    <row r="1013" spans="1:5" x14ac:dyDescent="0.25">
      <c r="A1013" s="26">
        <v>34912</v>
      </c>
      <c r="B1013" s="49">
        <f t="shared" si="16"/>
        <v>1995</v>
      </c>
      <c r="C1013" s="27" t="s">
        <v>35</v>
      </c>
      <c r="D1013" s="27" t="s">
        <v>33</v>
      </c>
      <c r="E1013" s="27">
        <v>61</v>
      </c>
    </row>
    <row r="1014" spans="1:5" x14ac:dyDescent="0.25">
      <c r="A1014" s="26">
        <v>34912</v>
      </c>
      <c r="B1014" s="49">
        <f t="shared" si="16"/>
        <v>1995</v>
      </c>
      <c r="C1014" s="27" t="s">
        <v>35</v>
      </c>
      <c r="D1014" s="27" t="s">
        <v>33</v>
      </c>
      <c r="E1014" s="27">
        <v>49</v>
      </c>
    </row>
    <row r="1015" spans="1:5" x14ac:dyDescent="0.25">
      <c r="A1015" s="26">
        <v>34912</v>
      </c>
      <c r="B1015" s="49">
        <f t="shared" si="16"/>
        <v>1995</v>
      </c>
      <c r="C1015" s="27" t="s">
        <v>32</v>
      </c>
      <c r="D1015" s="27" t="s">
        <v>33</v>
      </c>
      <c r="E1015" s="27">
        <v>360</v>
      </c>
    </row>
    <row r="1016" spans="1:5" x14ac:dyDescent="0.25">
      <c r="A1016" s="26">
        <v>34912</v>
      </c>
      <c r="B1016" s="49">
        <f t="shared" si="16"/>
        <v>1995</v>
      </c>
      <c r="C1016" s="27" t="s">
        <v>27</v>
      </c>
      <c r="D1016" s="27" t="s">
        <v>33</v>
      </c>
      <c r="E1016" s="27">
        <v>44</v>
      </c>
    </row>
    <row r="1017" spans="1:5" x14ac:dyDescent="0.25">
      <c r="A1017" s="26">
        <v>34912</v>
      </c>
      <c r="B1017" s="49">
        <f t="shared" si="16"/>
        <v>1995</v>
      </c>
      <c r="C1017" s="27" t="s">
        <v>32</v>
      </c>
      <c r="D1017" s="27" t="s">
        <v>33</v>
      </c>
      <c r="E1017" s="27">
        <v>863</v>
      </c>
    </row>
    <row r="1018" spans="1:5" x14ac:dyDescent="0.25">
      <c r="A1018" s="26">
        <v>34912</v>
      </c>
      <c r="B1018" s="49">
        <f t="shared" si="16"/>
        <v>1995</v>
      </c>
      <c r="C1018" s="27" t="s">
        <v>34</v>
      </c>
      <c r="D1018" s="27" t="s">
        <v>33</v>
      </c>
      <c r="E1018" s="27">
        <v>50</v>
      </c>
    </row>
    <row r="1019" spans="1:5" x14ac:dyDescent="0.25">
      <c r="A1019" s="26">
        <v>34912</v>
      </c>
      <c r="B1019" s="49">
        <f t="shared" si="16"/>
        <v>1995</v>
      </c>
      <c r="C1019" s="27" t="s">
        <v>34</v>
      </c>
      <c r="D1019" s="27" t="s">
        <v>33</v>
      </c>
      <c r="E1019" s="27">
        <v>56</v>
      </c>
    </row>
    <row r="1020" spans="1:5" x14ac:dyDescent="0.25">
      <c r="A1020" s="26">
        <v>34912</v>
      </c>
      <c r="B1020" s="49">
        <f t="shared" si="16"/>
        <v>1995</v>
      </c>
      <c r="C1020" s="27" t="s">
        <v>27</v>
      </c>
      <c r="D1020" s="27" t="s">
        <v>33</v>
      </c>
      <c r="E1020" s="27">
        <v>56</v>
      </c>
    </row>
    <row r="1021" spans="1:5" x14ac:dyDescent="0.25">
      <c r="A1021" s="26">
        <v>34912</v>
      </c>
      <c r="B1021" s="49">
        <f t="shared" si="16"/>
        <v>1995</v>
      </c>
      <c r="C1021" s="27" t="s">
        <v>32</v>
      </c>
      <c r="D1021" s="27" t="s">
        <v>33</v>
      </c>
      <c r="E1021" s="27">
        <v>221</v>
      </c>
    </row>
    <row r="1022" spans="1:5" x14ac:dyDescent="0.25">
      <c r="A1022" s="26">
        <v>34912</v>
      </c>
      <c r="B1022" s="49">
        <f t="shared" si="16"/>
        <v>1995</v>
      </c>
      <c r="C1022" s="27" t="s">
        <v>35</v>
      </c>
      <c r="D1022" s="27" t="s">
        <v>33</v>
      </c>
      <c r="E1022" s="27">
        <v>90</v>
      </c>
    </row>
    <row r="1023" spans="1:5" x14ac:dyDescent="0.25">
      <c r="A1023" s="26">
        <v>34912</v>
      </c>
      <c r="B1023" s="49">
        <f t="shared" si="16"/>
        <v>1995</v>
      </c>
      <c r="C1023" s="27" t="s">
        <v>35</v>
      </c>
      <c r="D1023" s="27" t="s">
        <v>33</v>
      </c>
      <c r="E1023" s="27">
        <v>23</v>
      </c>
    </row>
    <row r="1024" spans="1:5" x14ac:dyDescent="0.25">
      <c r="A1024" s="26">
        <v>34912</v>
      </c>
      <c r="B1024" s="49">
        <f t="shared" si="16"/>
        <v>1995</v>
      </c>
      <c r="C1024" s="27" t="s">
        <v>32</v>
      </c>
      <c r="D1024" s="27" t="s">
        <v>33</v>
      </c>
      <c r="E1024" s="27">
        <v>1850</v>
      </c>
    </row>
    <row r="1025" spans="1:5" x14ac:dyDescent="0.25">
      <c r="A1025" s="26">
        <v>34912</v>
      </c>
      <c r="B1025" s="49">
        <f t="shared" si="16"/>
        <v>1995</v>
      </c>
      <c r="C1025" s="27" t="s">
        <v>27</v>
      </c>
      <c r="D1025" s="27" t="s">
        <v>33</v>
      </c>
      <c r="E1025" s="27">
        <v>1787</v>
      </c>
    </row>
    <row r="1026" spans="1:5" x14ac:dyDescent="0.25">
      <c r="A1026" s="26">
        <v>34912</v>
      </c>
      <c r="B1026" s="49">
        <f t="shared" si="16"/>
        <v>1995</v>
      </c>
      <c r="C1026" s="27" t="s">
        <v>34</v>
      </c>
      <c r="D1026" s="27" t="s">
        <v>33</v>
      </c>
      <c r="E1026" s="27">
        <v>1741</v>
      </c>
    </row>
    <row r="1027" spans="1:5" x14ac:dyDescent="0.25">
      <c r="A1027" s="26">
        <v>34912</v>
      </c>
      <c r="B1027" s="49">
        <f t="shared" ref="B1027:B1090" si="17">YEAR(A1027)</f>
        <v>1995</v>
      </c>
      <c r="C1027" s="27" t="s">
        <v>34</v>
      </c>
      <c r="D1027" s="27" t="s">
        <v>33</v>
      </c>
      <c r="E1027" s="27">
        <v>1041</v>
      </c>
    </row>
    <row r="1028" spans="1:5" x14ac:dyDescent="0.25">
      <c r="A1028" s="26">
        <v>34912</v>
      </c>
      <c r="B1028" s="49">
        <f t="shared" si="17"/>
        <v>1995</v>
      </c>
      <c r="C1028" s="27" t="s">
        <v>27</v>
      </c>
      <c r="D1028" s="27" t="s">
        <v>33</v>
      </c>
      <c r="E1028" s="27">
        <v>936</v>
      </c>
    </row>
    <row r="1029" spans="1:5" x14ac:dyDescent="0.25">
      <c r="A1029" s="26">
        <v>34912</v>
      </c>
      <c r="B1029" s="49">
        <f t="shared" si="17"/>
        <v>1995</v>
      </c>
      <c r="C1029" s="27" t="s">
        <v>34</v>
      </c>
      <c r="D1029" s="27" t="s">
        <v>36</v>
      </c>
      <c r="E1029" s="27">
        <v>639</v>
      </c>
    </row>
    <row r="1030" spans="1:5" x14ac:dyDescent="0.25">
      <c r="A1030" s="26">
        <v>34912</v>
      </c>
      <c r="B1030" s="49">
        <f t="shared" si="17"/>
        <v>1995</v>
      </c>
      <c r="C1030" s="27" t="s">
        <v>32</v>
      </c>
      <c r="D1030" s="27" t="s">
        <v>36</v>
      </c>
      <c r="E1030" s="27">
        <v>214</v>
      </c>
    </row>
    <row r="1031" spans="1:5" x14ac:dyDescent="0.25">
      <c r="A1031" s="26">
        <v>34912</v>
      </c>
      <c r="B1031" s="49">
        <f t="shared" si="17"/>
        <v>1995</v>
      </c>
      <c r="C1031" s="27" t="s">
        <v>32</v>
      </c>
      <c r="D1031" s="27" t="s">
        <v>36</v>
      </c>
      <c r="E1031" s="27">
        <v>193</v>
      </c>
    </row>
    <row r="1032" spans="1:5" x14ac:dyDescent="0.25">
      <c r="A1032" s="26">
        <v>34912</v>
      </c>
      <c r="B1032" s="49">
        <f t="shared" si="17"/>
        <v>1995</v>
      </c>
      <c r="C1032" s="27" t="s">
        <v>34</v>
      </c>
      <c r="D1032" s="27" t="s">
        <v>36</v>
      </c>
      <c r="E1032" s="27">
        <v>236</v>
      </c>
    </row>
    <row r="1033" spans="1:5" x14ac:dyDescent="0.25">
      <c r="A1033" s="26">
        <v>34912</v>
      </c>
      <c r="B1033" s="49">
        <f t="shared" si="17"/>
        <v>1995</v>
      </c>
      <c r="C1033" s="27" t="s">
        <v>34</v>
      </c>
      <c r="D1033" s="27" t="s">
        <v>36</v>
      </c>
      <c r="E1033" s="27">
        <v>165</v>
      </c>
    </row>
    <row r="1034" spans="1:5" x14ac:dyDescent="0.25">
      <c r="A1034" s="26">
        <v>34912</v>
      </c>
      <c r="B1034" s="49">
        <f t="shared" si="17"/>
        <v>1995</v>
      </c>
      <c r="C1034" s="27" t="s">
        <v>32</v>
      </c>
      <c r="D1034" s="27" t="s">
        <v>36</v>
      </c>
      <c r="E1034" s="27">
        <v>151</v>
      </c>
    </row>
    <row r="1035" spans="1:5" x14ac:dyDescent="0.25">
      <c r="A1035" s="26">
        <v>34912</v>
      </c>
      <c r="B1035" s="49">
        <f t="shared" si="17"/>
        <v>1995</v>
      </c>
      <c r="C1035" s="27" t="s">
        <v>27</v>
      </c>
      <c r="D1035" s="27" t="s">
        <v>36</v>
      </c>
      <c r="E1035" s="27">
        <v>135</v>
      </c>
    </row>
    <row r="1036" spans="1:5" x14ac:dyDescent="0.25">
      <c r="A1036" s="26">
        <v>34912</v>
      </c>
      <c r="B1036" s="49">
        <f t="shared" si="17"/>
        <v>1995</v>
      </c>
      <c r="C1036" s="27" t="s">
        <v>35</v>
      </c>
      <c r="D1036" s="27" t="s">
        <v>36</v>
      </c>
      <c r="E1036" s="27">
        <v>124</v>
      </c>
    </row>
    <row r="1037" spans="1:5" x14ac:dyDescent="0.25">
      <c r="A1037" s="26">
        <v>34912</v>
      </c>
      <c r="B1037" s="49">
        <f t="shared" si="17"/>
        <v>1995</v>
      </c>
      <c r="C1037" s="27" t="s">
        <v>32</v>
      </c>
      <c r="D1037" s="27" t="s">
        <v>36</v>
      </c>
      <c r="E1037" s="27">
        <v>123</v>
      </c>
    </row>
    <row r="1038" spans="1:5" x14ac:dyDescent="0.25">
      <c r="A1038" s="26">
        <v>34912</v>
      </c>
      <c r="B1038" s="49">
        <f t="shared" si="17"/>
        <v>1995</v>
      </c>
      <c r="C1038" s="27" t="s">
        <v>34</v>
      </c>
      <c r="D1038" s="27" t="s">
        <v>36</v>
      </c>
      <c r="E1038" s="27">
        <v>338</v>
      </c>
    </row>
    <row r="1039" spans="1:5" x14ac:dyDescent="0.25">
      <c r="A1039" s="26">
        <v>34912</v>
      </c>
      <c r="B1039" s="49">
        <f t="shared" si="17"/>
        <v>1995</v>
      </c>
      <c r="C1039" s="27" t="s">
        <v>34</v>
      </c>
      <c r="D1039" s="27" t="s">
        <v>36</v>
      </c>
      <c r="E1039" s="27">
        <v>330</v>
      </c>
    </row>
    <row r="1040" spans="1:5" x14ac:dyDescent="0.25">
      <c r="A1040" s="26">
        <v>34912</v>
      </c>
      <c r="B1040" s="49">
        <f t="shared" si="17"/>
        <v>1995</v>
      </c>
      <c r="C1040" s="27" t="s">
        <v>32</v>
      </c>
      <c r="D1040" s="27" t="s">
        <v>36</v>
      </c>
      <c r="E1040" s="27">
        <v>315</v>
      </c>
    </row>
    <row r="1041" spans="1:5" x14ac:dyDescent="0.25">
      <c r="A1041" s="26">
        <v>34912</v>
      </c>
      <c r="B1041" s="49">
        <f t="shared" si="17"/>
        <v>1995</v>
      </c>
      <c r="C1041" s="27" t="s">
        <v>27</v>
      </c>
      <c r="D1041" s="27" t="s">
        <v>36</v>
      </c>
      <c r="E1041" s="27">
        <v>23</v>
      </c>
    </row>
    <row r="1042" spans="1:5" x14ac:dyDescent="0.25">
      <c r="A1042" s="26">
        <v>34912</v>
      </c>
      <c r="B1042" s="49">
        <f t="shared" si="17"/>
        <v>1995</v>
      </c>
      <c r="C1042" s="27" t="s">
        <v>27</v>
      </c>
      <c r="D1042" s="27" t="s">
        <v>36</v>
      </c>
      <c r="E1042" s="27">
        <v>32</v>
      </c>
    </row>
    <row r="1043" spans="1:5" x14ac:dyDescent="0.25">
      <c r="A1043" s="26">
        <v>34912</v>
      </c>
      <c r="B1043" s="49">
        <f t="shared" si="17"/>
        <v>1995</v>
      </c>
      <c r="C1043" s="27" t="s">
        <v>27</v>
      </c>
      <c r="D1043" s="27" t="s">
        <v>36</v>
      </c>
      <c r="E1043" s="27">
        <v>44</v>
      </c>
    </row>
    <row r="1044" spans="1:5" x14ac:dyDescent="0.25">
      <c r="A1044" s="26">
        <v>34912</v>
      </c>
      <c r="B1044" s="49">
        <f t="shared" si="17"/>
        <v>1995</v>
      </c>
      <c r="C1044" s="27" t="s">
        <v>34</v>
      </c>
      <c r="D1044" s="27" t="s">
        <v>36</v>
      </c>
      <c r="E1044" s="27">
        <v>53</v>
      </c>
    </row>
    <row r="1045" spans="1:5" x14ac:dyDescent="0.25">
      <c r="A1045" s="26">
        <v>34912</v>
      </c>
      <c r="B1045" s="49">
        <f t="shared" si="17"/>
        <v>1995</v>
      </c>
      <c r="C1045" s="27" t="s">
        <v>27</v>
      </c>
      <c r="D1045" s="27" t="s">
        <v>36</v>
      </c>
      <c r="E1045" s="27">
        <v>110</v>
      </c>
    </row>
    <row r="1046" spans="1:5" x14ac:dyDescent="0.25">
      <c r="A1046" s="26">
        <v>34912</v>
      </c>
      <c r="B1046" s="49">
        <f t="shared" si="17"/>
        <v>1995</v>
      </c>
      <c r="C1046" s="27" t="s">
        <v>35</v>
      </c>
      <c r="D1046" s="27" t="s">
        <v>36</v>
      </c>
      <c r="E1046" s="27">
        <v>113</v>
      </c>
    </row>
    <row r="1047" spans="1:5" x14ac:dyDescent="0.25">
      <c r="A1047" s="26">
        <v>34912</v>
      </c>
      <c r="B1047" s="49">
        <f t="shared" si="17"/>
        <v>1995</v>
      </c>
      <c r="C1047" s="27" t="s">
        <v>35</v>
      </c>
      <c r="D1047" s="27" t="s">
        <v>36</v>
      </c>
      <c r="E1047" s="27">
        <v>121</v>
      </c>
    </row>
    <row r="1048" spans="1:5" x14ac:dyDescent="0.25">
      <c r="A1048" s="26">
        <v>34912</v>
      </c>
      <c r="B1048" s="49">
        <f t="shared" si="17"/>
        <v>1995</v>
      </c>
      <c r="C1048" s="27" t="s">
        <v>35</v>
      </c>
      <c r="D1048" s="27" t="s">
        <v>36</v>
      </c>
      <c r="E1048" s="27">
        <v>122</v>
      </c>
    </row>
    <row r="1049" spans="1:5" x14ac:dyDescent="0.25">
      <c r="A1049" s="26">
        <v>34912</v>
      </c>
      <c r="B1049" s="49">
        <f t="shared" si="17"/>
        <v>1995</v>
      </c>
      <c r="C1049" s="27" t="s">
        <v>27</v>
      </c>
      <c r="D1049" s="27" t="s">
        <v>36</v>
      </c>
      <c r="E1049" s="27">
        <v>96</v>
      </c>
    </row>
    <row r="1050" spans="1:5" x14ac:dyDescent="0.25">
      <c r="A1050" s="26">
        <v>34912</v>
      </c>
      <c r="B1050" s="49">
        <f t="shared" si="17"/>
        <v>1995</v>
      </c>
      <c r="C1050" s="27" t="s">
        <v>35</v>
      </c>
      <c r="D1050" s="27" t="s">
        <v>36</v>
      </c>
      <c r="E1050" s="27">
        <v>67</v>
      </c>
    </row>
    <row r="1051" spans="1:5" x14ac:dyDescent="0.25">
      <c r="A1051" s="26">
        <v>34912</v>
      </c>
      <c r="B1051" s="49">
        <f t="shared" si="17"/>
        <v>1995</v>
      </c>
      <c r="C1051" s="27" t="s">
        <v>35</v>
      </c>
      <c r="D1051" s="27" t="s">
        <v>36</v>
      </c>
      <c r="E1051" s="27">
        <v>79</v>
      </c>
    </row>
    <row r="1052" spans="1:5" x14ac:dyDescent="0.25">
      <c r="A1052" s="26">
        <v>34912</v>
      </c>
      <c r="B1052" s="49">
        <f t="shared" si="17"/>
        <v>1995</v>
      </c>
      <c r="C1052" s="27" t="s">
        <v>32</v>
      </c>
      <c r="D1052" s="27" t="s">
        <v>36</v>
      </c>
      <c r="E1052" s="27">
        <v>123</v>
      </c>
    </row>
    <row r="1053" spans="1:5" x14ac:dyDescent="0.25">
      <c r="A1053" s="26">
        <v>34943</v>
      </c>
      <c r="B1053" s="49">
        <f t="shared" si="17"/>
        <v>1995</v>
      </c>
      <c r="C1053" s="27" t="s">
        <v>32</v>
      </c>
      <c r="D1053" s="27" t="s">
        <v>28</v>
      </c>
      <c r="E1053" s="27">
        <v>248</v>
      </c>
    </row>
    <row r="1054" spans="1:5" x14ac:dyDescent="0.25">
      <c r="A1054" s="26">
        <v>34943</v>
      </c>
      <c r="B1054" s="49">
        <f t="shared" si="17"/>
        <v>1995</v>
      </c>
      <c r="C1054" s="27" t="s">
        <v>34</v>
      </c>
      <c r="D1054" s="27" t="s">
        <v>28</v>
      </c>
      <c r="E1054" s="27">
        <v>289</v>
      </c>
    </row>
    <row r="1055" spans="1:5" x14ac:dyDescent="0.25">
      <c r="A1055" s="26">
        <v>34943</v>
      </c>
      <c r="B1055" s="49">
        <f t="shared" si="17"/>
        <v>1995</v>
      </c>
      <c r="C1055" s="27" t="s">
        <v>32</v>
      </c>
      <c r="D1055" s="27" t="s">
        <v>28</v>
      </c>
      <c r="E1055" s="27">
        <v>330</v>
      </c>
    </row>
    <row r="1056" spans="1:5" x14ac:dyDescent="0.25">
      <c r="A1056" s="26">
        <v>34943</v>
      </c>
      <c r="B1056" s="49">
        <f t="shared" si="17"/>
        <v>1995</v>
      </c>
      <c r="C1056" s="27" t="s">
        <v>27</v>
      </c>
      <c r="D1056" s="27" t="s">
        <v>28</v>
      </c>
      <c r="E1056" s="27">
        <v>330</v>
      </c>
    </row>
    <row r="1057" spans="1:5" x14ac:dyDescent="0.25">
      <c r="A1057" s="26">
        <v>34943</v>
      </c>
      <c r="B1057" s="49">
        <f t="shared" si="17"/>
        <v>1995</v>
      </c>
      <c r="C1057" s="27" t="s">
        <v>34</v>
      </c>
      <c r="D1057" s="27" t="s">
        <v>28</v>
      </c>
      <c r="E1057" s="27">
        <v>338</v>
      </c>
    </row>
    <row r="1058" spans="1:5" x14ac:dyDescent="0.25">
      <c r="A1058" s="26">
        <v>34943</v>
      </c>
      <c r="B1058" s="49">
        <f t="shared" si="17"/>
        <v>1995</v>
      </c>
      <c r="C1058" s="27" t="s">
        <v>27</v>
      </c>
      <c r="D1058" s="27" t="s">
        <v>28</v>
      </c>
      <c r="E1058" s="27">
        <v>613</v>
      </c>
    </row>
    <row r="1059" spans="1:5" x14ac:dyDescent="0.25">
      <c r="A1059" s="26">
        <v>34943</v>
      </c>
      <c r="B1059" s="49">
        <f t="shared" si="17"/>
        <v>1995</v>
      </c>
      <c r="C1059" s="27" t="s">
        <v>27</v>
      </c>
      <c r="D1059" s="27" t="s">
        <v>28</v>
      </c>
      <c r="E1059" s="27">
        <v>666</v>
      </c>
    </row>
    <row r="1060" spans="1:5" x14ac:dyDescent="0.25">
      <c r="A1060" s="26">
        <v>34943</v>
      </c>
      <c r="B1060" s="49">
        <f t="shared" si="17"/>
        <v>1995</v>
      </c>
      <c r="C1060" s="27" t="s">
        <v>27</v>
      </c>
      <c r="D1060" s="27" t="s">
        <v>28</v>
      </c>
      <c r="E1060" s="27">
        <v>732</v>
      </c>
    </row>
    <row r="1061" spans="1:5" x14ac:dyDescent="0.25">
      <c r="A1061" s="26">
        <v>34943</v>
      </c>
      <c r="B1061" s="49">
        <f t="shared" si="17"/>
        <v>1995</v>
      </c>
      <c r="C1061" s="27" t="s">
        <v>35</v>
      </c>
      <c r="D1061" s="27" t="s">
        <v>28</v>
      </c>
      <c r="E1061" s="27">
        <v>113</v>
      </c>
    </row>
    <row r="1062" spans="1:5" x14ac:dyDescent="0.25">
      <c r="A1062" s="26">
        <v>34943</v>
      </c>
      <c r="B1062" s="49">
        <f t="shared" si="17"/>
        <v>1995</v>
      </c>
      <c r="C1062" s="27" t="s">
        <v>34</v>
      </c>
      <c r="D1062" s="27" t="s">
        <v>28</v>
      </c>
      <c r="E1062" s="27">
        <v>1062</v>
      </c>
    </row>
    <row r="1063" spans="1:5" x14ac:dyDescent="0.25">
      <c r="A1063" s="26">
        <v>34943</v>
      </c>
      <c r="B1063" s="49">
        <f t="shared" si="17"/>
        <v>1995</v>
      </c>
      <c r="C1063" s="27" t="s">
        <v>34</v>
      </c>
      <c r="D1063" s="27" t="s">
        <v>28</v>
      </c>
      <c r="E1063" s="27">
        <v>1813</v>
      </c>
    </row>
    <row r="1064" spans="1:5" x14ac:dyDescent="0.25">
      <c r="A1064" s="26">
        <v>34943</v>
      </c>
      <c r="B1064" s="49">
        <f t="shared" si="17"/>
        <v>1995</v>
      </c>
      <c r="C1064" s="27" t="s">
        <v>35</v>
      </c>
      <c r="D1064" s="27" t="s">
        <v>28</v>
      </c>
      <c r="E1064" s="27">
        <v>179</v>
      </c>
    </row>
    <row r="1065" spans="1:5" x14ac:dyDescent="0.25">
      <c r="A1065" s="26">
        <v>34943</v>
      </c>
      <c r="B1065" s="49">
        <f t="shared" si="17"/>
        <v>1995</v>
      </c>
      <c r="C1065" s="27" t="s">
        <v>32</v>
      </c>
      <c r="D1065" s="27" t="s">
        <v>28</v>
      </c>
      <c r="E1065" s="27">
        <v>68</v>
      </c>
    </row>
    <row r="1066" spans="1:5" x14ac:dyDescent="0.25">
      <c r="A1066" s="26">
        <v>34943</v>
      </c>
      <c r="B1066" s="49">
        <f t="shared" si="17"/>
        <v>1995</v>
      </c>
      <c r="C1066" s="27" t="s">
        <v>32</v>
      </c>
      <c r="D1066" s="27" t="s">
        <v>28</v>
      </c>
      <c r="E1066" s="27">
        <v>68</v>
      </c>
    </row>
    <row r="1067" spans="1:5" x14ac:dyDescent="0.25">
      <c r="A1067" s="26">
        <v>34943</v>
      </c>
      <c r="B1067" s="49">
        <f t="shared" si="17"/>
        <v>1995</v>
      </c>
      <c r="C1067" s="27" t="s">
        <v>35</v>
      </c>
      <c r="D1067" s="27" t="s">
        <v>28</v>
      </c>
      <c r="E1067" s="27">
        <v>72</v>
      </c>
    </row>
    <row r="1068" spans="1:5" x14ac:dyDescent="0.25">
      <c r="A1068" s="26">
        <v>34943</v>
      </c>
      <c r="B1068" s="49">
        <f t="shared" si="17"/>
        <v>1995</v>
      </c>
      <c r="C1068" s="27" t="s">
        <v>35</v>
      </c>
      <c r="D1068" s="27" t="s">
        <v>28</v>
      </c>
      <c r="E1068" s="27">
        <v>99</v>
      </c>
    </row>
    <row r="1069" spans="1:5" x14ac:dyDescent="0.25">
      <c r="A1069" s="26">
        <v>34943</v>
      </c>
      <c r="B1069" s="49">
        <f t="shared" si="17"/>
        <v>1995</v>
      </c>
      <c r="C1069" s="27" t="s">
        <v>27</v>
      </c>
      <c r="D1069" s="27" t="s">
        <v>29</v>
      </c>
      <c r="E1069" s="27">
        <v>834</v>
      </c>
    </row>
    <row r="1070" spans="1:5" x14ac:dyDescent="0.25">
      <c r="A1070" s="26">
        <v>34943</v>
      </c>
      <c r="B1070" s="49">
        <f t="shared" si="17"/>
        <v>1995</v>
      </c>
      <c r="C1070" s="27" t="s">
        <v>32</v>
      </c>
      <c r="D1070" s="27" t="s">
        <v>29</v>
      </c>
      <c r="E1070" s="27">
        <v>203</v>
      </c>
    </row>
    <row r="1071" spans="1:5" x14ac:dyDescent="0.25">
      <c r="A1071" s="26">
        <v>34943</v>
      </c>
      <c r="B1071" s="49">
        <f t="shared" si="17"/>
        <v>1995</v>
      </c>
      <c r="C1071" s="27" t="s">
        <v>35</v>
      </c>
      <c r="D1071" s="27" t="s">
        <v>29</v>
      </c>
      <c r="E1071" s="27">
        <v>63</v>
      </c>
    </row>
    <row r="1072" spans="1:5" x14ac:dyDescent="0.25">
      <c r="A1072" s="26">
        <v>34943</v>
      </c>
      <c r="B1072" s="49">
        <f t="shared" si="17"/>
        <v>1995</v>
      </c>
      <c r="C1072" s="27" t="s">
        <v>35</v>
      </c>
      <c r="D1072" s="27" t="s">
        <v>29</v>
      </c>
      <c r="E1072" s="27">
        <v>96</v>
      </c>
    </row>
    <row r="1073" spans="1:5" x14ac:dyDescent="0.25">
      <c r="A1073" s="26">
        <v>34943</v>
      </c>
      <c r="B1073" s="49">
        <f t="shared" si="17"/>
        <v>1995</v>
      </c>
      <c r="C1073" s="27" t="s">
        <v>32</v>
      </c>
      <c r="D1073" s="27" t="s">
        <v>29</v>
      </c>
      <c r="E1073" s="27">
        <v>96</v>
      </c>
    </row>
    <row r="1074" spans="1:5" x14ac:dyDescent="0.25">
      <c r="A1074" s="26">
        <v>34943</v>
      </c>
      <c r="B1074" s="49">
        <f t="shared" si="17"/>
        <v>1995</v>
      </c>
      <c r="C1074" s="27" t="s">
        <v>35</v>
      </c>
      <c r="D1074" s="27" t="s">
        <v>29</v>
      </c>
      <c r="E1074" s="27">
        <v>102</v>
      </c>
    </row>
    <row r="1075" spans="1:5" x14ac:dyDescent="0.25">
      <c r="A1075" s="26">
        <v>34943</v>
      </c>
      <c r="B1075" s="49">
        <f t="shared" si="17"/>
        <v>1995</v>
      </c>
      <c r="C1075" s="27" t="s">
        <v>35</v>
      </c>
      <c r="D1075" s="27" t="s">
        <v>29</v>
      </c>
      <c r="E1075" s="27">
        <v>146</v>
      </c>
    </row>
    <row r="1076" spans="1:5" x14ac:dyDescent="0.25">
      <c r="A1076" s="26">
        <v>34943</v>
      </c>
      <c r="B1076" s="49">
        <f t="shared" si="17"/>
        <v>1995</v>
      </c>
      <c r="C1076" s="27" t="s">
        <v>34</v>
      </c>
      <c r="D1076" s="27" t="s">
        <v>29</v>
      </c>
      <c r="E1076" s="27">
        <v>158</v>
      </c>
    </row>
    <row r="1077" spans="1:5" x14ac:dyDescent="0.25">
      <c r="A1077" s="26">
        <v>34943</v>
      </c>
      <c r="B1077" s="49">
        <f t="shared" si="17"/>
        <v>1995</v>
      </c>
      <c r="C1077" s="27" t="s">
        <v>32</v>
      </c>
      <c r="D1077" s="27" t="s">
        <v>29</v>
      </c>
      <c r="E1077" s="27">
        <v>994</v>
      </c>
    </row>
    <row r="1078" spans="1:5" x14ac:dyDescent="0.25">
      <c r="A1078" s="26">
        <v>34943</v>
      </c>
      <c r="B1078" s="49">
        <f t="shared" si="17"/>
        <v>1995</v>
      </c>
      <c r="C1078" s="27" t="s">
        <v>27</v>
      </c>
      <c r="D1078" s="27" t="s">
        <v>29</v>
      </c>
      <c r="E1078" s="27">
        <v>859</v>
      </c>
    </row>
    <row r="1079" spans="1:5" x14ac:dyDescent="0.25">
      <c r="A1079" s="26">
        <v>34943</v>
      </c>
      <c r="B1079" s="49">
        <f t="shared" si="17"/>
        <v>1995</v>
      </c>
      <c r="C1079" s="27" t="s">
        <v>27</v>
      </c>
      <c r="D1079" s="27" t="s">
        <v>29</v>
      </c>
      <c r="E1079" s="27">
        <v>302</v>
      </c>
    </row>
    <row r="1080" spans="1:5" x14ac:dyDescent="0.25">
      <c r="A1080" s="26">
        <v>34943</v>
      </c>
      <c r="B1080" s="49">
        <f t="shared" si="17"/>
        <v>1995</v>
      </c>
      <c r="C1080" s="27" t="s">
        <v>34</v>
      </c>
      <c r="D1080" s="27" t="s">
        <v>29</v>
      </c>
      <c r="E1080" s="27">
        <v>394</v>
      </c>
    </row>
    <row r="1081" spans="1:5" x14ac:dyDescent="0.25">
      <c r="A1081" s="26">
        <v>34943</v>
      </c>
      <c r="B1081" s="49">
        <f t="shared" si="17"/>
        <v>1995</v>
      </c>
      <c r="C1081" s="27" t="s">
        <v>27</v>
      </c>
      <c r="D1081" s="27" t="s">
        <v>29</v>
      </c>
      <c r="E1081" s="27">
        <v>411</v>
      </c>
    </row>
    <row r="1082" spans="1:5" x14ac:dyDescent="0.25">
      <c r="A1082" s="26">
        <v>34943</v>
      </c>
      <c r="B1082" s="49">
        <f t="shared" si="17"/>
        <v>1995</v>
      </c>
      <c r="C1082" s="27" t="s">
        <v>34</v>
      </c>
      <c r="D1082" s="27" t="s">
        <v>29</v>
      </c>
      <c r="E1082" s="27">
        <v>473</v>
      </c>
    </row>
    <row r="1083" spans="1:5" x14ac:dyDescent="0.25">
      <c r="A1083" s="26">
        <v>34943</v>
      </c>
      <c r="B1083" s="49">
        <f t="shared" si="17"/>
        <v>1995</v>
      </c>
      <c r="C1083" s="27" t="s">
        <v>32</v>
      </c>
      <c r="D1083" s="27" t="s">
        <v>29</v>
      </c>
      <c r="E1083" s="27">
        <v>603</v>
      </c>
    </row>
    <row r="1084" spans="1:5" x14ac:dyDescent="0.25">
      <c r="A1084" s="26">
        <v>34943</v>
      </c>
      <c r="B1084" s="49">
        <f t="shared" si="17"/>
        <v>1995</v>
      </c>
      <c r="C1084" s="27" t="s">
        <v>34</v>
      </c>
      <c r="D1084" s="27" t="s">
        <v>29</v>
      </c>
      <c r="E1084" s="27">
        <v>655</v>
      </c>
    </row>
    <row r="1085" spans="1:5" x14ac:dyDescent="0.25">
      <c r="A1085" s="26">
        <v>34943</v>
      </c>
      <c r="B1085" s="49">
        <f t="shared" si="17"/>
        <v>1995</v>
      </c>
      <c r="C1085" s="27" t="s">
        <v>32</v>
      </c>
      <c r="D1085" s="27" t="s">
        <v>30</v>
      </c>
      <c r="E1085" s="27">
        <v>885</v>
      </c>
    </row>
    <row r="1086" spans="1:5" x14ac:dyDescent="0.25">
      <c r="A1086" s="26">
        <v>34943</v>
      </c>
      <c r="B1086" s="49">
        <f t="shared" si="17"/>
        <v>1995</v>
      </c>
      <c r="C1086" s="27" t="s">
        <v>27</v>
      </c>
      <c r="D1086" s="27" t="s">
        <v>30</v>
      </c>
      <c r="E1086" s="27">
        <v>1609</v>
      </c>
    </row>
    <row r="1087" spans="1:5" x14ac:dyDescent="0.25">
      <c r="A1087" s="26">
        <v>34943</v>
      </c>
      <c r="B1087" s="49">
        <f t="shared" si="17"/>
        <v>1995</v>
      </c>
      <c r="C1087" s="27" t="s">
        <v>27</v>
      </c>
      <c r="D1087" s="27" t="s">
        <v>30</v>
      </c>
      <c r="E1087" s="27">
        <v>2999</v>
      </c>
    </row>
    <row r="1088" spans="1:5" x14ac:dyDescent="0.25">
      <c r="A1088" s="26">
        <v>34943</v>
      </c>
      <c r="B1088" s="49">
        <f t="shared" si="17"/>
        <v>1995</v>
      </c>
      <c r="C1088" s="27" t="s">
        <v>32</v>
      </c>
      <c r="D1088" s="27" t="s">
        <v>30</v>
      </c>
      <c r="E1088" s="27">
        <v>206</v>
      </c>
    </row>
    <row r="1089" spans="1:5" x14ac:dyDescent="0.25">
      <c r="A1089" s="26">
        <v>34943</v>
      </c>
      <c r="B1089" s="49">
        <f t="shared" si="17"/>
        <v>1995</v>
      </c>
      <c r="C1089" s="27" t="s">
        <v>32</v>
      </c>
      <c r="D1089" s="27" t="s">
        <v>30</v>
      </c>
      <c r="E1089" s="27">
        <v>210</v>
      </c>
    </row>
    <row r="1090" spans="1:5" x14ac:dyDescent="0.25">
      <c r="A1090" s="26">
        <v>34943</v>
      </c>
      <c r="B1090" s="49">
        <f t="shared" si="17"/>
        <v>1995</v>
      </c>
      <c r="C1090" s="27" t="s">
        <v>32</v>
      </c>
      <c r="D1090" s="27" t="s">
        <v>30</v>
      </c>
      <c r="E1090" s="27">
        <v>68</v>
      </c>
    </row>
    <row r="1091" spans="1:5" x14ac:dyDescent="0.25">
      <c r="A1091" s="26">
        <v>34943</v>
      </c>
      <c r="B1091" s="49">
        <f t="shared" ref="B1091:B1154" si="18">YEAR(A1091)</f>
        <v>1995</v>
      </c>
      <c r="C1091" s="27" t="s">
        <v>32</v>
      </c>
      <c r="D1091" s="27" t="s">
        <v>30</v>
      </c>
      <c r="E1091" s="27">
        <v>79</v>
      </c>
    </row>
    <row r="1092" spans="1:5" x14ac:dyDescent="0.25">
      <c r="A1092" s="26">
        <v>34943</v>
      </c>
      <c r="B1092" s="49">
        <f t="shared" si="18"/>
        <v>1995</v>
      </c>
      <c r="C1092" s="27" t="s">
        <v>32</v>
      </c>
      <c r="D1092" s="27" t="s">
        <v>30</v>
      </c>
      <c r="E1092" s="27">
        <v>131</v>
      </c>
    </row>
    <row r="1093" spans="1:5" x14ac:dyDescent="0.25">
      <c r="A1093" s="26">
        <v>34943</v>
      </c>
      <c r="B1093" s="49">
        <f t="shared" si="18"/>
        <v>1995</v>
      </c>
      <c r="C1093" s="27" t="s">
        <v>27</v>
      </c>
      <c r="D1093" s="27" t="s">
        <v>30</v>
      </c>
      <c r="E1093" s="27">
        <v>126</v>
      </c>
    </row>
    <row r="1094" spans="1:5" x14ac:dyDescent="0.25">
      <c r="A1094" s="26">
        <v>34943</v>
      </c>
      <c r="B1094" s="49">
        <f t="shared" si="18"/>
        <v>1995</v>
      </c>
      <c r="C1094" s="27" t="s">
        <v>27</v>
      </c>
      <c r="D1094" s="27" t="s">
        <v>30</v>
      </c>
      <c r="E1094" s="27">
        <v>44</v>
      </c>
    </row>
    <row r="1095" spans="1:5" x14ac:dyDescent="0.25">
      <c r="A1095" s="26">
        <v>34943</v>
      </c>
      <c r="B1095" s="49">
        <f t="shared" si="18"/>
        <v>1995</v>
      </c>
      <c r="C1095" s="27" t="s">
        <v>27</v>
      </c>
      <c r="D1095" s="27" t="s">
        <v>30</v>
      </c>
      <c r="E1095" s="27">
        <v>68</v>
      </c>
    </row>
    <row r="1096" spans="1:5" x14ac:dyDescent="0.25">
      <c r="A1096" s="26">
        <v>34943</v>
      </c>
      <c r="B1096" s="49">
        <f t="shared" si="18"/>
        <v>1995</v>
      </c>
      <c r="C1096" s="27" t="s">
        <v>27</v>
      </c>
      <c r="D1096" s="27" t="s">
        <v>30</v>
      </c>
      <c r="E1096" s="27">
        <v>60</v>
      </c>
    </row>
    <row r="1097" spans="1:5" x14ac:dyDescent="0.25">
      <c r="A1097" s="26">
        <v>34943</v>
      </c>
      <c r="B1097" s="49">
        <f t="shared" si="18"/>
        <v>1995</v>
      </c>
      <c r="C1097" s="27" t="s">
        <v>32</v>
      </c>
      <c r="D1097" s="27" t="s">
        <v>31</v>
      </c>
      <c r="E1097" s="27">
        <v>990</v>
      </c>
    </row>
    <row r="1098" spans="1:5" x14ac:dyDescent="0.25">
      <c r="A1098" s="26">
        <v>34943</v>
      </c>
      <c r="B1098" s="49">
        <f t="shared" si="18"/>
        <v>1995</v>
      </c>
      <c r="C1098" s="27" t="s">
        <v>27</v>
      </c>
      <c r="D1098" s="27" t="s">
        <v>31</v>
      </c>
      <c r="E1098" s="27">
        <v>1111</v>
      </c>
    </row>
    <row r="1099" spans="1:5" x14ac:dyDescent="0.25">
      <c r="A1099" s="26">
        <v>34943</v>
      </c>
      <c r="B1099" s="49">
        <f t="shared" si="18"/>
        <v>1995</v>
      </c>
      <c r="C1099" s="27" t="s">
        <v>32</v>
      </c>
      <c r="D1099" s="27" t="s">
        <v>31</v>
      </c>
      <c r="E1099" s="27">
        <v>180</v>
      </c>
    </row>
    <row r="1100" spans="1:5" x14ac:dyDescent="0.25">
      <c r="A1100" s="26">
        <v>34943</v>
      </c>
      <c r="B1100" s="49">
        <f t="shared" si="18"/>
        <v>1995</v>
      </c>
      <c r="C1100" s="27" t="s">
        <v>27</v>
      </c>
      <c r="D1100" s="27" t="s">
        <v>31</v>
      </c>
      <c r="E1100" s="27">
        <v>68</v>
      </c>
    </row>
    <row r="1101" spans="1:5" x14ac:dyDescent="0.25">
      <c r="A1101" s="26">
        <v>34943</v>
      </c>
      <c r="B1101" s="49">
        <f t="shared" si="18"/>
        <v>1995</v>
      </c>
      <c r="C1101" s="27" t="s">
        <v>35</v>
      </c>
      <c r="D1101" s="27" t="s">
        <v>31</v>
      </c>
      <c r="E1101" s="27">
        <v>49</v>
      </c>
    </row>
    <row r="1102" spans="1:5" x14ac:dyDescent="0.25">
      <c r="A1102" s="26">
        <v>34943</v>
      </c>
      <c r="B1102" s="49">
        <f t="shared" si="18"/>
        <v>1995</v>
      </c>
      <c r="C1102" s="27" t="s">
        <v>35</v>
      </c>
      <c r="D1102" s="27" t="s">
        <v>31</v>
      </c>
      <c r="E1102" s="27">
        <v>114</v>
      </c>
    </row>
    <row r="1103" spans="1:5" x14ac:dyDescent="0.25">
      <c r="A1103" s="26">
        <v>34943</v>
      </c>
      <c r="B1103" s="49">
        <f t="shared" si="18"/>
        <v>1995</v>
      </c>
      <c r="C1103" s="27" t="s">
        <v>35</v>
      </c>
      <c r="D1103" s="27" t="s">
        <v>31</v>
      </c>
      <c r="E1103" s="27">
        <v>113</v>
      </c>
    </row>
    <row r="1104" spans="1:5" x14ac:dyDescent="0.25">
      <c r="A1104" s="26">
        <v>34943</v>
      </c>
      <c r="B1104" s="49">
        <f t="shared" si="18"/>
        <v>1995</v>
      </c>
      <c r="C1104" s="27" t="s">
        <v>27</v>
      </c>
      <c r="D1104" s="27" t="s">
        <v>31</v>
      </c>
      <c r="E1104" s="27">
        <v>70</v>
      </c>
    </row>
    <row r="1105" spans="1:5" x14ac:dyDescent="0.25">
      <c r="A1105" s="26">
        <v>34943</v>
      </c>
      <c r="B1105" s="49">
        <f t="shared" si="18"/>
        <v>1995</v>
      </c>
      <c r="C1105" s="27" t="s">
        <v>35</v>
      </c>
      <c r="D1105" s="27" t="s">
        <v>31</v>
      </c>
      <c r="E1105" s="27">
        <v>72</v>
      </c>
    </row>
    <row r="1106" spans="1:5" x14ac:dyDescent="0.25">
      <c r="A1106" s="26">
        <v>34943</v>
      </c>
      <c r="B1106" s="49">
        <f t="shared" si="18"/>
        <v>1995</v>
      </c>
      <c r="C1106" s="27" t="s">
        <v>34</v>
      </c>
      <c r="D1106" s="27" t="s">
        <v>31</v>
      </c>
      <c r="E1106" s="27">
        <v>590</v>
      </c>
    </row>
    <row r="1107" spans="1:5" x14ac:dyDescent="0.25">
      <c r="A1107" s="26">
        <v>34943</v>
      </c>
      <c r="B1107" s="49">
        <f t="shared" si="18"/>
        <v>1995</v>
      </c>
      <c r="C1107" s="27" t="s">
        <v>32</v>
      </c>
      <c r="D1107" s="27" t="s">
        <v>31</v>
      </c>
      <c r="E1107" s="27">
        <v>420</v>
      </c>
    </row>
    <row r="1108" spans="1:5" x14ac:dyDescent="0.25">
      <c r="A1108" s="26">
        <v>34943</v>
      </c>
      <c r="B1108" s="49">
        <f t="shared" si="18"/>
        <v>1995</v>
      </c>
      <c r="C1108" s="27" t="s">
        <v>27</v>
      </c>
      <c r="D1108" s="27" t="s">
        <v>31</v>
      </c>
      <c r="E1108" s="27">
        <v>304</v>
      </c>
    </row>
    <row r="1109" spans="1:5" x14ac:dyDescent="0.25">
      <c r="A1109" s="26">
        <v>34943</v>
      </c>
      <c r="B1109" s="49">
        <f t="shared" si="18"/>
        <v>1995</v>
      </c>
      <c r="C1109" s="27" t="s">
        <v>34</v>
      </c>
      <c r="D1109" s="27" t="s">
        <v>31</v>
      </c>
      <c r="E1109" s="27">
        <v>315</v>
      </c>
    </row>
    <row r="1110" spans="1:5" x14ac:dyDescent="0.25">
      <c r="A1110" s="26">
        <v>34943</v>
      </c>
      <c r="B1110" s="49">
        <f t="shared" si="18"/>
        <v>1995</v>
      </c>
      <c r="C1110" s="27" t="s">
        <v>34</v>
      </c>
      <c r="D1110" s="27" t="s">
        <v>31</v>
      </c>
      <c r="E1110" s="27">
        <v>210</v>
      </c>
    </row>
    <row r="1111" spans="1:5" x14ac:dyDescent="0.25">
      <c r="A1111" s="26">
        <v>34943</v>
      </c>
      <c r="B1111" s="49">
        <f t="shared" si="18"/>
        <v>1995</v>
      </c>
      <c r="C1111" s="27" t="s">
        <v>32</v>
      </c>
      <c r="D1111" s="27" t="s">
        <v>31</v>
      </c>
      <c r="E1111" s="27">
        <v>326</v>
      </c>
    </row>
    <row r="1112" spans="1:5" x14ac:dyDescent="0.25">
      <c r="A1112" s="26">
        <v>34943</v>
      </c>
      <c r="B1112" s="49">
        <f t="shared" si="18"/>
        <v>1995</v>
      </c>
      <c r="C1112" s="27" t="s">
        <v>34</v>
      </c>
      <c r="D1112" s="27" t="s">
        <v>31</v>
      </c>
      <c r="E1112" s="27">
        <v>338</v>
      </c>
    </row>
    <row r="1113" spans="1:5" x14ac:dyDescent="0.25">
      <c r="A1113" s="26">
        <v>34943</v>
      </c>
      <c r="B1113" s="49">
        <f t="shared" si="18"/>
        <v>1995</v>
      </c>
      <c r="C1113" s="27" t="s">
        <v>35</v>
      </c>
      <c r="D1113" s="27" t="s">
        <v>33</v>
      </c>
      <c r="E1113" s="27">
        <v>32</v>
      </c>
    </row>
    <row r="1114" spans="1:5" x14ac:dyDescent="0.25">
      <c r="A1114" s="26">
        <v>34943</v>
      </c>
      <c r="B1114" s="49">
        <f t="shared" si="18"/>
        <v>1995</v>
      </c>
      <c r="C1114" s="27" t="s">
        <v>35</v>
      </c>
      <c r="D1114" s="27" t="s">
        <v>33</v>
      </c>
      <c r="E1114" s="27">
        <v>60</v>
      </c>
    </row>
    <row r="1115" spans="1:5" x14ac:dyDescent="0.25">
      <c r="A1115" s="26">
        <v>34943</v>
      </c>
      <c r="B1115" s="49">
        <f t="shared" si="18"/>
        <v>1995</v>
      </c>
      <c r="C1115" s="27" t="s">
        <v>27</v>
      </c>
      <c r="D1115" s="27" t="s">
        <v>33</v>
      </c>
      <c r="E1115" s="27">
        <v>44</v>
      </c>
    </row>
    <row r="1116" spans="1:5" x14ac:dyDescent="0.25">
      <c r="A1116" s="26">
        <v>34943</v>
      </c>
      <c r="B1116" s="49">
        <f t="shared" si="18"/>
        <v>1995</v>
      </c>
      <c r="C1116" s="27" t="s">
        <v>34</v>
      </c>
      <c r="D1116" s="27" t="s">
        <v>33</v>
      </c>
      <c r="E1116" s="27">
        <v>50</v>
      </c>
    </row>
    <row r="1117" spans="1:5" x14ac:dyDescent="0.25">
      <c r="A1117" s="26">
        <v>34943</v>
      </c>
      <c r="B1117" s="49">
        <f t="shared" si="18"/>
        <v>1995</v>
      </c>
      <c r="C1117" s="27" t="s">
        <v>34</v>
      </c>
      <c r="D1117" s="27" t="s">
        <v>33</v>
      </c>
      <c r="E1117" s="27">
        <v>1131</v>
      </c>
    </row>
    <row r="1118" spans="1:5" x14ac:dyDescent="0.25">
      <c r="A1118" s="26">
        <v>34943</v>
      </c>
      <c r="B1118" s="49">
        <f t="shared" si="18"/>
        <v>1995</v>
      </c>
      <c r="C1118" s="27" t="s">
        <v>32</v>
      </c>
      <c r="D1118" s="27" t="s">
        <v>33</v>
      </c>
      <c r="E1118" s="27">
        <v>1176</v>
      </c>
    </row>
    <row r="1119" spans="1:5" x14ac:dyDescent="0.25">
      <c r="A1119" s="26">
        <v>34943</v>
      </c>
      <c r="B1119" s="49">
        <f t="shared" si="18"/>
        <v>1995</v>
      </c>
      <c r="C1119" s="27" t="s">
        <v>32</v>
      </c>
      <c r="D1119" s="27" t="s">
        <v>33</v>
      </c>
      <c r="E1119" s="27">
        <v>1825</v>
      </c>
    </row>
    <row r="1120" spans="1:5" x14ac:dyDescent="0.25">
      <c r="A1120" s="26">
        <v>34943</v>
      </c>
      <c r="B1120" s="49">
        <f t="shared" si="18"/>
        <v>1995</v>
      </c>
      <c r="C1120" s="27" t="s">
        <v>34</v>
      </c>
      <c r="D1120" s="27" t="s">
        <v>33</v>
      </c>
      <c r="E1120" s="27">
        <v>3376</v>
      </c>
    </row>
    <row r="1121" spans="1:5" x14ac:dyDescent="0.25">
      <c r="A1121" s="26">
        <v>34943</v>
      </c>
      <c r="B1121" s="49">
        <f t="shared" si="18"/>
        <v>1995</v>
      </c>
      <c r="C1121" s="27" t="s">
        <v>34</v>
      </c>
      <c r="D1121" s="27" t="s">
        <v>33</v>
      </c>
      <c r="E1121" s="27">
        <v>56</v>
      </c>
    </row>
    <row r="1122" spans="1:5" x14ac:dyDescent="0.25">
      <c r="A1122" s="26">
        <v>34943</v>
      </c>
      <c r="B1122" s="49">
        <f t="shared" si="18"/>
        <v>1995</v>
      </c>
      <c r="C1122" s="27" t="s">
        <v>27</v>
      </c>
      <c r="D1122" s="27" t="s">
        <v>33</v>
      </c>
      <c r="E1122" s="27">
        <v>68</v>
      </c>
    </row>
    <row r="1123" spans="1:5" x14ac:dyDescent="0.25">
      <c r="A1123" s="26">
        <v>34943</v>
      </c>
      <c r="B1123" s="49">
        <f t="shared" si="18"/>
        <v>1995</v>
      </c>
      <c r="C1123" s="27" t="s">
        <v>35</v>
      </c>
      <c r="D1123" s="27" t="s">
        <v>33</v>
      </c>
      <c r="E1123" s="27">
        <v>70</v>
      </c>
    </row>
    <row r="1124" spans="1:5" x14ac:dyDescent="0.25">
      <c r="A1124" s="26">
        <v>34943</v>
      </c>
      <c r="B1124" s="49">
        <f t="shared" si="18"/>
        <v>1995</v>
      </c>
      <c r="C1124" s="27" t="s">
        <v>35</v>
      </c>
      <c r="D1124" s="27" t="s">
        <v>33</v>
      </c>
      <c r="E1124" s="27">
        <v>101</v>
      </c>
    </row>
    <row r="1125" spans="1:5" x14ac:dyDescent="0.25">
      <c r="A1125" s="26">
        <v>34943</v>
      </c>
      <c r="B1125" s="49">
        <f t="shared" si="18"/>
        <v>1995</v>
      </c>
      <c r="C1125" s="27" t="s">
        <v>27</v>
      </c>
      <c r="D1125" s="27" t="s">
        <v>33</v>
      </c>
      <c r="E1125" s="27">
        <v>1016</v>
      </c>
    </row>
    <row r="1126" spans="1:5" x14ac:dyDescent="0.25">
      <c r="A1126" s="26">
        <v>34943</v>
      </c>
      <c r="B1126" s="49">
        <f t="shared" si="18"/>
        <v>1995</v>
      </c>
      <c r="C1126" s="27" t="s">
        <v>32</v>
      </c>
      <c r="D1126" s="27" t="s">
        <v>33</v>
      </c>
      <c r="E1126" s="27">
        <v>221</v>
      </c>
    </row>
    <row r="1127" spans="1:5" x14ac:dyDescent="0.25">
      <c r="A1127" s="26">
        <v>34943</v>
      </c>
      <c r="B1127" s="49">
        <f t="shared" si="18"/>
        <v>1995</v>
      </c>
      <c r="C1127" s="27" t="s">
        <v>27</v>
      </c>
      <c r="D1127" s="27" t="s">
        <v>33</v>
      </c>
      <c r="E1127" s="27">
        <v>727</v>
      </c>
    </row>
    <row r="1128" spans="1:5" x14ac:dyDescent="0.25">
      <c r="A1128" s="26">
        <v>34943</v>
      </c>
      <c r="B1128" s="49">
        <f t="shared" si="18"/>
        <v>1995</v>
      </c>
      <c r="C1128" s="27" t="s">
        <v>32</v>
      </c>
      <c r="D1128" s="27" t="s">
        <v>33</v>
      </c>
      <c r="E1128" s="27">
        <v>338</v>
      </c>
    </row>
    <row r="1129" spans="1:5" x14ac:dyDescent="0.25">
      <c r="A1129" s="26">
        <v>34943</v>
      </c>
      <c r="B1129" s="49">
        <f t="shared" si="18"/>
        <v>1995</v>
      </c>
      <c r="C1129" s="27" t="s">
        <v>34</v>
      </c>
      <c r="D1129" s="27" t="s">
        <v>36</v>
      </c>
      <c r="E1129" s="27">
        <v>371</v>
      </c>
    </row>
    <row r="1130" spans="1:5" x14ac:dyDescent="0.25">
      <c r="A1130" s="26">
        <v>34943</v>
      </c>
      <c r="B1130" s="49">
        <f t="shared" si="18"/>
        <v>1995</v>
      </c>
      <c r="C1130" s="27" t="s">
        <v>32</v>
      </c>
      <c r="D1130" s="27" t="s">
        <v>36</v>
      </c>
      <c r="E1130" s="27">
        <v>533</v>
      </c>
    </row>
    <row r="1131" spans="1:5" x14ac:dyDescent="0.25">
      <c r="A1131" s="26">
        <v>34943</v>
      </c>
      <c r="B1131" s="49">
        <f t="shared" si="18"/>
        <v>1995</v>
      </c>
      <c r="C1131" s="27" t="s">
        <v>34</v>
      </c>
      <c r="D1131" s="27" t="s">
        <v>36</v>
      </c>
      <c r="E1131" s="27">
        <v>597</v>
      </c>
    </row>
    <row r="1132" spans="1:5" x14ac:dyDescent="0.25">
      <c r="A1132" s="26">
        <v>34943</v>
      </c>
      <c r="B1132" s="49">
        <f t="shared" si="18"/>
        <v>1995</v>
      </c>
      <c r="C1132" s="27" t="s">
        <v>35</v>
      </c>
      <c r="D1132" s="27" t="s">
        <v>36</v>
      </c>
      <c r="E1132" s="27">
        <v>94</v>
      </c>
    </row>
    <row r="1133" spans="1:5" x14ac:dyDescent="0.25">
      <c r="A1133" s="26">
        <v>34943</v>
      </c>
      <c r="B1133" s="49">
        <f t="shared" si="18"/>
        <v>1995</v>
      </c>
      <c r="C1133" s="27" t="s">
        <v>34</v>
      </c>
      <c r="D1133" s="27" t="s">
        <v>36</v>
      </c>
      <c r="E1133" s="27">
        <v>289</v>
      </c>
    </row>
    <row r="1134" spans="1:5" x14ac:dyDescent="0.25">
      <c r="A1134" s="26">
        <v>34943</v>
      </c>
      <c r="B1134" s="49">
        <f t="shared" si="18"/>
        <v>1995</v>
      </c>
      <c r="C1134" s="27" t="s">
        <v>35</v>
      </c>
      <c r="D1134" s="27" t="s">
        <v>36</v>
      </c>
      <c r="E1134" s="27">
        <v>77</v>
      </c>
    </row>
    <row r="1135" spans="1:5" x14ac:dyDescent="0.25">
      <c r="A1135" s="26">
        <v>34943</v>
      </c>
      <c r="B1135" s="49">
        <f t="shared" si="18"/>
        <v>1995</v>
      </c>
      <c r="C1135" s="27" t="s">
        <v>27</v>
      </c>
      <c r="D1135" s="27" t="s">
        <v>36</v>
      </c>
      <c r="E1135" s="27">
        <v>23</v>
      </c>
    </row>
    <row r="1136" spans="1:5" x14ac:dyDescent="0.25">
      <c r="A1136" s="26">
        <v>34943</v>
      </c>
      <c r="B1136" s="49">
        <f t="shared" si="18"/>
        <v>1995</v>
      </c>
      <c r="C1136" s="27" t="s">
        <v>27</v>
      </c>
      <c r="D1136" s="27" t="s">
        <v>36</v>
      </c>
      <c r="E1136" s="27">
        <v>28</v>
      </c>
    </row>
    <row r="1137" spans="1:5" x14ac:dyDescent="0.25">
      <c r="A1137" s="26">
        <v>34943</v>
      </c>
      <c r="B1137" s="49">
        <f t="shared" si="18"/>
        <v>1995</v>
      </c>
      <c r="C1137" s="27" t="s">
        <v>27</v>
      </c>
      <c r="D1137" s="27" t="s">
        <v>36</v>
      </c>
      <c r="E1137" s="27">
        <v>44</v>
      </c>
    </row>
    <row r="1138" spans="1:5" x14ac:dyDescent="0.25">
      <c r="A1138" s="26">
        <v>34943</v>
      </c>
      <c r="B1138" s="49">
        <f t="shared" si="18"/>
        <v>1995</v>
      </c>
      <c r="C1138" s="27" t="s">
        <v>34</v>
      </c>
      <c r="D1138" s="27" t="s">
        <v>36</v>
      </c>
      <c r="E1138" s="27">
        <v>165</v>
      </c>
    </row>
    <row r="1139" spans="1:5" x14ac:dyDescent="0.25">
      <c r="A1139" s="26">
        <v>34943</v>
      </c>
      <c r="B1139" s="49">
        <f t="shared" si="18"/>
        <v>1995</v>
      </c>
      <c r="C1139" s="27" t="s">
        <v>32</v>
      </c>
      <c r="D1139" s="27" t="s">
        <v>36</v>
      </c>
      <c r="E1139" s="27">
        <v>165</v>
      </c>
    </row>
    <row r="1140" spans="1:5" x14ac:dyDescent="0.25">
      <c r="A1140" s="26">
        <v>34943</v>
      </c>
      <c r="B1140" s="49">
        <f t="shared" si="18"/>
        <v>1995</v>
      </c>
      <c r="C1140" s="27" t="s">
        <v>35</v>
      </c>
      <c r="D1140" s="27" t="s">
        <v>36</v>
      </c>
      <c r="E1140" s="27">
        <v>165</v>
      </c>
    </row>
    <row r="1141" spans="1:5" x14ac:dyDescent="0.25">
      <c r="A1141" s="26">
        <v>34943</v>
      </c>
      <c r="B1141" s="49">
        <f t="shared" si="18"/>
        <v>1995</v>
      </c>
      <c r="C1141" s="27" t="s">
        <v>32</v>
      </c>
      <c r="D1141" s="27" t="s">
        <v>36</v>
      </c>
      <c r="E1141" s="27">
        <v>203</v>
      </c>
    </row>
    <row r="1142" spans="1:5" x14ac:dyDescent="0.25">
      <c r="A1142" s="26">
        <v>34943</v>
      </c>
      <c r="B1142" s="49">
        <f t="shared" si="18"/>
        <v>1995</v>
      </c>
      <c r="C1142" s="27" t="s">
        <v>27</v>
      </c>
      <c r="D1142" s="27" t="s">
        <v>36</v>
      </c>
      <c r="E1142" s="27">
        <v>146</v>
      </c>
    </row>
    <row r="1143" spans="1:5" x14ac:dyDescent="0.25">
      <c r="A1143" s="26">
        <v>34943</v>
      </c>
      <c r="B1143" s="49">
        <f t="shared" si="18"/>
        <v>1995</v>
      </c>
      <c r="C1143" s="27" t="s">
        <v>34</v>
      </c>
      <c r="D1143" s="27" t="s">
        <v>36</v>
      </c>
      <c r="E1143" s="27">
        <v>289</v>
      </c>
    </row>
    <row r="1144" spans="1:5" x14ac:dyDescent="0.25">
      <c r="A1144" s="26">
        <v>34943</v>
      </c>
      <c r="B1144" s="49">
        <f t="shared" si="18"/>
        <v>1995</v>
      </c>
      <c r="C1144" s="27" t="s">
        <v>27</v>
      </c>
      <c r="D1144" s="27" t="s">
        <v>36</v>
      </c>
      <c r="E1144" s="27">
        <v>124</v>
      </c>
    </row>
    <row r="1145" spans="1:5" x14ac:dyDescent="0.25">
      <c r="A1145" s="26">
        <v>34943</v>
      </c>
      <c r="B1145" s="49">
        <f t="shared" si="18"/>
        <v>1995</v>
      </c>
      <c r="C1145" s="27" t="s">
        <v>35</v>
      </c>
      <c r="D1145" s="27" t="s">
        <v>36</v>
      </c>
      <c r="E1145" s="27">
        <v>105</v>
      </c>
    </row>
    <row r="1146" spans="1:5" x14ac:dyDescent="0.25">
      <c r="A1146" s="26">
        <v>34943</v>
      </c>
      <c r="B1146" s="49">
        <f t="shared" si="18"/>
        <v>1995</v>
      </c>
      <c r="C1146" s="27" t="s">
        <v>27</v>
      </c>
      <c r="D1146" s="27" t="s">
        <v>36</v>
      </c>
      <c r="E1146" s="27">
        <v>105</v>
      </c>
    </row>
    <row r="1147" spans="1:5" x14ac:dyDescent="0.25">
      <c r="A1147" s="26">
        <v>34943</v>
      </c>
      <c r="B1147" s="49">
        <f t="shared" si="18"/>
        <v>1995</v>
      </c>
      <c r="C1147" s="27" t="s">
        <v>32</v>
      </c>
      <c r="D1147" s="27" t="s">
        <v>36</v>
      </c>
      <c r="E1147" s="27">
        <v>114</v>
      </c>
    </row>
    <row r="1148" spans="1:5" x14ac:dyDescent="0.25">
      <c r="A1148" s="26">
        <v>34943</v>
      </c>
      <c r="B1148" s="49">
        <f t="shared" si="18"/>
        <v>1995</v>
      </c>
      <c r="C1148" s="27" t="s">
        <v>35</v>
      </c>
      <c r="D1148" s="27" t="s">
        <v>36</v>
      </c>
      <c r="E1148" s="27">
        <v>126</v>
      </c>
    </row>
    <row r="1149" spans="1:5" x14ac:dyDescent="0.25">
      <c r="A1149" s="26">
        <v>34943</v>
      </c>
      <c r="B1149" s="49">
        <f t="shared" si="18"/>
        <v>1995</v>
      </c>
      <c r="C1149" s="27" t="s">
        <v>32</v>
      </c>
      <c r="D1149" s="27" t="s">
        <v>36</v>
      </c>
      <c r="E1149" s="27">
        <v>138</v>
      </c>
    </row>
    <row r="1150" spans="1:5" x14ac:dyDescent="0.25">
      <c r="A1150" s="26">
        <v>34943</v>
      </c>
      <c r="B1150" s="49">
        <f t="shared" si="18"/>
        <v>1995</v>
      </c>
      <c r="C1150" s="27" t="s">
        <v>32</v>
      </c>
      <c r="D1150" s="27" t="s">
        <v>36</v>
      </c>
      <c r="E1150" s="27">
        <v>140</v>
      </c>
    </row>
    <row r="1151" spans="1:5" x14ac:dyDescent="0.25">
      <c r="A1151" s="26">
        <v>34943</v>
      </c>
      <c r="B1151" s="49">
        <f t="shared" si="18"/>
        <v>1995</v>
      </c>
      <c r="C1151" s="27" t="s">
        <v>35</v>
      </c>
      <c r="D1151" s="27" t="s">
        <v>36</v>
      </c>
      <c r="E1151" s="27">
        <v>124</v>
      </c>
    </row>
    <row r="1152" spans="1:5" x14ac:dyDescent="0.25">
      <c r="A1152" s="26">
        <v>34973</v>
      </c>
      <c r="B1152" s="49">
        <f t="shared" si="18"/>
        <v>1995</v>
      </c>
      <c r="C1152" s="27" t="s">
        <v>27</v>
      </c>
      <c r="D1152" s="27" t="s">
        <v>28</v>
      </c>
      <c r="E1152" s="27">
        <v>776</v>
      </c>
    </row>
    <row r="1153" spans="1:5" x14ac:dyDescent="0.25">
      <c r="A1153" s="26">
        <v>34973</v>
      </c>
      <c r="B1153" s="49">
        <f t="shared" si="18"/>
        <v>1995</v>
      </c>
      <c r="C1153" s="27" t="s">
        <v>32</v>
      </c>
      <c r="D1153" s="27" t="s">
        <v>28</v>
      </c>
      <c r="E1153" s="27">
        <v>220</v>
      </c>
    </row>
    <row r="1154" spans="1:5" x14ac:dyDescent="0.25">
      <c r="A1154" s="26">
        <v>34973</v>
      </c>
      <c r="B1154" s="49">
        <f t="shared" si="18"/>
        <v>1995</v>
      </c>
      <c r="C1154" s="27" t="s">
        <v>34</v>
      </c>
      <c r="D1154" s="27" t="s">
        <v>28</v>
      </c>
      <c r="E1154" s="27">
        <v>270</v>
      </c>
    </row>
    <row r="1155" spans="1:5" x14ac:dyDescent="0.25">
      <c r="A1155" s="26">
        <v>34973</v>
      </c>
      <c r="B1155" s="49">
        <f t="shared" ref="B1155:B1218" si="19">YEAR(A1155)</f>
        <v>1995</v>
      </c>
      <c r="C1155" s="27" t="s">
        <v>35</v>
      </c>
      <c r="D1155" s="27" t="s">
        <v>28</v>
      </c>
      <c r="E1155" s="27">
        <v>275</v>
      </c>
    </row>
    <row r="1156" spans="1:5" x14ac:dyDescent="0.25">
      <c r="A1156" s="26">
        <v>34973</v>
      </c>
      <c r="B1156" s="49">
        <f t="shared" si="19"/>
        <v>1995</v>
      </c>
      <c r="C1156" s="27" t="s">
        <v>34</v>
      </c>
      <c r="D1156" s="27" t="s">
        <v>28</v>
      </c>
      <c r="E1156" s="27">
        <v>330</v>
      </c>
    </row>
    <row r="1157" spans="1:5" x14ac:dyDescent="0.25">
      <c r="A1157" s="26">
        <v>34973</v>
      </c>
      <c r="B1157" s="49">
        <f t="shared" si="19"/>
        <v>1995</v>
      </c>
      <c r="C1157" s="27" t="s">
        <v>27</v>
      </c>
      <c r="D1157" s="27" t="s">
        <v>28</v>
      </c>
      <c r="E1157" s="27">
        <v>358</v>
      </c>
    </row>
    <row r="1158" spans="1:5" x14ac:dyDescent="0.25">
      <c r="A1158" s="26">
        <v>34973</v>
      </c>
      <c r="B1158" s="49">
        <f t="shared" si="19"/>
        <v>1995</v>
      </c>
      <c r="C1158" s="27" t="s">
        <v>32</v>
      </c>
      <c r="D1158" s="27" t="s">
        <v>28</v>
      </c>
      <c r="E1158" s="27">
        <v>694</v>
      </c>
    </row>
    <row r="1159" spans="1:5" x14ac:dyDescent="0.25">
      <c r="A1159" s="26">
        <v>34973</v>
      </c>
      <c r="B1159" s="49">
        <f t="shared" si="19"/>
        <v>1995</v>
      </c>
      <c r="C1159" s="27" t="s">
        <v>27</v>
      </c>
      <c r="D1159" s="27" t="s">
        <v>28</v>
      </c>
      <c r="E1159" s="27">
        <v>734</v>
      </c>
    </row>
    <row r="1160" spans="1:5" x14ac:dyDescent="0.25">
      <c r="A1160" s="26">
        <v>34973</v>
      </c>
      <c r="B1160" s="49">
        <f t="shared" si="19"/>
        <v>1995</v>
      </c>
      <c r="C1160" s="27" t="s">
        <v>34</v>
      </c>
      <c r="D1160" s="27" t="s">
        <v>28</v>
      </c>
      <c r="E1160" s="27">
        <v>979</v>
      </c>
    </row>
    <row r="1161" spans="1:5" x14ac:dyDescent="0.25">
      <c r="A1161" s="26">
        <v>34973</v>
      </c>
      <c r="B1161" s="49">
        <f t="shared" si="19"/>
        <v>1995</v>
      </c>
      <c r="C1161" s="27" t="s">
        <v>34</v>
      </c>
      <c r="D1161" s="27" t="s">
        <v>28</v>
      </c>
      <c r="E1161" s="27">
        <v>2287</v>
      </c>
    </row>
    <row r="1162" spans="1:5" x14ac:dyDescent="0.25">
      <c r="A1162" s="26">
        <v>34973</v>
      </c>
      <c r="B1162" s="49">
        <f t="shared" si="19"/>
        <v>1995</v>
      </c>
      <c r="C1162" s="27" t="s">
        <v>27</v>
      </c>
      <c r="D1162" s="27" t="s">
        <v>28</v>
      </c>
      <c r="E1162" s="27">
        <v>709</v>
      </c>
    </row>
    <row r="1163" spans="1:5" x14ac:dyDescent="0.25">
      <c r="A1163" s="26">
        <v>34973</v>
      </c>
      <c r="B1163" s="49">
        <f t="shared" si="19"/>
        <v>1995</v>
      </c>
      <c r="C1163" s="27" t="s">
        <v>35</v>
      </c>
      <c r="D1163" s="27" t="s">
        <v>28</v>
      </c>
      <c r="E1163" s="27">
        <v>50</v>
      </c>
    </row>
    <row r="1164" spans="1:5" x14ac:dyDescent="0.25">
      <c r="A1164" s="26">
        <v>34973</v>
      </c>
      <c r="B1164" s="49">
        <f t="shared" si="19"/>
        <v>1995</v>
      </c>
      <c r="C1164" s="27" t="s">
        <v>32</v>
      </c>
      <c r="D1164" s="27" t="s">
        <v>28</v>
      </c>
      <c r="E1164" s="27">
        <v>90</v>
      </c>
    </row>
    <row r="1165" spans="1:5" x14ac:dyDescent="0.25">
      <c r="A1165" s="26">
        <v>34973</v>
      </c>
      <c r="B1165" s="49">
        <f t="shared" si="19"/>
        <v>1995</v>
      </c>
      <c r="C1165" s="27" t="s">
        <v>35</v>
      </c>
      <c r="D1165" s="27" t="s">
        <v>28</v>
      </c>
      <c r="E1165" s="27">
        <v>113</v>
      </c>
    </row>
    <row r="1166" spans="1:5" x14ac:dyDescent="0.25">
      <c r="A1166" s="26">
        <v>34973</v>
      </c>
      <c r="B1166" s="49">
        <f t="shared" si="19"/>
        <v>1995</v>
      </c>
      <c r="C1166" s="27" t="s">
        <v>35</v>
      </c>
      <c r="D1166" s="27" t="s">
        <v>28</v>
      </c>
      <c r="E1166" s="27">
        <v>131</v>
      </c>
    </row>
    <row r="1167" spans="1:5" x14ac:dyDescent="0.25">
      <c r="A1167" s="26">
        <v>34973</v>
      </c>
      <c r="B1167" s="49">
        <f t="shared" si="19"/>
        <v>1995</v>
      </c>
      <c r="C1167" s="27" t="s">
        <v>27</v>
      </c>
      <c r="D1167" s="27" t="s">
        <v>29</v>
      </c>
      <c r="E1167" s="27">
        <v>459</v>
      </c>
    </row>
    <row r="1168" spans="1:5" x14ac:dyDescent="0.25">
      <c r="A1168" s="26">
        <v>34973</v>
      </c>
      <c r="B1168" s="49">
        <f t="shared" si="19"/>
        <v>1995</v>
      </c>
      <c r="C1168" s="27" t="s">
        <v>35</v>
      </c>
      <c r="D1168" s="27" t="s">
        <v>29</v>
      </c>
      <c r="E1168" s="27">
        <v>149</v>
      </c>
    </row>
    <row r="1169" spans="1:5" x14ac:dyDescent="0.25">
      <c r="A1169" s="26">
        <v>34973</v>
      </c>
      <c r="B1169" s="49">
        <f t="shared" si="19"/>
        <v>1995</v>
      </c>
      <c r="C1169" s="27" t="s">
        <v>32</v>
      </c>
      <c r="D1169" s="27" t="s">
        <v>29</v>
      </c>
      <c r="E1169" s="27">
        <v>169</v>
      </c>
    </row>
    <row r="1170" spans="1:5" x14ac:dyDescent="0.25">
      <c r="A1170" s="26">
        <v>34973</v>
      </c>
      <c r="B1170" s="49">
        <f t="shared" si="19"/>
        <v>1995</v>
      </c>
      <c r="C1170" s="27" t="s">
        <v>32</v>
      </c>
      <c r="D1170" s="27" t="s">
        <v>29</v>
      </c>
      <c r="E1170" s="27">
        <v>175</v>
      </c>
    </row>
    <row r="1171" spans="1:5" x14ac:dyDescent="0.25">
      <c r="A1171" s="26">
        <v>34973</v>
      </c>
      <c r="B1171" s="49">
        <f t="shared" si="19"/>
        <v>1995</v>
      </c>
      <c r="C1171" s="27" t="s">
        <v>35</v>
      </c>
      <c r="D1171" s="27" t="s">
        <v>29</v>
      </c>
      <c r="E1171" s="27">
        <v>203</v>
      </c>
    </row>
    <row r="1172" spans="1:5" x14ac:dyDescent="0.25">
      <c r="A1172" s="26">
        <v>34973</v>
      </c>
      <c r="B1172" s="49">
        <f t="shared" si="19"/>
        <v>1995</v>
      </c>
      <c r="C1172" s="27" t="s">
        <v>34</v>
      </c>
      <c r="D1172" s="27" t="s">
        <v>29</v>
      </c>
      <c r="E1172" s="27">
        <v>210</v>
      </c>
    </row>
    <row r="1173" spans="1:5" x14ac:dyDescent="0.25">
      <c r="A1173" s="26">
        <v>34973</v>
      </c>
      <c r="B1173" s="49">
        <f t="shared" si="19"/>
        <v>1995</v>
      </c>
      <c r="C1173" s="27" t="s">
        <v>35</v>
      </c>
      <c r="D1173" s="27" t="s">
        <v>29</v>
      </c>
      <c r="E1173" s="27">
        <v>116</v>
      </c>
    </row>
    <row r="1174" spans="1:5" x14ac:dyDescent="0.25">
      <c r="A1174" s="26">
        <v>34973</v>
      </c>
      <c r="B1174" s="49">
        <f t="shared" si="19"/>
        <v>1995</v>
      </c>
      <c r="C1174" s="27" t="s">
        <v>27</v>
      </c>
      <c r="D1174" s="27" t="s">
        <v>29</v>
      </c>
      <c r="E1174" s="27">
        <v>360</v>
      </c>
    </row>
    <row r="1175" spans="1:5" x14ac:dyDescent="0.25">
      <c r="A1175" s="26">
        <v>34973</v>
      </c>
      <c r="B1175" s="49">
        <f t="shared" si="19"/>
        <v>1995</v>
      </c>
      <c r="C1175" s="27" t="s">
        <v>32</v>
      </c>
      <c r="D1175" s="27" t="s">
        <v>29</v>
      </c>
      <c r="E1175" s="27">
        <v>105</v>
      </c>
    </row>
    <row r="1176" spans="1:5" x14ac:dyDescent="0.25">
      <c r="A1176" s="26">
        <v>34973</v>
      </c>
      <c r="B1176" s="49">
        <f t="shared" si="19"/>
        <v>1995</v>
      </c>
      <c r="C1176" s="27" t="s">
        <v>34</v>
      </c>
      <c r="D1176" s="27" t="s">
        <v>29</v>
      </c>
      <c r="E1176" s="27">
        <v>472</v>
      </c>
    </row>
    <row r="1177" spans="1:5" x14ac:dyDescent="0.25">
      <c r="A1177" s="26">
        <v>34973</v>
      </c>
      <c r="B1177" s="49">
        <f t="shared" si="19"/>
        <v>1995</v>
      </c>
      <c r="C1177" s="27" t="s">
        <v>34</v>
      </c>
      <c r="D1177" s="27" t="s">
        <v>29</v>
      </c>
      <c r="E1177" s="27">
        <v>590</v>
      </c>
    </row>
    <row r="1178" spans="1:5" x14ac:dyDescent="0.25">
      <c r="A1178" s="26">
        <v>34973</v>
      </c>
      <c r="B1178" s="49">
        <f t="shared" si="19"/>
        <v>1995</v>
      </c>
      <c r="C1178" s="27" t="s">
        <v>32</v>
      </c>
      <c r="D1178" s="27" t="s">
        <v>29</v>
      </c>
      <c r="E1178" s="27">
        <v>739</v>
      </c>
    </row>
    <row r="1179" spans="1:5" x14ac:dyDescent="0.25">
      <c r="A1179" s="26">
        <v>34973</v>
      </c>
      <c r="B1179" s="49">
        <f t="shared" si="19"/>
        <v>1995</v>
      </c>
      <c r="C1179" s="27" t="s">
        <v>27</v>
      </c>
      <c r="D1179" s="27" t="s">
        <v>29</v>
      </c>
      <c r="E1179" s="27">
        <v>846</v>
      </c>
    </row>
    <row r="1180" spans="1:5" x14ac:dyDescent="0.25">
      <c r="A1180" s="26">
        <v>34973</v>
      </c>
      <c r="B1180" s="49">
        <f t="shared" si="19"/>
        <v>1995</v>
      </c>
      <c r="C1180" s="27" t="s">
        <v>27</v>
      </c>
      <c r="D1180" s="27" t="s">
        <v>29</v>
      </c>
      <c r="E1180" s="27">
        <v>873</v>
      </c>
    </row>
    <row r="1181" spans="1:5" x14ac:dyDescent="0.25">
      <c r="A1181" s="26">
        <v>34973</v>
      </c>
      <c r="B1181" s="49">
        <f t="shared" si="19"/>
        <v>1995</v>
      </c>
      <c r="C1181" s="27" t="s">
        <v>34</v>
      </c>
      <c r="D1181" s="27" t="s">
        <v>29</v>
      </c>
      <c r="E1181" s="27">
        <v>341</v>
      </c>
    </row>
    <row r="1182" spans="1:5" x14ac:dyDescent="0.25">
      <c r="A1182" s="26">
        <v>34973</v>
      </c>
      <c r="B1182" s="49">
        <f t="shared" si="19"/>
        <v>1995</v>
      </c>
      <c r="C1182" s="27" t="s">
        <v>35</v>
      </c>
      <c r="D1182" s="27" t="s">
        <v>29</v>
      </c>
      <c r="E1182" s="27">
        <v>90</v>
      </c>
    </row>
    <row r="1183" spans="1:5" x14ac:dyDescent="0.25">
      <c r="A1183" s="26">
        <v>34973</v>
      </c>
      <c r="B1183" s="49">
        <f t="shared" si="19"/>
        <v>1995</v>
      </c>
      <c r="C1183" s="27" t="s">
        <v>32</v>
      </c>
      <c r="D1183" s="27" t="s">
        <v>30</v>
      </c>
      <c r="E1183" s="27">
        <v>193</v>
      </c>
    </row>
    <row r="1184" spans="1:5" x14ac:dyDescent="0.25">
      <c r="A1184" s="26">
        <v>34973</v>
      </c>
      <c r="B1184" s="49">
        <f t="shared" si="19"/>
        <v>1995</v>
      </c>
      <c r="C1184" s="27" t="s">
        <v>32</v>
      </c>
      <c r="D1184" s="27" t="s">
        <v>30</v>
      </c>
      <c r="E1184" s="27">
        <v>193</v>
      </c>
    </row>
    <row r="1185" spans="1:5" x14ac:dyDescent="0.25">
      <c r="A1185" s="26">
        <v>34973</v>
      </c>
      <c r="B1185" s="49">
        <f t="shared" si="19"/>
        <v>1995</v>
      </c>
      <c r="C1185" s="27" t="s">
        <v>32</v>
      </c>
      <c r="D1185" s="27" t="s">
        <v>30</v>
      </c>
      <c r="E1185" s="27">
        <v>131</v>
      </c>
    </row>
    <row r="1186" spans="1:5" x14ac:dyDescent="0.25">
      <c r="A1186" s="26">
        <v>34973</v>
      </c>
      <c r="B1186" s="49">
        <f t="shared" si="19"/>
        <v>1995</v>
      </c>
      <c r="C1186" s="27" t="s">
        <v>27</v>
      </c>
      <c r="D1186" s="27" t="s">
        <v>30</v>
      </c>
      <c r="E1186" s="27">
        <v>55</v>
      </c>
    </row>
    <row r="1187" spans="1:5" x14ac:dyDescent="0.25">
      <c r="A1187" s="26">
        <v>34973</v>
      </c>
      <c r="B1187" s="49">
        <f t="shared" si="19"/>
        <v>1995</v>
      </c>
      <c r="C1187" s="27" t="s">
        <v>32</v>
      </c>
      <c r="D1187" s="27" t="s">
        <v>30</v>
      </c>
      <c r="E1187" s="27">
        <v>68</v>
      </c>
    </row>
    <row r="1188" spans="1:5" x14ac:dyDescent="0.25">
      <c r="A1188" s="26">
        <v>34973</v>
      </c>
      <c r="B1188" s="49">
        <f t="shared" si="19"/>
        <v>1995</v>
      </c>
      <c r="C1188" s="27" t="s">
        <v>27</v>
      </c>
      <c r="D1188" s="27" t="s">
        <v>30</v>
      </c>
      <c r="E1188" s="27">
        <v>79</v>
      </c>
    </row>
    <row r="1189" spans="1:5" x14ac:dyDescent="0.25">
      <c r="A1189" s="26">
        <v>34973</v>
      </c>
      <c r="B1189" s="49">
        <f t="shared" si="19"/>
        <v>1995</v>
      </c>
      <c r="C1189" s="27" t="s">
        <v>32</v>
      </c>
      <c r="D1189" s="27" t="s">
        <v>30</v>
      </c>
      <c r="E1189" s="27">
        <v>123</v>
      </c>
    </row>
    <row r="1190" spans="1:5" x14ac:dyDescent="0.25">
      <c r="A1190" s="26">
        <v>34973</v>
      </c>
      <c r="B1190" s="49">
        <f t="shared" si="19"/>
        <v>1995</v>
      </c>
      <c r="C1190" s="27" t="s">
        <v>27</v>
      </c>
      <c r="D1190" s="27" t="s">
        <v>30</v>
      </c>
      <c r="E1190" s="27">
        <v>122</v>
      </c>
    </row>
    <row r="1191" spans="1:5" x14ac:dyDescent="0.25">
      <c r="A1191" s="26">
        <v>34973</v>
      </c>
      <c r="B1191" s="49">
        <f t="shared" si="19"/>
        <v>1995</v>
      </c>
      <c r="C1191" s="27" t="s">
        <v>27</v>
      </c>
      <c r="D1191" s="27" t="s">
        <v>30</v>
      </c>
      <c r="E1191" s="27">
        <v>70</v>
      </c>
    </row>
    <row r="1192" spans="1:5" x14ac:dyDescent="0.25">
      <c r="A1192" s="26">
        <v>34973</v>
      </c>
      <c r="B1192" s="49">
        <f t="shared" si="19"/>
        <v>1995</v>
      </c>
      <c r="C1192" s="27" t="s">
        <v>32</v>
      </c>
      <c r="D1192" s="27" t="s">
        <v>30</v>
      </c>
      <c r="E1192" s="27">
        <v>79</v>
      </c>
    </row>
    <row r="1193" spans="1:5" x14ac:dyDescent="0.25">
      <c r="A1193" s="26">
        <v>34973</v>
      </c>
      <c r="B1193" s="49">
        <f t="shared" si="19"/>
        <v>1995</v>
      </c>
      <c r="C1193" s="27" t="s">
        <v>27</v>
      </c>
      <c r="D1193" s="27" t="s">
        <v>30</v>
      </c>
      <c r="E1193" s="27">
        <v>1810</v>
      </c>
    </row>
    <row r="1194" spans="1:5" x14ac:dyDescent="0.25">
      <c r="A1194" s="26">
        <v>34973</v>
      </c>
      <c r="B1194" s="49">
        <f t="shared" si="19"/>
        <v>1995</v>
      </c>
      <c r="C1194" s="27" t="s">
        <v>27</v>
      </c>
      <c r="D1194" s="27" t="s">
        <v>30</v>
      </c>
      <c r="E1194" s="27">
        <v>1681</v>
      </c>
    </row>
    <row r="1195" spans="1:5" x14ac:dyDescent="0.25">
      <c r="A1195" s="26">
        <v>34973</v>
      </c>
      <c r="B1195" s="49">
        <f t="shared" si="19"/>
        <v>1995</v>
      </c>
      <c r="C1195" s="27" t="s">
        <v>34</v>
      </c>
      <c r="D1195" s="27" t="s">
        <v>31</v>
      </c>
      <c r="E1195" s="27">
        <v>210</v>
      </c>
    </row>
    <row r="1196" spans="1:5" x14ac:dyDescent="0.25">
      <c r="A1196" s="26">
        <v>34973</v>
      </c>
      <c r="B1196" s="49">
        <f t="shared" si="19"/>
        <v>1995</v>
      </c>
      <c r="C1196" s="27" t="s">
        <v>35</v>
      </c>
      <c r="D1196" s="27" t="s">
        <v>31</v>
      </c>
      <c r="E1196" s="27">
        <v>123</v>
      </c>
    </row>
    <row r="1197" spans="1:5" x14ac:dyDescent="0.25">
      <c r="A1197" s="26">
        <v>34973</v>
      </c>
      <c r="B1197" s="49">
        <f t="shared" si="19"/>
        <v>1995</v>
      </c>
      <c r="C1197" s="27" t="s">
        <v>35</v>
      </c>
      <c r="D1197" s="27" t="s">
        <v>31</v>
      </c>
      <c r="E1197" s="27">
        <v>46</v>
      </c>
    </row>
    <row r="1198" spans="1:5" x14ac:dyDescent="0.25">
      <c r="A1198" s="26">
        <v>34973</v>
      </c>
      <c r="B1198" s="49">
        <f t="shared" si="19"/>
        <v>1995</v>
      </c>
      <c r="C1198" s="27" t="s">
        <v>27</v>
      </c>
      <c r="D1198" s="27" t="s">
        <v>31</v>
      </c>
      <c r="E1198" s="27">
        <v>70</v>
      </c>
    </row>
    <row r="1199" spans="1:5" x14ac:dyDescent="0.25">
      <c r="A1199" s="26">
        <v>34973</v>
      </c>
      <c r="B1199" s="49">
        <f t="shared" si="19"/>
        <v>1995</v>
      </c>
      <c r="C1199" s="27" t="s">
        <v>27</v>
      </c>
      <c r="D1199" s="27" t="s">
        <v>31</v>
      </c>
      <c r="E1199" s="27">
        <v>68</v>
      </c>
    </row>
    <row r="1200" spans="1:5" x14ac:dyDescent="0.25">
      <c r="A1200" s="26">
        <v>34973</v>
      </c>
      <c r="B1200" s="49">
        <f t="shared" si="19"/>
        <v>1995</v>
      </c>
      <c r="C1200" s="27" t="s">
        <v>35</v>
      </c>
      <c r="D1200" s="27" t="s">
        <v>31</v>
      </c>
      <c r="E1200" s="27">
        <v>68</v>
      </c>
    </row>
    <row r="1201" spans="1:5" x14ac:dyDescent="0.25">
      <c r="A1201" s="26">
        <v>34973</v>
      </c>
      <c r="B1201" s="49">
        <f t="shared" si="19"/>
        <v>1995</v>
      </c>
      <c r="C1201" s="27" t="s">
        <v>35</v>
      </c>
      <c r="D1201" s="27" t="s">
        <v>31</v>
      </c>
      <c r="E1201" s="27">
        <v>113</v>
      </c>
    </row>
    <row r="1202" spans="1:5" x14ac:dyDescent="0.25">
      <c r="A1202" s="26">
        <v>34973</v>
      </c>
      <c r="B1202" s="49">
        <f t="shared" si="19"/>
        <v>1995</v>
      </c>
      <c r="C1202" s="27" t="s">
        <v>27</v>
      </c>
      <c r="D1202" s="27" t="s">
        <v>31</v>
      </c>
      <c r="E1202" s="27">
        <v>326</v>
      </c>
    </row>
    <row r="1203" spans="1:5" x14ac:dyDescent="0.25">
      <c r="A1203" s="26">
        <v>34973</v>
      </c>
      <c r="B1203" s="49">
        <f t="shared" si="19"/>
        <v>1995</v>
      </c>
      <c r="C1203" s="27" t="s">
        <v>34</v>
      </c>
      <c r="D1203" s="27" t="s">
        <v>31</v>
      </c>
      <c r="E1203" s="27">
        <v>656</v>
      </c>
    </row>
    <row r="1204" spans="1:5" x14ac:dyDescent="0.25">
      <c r="A1204" s="26">
        <v>34973</v>
      </c>
      <c r="B1204" s="49">
        <f t="shared" si="19"/>
        <v>1995</v>
      </c>
      <c r="C1204" s="27" t="s">
        <v>34</v>
      </c>
      <c r="D1204" s="27" t="s">
        <v>31</v>
      </c>
      <c r="E1204" s="27">
        <v>405</v>
      </c>
    </row>
    <row r="1205" spans="1:5" x14ac:dyDescent="0.25">
      <c r="A1205" s="26">
        <v>34973</v>
      </c>
      <c r="B1205" s="49">
        <f t="shared" si="19"/>
        <v>1995</v>
      </c>
      <c r="C1205" s="27" t="s">
        <v>32</v>
      </c>
      <c r="D1205" s="27" t="s">
        <v>31</v>
      </c>
      <c r="E1205" s="27">
        <v>326</v>
      </c>
    </row>
    <row r="1206" spans="1:5" x14ac:dyDescent="0.25">
      <c r="A1206" s="26">
        <v>34973</v>
      </c>
      <c r="B1206" s="49">
        <f t="shared" si="19"/>
        <v>1995</v>
      </c>
      <c r="C1206" s="27" t="s">
        <v>32</v>
      </c>
      <c r="D1206" s="27" t="s">
        <v>31</v>
      </c>
      <c r="E1206" s="27">
        <v>270</v>
      </c>
    </row>
    <row r="1207" spans="1:5" x14ac:dyDescent="0.25">
      <c r="A1207" s="26">
        <v>34973</v>
      </c>
      <c r="B1207" s="49">
        <f t="shared" si="19"/>
        <v>1995</v>
      </c>
      <c r="C1207" s="27" t="s">
        <v>32</v>
      </c>
      <c r="D1207" s="27" t="s">
        <v>31</v>
      </c>
      <c r="E1207" s="27">
        <v>263</v>
      </c>
    </row>
    <row r="1208" spans="1:5" x14ac:dyDescent="0.25">
      <c r="A1208" s="26">
        <v>34973</v>
      </c>
      <c r="B1208" s="49">
        <f t="shared" si="19"/>
        <v>1995</v>
      </c>
      <c r="C1208" s="27" t="s">
        <v>34</v>
      </c>
      <c r="D1208" s="27" t="s">
        <v>31</v>
      </c>
      <c r="E1208" s="27">
        <v>263</v>
      </c>
    </row>
    <row r="1209" spans="1:5" x14ac:dyDescent="0.25">
      <c r="A1209" s="26">
        <v>34973</v>
      </c>
      <c r="B1209" s="49">
        <f t="shared" si="19"/>
        <v>1995</v>
      </c>
      <c r="C1209" s="27" t="s">
        <v>32</v>
      </c>
      <c r="D1209" s="27" t="s">
        <v>31</v>
      </c>
      <c r="E1209" s="27">
        <v>949</v>
      </c>
    </row>
    <row r="1210" spans="1:5" x14ac:dyDescent="0.25">
      <c r="A1210" s="26">
        <v>34973</v>
      </c>
      <c r="B1210" s="49">
        <f t="shared" si="19"/>
        <v>1995</v>
      </c>
      <c r="C1210" s="27" t="s">
        <v>27</v>
      </c>
      <c r="D1210" s="27" t="s">
        <v>31</v>
      </c>
      <c r="E1210" s="27">
        <v>1196</v>
      </c>
    </row>
    <row r="1211" spans="1:5" x14ac:dyDescent="0.25">
      <c r="A1211" s="26">
        <v>34973</v>
      </c>
      <c r="B1211" s="49">
        <f t="shared" si="19"/>
        <v>1995</v>
      </c>
      <c r="C1211" s="27" t="s">
        <v>32</v>
      </c>
      <c r="D1211" s="27" t="s">
        <v>33</v>
      </c>
      <c r="E1211" s="27">
        <v>338</v>
      </c>
    </row>
    <row r="1212" spans="1:5" x14ac:dyDescent="0.25">
      <c r="A1212" s="26">
        <v>34973</v>
      </c>
      <c r="B1212" s="49">
        <f t="shared" si="19"/>
        <v>1995</v>
      </c>
      <c r="C1212" s="27" t="s">
        <v>27</v>
      </c>
      <c r="D1212" s="27" t="s">
        <v>33</v>
      </c>
      <c r="E1212" s="27">
        <v>694</v>
      </c>
    </row>
    <row r="1213" spans="1:5" x14ac:dyDescent="0.25">
      <c r="A1213" s="26">
        <v>34973</v>
      </c>
      <c r="B1213" s="49">
        <f t="shared" si="19"/>
        <v>1995</v>
      </c>
      <c r="C1213" s="27" t="s">
        <v>34</v>
      </c>
      <c r="D1213" s="27" t="s">
        <v>33</v>
      </c>
      <c r="E1213" s="27">
        <v>908</v>
      </c>
    </row>
    <row r="1214" spans="1:5" x14ac:dyDescent="0.25">
      <c r="A1214" s="26">
        <v>34973</v>
      </c>
      <c r="B1214" s="49">
        <f t="shared" si="19"/>
        <v>1995</v>
      </c>
      <c r="C1214" s="27" t="s">
        <v>27</v>
      </c>
      <c r="D1214" s="27" t="s">
        <v>33</v>
      </c>
      <c r="E1214" s="27">
        <v>1051</v>
      </c>
    </row>
    <row r="1215" spans="1:5" x14ac:dyDescent="0.25">
      <c r="A1215" s="26">
        <v>34973</v>
      </c>
      <c r="B1215" s="49">
        <f t="shared" si="19"/>
        <v>1995</v>
      </c>
      <c r="C1215" s="27" t="s">
        <v>34</v>
      </c>
      <c r="D1215" s="27" t="s">
        <v>33</v>
      </c>
      <c r="E1215" s="27">
        <v>2797</v>
      </c>
    </row>
    <row r="1216" spans="1:5" x14ac:dyDescent="0.25">
      <c r="A1216" s="26">
        <v>34973</v>
      </c>
      <c r="B1216" s="49">
        <f t="shared" si="19"/>
        <v>1995</v>
      </c>
      <c r="C1216" s="27" t="s">
        <v>35</v>
      </c>
      <c r="D1216" s="27" t="s">
        <v>33</v>
      </c>
      <c r="E1216" s="27">
        <v>36</v>
      </c>
    </row>
    <row r="1217" spans="1:5" x14ac:dyDescent="0.25">
      <c r="A1217" s="26">
        <v>34973</v>
      </c>
      <c r="B1217" s="49">
        <f t="shared" si="19"/>
        <v>1995</v>
      </c>
      <c r="C1217" s="27" t="s">
        <v>32</v>
      </c>
      <c r="D1217" s="27" t="s">
        <v>33</v>
      </c>
      <c r="E1217" s="27">
        <v>1783</v>
      </c>
    </row>
    <row r="1218" spans="1:5" x14ac:dyDescent="0.25">
      <c r="A1218" s="26">
        <v>34973</v>
      </c>
      <c r="B1218" s="49">
        <f t="shared" si="19"/>
        <v>1995</v>
      </c>
      <c r="C1218" s="27" t="s">
        <v>35</v>
      </c>
      <c r="D1218" s="27" t="s">
        <v>33</v>
      </c>
      <c r="E1218" s="27">
        <v>53</v>
      </c>
    </row>
    <row r="1219" spans="1:5" x14ac:dyDescent="0.25">
      <c r="A1219" s="26">
        <v>34973</v>
      </c>
      <c r="B1219" s="49">
        <f t="shared" ref="B1219:B1282" si="20">YEAR(A1219)</f>
        <v>1995</v>
      </c>
      <c r="C1219" s="27" t="s">
        <v>34</v>
      </c>
      <c r="D1219" s="27" t="s">
        <v>33</v>
      </c>
      <c r="E1219" s="27">
        <v>39</v>
      </c>
    </row>
    <row r="1220" spans="1:5" x14ac:dyDescent="0.25">
      <c r="A1220" s="26">
        <v>34973</v>
      </c>
      <c r="B1220" s="49">
        <f t="shared" si="20"/>
        <v>1995</v>
      </c>
      <c r="C1220" s="27" t="s">
        <v>32</v>
      </c>
      <c r="D1220" s="27" t="s">
        <v>33</v>
      </c>
      <c r="E1220" s="27">
        <v>203</v>
      </c>
    </row>
    <row r="1221" spans="1:5" x14ac:dyDescent="0.25">
      <c r="A1221" s="26">
        <v>34973</v>
      </c>
      <c r="B1221" s="49">
        <f t="shared" si="20"/>
        <v>1995</v>
      </c>
      <c r="C1221" s="27" t="s">
        <v>27</v>
      </c>
      <c r="D1221" s="27" t="s">
        <v>33</v>
      </c>
      <c r="E1221" s="27">
        <v>68</v>
      </c>
    </row>
    <row r="1222" spans="1:5" x14ac:dyDescent="0.25">
      <c r="A1222" s="26">
        <v>34973</v>
      </c>
      <c r="B1222" s="49">
        <f t="shared" si="20"/>
        <v>1995</v>
      </c>
      <c r="C1222" s="27" t="s">
        <v>34</v>
      </c>
      <c r="D1222" s="27" t="s">
        <v>33</v>
      </c>
      <c r="E1222" s="27">
        <v>72</v>
      </c>
    </row>
    <row r="1223" spans="1:5" x14ac:dyDescent="0.25">
      <c r="A1223" s="26">
        <v>34973</v>
      </c>
      <c r="B1223" s="49">
        <f t="shared" si="20"/>
        <v>1995</v>
      </c>
      <c r="C1223" s="27" t="s">
        <v>35</v>
      </c>
      <c r="D1223" s="27" t="s">
        <v>33</v>
      </c>
      <c r="E1223" s="27">
        <v>77</v>
      </c>
    </row>
    <row r="1224" spans="1:5" x14ac:dyDescent="0.25">
      <c r="A1224" s="26">
        <v>34973</v>
      </c>
      <c r="B1224" s="49">
        <f t="shared" si="20"/>
        <v>1995</v>
      </c>
      <c r="C1224" s="27" t="s">
        <v>35</v>
      </c>
      <c r="D1224" s="27" t="s">
        <v>33</v>
      </c>
      <c r="E1224" s="27">
        <v>90</v>
      </c>
    </row>
    <row r="1225" spans="1:5" x14ac:dyDescent="0.25">
      <c r="A1225" s="26">
        <v>34973</v>
      </c>
      <c r="B1225" s="49">
        <f t="shared" si="20"/>
        <v>1995</v>
      </c>
      <c r="C1225" s="27" t="s">
        <v>27</v>
      </c>
      <c r="D1225" s="27" t="s">
        <v>33</v>
      </c>
      <c r="E1225" s="27">
        <v>44</v>
      </c>
    </row>
    <row r="1226" spans="1:5" x14ac:dyDescent="0.25">
      <c r="A1226" s="26">
        <v>34973</v>
      </c>
      <c r="B1226" s="49">
        <f t="shared" si="20"/>
        <v>1995</v>
      </c>
      <c r="C1226" s="27" t="s">
        <v>32</v>
      </c>
      <c r="D1226" s="27" t="s">
        <v>33</v>
      </c>
      <c r="E1226" s="27">
        <v>977</v>
      </c>
    </row>
    <row r="1227" spans="1:5" x14ac:dyDescent="0.25">
      <c r="A1227" s="26">
        <v>34973</v>
      </c>
      <c r="B1227" s="49">
        <f t="shared" si="20"/>
        <v>1995</v>
      </c>
      <c r="C1227" s="27" t="s">
        <v>35</v>
      </c>
      <c r="D1227" s="27" t="s">
        <v>36</v>
      </c>
      <c r="E1227" s="27">
        <v>121</v>
      </c>
    </row>
    <row r="1228" spans="1:5" x14ac:dyDescent="0.25">
      <c r="A1228" s="26">
        <v>34973</v>
      </c>
      <c r="B1228" s="49">
        <f t="shared" si="20"/>
        <v>1995</v>
      </c>
      <c r="C1228" s="27" t="s">
        <v>27</v>
      </c>
      <c r="D1228" s="27" t="s">
        <v>36</v>
      </c>
      <c r="E1228" s="27">
        <v>105</v>
      </c>
    </row>
    <row r="1229" spans="1:5" x14ac:dyDescent="0.25">
      <c r="A1229" s="26">
        <v>34973</v>
      </c>
      <c r="B1229" s="49">
        <f t="shared" si="20"/>
        <v>1995</v>
      </c>
      <c r="C1229" s="27" t="s">
        <v>32</v>
      </c>
      <c r="D1229" s="27" t="s">
        <v>36</v>
      </c>
      <c r="E1229" s="27">
        <v>110</v>
      </c>
    </row>
    <row r="1230" spans="1:5" x14ac:dyDescent="0.25">
      <c r="A1230" s="26">
        <v>34973</v>
      </c>
      <c r="B1230" s="49">
        <f t="shared" si="20"/>
        <v>1995</v>
      </c>
      <c r="C1230" s="27" t="s">
        <v>35</v>
      </c>
      <c r="D1230" s="27" t="s">
        <v>36</v>
      </c>
      <c r="E1230" s="27">
        <v>88</v>
      </c>
    </row>
    <row r="1231" spans="1:5" x14ac:dyDescent="0.25">
      <c r="A1231" s="26">
        <v>34973</v>
      </c>
      <c r="B1231" s="49">
        <f t="shared" si="20"/>
        <v>1995</v>
      </c>
      <c r="C1231" s="27" t="s">
        <v>27</v>
      </c>
      <c r="D1231" s="27" t="s">
        <v>36</v>
      </c>
      <c r="E1231" s="27">
        <v>124</v>
      </c>
    </row>
    <row r="1232" spans="1:5" x14ac:dyDescent="0.25">
      <c r="A1232" s="26">
        <v>34973</v>
      </c>
      <c r="B1232" s="49">
        <f t="shared" si="20"/>
        <v>1995</v>
      </c>
      <c r="C1232" s="27" t="s">
        <v>35</v>
      </c>
      <c r="D1232" s="27" t="s">
        <v>36</v>
      </c>
      <c r="E1232" s="27">
        <v>138</v>
      </c>
    </row>
    <row r="1233" spans="1:5" x14ac:dyDescent="0.25">
      <c r="A1233" s="26">
        <v>34973</v>
      </c>
      <c r="B1233" s="49">
        <f t="shared" si="20"/>
        <v>1995</v>
      </c>
      <c r="C1233" s="27" t="s">
        <v>32</v>
      </c>
      <c r="D1233" s="27" t="s">
        <v>36</v>
      </c>
      <c r="E1233" s="27">
        <v>138</v>
      </c>
    </row>
    <row r="1234" spans="1:5" x14ac:dyDescent="0.25">
      <c r="A1234" s="26">
        <v>34973</v>
      </c>
      <c r="B1234" s="49">
        <f t="shared" si="20"/>
        <v>1995</v>
      </c>
      <c r="C1234" s="27" t="s">
        <v>32</v>
      </c>
      <c r="D1234" s="27" t="s">
        <v>36</v>
      </c>
      <c r="E1234" s="27">
        <v>140</v>
      </c>
    </row>
    <row r="1235" spans="1:5" x14ac:dyDescent="0.25">
      <c r="A1235" s="26">
        <v>34973</v>
      </c>
      <c r="B1235" s="49">
        <f t="shared" si="20"/>
        <v>1995</v>
      </c>
      <c r="C1235" s="27" t="s">
        <v>35</v>
      </c>
      <c r="D1235" s="27" t="s">
        <v>36</v>
      </c>
      <c r="E1235" s="27">
        <v>146</v>
      </c>
    </row>
    <row r="1236" spans="1:5" x14ac:dyDescent="0.25">
      <c r="A1236" s="26">
        <v>34973</v>
      </c>
      <c r="B1236" s="49">
        <f t="shared" si="20"/>
        <v>1995</v>
      </c>
      <c r="C1236" s="27" t="s">
        <v>32</v>
      </c>
      <c r="D1236" s="27" t="s">
        <v>36</v>
      </c>
      <c r="E1236" s="27">
        <v>114</v>
      </c>
    </row>
    <row r="1237" spans="1:5" x14ac:dyDescent="0.25">
      <c r="A1237" s="26">
        <v>34973</v>
      </c>
      <c r="B1237" s="49">
        <f t="shared" si="20"/>
        <v>1995</v>
      </c>
      <c r="C1237" s="27" t="s">
        <v>27</v>
      </c>
      <c r="D1237" s="27" t="s">
        <v>36</v>
      </c>
      <c r="E1237" s="27">
        <v>39</v>
      </c>
    </row>
    <row r="1238" spans="1:5" x14ac:dyDescent="0.25">
      <c r="A1238" s="26">
        <v>34973</v>
      </c>
      <c r="B1238" s="49">
        <f t="shared" si="20"/>
        <v>1995</v>
      </c>
      <c r="C1238" s="27" t="s">
        <v>35</v>
      </c>
      <c r="D1238" s="27" t="s">
        <v>36</v>
      </c>
      <c r="E1238" s="27">
        <v>81</v>
      </c>
    </row>
    <row r="1239" spans="1:5" x14ac:dyDescent="0.25">
      <c r="A1239" s="26">
        <v>34973</v>
      </c>
      <c r="B1239" s="49">
        <f t="shared" si="20"/>
        <v>1995</v>
      </c>
      <c r="C1239" s="27" t="s">
        <v>32</v>
      </c>
      <c r="D1239" s="27" t="s">
        <v>36</v>
      </c>
      <c r="E1239" s="27">
        <v>629</v>
      </c>
    </row>
    <row r="1240" spans="1:5" x14ac:dyDescent="0.25">
      <c r="A1240" s="26">
        <v>34973</v>
      </c>
      <c r="B1240" s="49">
        <f t="shared" si="20"/>
        <v>1995</v>
      </c>
      <c r="C1240" s="27" t="s">
        <v>34</v>
      </c>
      <c r="D1240" s="27" t="s">
        <v>36</v>
      </c>
      <c r="E1240" s="27">
        <v>304</v>
      </c>
    </row>
    <row r="1241" spans="1:5" x14ac:dyDescent="0.25">
      <c r="A1241" s="26">
        <v>34973</v>
      </c>
      <c r="B1241" s="49">
        <f t="shared" si="20"/>
        <v>1995</v>
      </c>
      <c r="C1241" s="27" t="s">
        <v>35</v>
      </c>
      <c r="D1241" s="27" t="s">
        <v>36</v>
      </c>
      <c r="E1241" s="27">
        <v>149</v>
      </c>
    </row>
    <row r="1242" spans="1:5" x14ac:dyDescent="0.25">
      <c r="A1242" s="26">
        <v>34973</v>
      </c>
      <c r="B1242" s="49">
        <f t="shared" si="20"/>
        <v>1995</v>
      </c>
      <c r="C1242" s="27" t="s">
        <v>32</v>
      </c>
      <c r="D1242" s="27" t="s">
        <v>36</v>
      </c>
      <c r="E1242" s="27">
        <v>191</v>
      </c>
    </row>
    <row r="1243" spans="1:5" x14ac:dyDescent="0.25">
      <c r="A1243" s="26">
        <v>34973</v>
      </c>
      <c r="B1243" s="49">
        <f t="shared" si="20"/>
        <v>1995</v>
      </c>
      <c r="C1243" s="27" t="s">
        <v>34</v>
      </c>
      <c r="D1243" s="27" t="s">
        <v>36</v>
      </c>
      <c r="E1243" s="27">
        <v>206</v>
      </c>
    </row>
    <row r="1244" spans="1:5" x14ac:dyDescent="0.25">
      <c r="A1244" s="26">
        <v>34973</v>
      </c>
      <c r="B1244" s="49">
        <f t="shared" si="20"/>
        <v>1995</v>
      </c>
      <c r="C1244" s="27" t="s">
        <v>34</v>
      </c>
      <c r="D1244" s="27" t="s">
        <v>36</v>
      </c>
      <c r="E1244" s="27">
        <v>330</v>
      </c>
    </row>
    <row r="1245" spans="1:5" x14ac:dyDescent="0.25">
      <c r="A1245" s="26">
        <v>34973</v>
      </c>
      <c r="B1245" s="49">
        <f t="shared" si="20"/>
        <v>1995</v>
      </c>
      <c r="C1245" s="27" t="s">
        <v>34</v>
      </c>
      <c r="D1245" s="27" t="s">
        <v>36</v>
      </c>
      <c r="E1245" s="27">
        <v>315</v>
      </c>
    </row>
    <row r="1246" spans="1:5" x14ac:dyDescent="0.25">
      <c r="A1246" s="26">
        <v>34973</v>
      </c>
      <c r="B1246" s="49">
        <f t="shared" si="20"/>
        <v>1995</v>
      </c>
      <c r="C1246" s="27" t="s">
        <v>27</v>
      </c>
      <c r="D1246" s="27" t="s">
        <v>36</v>
      </c>
      <c r="E1246" s="27">
        <v>146</v>
      </c>
    </row>
    <row r="1247" spans="1:5" x14ac:dyDescent="0.25">
      <c r="A1247" s="26">
        <v>34973</v>
      </c>
      <c r="B1247" s="49">
        <f t="shared" si="20"/>
        <v>1995</v>
      </c>
      <c r="C1247" s="27" t="s">
        <v>27</v>
      </c>
      <c r="D1247" s="27" t="s">
        <v>36</v>
      </c>
      <c r="E1247" s="27">
        <v>28</v>
      </c>
    </row>
    <row r="1248" spans="1:5" x14ac:dyDescent="0.25">
      <c r="A1248" s="26">
        <v>34973</v>
      </c>
      <c r="B1248" s="49">
        <f t="shared" si="20"/>
        <v>1995</v>
      </c>
      <c r="C1248" s="27" t="s">
        <v>27</v>
      </c>
      <c r="D1248" s="27" t="s">
        <v>36</v>
      </c>
      <c r="E1248" s="27">
        <v>23</v>
      </c>
    </row>
    <row r="1249" spans="1:5" x14ac:dyDescent="0.25">
      <c r="A1249" s="26">
        <v>34973</v>
      </c>
      <c r="B1249" s="49">
        <f t="shared" si="20"/>
        <v>1995</v>
      </c>
      <c r="C1249" s="27" t="s">
        <v>34</v>
      </c>
      <c r="D1249" s="27" t="s">
        <v>36</v>
      </c>
      <c r="E1249" s="27">
        <v>777</v>
      </c>
    </row>
    <row r="1250" spans="1:5" x14ac:dyDescent="0.25">
      <c r="A1250" s="26">
        <v>35004</v>
      </c>
      <c r="B1250" s="49">
        <f t="shared" si="20"/>
        <v>1995</v>
      </c>
      <c r="C1250" s="27" t="s">
        <v>27</v>
      </c>
      <c r="D1250" s="27" t="s">
        <v>28</v>
      </c>
      <c r="E1250" s="27">
        <v>923</v>
      </c>
    </row>
    <row r="1251" spans="1:5" x14ac:dyDescent="0.25">
      <c r="A1251" s="26">
        <v>35004</v>
      </c>
      <c r="B1251" s="49">
        <f t="shared" si="20"/>
        <v>1995</v>
      </c>
      <c r="C1251" s="27" t="s">
        <v>35</v>
      </c>
      <c r="D1251" s="27" t="s">
        <v>28</v>
      </c>
      <c r="E1251" s="27">
        <v>212</v>
      </c>
    </row>
    <row r="1252" spans="1:5" x14ac:dyDescent="0.25">
      <c r="A1252" s="26">
        <v>35004</v>
      </c>
      <c r="B1252" s="49">
        <f t="shared" si="20"/>
        <v>1995</v>
      </c>
      <c r="C1252" s="27" t="s">
        <v>32</v>
      </c>
      <c r="D1252" s="27" t="s">
        <v>28</v>
      </c>
      <c r="E1252" s="27">
        <v>248</v>
      </c>
    </row>
    <row r="1253" spans="1:5" x14ac:dyDescent="0.25">
      <c r="A1253" s="26">
        <v>35004</v>
      </c>
      <c r="B1253" s="49">
        <f t="shared" si="20"/>
        <v>1995</v>
      </c>
      <c r="C1253" s="27" t="s">
        <v>35</v>
      </c>
      <c r="D1253" s="27" t="s">
        <v>28</v>
      </c>
      <c r="E1253" s="27">
        <v>248</v>
      </c>
    </row>
    <row r="1254" spans="1:5" x14ac:dyDescent="0.25">
      <c r="A1254" s="26">
        <v>35004</v>
      </c>
      <c r="B1254" s="49">
        <f t="shared" si="20"/>
        <v>1995</v>
      </c>
      <c r="C1254" s="27" t="s">
        <v>34</v>
      </c>
      <c r="D1254" s="27" t="s">
        <v>28</v>
      </c>
      <c r="E1254" s="27">
        <v>270</v>
      </c>
    </row>
    <row r="1255" spans="1:5" x14ac:dyDescent="0.25">
      <c r="A1255" s="26">
        <v>35004</v>
      </c>
      <c r="B1255" s="49">
        <f t="shared" si="20"/>
        <v>1995</v>
      </c>
      <c r="C1255" s="27" t="s">
        <v>34</v>
      </c>
      <c r="D1255" s="27" t="s">
        <v>28</v>
      </c>
      <c r="E1255" s="27">
        <v>413</v>
      </c>
    </row>
    <row r="1256" spans="1:5" x14ac:dyDescent="0.25">
      <c r="A1256" s="26">
        <v>35004</v>
      </c>
      <c r="B1256" s="49">
        <f t="shared" si="20"/>
        <v>1995</v>
      </c>
      <c r="C1256" s="27" t="s">
        <v>27</v>
      </c>
      <c r="D1256" s="27" t="s">
        <v>28</v>
      </c>
      <c r="E1256" s="27">
        <v>427</v>
      </c>
    </row>
    <row r="1257" spans="1:5" x14ac:dyDescent="0.25">
      <c r="A1257" s="26">
        <v>35004</v>
      </c>
      <c r="B1257" s="49">
        <f t="shared" si="20"/>
        <v>1995</v>
      </c>
      <c r="C1257" s="27" t="s">
        <v>37</v>
      </c>
      <c r="D1257" s="27" t="s">
        <v>28</v>
      </c>
      <c r="E1257" s="27">
        <v>534</v>
      </c>
    </row>
    <row r="1258" spans="1:5" x14ac:dyDescent="0.25">
      <c r="A1258" s="26">
        <v>35004</v>
      </c>
      <c r="B1258" s="49">
        <f t="shared" si="20"/>
        <v>1995</v>
      </c>
      <c r="C1258" s="27" t="s">
        <v>27</v>
      </c>
      <c r="D1258" s="27" t="s">
        <v>28</v>
      </c>
      <c r="E1258" s="27">
        <v>563</v>
      </c>
    </row>
    <row r="1259" spans="1:5" x14ac:dyDescent="0.25">
      <c r="A1259" s="26">
        <v>35004</v>
      </c>
      <c r="B1259" s="49">
        <f t="shared" si="20"/>
        <v>1995</v>
      </c>
      <c r="C1259" s="27" t="s">
        <v>32</v>
      </c>
      <c r="D1259" s="27" t="s">
        <v>28</v>
      </c>
      <c r="E1259" s="27">
        <v>588</v>
      </c>
    </row>
    <row r="1260" spans="1:5" x14ac:dyDescent="0.25">
      <c r="A1260" s="26">
        <v>35004</v>
      </c>
      <c r="B1260" s="49">
        <f t="shared" si="20"/>
        <v>1995</v>
      </c>
      <c r="C1260" s="27" t="s">
        <v>37</v>
      </c>
      <c r="D1260" s="27" t="s">
        <v>28</v>
      </c>
      <c r="E1260" s="27">
        <v>902</v>
      </c>
    </row>
    <row r="1261" spans="1:5" x14ac:dyDescent="0.25">
      <c r="A1261" s="26">
        <v>35004</v>
      </c>
      <c r="B1261" s="49">
        <f t="shared" si="20"/>
        <v>1995</v>
      </c>
      <c r="C1261" s="27" t="s">
        <v>34</v>
      </c>
      <c r="D1261" s="27" t="s">
        <v>28</v>
      </c>
      <c r="E1261" s="27">
        <v>972</v>
      </c>
    </row>
    <row r="1262" spans="1:5" x14ac:dyDescent="0.25">
      <c r="A1262" s="26">
        <v>35004</v>
      </c>
      <c r="B1262" s="49">
        <f t="shared" si="20"/>
        <v>1995</v>
      </c>
      <c r="C1262" s="27" t="s">
        <v>34</v>
      </c>
      <c r="D1262" s="27" t="s">
        <v>28</v>
      </c>
      <c r="E1262" s="27">
        <v>1600</v>
      </c>
    </row>
    <row r="1263" spans="1:5" x14ac:dyDescent="0.25">
      <c r="A1263" s="26">
        <v>35004</v>
      </c>
      <c r="B1263" s="49">
        <f t="shared" si="20"/>
        <v>1995</v>
      </c>
      <c r="C1263" s="27" t="s">
        <v>27</v>
      </c>
      <c r="D1263" s="27" t="s">
        <v>28</v>
      </c>
      <c r="E1263" s="27">
        <v>658</v>
      </c>
    </row>
    <row r="1264" spans="1:5" x14ac:dyDescent="0.25">
      <c r="A1264" s="26">
        <v>35004</v>
      </c>
      <c r="B1264" s="49">
        <f t="shared" si="20"/>
        <v>1995</v>
      </c>
      <c r="C1264" s="27" t="s">
        <v>35</v>
      </c>
      <c r="D1264" s="27" t="s">
        <v>28</v>
      </c>
      <c r="E1264" s="27">
        <v>169</v>
      </c>
    </row>
    <row r="1265" spans="1:5" x14ac:dyDescent="0.25">
      <c r="A1265" s="26">
        <v>35004</v>
      </c>
      <c r="B1265" s="49">
        <f t="shared" si="20"/>
        <v>1995</v>
      </c>
      <c r="C1265" s="27" t="s">
        <v>35</v>
      </c>
      <c r="D1265" s="27" t="s">
        <v>28</v>
      </c>
      <c r="E1265" s="27">
        <v>66</v>
      </c>
    </row>
    <row r="1266" spans="1:5" x14ac:dyDescent="0.25">
      <c r="A1266" s="26">
        <v>35004</v>
      </c>
      <c r="B1266" s="49">
        <f t="shared" si="20"/>
        <v>1995</v>
      </c>
      <c r="C1266" s="27" t="s">
        <v>32</v>
      </c>
      <c r="D1266" s="27" t="s">
        <v>28</v>
      </c>
      <c r="E1266" s="27">
        <v>113</v>
      </c>
    </row>
    <row r="1267" spans="1:5" x14ac:dyDescent="0.25">
      <c r="A1267" s="26">
        <v>35004</v>
      </c>
      <c r="B1267" s="49">
        <f t="shared" si="20"/>
        <v>1995</v>
      </c>
      <c r="C1267" s="27" t="s">
        <v>32</v>
      </c>
      <c r="D1267" s="27" t="s">
        <v>29</v>
      </c>
      <c r="E1267" s="27">
        <v>114</v>
      </c>
    </row>
    <row r="1268" spans="1:5" x14ac:dyDescent="0.25">
      <c r="A1268" s="26">
        <v>35004</v>
      </c>
      <c r="B1268" s="49">
        <f t="shared" si="20"/>
        <v>1995</v>
      </c>
      <c r="C1268" s="27" t="s">
        <v>37</v>
      </c>
      <c r="D1268" s="27" t="s">
        <v>29</v>
      </c>
      <c r="E1268" s="27">
        <v>131</v>
      </c>
    </row>
    <row r="1269" spans="1:5" x14ac:dyDescent="0.25">
      <c r="A1269" s="26">
        <v>35004</v>
      </c>
      <c r="B1269" s="49">
        <f t="shared" si="20"/>
        <v>1995</v>
      </c>
      <c r="C1269" s="27" t="s">
        <v>32</v>
      </c>
      <c r="D1269" s="27" t="s">
        <v>29</v>
      </c>
      <c r="E1269" s="27">
        <v>140</v>
      </c>
    </row>
    <row r="1270" spans="1:5" x14ac:dyDescent="0.25">
      <c r="A1270" s="26">
        <v>35004</v>
      </c>
      <c r="B1270" s="49">
        <f t="shared" si="20"/>
        <v>1995</v>
      </c>
      <c r="C1270" s="27" t="s">
        <v>35</v>
      </c>
      <c r="D1270" s="27" t="s">
        <v>29</v>
      </c>
      <c r="E1270" s="27">
        <v>144</v>
      </c>
    </row>
    <row r="1271" spans="1:5" x14ac:dyDescent="0.25">
      <c r="A1271" s="26">
        <v>35004</v>
      </c>
      <c r="B1271" s="49">
        <f t="shared" si="20"/>
        <v>1995</v>
      </c>
      <c r="C1271" s="27" t="s">
        <v>35</v>
      </c>
      <c r="D1271" s="27" t="s">
        <v>29</v>
      </c>
      <c r="E1271" s="27">
        <v>196</v>
      </c>
    </row>
    <row r="1272" spans="1:5" x14ac:dyDescent="0.25">
      <c r="A1272" s="26">
        <v>35004</v>
      </c>
      <c r="B1272" s="49">
        <f t="shared" si="20"/>
        <v>1995</v>
      </c>
      <c r="C1272" s="27" t="s">
        <v>32</v>
      </c>
      <c r="D1272" s="27" t="s">
        <v>29</v>
      </c>
      <c r="E1272" s="27">
        <v>169</v>
      </c>
    </row>
    <row r="1273" spans="1:5" x14ac:dyDescent="0.25">
      <c r="A1273" s="26">
        <v>35004</v>
      </c>
      <c r="B1273" s="49">
        <f t="shared" si="20"/>
        <v>1995</v>
      </c>
      <c r="C1273" s="27" t="s">
        <v>32</v>
      </c>
      <c r="D1273" s="27" t="s">
        <v>29</v>
      </c>
      <c r="E1273" s="27">
        <v>450</v>
      </c>
    </row>
    <row r="1274" spans="1:5" x14ac:dyDescent="0.25">
      <c r="A1274" s="26">
        <v>35004</v>
      </c>
      <c r="B1274" s="49">
        <f t="shared" si="20"/>
        <v>1995</v>
      </c>
      <c r="C1274" s="27" t="s">
        <v>37</v>
      </c>
      <c r="D1274" s="27" t="s">
        <v>29</v>
      </c>
      <c r="E1274" s="27">
        <v>214</v>
      </c>
    </row>
    <row r="1275" spans="1:5" x14ac:dyDescent="0.25">
      <c r="A1275" s="26">
        <v>35004</v>
      </c>
      <c r="B1275" s="49">
        <f t="shared" si="20"/>
        <v>1995</v>
      </c>
      <c r="C1275" s="27" t="s">
        <v>35</v>
      </c>
      <c r="D1275" s="27" t="s">
        <v>29</v>
      </c>
      <c r="E1275" s="27">
        <v>245</v>
      </c>
    </row>
    <row r="1276" spans="1:5" x14ac:dyDescent="0.25">
      <c r="A1276" s="26">
        <v>35004</v>
      </c>
      <c r="B1276" s="49">
        <f t="shared" si="20"/>
        <v>1995</v>
      </c>
      <c r="C1276" s="27" t="s">
        <v>34</v>
      </c>
      <c r="D1276" s="27" t="s">
        <v>29</v>
      </c>
      <c r="E1276" s="27">
        <v>263</v>
      </c>
    </row>
    <row r="1277" spans="1:5" x14ac:dyDescent="0.25">
      <c r="A1277" s="26">
        <v>35004</v>
      </c>
      <c r="B1277" s="49">
        <f t="shared" si="20"/>
        <v>1995</v>
      </c>
      <c r="C1277" s="27" t="s">
        <v>27</v>
      </c>
      <c r="D1277" s="27" t="s">
        <v>29</v>
      </c>
      <c r="E1277" s="27">
        <v>306</v>
      </c>
    </row>
    <row r="1278" spans="1:5" x14ac:dyDescent="0.25">
      <c r="A1278" s="26">
        <v>35004</v>
      </c>
      <c r="B1278" s="49">
        <f t="shared" si="20"/>
        <v>1995</v>
      </c>
      <c r="C1278" s="27" t="s">
        <v>35</v>
      </c>
      <c r="D1278" s="27" t="s">
        <v>29</v>
      </c>
      <c r="E1278" s="27">
        <v>315</v>
      </c>
    </row>
    <row r="1279" spans="1:5" x14ac:dyDescent="0.25">
      <c r="A1279" s="26">
        <v>35004</v>
      </c>
      <c r="B1279" s="49">
        <f t="shared" si="20"/>
        <v>1995</v>
      </c>
      <c r="C1279" s="27" t="s">
        <v>27</v>
      </c>
      <c r="D1279" s="27" t="s">
        <v>29</v>
      </c>
      <c r="E1279" s="27">
        <v>620</v>
      </c>
    </row>
    <row r="1280" spans="1:5" x14ac:dyDescent="0.25">
      <c r="A1280" s="26">
        <v>35004</v>
      </c>
      <c r="B1280" s="49">
        <f t="shared" si="20"/>
        <v>1995</v>
      </c>
      <c r="C1280" s="27" t="s">
        <v>34</v>
      </c>
      <c r="D1280" s="27" t="s">
        <v>29</v>
      </c>
      <c r="E1280" s="27">
        <v>623</v>
      </c>
    </row>
    <row r="1281" spans="1:5" x14ac:dyDescent="0.25">
      <c r="A1281" s="26">
        <v>35004</v>
      </c>
      <c r="B1281" s="49">
        <f t="shared" si="20"/>
        <v>1995</v>
      </c>
      <c r="C1281" s="27" t="s">
        <v>27</v>
      </c>
      <c r="D1281" s="27" t="s">
        <v>29</v>
      </c>
      <c r="E1281" s="27">
        <v>690</v>
      </c>
    </row>
    <row r="1282" spans="1:5" x14ac:dyDescent="0.25">
      <c r="A1282" s="26">
        <v>35004</v>
      </c>
      <c r="B1282" s="49">
        <f t="shared" si="20"/>
        <v>1995</v>
      </c>
      <c r="C1282" s="27" t="s">
        <v>34</v>
      </c>
      <c r="D1282" s="27" t="s">
        <v>29</v>
      </c>
      <c r="E1282" s="27">
        <v>696</v>
      </c>
    </row>
    <row r="1283" spans="1:5" x14ac:dyDescent="0.25">
      <c r="A1283" s="26">
        <v>35004</v>
      </c>
      <c r="B1283" s="49">
        <f t="shared" ref="B1283:B1346" si="21">YEAR(A1283)</f>
        <v>1995</v>
      </c>
      <c r="C1283" s="27" t="s">
        <v>27</v>
      </c>
      <c r="D1283" s="27" t="s">
        <v>29</v>
      </c>
      <c r="E1283" s="27">
        <v>1124</v>
      </c>
    </row>
    <row r="1284" spans="1:5" x14ac:dyDescent="0.25">
      <c r="A1284" s="26">
        <v>35004</v>
      </c>
      <c r="B1284" s="49">
        <f t="shared" si="21"/>
        <v>1995</v>
      </c>
      <c r="C1284" s="27" t="s">
        <v>34</v>
      </c>
      <c r="D1284" s="27" t="s">
        <v>29</v>
      </c>
      <c r="E1284" s="27">
        <v>394</v>
      </c>
    </row>
    <row r="1285" spans="1:5" x14ac:dyDescent="0.25">
      <c r="A1285" s="26">
        <v>35004</v>
      </c>
      <c r="B1285" s="49">
        <f t="shared" si="21"/>
        <v>1995</v>
      </c>
      <c r="C1285" s="27" t="s">
        <v>32</v>
      </c>
      <c r="D1285" s="27" t="s">
        <v>30</v>
      </c>
      <c r="E1285" s="27">
        <v>105</v>
      </c>
    </row>
    <row r="1286" spans="1:5" x14ac:dyDescent="0.25">
      <c r="A1286" s="26">
        <v>35004</v>
      </c>
      <c r="B1286" s="49">
        <f t="shared" si="21"/>
        <v>1995</v>
      </c>
      <c r="C1286" s="27" t="s">
        <v>27</v>
      </c>
      <c r="D1286" s="27" t="s">
        <v>30</v>
      </c>
      <c r="E1286" s="27">
        <v>90</v>
      </c>
    </row>
    <row r="1287" spans="1:5" x14ac:dyDescent="0.25">
      <c r="A1287" s="26">
        <v>35004</v>
      </c>
      <c r="B1287" s="49">
        <f t="shared" si="21"/>
        <v>1995</v>
      </c>
      <c r="C1287" s="27" t="s">
        <v>32</v>
      </c>
      <c r="D1287" s="27" t="s">
        <v>30</v>
      </c>
      <c r="E1287" s="27">
        <v>90</v>
      </c>
    </row>
    <row r="1288" spans="1:5" x14ac:dyDescent="0.25">
      <c r="A1288" s="26">
        <v>35004</v>
      </c>
      <c r="B1288" s="49">
        <f t="shared" si="21"/>
        <v>1995</v>
      </c>
      <c r="C1288" s="27" t="s">
        <v>32</v>
      </c>
      <c r="D1288" s="27" t="s">
        <v>30</v>
      </c>
      <c r="E1288" s="27">
        <v>90</v>
      </c>
    </row>
    <row r="1289" spans="1:5" x14ac:dyDescent="0.25">
      <c r="A1289" s="26">
        <v>35004</v>
      </c>
      <c r="B1289" s="49">
        <f t="shared" si="21"/>
        <v>1995</v>
      </c>
      <c r="C1289" s="27" t="s">
        <v>27</v>
      </c>
      <c r="D1289" s="27" t="s">
        <v>30</v>
      </c>
      <c r="E1289" s="27">
        <v>81</v>
      </c>
    </row>
    <row r="1290" spans="1:5" x14ac:dyDescent="0.25">
      <c r="A1290" s="26">
        <v>35004</v>
      </c>
      <c r="B1290" s="49">
        <f t="shared" si="21"/>
        <v>1995</v>
      </c>
      <c r="C1290" s="27" t="s">
        <v>27</v>
      </c>
      <c r="D1290" s="27" t="s">
        <v>30</v>
      </c>
      <c r="E1290" s="27">
        <v>55</v>
      </c>
    </row>
    <row r="1291" spans="1:5" x14ac:dyDescent="0.25">
      <c r="A1291" s="26">
        <v>35004</v>
      </c>
      <c r="B1291" s="49">
        <f t="shared" si="21"/>
        <v>1995</v>
      </c>
      <c r="C1291" s="27" t="s">
        <v>27</v>
      </c>
      <c r="D1291" s="27" t="s">
        <v>30</v>
      </c>
      <c r="E1291" s="27">
        <v>1975</v>
      </c>
    </row>
    <row r="1292" spans="1:5" x14ac:dyDescent="0.25">
      <c r="A1292" s="26">
        <v>35004</v>
      </c>
      <c r="B1292" s="49">
        <f t="shared" si="21"/>
        <v>1995</v>
      </c>
      <c r="C1292" s="27" t="s">
        <v>27</v>
      </c>
      <c r="D1292" s="27" t="s">
        <v>30</v>
      </c>
      <c r="E1292" s="27">
        <v>3490</v>
      </c>
    </row>
    <row r="1293" spans="1:5" x14ac:dyDescent="0.25">
      <c r="A1293" s="26">
        <v>35004</v>
      </c>
      <c r="B1293" s="49">
        <f t="shared" si="21"/>
        <v>1995</v>
      </c>
      <c r="C1293" s="27" t="s">
        <v>27</v>
      </c>
      <c r="D1293" s="27" t="s">
        <v>30</v>
      </c>
      <c r="E1293" s="27">
        <v>113</v>
      </c>
    </row>
    <row r="1294" spans="1:5" x14ac:dyDescent="0.25">
      <c r="A1294" s="26">
        <v>35004</v>
      </c>
      <c r="B1294" s="49">
        <f t="shared" si="21"/>
        <v>1995</v>
      </c>
      <c r="C1294" s="27" t="s">
        <v>32</v>
      </c>
      <c r="D1294" s="27" t="s">
        <v>30</v>
      </c>
      <c r="E1294" s="27">
        <v>140</v>
      </c>
    </row>
    <row r="1295" spans="1:5" x14ac:dyDescent="0.25">
      <c r="A1295" s="26">
        <v>35004</v>
      </c>
      <c r="B1295" s="49">
        <f t="shared" si="21"/>
        <v>1995</v>
      </c>
      <c r="C1295" s="27" t="s">
        <v>32</v>
      </c>
      <c r="D1295" s="27" t="s">
        <v>30</v>
      </c>
      <c r="E1295" s="27">
        <v>234</v>
      </c>
    </row>
    <row r="1296" spans="1:5" x14ac:dyDescent="0.25">
      <c r="A1296" s="26">
        <v>35004</v>
      </c>
      <c r="B1296" s="49">
        <f t="shared" si="21"/>
        <v>1995</v>
      </c>
      <c r="C1296" s="27" t="s">
        <v>32</v>
      </c>
      <c r="D1296" s="27" t="s">
        <v>30</v>
      </c>
      <c r="E1296" s="27">
        <v>248</v>
      </c>
    </row>
    <row r="1297" spans="1:5" x14ac:dyDescent="0.25">
      <c r="A1297" s="26">
        <v>35004</v>
      </c>
      <c r="B1297" s="49">
        <f t="shared" si="21"/>
        <v>1995</v>
      </c>
      <c r="C1297" s="27" t="s">
        <v>27</v>
      </c>
      <c r="D1297" s="27" t="s">
        <v>31</v>
      </c>
      <c r="E1297" s="27">
        <v>1456</v>
      </c>
    </row>
    <row r="1298" spans="1:5" x14ac:dyDescent="0.25">
      <c r="A1298" s="26">
        <v>35004</v>
      </c>
      <c r="B1298" s="49">
        <f t="shared" si="21"/>
        <v>1995</v>
      </c>
      <c r="C1298" s="27" t="s">
        <v>37</v>
      </c>
      <c r="D1298" s="27" t="s">
        <v>31</v>
      </c>
      <c r="E1298" s="27">
        <v>140</v>
      </c>
    </row>
    <row r="1299" spans="1:5" x14ac:dyDescent="0.25">
      <c r="A1299" s="26">
        <v>35004</v>
      </c>
      <c r="B1299" s="49">
        <f t="shared" si="21"/>
        <v>1995</v>
      </c>
      <c r="C1299" s="27" t="s">
        <v>32</v>
      </c>
      <c r="D1299" s="27" t="s">
        <v>31</v>
      </c>
      <c r="E1299" s="27">
        <v>135</v>
      </c>
    </row>
    <row r="1300" spans="1:5" x14ac:dyDescent="0.25">
      <c r="A1300" s="26">
        <v>35004</v>
      </c>
      <c r="B1300" s="49">
        <f t="shared" si="21"/>
        <v>1995</v>
      </c>
      <c r="C1300" s="27" t="s">
        <v>27</v>
      </c>
      <c r="D1300" s="27" t="s">
        <v>31</v>
      </c>
      <c r="E1300" s="27">
        <v>90</v>
      </c>
    </row>
    <row r="1301" spans="1:5" x14ac:dyDescent="0.25">
      <c r="A1301" s="26">
        <v>35004</v>
      </c>
      <c r="B1301" s="49">
        <f t="shared" si="21"/>
        <v>1995</v>
      </c>
      <c r="C1301" s="27" t="s">
        <v>27</v>
      </c>
      <c r="D1301" s="27" t="s">
        <v>31</v>
      </c>
      <c r="E1301" s="27">
        <v>88</v>
      </c>
    </row>
    <row r="1302" spans="1:5" x14ac:dyDescent="0.25">
      <c r="A1302" s="26">
        <v>35004</v>
      </c>
      <c r="B1302" s="49">
        <f t="shared" si="21"/>
        <v>1995</v>
      </c>
      <c r="C1302" s="27" t="s">
        <v>37</v>
      </c>
      <c r="D1302" s="27" t="s">
        <v>31</v>
      </c>
      <c r="E1302" s="27">
        <v>79</v>
      </c>
    </row>
    <row r="1303" spans="1:5" x14ac:dyDescent="0.25">
      <c r="A1303" s="26">
        <v>35004</v>
      </c>
      <c r="B1303" s="49">
        <f t="shared" si="21"/>
        <v>1995</v>
      </c>
      <c r="C1303" s="27" t="s">
        <v>35</v>
      </c>
      <c r="D1303" s="27" t="s">
        <v>31</v>
      </c>
      <c r="E1303" s="27">
        <v>53</v>
      </c>
    </row>
    <row r="1304" spans="1:5" x14ac:dyDescent="0.25">
      <c r="A1304" s="26">
        <v>35004</v>
      </c>
      <c r="B1304" s="49">
        <f t="shared" si="21"/>
        <v>1995</v>
      </c>
      <c r="C1304" s="27" t="s">
        <v>35</v>
      </c>
      <c r="D1304" s="27" t="s">
        <v>31</v>
      </c>
      <c r="E1304" s="27">
        <v>81</v>
      </c>
    </row>
    <row r="1305" spans="1:5" x14ac:dyDescent="0.25">
      <c r="A1305" s="26">
        <v>35004</v>
      </c>
      <c r="B1305" s="49">
        <f t="shared" si="21"/>
        <v>1995</v>
      </c>
      <c r="C1305" s="27" t="s">
        <v>35</v>
      </c>
      <c r="D1305" s="27" t="s">
        <v>31</v>
      </c>
      <c r="E1305" s="27">
        <v>113</v>
      </c>
    </row>
    <row r="1306" spans="1:5" x14ac:dyDescent="0.25">
      <c r="A1306" s="26">
        <v>35004</v>
      </c>
      <c r="B1306" s="49">
        <f t="shared" si="21"/>
        <v>1995</v>
      </c>
      <c r="C1306" s="27" t="s">
        <v>27</v>
      </c>
      <c r="D1306" s="27" t="s">
        <v>31</v>
      </c>
      <c r="E1306" s="27">
        <v>394</v>
      </c>
    </row>
    <row r="1307" spans="1:5" x14ac:dyDescent="0.25">
      <c r="A1307" s="26">
        <v>35004</v>
      </c>
      <c r="B1307" s="49">
        <f t="shared" si="21"/>
        <v>1995</v>
      </c>
      <c r="C1307" s="27" t="s">
        <v>32</v>
      </c>
      <c r="D1307" s="27" t="s">
        <v>31</v>
      </c>
      <c r="E1307" s="27">
        <v>349</v>
      </c>
    </row>
    <row r="1308" spans="1:5" x14ac:dyDescent="0.25">
      <c r="A1308" s="26">
        <v>35004</v>
      </c>
      <c r="B1308" s="49">
        <f t="shared" si="21"/>
        <v>1995</v>
      </c>
      <c r="C1308" s="27" t="s">
        <v>34</v>
      </c>
      <c r="D1308" s="27" t="s">
        <v>31</v>
      </c>
      <c r="E1308" s="27">
        <v>408</v>
      </c>
    </row>
    <row r="1309" spans="1:5" x14ac:dyDescent="0.25">
      <c r="A1309" s="26">
        <v>35004</v>
      </c>
      <c r="B1309" s="49">
        <f t="shared" si="21"/>
        <v>1995</v>
      </c>
      <c r="C1309" s="27" t="s">
        <v>32</v>
      </c>
      <c r="D1309" s="27" t="s">
        <v>31</v>
      </c>
      <c r="E1309" s="27">
        <v>1055</v>
      </c>
    </row>
    <row r="1310" spans="1:5" x14ac:dyDescent="0.25">
      <c r="A1310" s="26">
        <v>35004</v>
      </c>
      <c r="B1310" s="49">
        <f t="shared" si="21"/>
        <v>1995</v>
      </c>
      <c r="C1310" s="27" t="s">
        <v>35</v>
      </c>
      <c r="D1310" s="27" t="s">
        <v>31</v>
      </c>
      <c r="E1310" s="27">
        <v>166</v>
      </c>
    </row>
    <row r="1311" spans="1:5" x14ac:dyDescent="0.25">
      <c r="A1311" s="26">
        <v>35004</v>
      </c>
      <c r="B1311" s="49">
        <f t="shared" si="21"/>
        <v>1995</v>
      </c>
      <c r="C1311" s="27" t="s">
        <v>32</v>
      </c>
      <c r="D1311" s="27" t="s">
        <v>31</v>
      </c>
      <c r="E1311" s="27">
        <v>193</v>
      </c>
    </row>
    <row r="1312" spans="1:5" x14ac:dyDescent="0.25">
      <c r="A1312" s="26">
        <v>35004</v>
      </c>
      <c r="B1312" s="49">
        <f t="shared" si="21"/>
        <v>1995</v>
      </c>
      <c r="C1312" s="27" t="s">
        <v>34</v>
      </c>
      <c r="D1312" s="27" t="s">
        <v>31</v>
      </c>
      <c r="E1312" s="27">
        <v>210</v>
      </c>
    </row>
    <row r="1313" spans="1:5" x14ac:dyDescent="0.25">
      <c r="A1313" s="26">
        <v>35004</v>
      </c>
      <c r="B1313" s="49">
        <f t="shared" si="21"/>
        <v>1995</v>
      </c>
      <c r="C1313" s="27" t="s">
        <v>34</v>
      </c>
      <c r="D1313" s="27" t="s">
        <v>31</v>
      </c>
      <c r="E1313" s="27">
        <v>210</v>
      </c>
    </row>
    <row r="1314" spans="1:5" x14ac:dyDescent="0.25">
      <c r="A1314" s="26">
        <v>35004</v>
      </c>
      <c r="B1314" s="49">
        <f t="shared" si="21"/>
        <v>1995</v>
      </c>
      <c r="C1314" s="27" t="s">
        <v>34</v>
      </c>
      <c r="D1314" s="27" t="s">
        <v>31</v>
      </c>
      <c r="E1314" s="27">
        <v>623</v>
      </c>
    </row>
    <row r="1315" spans="1:5" x14ac:dyDescent="0.25">
      <c r="A1315" s="26">
        <v>35004</v>
      </c>
      <c r="B1315" s="49">
        <f t="shared" si="21"/>
        <v>1995</v>
      </c>
      <c r="C1315" s="27" t="s">
        <v>35</v>
      </c>
      <c r="D1315" s="27" t="s">
        <v>33</v>
      </c>
      <c r="E1315" s="27">
        <v>102</v>
      </c>
    </row>
    <row r="1316" spans="1:5" x14ac:dyDescent="0.25">
      <c r="A1316" s="26">
        <v>35004</v>
      </c>
      <c r="B1316" s="49">
        <f t="shared" si="21"/>
        <v>1995</v>
      </c>
      <c r="C1316" s="27" t="s">
        <v>35</v>
      </c>
      <c r="D1316" s="27" t="s">
        <v>33</v>
      </c>
      <c r="E1316" s="27">
        <v>45</v>
      </c>
    </row>
    <row r="1317" spans="1:5" x14ac:dyDescent="0.25">
      <c r="A1317" s="26">
        <v>35004</v>
      </c>
      <c r="B1317" s="49">
        <f t="shared" si="21"/>
        <v>1995</v>
      </c>
      <c r="C1317" s="27" t="s">
        <v>34</v>
      </c>
      <c r="D1317" s="27" t="s">
        <v>33</v>
      </c>
      <c r="E1317" s="27">
        <v>50</v>
      </c>
    </row>
    <row r="1318" spans="1:5" x14ac:dyDescent="0.25">
      <c r="A1318" s="26">
        <v>35004</v>
      </c>
      <c r="B1318" s="49">
        <f t="shared" si="21"/>
        <v>1995</v>
      </c>
      <c r="C1318" s="27" t="s">
        <v>27</v>
      </c>
      <c r="D1318" s="27" t="s">
        <v>33</v>
      </c>
      <c r="E1318" s="27">
        <v>53</v>
      </c>
    </row>
    <row r="1319" spans="1:5" x14ac:dyDescent="0.25">
      <c r="A1319" s="26">
        <v>35004</v>
      </c>
      <c r="B1319" s="49">
        <f t="shared" si="21"/>
        <v>1995</v>
      </c>
      <c r="C1319" s="27" t="s">
        <v>34</v>
      </c>
      <c r="D1319" s="27" t="s">
        <v>33</v>
      </c>
      <c r="E1319" s="27">
        <v>56</v>
      </c>
    </row>
    <row r="1320" spans="1:5" x14ac:dyDescent="0.25">
      <c r="A1320" s="26">
        <v>35004</v>
      </c>
      <c r="B1320" s="49">
        <f t="shared" si="21"/>
        <v>1995</v>
      </c>
      <c r="C1320" s="27" t="s">
        <v>35</v>
      </c>
      <c r="D1320" s="27" t="s">
        <v>33</v>
      </c>
      <c r="E1320" s="27">
        <v>79</v>
      </c>
    </row>
    <row r="1321" spans="1:5" x14ac:dyDescent="0.25">
      <c r="A1321" s="26">
        <v>35004</v>
      </c>
      <c r="B1321" s="49">
        <f t="shared" si="21"/>
        <v>1995</v>
      </c>
      <c r="C1321" s="27" t="s">
        <v>27</v>
      </c>
      <c r="D1321" s="27" t="s">
        <v>33</v>
      </c>
      <c r="E1321" s="27">
        <v>90</v>
      </c>
    </row>
    <row r="1322" spans="1:5" x14ac:dyDescent="0.25">
      <c r="A1322" s="26">
        <v>35004</v>
      </c>
      <c r="B1322" s="49">
        <f t="shared" si="21"/>
        <v>1995</v>
      </c>
      <c r="C1322" s="27" t="s">
        <v>35</v>
      </c>
      <c r="D1322" s="27" t="s">
        <v>33</v>
      </c>
      <c r="E1322" s="27">
        <v>90</v>
      </c>
    </row>
    <row r="1323" spans="1:5" x14ac:dyDescent="0.25">
      <c r="A1323" s="26">
        <v>35004</v>
      </c>
      <c r="B1323" s="49">
        <f t="shared" si="21"/>
        <v>1995</v>
      </c>
      <c r="C1323" s="27" t="s">
        <v>32</v>
      </c>
      <c r="D1323" s="27" t="s">
        <v>33</v>
      </c>
      <c r="E1323" s="27">
        <v>371</v>
      </c>
    </row>
    <row r="1324" spans="1:5" x14ac:dyDescent="0.25">
      <c r="A1324" s="26">
        <v>35004</v>
      </c>
      <c r="B1324" s="49">
        <f t="shared" si="21"/>
        <v>1995</v>
      </c>
      <c r="C1324" s="27" t="s">
        <v>32</v>
      </c>
      <c r="D1324" s="27" t="s">
        <v>33</v>
      </c>
      <c r="E1324" s="27">
        <v>252</v>
      </c>
    </row>
    <row r="1325" spans="1:5" x14ac:dyDescent="0.25">
      <c r="A1325" s="26">
        <v>35004</v>
      </c>
      <c r="B1325" s="49">
        <f t="shared" si="21"/>
        <v>1995</v>
      </c>
      <c r="C1325" s="27" t="s">
        <v>37</v>
      </c>
      <c r="D1325" s="27" t="s">
        <v>33</v>
      </c>
      <c r="E1325" s="27">
        <v>113</v>
      </c>
    </row>
    <row r="1326" spans="1:5" x14ac:dyDescent="0.25">
      <c r="A1326" s="26">
        <v>35004</v>
      </c>
      <c r="B1326" s="49">
        <f t="shared" si="21"/>
        <v>1995</v>
      </c>
      <c r="C1326" s="27" t="s">
        <v>37</v>
      </c>
      <c r="D1326" s="27" t="s">
        <v>33</v>
      </c>
      <c r="E1326" s="27">
        <v>123</v>
      </c>
    </row>
    <row r="1327" spans="1:5" x14ac:dyDescent="0.25">
      <c r="A1327" s="26">
        <v>35004</v>
      </c>
      <c r="B1327" s="49">
        <f t="shared" si="21"/>
        <v>1995</v>
      </c>
      <c r="C1327" s="27" t="s">
        <v>27</v>
      </c>
      <c r="D1327" s="27" t="s">
        <v>33</v>
      </c>
      <c r="E1327" s="27">
        <v>586</v>
      </c>
    </row>
    <row r="1328" spans="1:5" x14ac:dyDescent="0.25">
      <c r="A1328" s="26">
        <v>35004</v>
      </c>
      <c r="B1328" s="49">
        <f t="shared" si="21"/>
        <v>1995</v>
      </c>
      <c r="C1328" s="27" t="s">
        <v>27</v>
      </c>
      <c r="D1328" s="27" t="s">
        <v>33</v>
      </c>
      <c r="E1328" s="27">
        <v>642</v>
      </c>
    </row>
    <row r="1329" spans="1:5" x14ac:dyDescent="0.25">
      <c r="A1329" s="26">
        <v>35004</v>
      </c>
      <c r="B1329" s="49">
        <f t="shared" si="21"/>
        <v>1995</v>
      </c>
      <c r="C1329" s="27" t="s">
        <v>34</v>
      </c>
      <c r="D1329" s="27" t="s">
        <v>33</v>
      </c>
      <c r="E1329" s="27">
        <v>747</v>
      </c>
    </row>
    <row r="1330" spans="1:5" x14ac:dyDescent="0.25">
      <c r="A1330" s="26">
        <v>35004</v>
      </c>
      <c r="B1330" s="49">
        <f t="shared" si="21"/>
        <v>1995</v>
      </c>
      <c r="C1330" s="27" t="s">
        <v>32</v>
      </c>
      <c r="D1330" s="27" t="s">
        <v>33</v>
      </c>
      <c r="E1330" s="27">
        <v>1238</v>
      </c>
    </row>
    <row r="1331" spans="1:5" x14ac:dyDescent="0.25">
      <c r="A1331" s="26">
        <v>35004</v>
      </c>
      <c r="B1331" s="49">
        <f t="shared" si="21"/>
        <v>1995</v>
      </c>
      <c r="C1331" s="27" t="s">
        <v>34</v>
      </c>
      <c r="D1331" s="27" t="s">
        <v>33</v>
      </c>
      <c r="E1331" s="27">
        <v>1603</v>
      </c>
    </row>
    <row r="1332" spans="1:5" x14ac:dyDescent="0.25">
      <c r="A1332" s="26">
        <v>35004</v>
      </c>
      <c r="B1332" s="49">
        <f t="shared" si="21"/>
        <v>1995</v>
      </c>
      <c r="C1332" s="27" t="s">
        <v>32</v>
      </c>
      <c r="D1332" s="27" t="s">
        <v>33</v>
      </c>
      <c r="E1332" s="27">
        <v>1938</v>
      </c>
    </row>
    <row r="1333" spans="1:5" x14ac:dyDescent="0.25">
      <c r="A1333" s="26">
        <v>35004</v>
      </c>
      <c r="B1333" s="49">
        <f t="shared" si="21"/>
        <v>1995</v>
      </c>
      <c r="C1333" s="27" t="s">
        <v>37</v>
      </c>
      <c r="D1333" s="27" t="s">
        <v>36</v>
      </c>
      <c r="E1333" s="27">
        <v>180</v>
      </c>
    </row>
    <row r="1334" spans="1:5" x14ac:dyDescent="0.25">
      <c r="A1334" s="26">
        <v>35004</v>
      </c>
      <c r="B1334" s="49">
        <f t="shared" si="21"/>
        <v>1995</v>
      </c>
      <c r="C1334" s="27" t="s">
        <v>35</v>
      </c>
      <c r="D1334" s="27" t="s">
        <v>36</v>
      </c>
      <c r="E1334" s="27">
        <v>203</v>
      </c>
    </row>
    <row r="1335" spans="1:5" x14ac:dyDescent="0.25">
      <c r="A1335" s="26">
        <v>35004</v>
      </c>
      <c r="B1335" s="49">
        <f t="shared" si="21"/>
        <v>1995</v>
      </c>
      <c r="C1335" s="27" t="s">
        <v>35</v>
      </c>
      <c r="D1335" s="27" t="s">
        <v>36</v>
      </c>
      <c r="E1335" s="27">
        <v>171</v>
      </c>
    </row>
    <row r="1336" spans="1:5" x14ac:dyDescent="0.25">
      <c r="A1336" s="26">
        <v>35004</v>
      </c>
      <c r="B1336" s="49">
        <f t="shared" si="21"/>
        <v>1995</v>
      </c>
      <c r="C1336" s="27" t="s">
        <v>32</v>
      </c>
      <c r="D1336" s="27" t="s">
        <v>36</v>
      </c>
      <c r="E1336" s="27">
        <v>203</v>
      </c>
    </row>
    <row r="1337" spans="1:5" x14ac:dyDescent="0.25">
      <c r="A1337" s="26">
        <v>35004</v>
      </c>
      <c r="B1337" s="49">
        <f t="shared" si="21"/>
        <v>1995</v>
      </c>
      <c r="C1337" s="27" t="s">
        <v>37</v>
      </c>
      <c r="D1337" s="27" t="s">
        <v>36</v>
      </c>
      <c r="E1337" s="27">
        <v>228</v>
      </c>
    </row>
    <row r="1338" spans="1:5" x14ac:dyDescent="0.25">
      <c r="A1338" s="26">
        <v>35004</v>
      </c>
      <c r="B1338" s="49">
        <f t="shared" si="21"/>
        <v>1995</v>
      </c>
      <c r="C1338" s="27" t="s">
        <v>35</v>
      </c>
      <c r="D1338" s="27" t="s">
        <v>36</v>
      </c>
      <c r="E1338" s="27">
        <v>151</v>
      </c>
    </row>
    <row r="1339" spans="1:5" x14ac:dyDescent="0.25">
      <c r="A1339" s="26">
        <v>35004</v>
      </c>
      <c r="B1339" s="49">
        <f t="shared" si="21"/>
        <v>1995</v>
      </c>
      <c r="C1339" s="27" t="s">
        <v>35</v>
      </c>
      <c r="D1339" s="27" t="s">
        <v>36</v>
      </c>
      <c r="E1339" s="27">
        <v>105</v>
      </c>
    </row>
    <row r="1340" spans="1:5" x14ac:dyDescent="0.25">
      <c r="A1340" s="26">
        <v>35004</v>
      </c>
      <c r="B1340" s="49">
        <f t="shared" si="21"/>
        <v>1995</v>
      </c>
      <c r="C1340" s="27" t="s">
        <v>35</v>
      </c>
      <c r="D1340" s="27" t="s">
        <v>36</v>
      </c>
      <c r="E1340" s="27">
        <v>105</v>
      </c>
    </row>
    <row r="1341" spans="1:5" x14ac:dyDescent="0.25">
      <c r="A1341" s="26">
        <v>35004</v>
      </c>
      <c r="B1341" s="49">
        <f t="shared" si="21"/>
        <v>1995</v>
      </c>
      <c r="C1341" s="27" t="s">
        <v>27</v>
      </c>
      <c r="D1341" s="27" t="s">
        <v>36</v>
      </c>
      <c r="E1341" s="27">
        <v>114</v>
      </c>
    </row>
    <row r="1342" spans="1:5" x14ac:dyDescent="0.25">
      <c r="A1342" s="26">
        <v>35004</v>
      </c>
      <c r="B1342" s="49">
        <f t="shared" si="21"/>
        <v>1995</v>
      </c>
      <c r="C1342" s="27" t="s">
        <v>32</v>
      </c>
      <c r="D1342" s="27" t="s">
        <v>36</v>
      </c>
      <c r="E1342" s="27">
        <v>123</v>
      </c>
    </row>
    <row r="1343" spans="1:5" x14ac:dyDescent="0.25">
      <c r="A1343" s="26">
        <v>35004</v>
      </c>
      <c r="B1343" s="49">
        <f t="shared" si="21"/>
        <v>1995</v>
      </c>
      <c r="C1343" s="27" t="s">
        <v>34</v>
      </c>
      <c r="D1343" s="27" t="s">
        <v>36</v>
      </c>
      <c r="E1343" s="27">
        <v>124</v>
      </c>
    </row>
    <row r="1344" spans="1:5" x14ac:dyDescent="0.25">
      <c r="A1344" s="26">
        <v>35004</v>
      </c>
      <c r="B1344" s="49">
        <f t="shared" si="21"/>
        <v>1995</v>
      </c>
      <c r="C1344" s="27" t="s">
        <v>32</v>
      </c>
      <c r="D1344" s="27" t="s">
        <v>36</v>
      </c>
      <c r="E1344" s="27">
        <v>175</v>
      </c>
    </row>
    <row r="1345" spans="1:5" x14ac:dyDescent="0.25">
      <c r="A1345" s="26">
        <v>35004</v>
      </c>
      <c r="B1345" s="49">
        <f t="shared" si="21"/>
        <v>1995</v>
      </c>
      <c r="C1345" s="27" t="s">
        <v>32</v>
      </c>
      <c r="D1345" s="27" t="s">
        <v>36</v>
      </c>
      <c r="E1345" s="27">
        <v>138</v>
      </c>
    </row>
    <row r="1346" spans="1:5" x14ac:dyDescent="0.25">
      <c r="A1346" s="26">
        <v>35004</v>
      </c>
      <c r="B1346" s="49">
        <f t="shared" si="21"/>
        <v>1995</v>
      </c>
      <c r="C1346" s="27" t="s">
        <v>27</v>
      </c>
      <c r="D1346" s="27" t="s">
        <v>36</v>
      </c>
      <c r="E1346" s="27">
        <v>44</v>
      </c>
    </row>
    <row r="1347" spans="1:5" x14ac:dyDescent="0.25">
      <c r="A1347" s="26">
        <v>35004</v>
      </c>
      <c r="B1347" s="49">
        <f t="shared" ref="B1347:B1410" si="22">YEAR(A1347)</f>
        <v>1995</v>
      </c>
      <c r="C1347" s="27" t="s">
        <v>27</v>
      </c>
      <c r="D1347" s="27" t="s">
        <v>36</v>
      </c>
      <c r="E1347" s="27">
        <v>32</v>
      </c>
    </row>
    <row r="1348" spans="1:5" x14ac:dyDescent="0.25">
      <c r="A1348" s="26">
        <v>35004</v>
      </c>
      <c r="B1348" s="49">
        <f t="shared" si="22"/>
        <v>1995</v>
      </c>
      <c r="C1348" s="27" t="s">
        <v>27</v>
      </c>
      <c r="D1348" s="27" t="s">
        <v>36</v>
      </c>
      <c r="E1348" s="27">
        <v>23</v>
      </c>
    </row>
    <row r="1349" spans="1:5" x14ac:dyDescent="0.25">
      <c r="A1349" s="26">
        <v>35004</v>
      </c>
      <c r="B1349" s="49">
        <f t="shared" si="22"/>
        <v>1995</v>
      </c>
      <c r="C1349" s="27" t="s">
        <v>32</v>
      </c>
      <c r="D1349" s="27" t="s">
        <v>36</v>
      </c>
      <c r="E1349" s="27">
        <v>151</v>
      </c>
    </row>
    <row r="1350" spans="1:5" x14ac:dyDescent="0.25">
      <c r="A1350" s="26">
        <v>35004</v>
      </c>
      <c r="B1350" s="49">
        <f t="shared" si="22"/>
        <v>1995</v>
      </c>
      <c r="C1350" s="27" t="s">
        <v>27</v>
      </c>
      <c r="D1350" s="27" t="s">
        <v>36</v>
      </c>
      <c r="E1350" s="27">
        <v>151</v>
      </c>
    </row>
    <row r="1351" spans="1:5" x14ac:dyDescent="0.25">
      <c r="A1351" s="26">
        <v>35004</v>
      </c>
      <c r="B1351" s="49">
        <f t="shared" si="22"/>
        <v>1995</v>
      </c>
      <c r="C1351" s="27" t="s">
        <v>27</v>
      </c>
      <c r="D1351" s="27" t="s">
        <v>36</v>
      </c>
      <c r="E1351" s="27">
        <v>158</v>
      </c>
    </row>
    <row r="1352" spans="1:5" x14ac:dyDescent="0.25">
      <c r="A1352" s="26">
        <v>35004</v>
      </c>
      <c r="B1352" s="49">
        <f t="shared" si="22"/>
        <v>1995</v>
      </c>
      <c r="C1352" s="27" t="s">
        <v>35</v>
      </c>
      <c r="D1352" s="27" t="s">
        <v>36</v>
      </c>
      <c r="E1352" s="27">
        <v>135</v>
      </c>
    </row>
    <row r="1353" spans="1:5" x14ac:dyDescent="0.25">
      <c r="A1353" s="26">
        <v>35004</v>
      </c>
      <c r="B1353" s="49">
        <f t="shared" si="22"/>
        <v>1995</v>
      </c>
      <c r="C1353" s="27" t="s">
        <v>32</v>
      </c>
      <c r="D1353" s="27" t="s">
        <v>36</v>
      </c>
      <c r="E1353" s="27">
        <v>1057</v>
      </c>
    </row>
    <row r="1354" spans="1:5" x14ac:dyDescent="0.25">
      <c r="A1354" s="26">
        <v>35004</v>
      </c>
      <c r="B1354" s="49">
        <f t="shared" si="22"/>
        <v>1995</v>
      </c>
      <c r="C1354" s="27" t="s">
        <v>34</v>
      </c>
      <c r="D1354" s="27" t="s">
        <v>36</v>
      </c>
      <c r="E1354" s="27">
        <v>413</v>
      </c>
    </row>
    <row r="1355" spans="1:5" x14ac:dyDescent="0.25">
      <c r="A1355" s="26">
        <v>35004</v>
      </c>
      <c r="B1355" s="49">
        <f t="shared" si="22"/>
        <v>1995</v>
      </c>
      <c r="C1355" s="27" t="s">
        <v>34</v>
      </c>
      <c r="D1355" s="27" t="s">
        <v>36</v>
      </c>
      <c r="E1355" s="27">
        <v>263</v>
      </c>
    </row>
    <row r="1356" spans="1:5" x14ac:dyDescent="0.25">
      <c r="A1356" s="26">
        <v>35004</v>
      </c>
      <c r="B1356" s="49">
        <f t="shared" si="22"/>
        <v>1995</v>
      </c>
      <c r="C1356" s="27" t="s">
        <v>34</v>
      </c>
      <c r="D1356" s="27" t="s">
        <v>36</v>
      </c>
      <c r="E1356" s="27">
        <v>270</v>
      </c>
    </row>
    <row r="1357" spans="1:5" x14ac:dyDescent="0.25">
      <c r="A1357" s="26">
        <v>35004</v>
      </c>
      <c r="B1357" s="49">
        <f t="shared" si="22"/>
        <v>1995</v>
      </c>
      <c r="C1357" s="27" t="s">
        <v>34</v>
      </c>
      <c r="D1357" s="27" t="s">
        <v>36</v>
      </c>
      <c r="E1357" s="27">
        <v>405</v>
      </c>
    </row>
    <row r="1358" spans="1:5" x14ac:dyDescent="0.25">
      <c r="A1358" s="26">
        <v>35004</v>
      </c>
      <c r="B1358" s="49">
        <f t="shared" si="22"/>
        <v>1995</v>
      </c>
      <c r="C1358" s="27" t="s">
        <v>37</v>
      </c>
      <c r="D1358" s="27" t="s">
        <v>36</v>
      </c>
      <c r="E1358" s="27">
        <v>110</v>
      </c>
    </row>
    <row r="1359" spans="1:5" x14ac:dyDescent="0.25">
      <c r="A1359" s="26">
        <v>35034</v>
      </c>
      <c r="B1359" s="49">
        <f t="shared" si="22"/>
        <v>1995</v>
      </c>
      <c r="C1359" s="27" t="s">
        <v>35</v>
      </c>
      <c r="D1359" s="27" t="s">
        <v>28</v>
      </c>
      <c r="E1359" s="27">
        <v>220</v>
      </c>
    </row>
    <row r="1360" spans="1:5" x14ac:dyDescent="0.25">
      <c r="A1360" s="26">
        <v>35034</v>
      </c>
      <c r="B1360" s="49">
        <f t="shared" si="22"/>
        <v>1995</v>
      </c>
      <c r="C1360" s="27" t="s">
        <v>35</v>
      </c>
      <c r="D1360" s="27" t="s">
        <v>28</v>
      </c>
      <c r="E1360" s="27">
        <v>61</v>
      </c>
    </row>
    <row r="1361" spans="1:5" x14ac:dyDescent="0.25">
      <c r="A1361" s="26">
        <v>35034</v>
      </c>
      <c r="B1361" s="49">
        <f t="shared" si="22"/>
        <v>1995</v>
      </c>
      <c r="C1361" s="27" t="s">
        <v>32</v>
      </c>
      <c r="D1361" s="27" t="s">
        <v>28</v>
      </c>
      <c r="E1361" s="27">
        <v>79</v>
      </c>
    </row>
    <row r="1362" spans="1:5" x14ac:dyDescent="0.25">
      <c r="A1362" s="26">
        <v>35034</v>
      </c>
      <c r="B1362" s="49">
        <f t="shared" si="22"/>
        <v>1995</v>
      </c>
      <c r="C1362" s="27" t="s">
        <v>34</v>
      </c>
      <c r="D1362" s="27" t="s">
        <v>28</v>
      </c>
      <c r="E1362" s="27">
        <v>124</v>
      </c>
    </row>
    <row r="1363" spans="1:5" x14ac:dyDescent="0.25">
      <c r="A1363" s="26">
        <v>35034</v>
      </c>
      <c r="B1363" s="49">
        <f t="shared" si="22"/>
        <v>1995</v>
      </c>
      <c r="C1363" s="27" t="s">
        <v>35</v>
      </c>
      <c r="D1363" s="27" t="s">
        <v>28</v>
      </c>
      <c r="E1363" s="27">
        <v>191</v>
      </c>
    </row>
    <row r="1364" spans="1:5" x14ac:dyDescent="0.25">
      <c r="A1364" s="26">
        <v>35034</v>
      </c>
      <c r="B1364" s="49">
        <f t="shared" si="22"/>
        <v>1995</v>
      </c>
      <c r="C1364" s="27" t="s">
        <v>35</v>
      </c>
      <c r="D1364" s="27" t="s">
        <v>28</v>
      </c>
      <c r="E1364" s="27">
        <v>230</v>
      </c>
    </row>
    <row r="1365" spans="1:5" x14ac:dyDescent="0.25">
      <c r="A1365" s="26">
        <v>35034</v>
      </c>
      <c r="B1365" s="49">
        <f t="shared" si="22"/>
        <v>1995</v>
      </c>
      <c r="C1365" s="27" t="s">
        <v>32</v>
      </c>
      <c r="D1365" s="27" t="s">
        <v>28</v>
      </c>
      <c r="E1365" s="27">
        <v>220</v>
      </c>
    </row>
    <row r="1366" spans="1:5" x14ac:dyDescent="0.25">
      <c r="A1366" s="26">
        <v>35034</v>
      </c>
      <c r="B1366" s="49">
        <f t="shared" si="22"/>
        <v>1995</v>
      </c>
      <c r="C1366" s="27" t="s">
        <v>34</v>
      </c>
      <c r="D1366" s="27" t="s">
        <v>28</v>
      </c>
      <c r="E1366" s="27">
        <v>270</v>
      </c>
    </row>
    <row r="1367" spans="1:5" x14ac:dyDescent="0.25">
      <c r="A1367" s="26">
        <v>35034</v>
      </c>
      <c r="B1367" s="49">
        <f t="shared" si="22"/>
        <v>1995</v>
      </c>
      <c r="C1367" s="27" t="s">
        <v>27</v>
      </c>
      <c r="D1367" s="27" t="s">
        <v>28</v>
      </c>
      <c r="E1367" s="27">
        <v>507</v>
      </c>
    </row>
    <row r="1368" spans="1:5" x14ac:dyDescent="0.25">
      <c r="A1368" s="26">
        <v>35034</v>
      </c>
      <c r="B1368" s="49">
        <f t="shared" si="22"/>
        <v>1995</v>
      </c>
      <c r="C1368" s="27" t="s">
        <v>37</v>
      </c>
      <c r="D1368" s="27" t="s">
        <v>28</v>
      </c>
      <c r="E1368" s="27">
        <v>534</v>
      </c>
    </row>
    <row r="1369" spans="1:5" x14ac:dyDescent="0.25">
      <c r="A1369" s="26">
        <v>35034</v>
      </c>
      <c r="B1369" s="49">
        <f t="shared" si="22"/>
        <v>1995</v>
      </c>
      <c r="C1369" s="27" t="s">
        <v>34</v>
      </c>
      <c r="D1369" s="27" t="s">
        <v>28</v>
      </c>
      <c r="E1369" s="27">
        <v>658</v>
      </c>
    </row>
    <row r="1370" spans="1:5" x14ac:dyDescent="0.25">
      <c r="A1370" s="26">
        <v>35034</v>
      </c>
      <c r="B1370" s="49">
        <f t="shared" si="22"/>
        <v>1995</v>
      </c>
      <c r="C1370" s="27" t="s">
        <v>27</v>
      </c>
      <c r="D1370" s="27" t="s">
        <v>28</v>
      </c>
      <c r="E1370" s="27">
        <v>659</v>
      </c>
    </row>
    <row r="1371" spans="1:5" x14ac:dyDescent="0.25">
      <c r="A1371" s="26">
        <v>35034</v>
      </c>
      <c r="B1371" s="49">
        <f t="shared" si="22"/>
        <v>1995</v>
      </c>
      <c r="C1371" s="27" t="s">
        <v>27</v>
      </c>
      <c r="D1371" s="27" t="s">
        <v>28</v>
      </c>
      <c r="E1371" s="27">
        <v>770</v>
      </c>
    </row>
    <row r="1372" spans="1:5" x14ac:dyDescent="0.25">
      <c r="A1372" s="26">
        <v>35034</v>
      </c>
      <c r="B1372" s="49">
        <f t="shared" si="22"/>
        <v>1995</v>
      </c>
      <c r="C1372" s="27" t="s">
        <v>27</v>
      </c>
      <c r="D1372" s="27" t="s">
        <v>28</v>
      </c>
      <c r="E1372" s="27">
        <v>836</v>
      </c>
    </row>
    <row r="1373" spans="1:5" x14ac:dyDescent="0.25">
      <c r="A1373" s="26">
        <v>35034</v>
      </c>
      <c r="B1373" s="49">
        <f t="shared" si="22"/>
        <v>1995</v>
      </c>
      <c r="C1373" s="27" t="s">
        <v>37</v>
      </c>
      <c r="D1373" s="27" t="s">
        <v>28</v>
      </c>
      <c r="E1373" s="27">
        <v>923</v>
      </c>
    </row>
    <row r="1374" spans="1:5" x14ac:dyDescent="0.25">
      <c r="A1374" s="26">
        <v>35034</v>
      </c>
      <c r="B1374" s="49">
        <f t="shared" si="22"/>
        <v>1995</v>
      </c>
      <c r="C1374" s="27" t="s">
        <v>34</v>
      </c>
      <c r="D1374" s="27" t="s">
        <v>28</v>
      </c>
      <c r="E1374" s="27">
        <v>2068</v>
      </c>
    </row>
    <row r="1375" spans="1:5" x14ac:dyDescent="0.25">
      <c r="A1375" s="26">
        <v>35034</v>
      </c>
      <c r="B1375" s="49">
        <f t="shared" si="22"/>
        <v>1995</v>
      </c>
      <c r="C1375" s="27" t="s">
        <v>32</v>
      </c>
      <c r="D1375" s="27" t="s">
        <v>28</v>
      </c>
      <c r="E1375" s="27">
        <v>945</v>
      </c>
    </row>
    <row r="1376" spans="1:5" x14ac:dyDescent="0.25">
      <c r="A1376" s="26">
        <v>35034</v>
      </c>
      <c r="B1376" s="49">
        <f t="shared" si="22"/>
        <v>1995</v>
      </c>
      <c r="C1376" s="27" t="s">
        <v>32</v>
      </c>
      <c r="D1376" s="27" t="s">
        <v>29</v>
      </c>
      <c r="E1376" s="27">
        <v>146</v>
      </c>
    </row>
    <row r="1377" spans="1:5" x14ac:dyDescent="0.25">
      <c r="A1377" s="26">
        <v>35034</v>
      </c>
      <c r="B1377" s="49">
        <f t="shared" si="22"/>
        <v>1995</v>
      </c>
      <c r="C1377" s="27" t="s">
        <v>37</v>
      </c>
      <c r="D1377" s="27" t="s">
        <v>29</v>
      </c>
      <c r="E1377" s="27">
        <v>270</v>
      </c>
    </row>
    <row r="1378" spans="1:5" x14ac:dyDescent="0.25">
      <c r="A1378" s="26">
        <v>35034</v>
      </c>
      <c r="B1378" s="49">
        <f t="shared" si="22"/>
        <v>1995</v>
      </c>
      <c r="C1378" s="27" t="s">
        <v>27</v>
      </c>
      <c r="D1378" s="27" t="s">
        <v>29</v>
      </c>
      <c r="E1378" s="27">
        <v>315</v>
      </c>
    </row>
    <row r="1379" spans="1:5" x14ac:dyDescent="0.25">
      <c r="A1379" s="26">
        <v>35034</v>
      </c>
      <c r="B1379" s="49">
        <f t="shared" si="22"/>
        <v>1995</v>
      </c>
      <c r="C1379" s="27" t="s">
        <v>34</v>
      </c>
      <c r="D1379" s="27" t="s">
        <v>29</v>
      </c>
      <c r="E1379" s="27">
        <v>368</v>
      </c>
    </row>
    <row r="1380" spans="1:5" x14ac:dyDescent="0.25">
      <c r="A1380" s="26">
        <v>35034</v>
      </c>
      <c r="B1380" s="49">
        <f t="shared" si="22"/>
        <v>1995</v>
      </c>
      <c r="C1380" s="27" t="s">
        <v>34</v>
      </c>
      <c r="D1380" s="27" t="s">
        <v>29</v>
      </c>
      <c r="E1380" s="27">
        <v>368</v>
      </c>
    </row>
    <row r="1381" spans="1:5" x14ac:dyDescent="0.25">
      <c r="A1381" s="26">
        <v>35034</v>
      </c>
      <c r="B1381" s="49">
        <f t="shared" si="22"/>
        <v>1995</v>
      </c>
      <c r="C1381" s="27" t="s">
        <v>32</v>
      </c>
      <c r="D1381" s="27" t="s">
        <v>29</v>
      </c>
      <c r="E1381" s="27">
        <v>477</v>
      </c>
    </row>
    <row r="1382" spans="1:5" x14ac:dyDescent="0.25">
      <c r="A1382" s="26">
        <v>35034</v>
      </c>
      <c r="B1382" s="49">
        <f t="shared" si="22"/>
        <v>1995</v>
      </c>
      <c r="C1382" s="27" t="s">
        <v>34</v>
      </c>
      <c r="D1382" s="27" t="s">
        <v>29</v>
      </c>
      <c r="E1382" s="27">
        <v>557</v>
      </c>
    </row>
    <row r="1383" spans="1:5" x14ac:dyDescent="0.25">
      <c r="A1383" s="26">
        <v>35034</v>
      </c>
      <c r="B1383" s="49">
        <f t="shared" si="22"/>
        <v>1995</v>
      </c>
      <c r="C1383" s="27" t="s">
        <v>27</v>
      </c>
      <c r="D1383" s="27" t="s">
        <v>29</v>
      </c>
      <c r="E1383" s="27">
        <v>630</v>
      </c>
    </row>
    <row r="1384" spans="1:5" x14ac:dyDescent="0.25">
      <c r="A1384" s="26">
        <v>35034</v>
      </c>
      <c r="B1384" s="49">
        <f t="shared" si="22"/>
        <v>1995</v>
      </c>
      <c r="C1384" s="27" t="s">
        <v>27</v>
      </c>
      <c r="D1384" s="27" t="s">
        <v>29</v>
      </c>
      <c r="E1384" s="27">
        <v>646</v>
      </c>
    </row>
    <row r="1385" spans="1:5" x14ac:dyDescent="0.25">
      <c r="A1385" s="26">
        <v>35034</v>
      </c>
      <c r="B1385" s="49">
        <f t="shared" si="22"/>
        <v>1995</v>
      </c>
      <c r="C1385" s="27" t="s">
        <v>27</v>
      </c>
      <c r="D1385" s="27" t="s">
        <v>29</v>
      </c>
      <c r="E1385" s="27">
        <v>838</v>
      </c>
    </row>
    <row r="1386" spans="1:5" x14ac:dyDescent="0.25">
      <c r="A1386" s="26">
        <v>35034</v>
      </c>
      <c r="B1386" s="49">
        <f t="shared" si="22"/>
        <v>1995</v>
      </c>
      <c r="C1386" s="27" t="s">
        <v>34</v>
      </c>
      <c r="D1386" s="27" t="s">
        <v>29</v>
      </c>
      <c r="E1386" s="27">
        <v>862</v>
      </c>
    </row>
    <row r="1387" spans="1:5" x14ac:dyDescent="0.25">
      <c r="A1387" s="26">
        <v>35034</v>
      </c>
      <c r="B1387" s="49">
        <f t="shared" si="22"/>
        <v>1995</v>
      </c>
      <c r="C1387" s="27" t="s">
        <v>32</v>
      </c>
      <c r="D1387" s="27" t="s">
        <v>29</v>
      </c>
      <c r="E1387" s="27">
        <v>105</v>
      </c>
    </row>
    <row r="1388" spans="1:5" x14ac:dyDescent="0.25">
      <c r="A1388" s="26">
        <v>35034</v>
      </c>
      <c r="B1388" s="49">
        <f t="shared" si="22"/>
        <v>1995</v>
      </c>
      <c r="C1388" s="27" t="s">
        <v>35</v>
      </c>
      <c r="D1388" s="27" t="s">
        <v>29</v>
      </c>
      <c r="E1388" s="27">
        <v>259</v>
      </c>
    </row>
    <row r="1389" spans="1:5" x14ac:dyDescent="0.25">
      <c r="A1389" s="26">
        <v>35034</v>
      </c>
      <c r="B1389" s="49">
        <f t="shared" si="22"/>
        <v>1995</v>
      </c>
      <c r="C1389" s="27" t="s">
        <v>37</v>
      </c>
      <c r="D1389" s="27" t="s">
        <v>29</v>
      </c>
      <c r="E1389" s="27">
        <v>131</v>
      </c>
    </row>
    <row r="1390" spans="1:5" x14ac:dyDescent="0.25">
      <c r="A1390" s="26">
        <v>35034</v>
      </c>
      <c r="B1390" s="49">
        <f t="shared" si="22"/>
        <v>1995</v>
      </c>
      <c r="C1390" s="27" t="s">
        <v>32</v>
      </c>
      <c r="D1390" s="27" t="s">
        <v>29</v>
      </c>
      <c r="E1390" s="27">
        <v>175</v>
      </c>
    </row>
    <row r="1391" spans="1:5" x14ac:dyDescent="0.25">
      <c r="A1391" s="26">
        <v>35034</v>
      </c>
      <c r="B1391" s="49">
        <f t="shared" si="22"/>
        <v>1995</v>
      </c>
      <c r="C1391" s="27" t="s">
        <v>35</v>
      </c>
      <c r="D1391" s="27" t="s">
        <v>29</v>
      </c>
      <c r="E1391" s="27">
        <v>176</v>
      </c>
    </row>
    <row r="1392" spans="1:5" x14ac:dyDescent="0.25">
      <c r="A1392" s="26">
        <v>35034</v>
      </c>
      <c r="B1392" s="49">
        <f t="shared" si="22"/>
        <v>1995</v>
      </c>
      <c r="C1392" s="27" t="s">
        <v>35</v>
      </c>
      <c r="D1392" s="27" t="s">
        <v>29</v>
      </c>
      <c r="E1392" s="27">
        <v>201</v>
      </c>
    </row>
    <row r="1393" spans="1:5" x14ac:dyDescent="0.25">
      <c r="A1393" s="26">
        <v>35034</v>
      </c>
      <c r="B1393" s="49">
        <f t="shared" si="22"/>
        <v>1995</v>
      </c>
      <c r="C1393" s="27" t="s">
        <v>35</v>
      </c>
      <c r="D1393" s="27" t="s">
        <v>29</v>
      </c>
      <c r="E1393" s="27">
        <v>214</v>
      </c>
    </row>
    <row r="1394" spans="1:5" x14ac:dyDescent="0.25">
      <c r="A1394" s="26">
        <v>35034</v>
      </c>
      <c r="B1394" s="49">
        <f t="shared" si="22"/>
        <v>1995</v>
      </c>
      <c r="C1394" s="27" t="s">
        <v>27</v>
      </c>
      <c r="D1394" s="27" t="s">
        <v>30</v>
      </c>
      <c r="E1394" s="27">
        <v>1874</v>
      </c>
    </row>
    <row r="1395" spans="1:5" x14ac:dyDescent="0.25">
      <c r="A1395" s="26">
        <v>35034</v>
      </c>
      <c r="B1395" s="49">
        <f t="shared" si="22"/>
        <v>1995</v>
      </c>
      <c r="C1395" s="27" t="s">
        <v>27</v>
      </c>
      <c r="D1395" s="27" t="s">
        <v>30</v>
      </c>
      <c r="E1395" s="27">
        <v>2875</v>
      </c>
    </row>
    <row r="1396" spans="1:5" x14ac:dyDescent="0.25">
      <c r="A1396" s="26">
        <v>35034</v>
      </c>
      <c r="B1396" s="49">
        <f t="shared" si="22"/>
        <v>1995</v>
      </c>
      <c r="C1396" s="27" t="s">
        <v>32</v>
      </c>
      <c r="D1396" s="27" t="s">
        <v>30</v>
      </c>
      <c r="E1396" s="27">
        <v>248</v>
      </c>
    </row>
    <row r="1397" spans="1:5" x14ac:dyDescent="0.25">
      <c r="A1397" s="26">
        <v>35034</v>
      </c>
      <c r="B1397" s="49">
        <f t="shared" si="22"/>
        <v>1995</v>
      </c>
      <c r="C1397" s="27" t="s">
        <v>27</v>
      </c>
      <c r="D1397" s="27" t="s">
        <v>30</v>
      </c>
      <c r="E1397" s="27">
        <v>66</v>
      </c>
    </row>
    <row r="1398" spans="1:5" x14ac:dyDescent="0.25">
      <c r="A1398" s="26">
        <v>35034</v>
      </c>
      <c r="B1398" s="49">
        <f t="shared" si="22"/>
        <v>1995</v>
      </c>
      <c r="C1398" s="27" t="s">
        <v>27</v>
      </c>
      <c r="D1398" s="27" t="s">
        <v>30</v>
      </c>
      <c r="E1398" s="27">
        <v>126</v>
      </c>
    </row>
    <row r="1399" spans="1:5" x14ac:dyDescent="0.25">
      <c r="A1399" s="26">
        <v>35034</v>
      </c>
      <c r="B1399" s="49">
        <f t="shared" si="22"/>
        <v>1995</v>
      </c>
      <c r="C1399" s="27" t="s">
        <v>32</v>
      </c>
      <c r="D1399" s="27" t="s">
        <v>30</v>
      </c>
      <c r="E1399" s="27">
        <v>123</v>
      </c>
    </row>
    <row r="1400" spans="1:5" x14ac:dyDescent="0.25">
      <c r="A1400" s="26">
        <v>35034</v>
      </c>
      <c r="B1400" s="49">
        <f t="shared" si="22"/>
        <v>1995</v>
      </c>
      <c r="C1400" s="27" t="s">
        <v>32</v>
      </c>
      <c r="D1400" s="27" t="s">
        <v>30</v>
      </c>
      <c r="E1400" s="27">
        <v>220</v>
      </c>
    </row>
    <row r="1401" spans="1:5" x14ac:dyDescent="0.25">
      <c r="A1401" s="26">
        <v>35034</v>
      </c>
      <c r="B1401" s="49">
        <f t="shared" si="22"/>
        <v>1995</v>
      </c>
      <c r="C1401" s="27" t="s">
        <v>32</v>
      </c>
      <c r="D1401" s="27" t="s">
        <v>30</v>
      </c>
      <c r="E1401" s="27">
        <v>88</v>
      </c>
    </row>
    <row r="1402" spans="1:5" x14ac:dyDescent="0.25">
      <c r="A1402" s="26">
        <v>35034</v>
      </c>
      <c r="B1402" s="49">
        <f t="shared" si="22"/>
        <v>1995</v>
      </c>
      <c r="C1402" s="27" t="s">
        <v>32</v>
      </c>
      <c r="D1402" s="27" t="s">
        <v>30</v>
      </c>
      <c r="E1402" s="27">
        <v>90</v>
      </c>
    </row>
    <row r="1403" spans="1:5" x14ac:dyDescent="0.25">
      <c r="A1403" s="26">
        <v>35034</v>
      </c>
      <c r="B1403" s="49">
        <f t="shared" si="22"/>
        <v>1995</v>
      </c>
      <c r="C1403" s="27" t="s">
        <v>27</v>
      </c>
      <c r="D1403" s="27" t="s">
        <v>30</v>
      </c>
      <c r="E1403" s="27">
        <v>90</v>
      </c>
    </row>
    <row r="1404" spans="1:5" x14ac:dyDescent="0.25">
      <c r="A1404" s="26">
        <v>35034</v>
      </c>
      <c r="B1404" s="49">
        <f t="shared" si="22"/>
        <v>1995</v>
      </c>
      <c r="C1404" s="27" t="s">
        <v>32</v>
      </c>
      <c r="D1404" s="27" t="s">
        <v>30</v>
      </c>
      <c r="E1404" s="27">
        <v>90</v>
      </c>
    </row>
    <row r="1405" spans="1:5" x14ac:dyDescent="0.25">
      <c r="A1405" s="26">
        <v>35034</v>
      </c>
      <c r="B1405" s="49">
        <f t="shared" si="22"/>
        <v>1995</v>
      </c>
      <c r="C1405" s="27" t="s">
        <v>27</v>
      </c>
      <c r="D1405" s="27" t="s">
        <v>30</v>
      </c>
      <c r="E1405" s="27">
        <v>70</v>
      </c>
    </row>
    <row r="1406" spans="1:5" x14ac:dyDescent="0.25">
      <c r="A1406" s="26">
        <v>35034</v>
      </c>
      <c r="B1406" s="49">
        <f t="shared" si="22"/>
        <v>1995</v>
      </c>
      <c r="C1406" s="27" t="s">
        <v>27</v>
      </c>
      <c r="D1406" s="27" t="s">
        <v>31</v>
      </c>
      <c r="E1406" s="27">
        <v>123</v>
      </c>
    </row>
    <row r="1407" spans="1:5" x14ac:dyDescent="0.25">
      <c r="A1407" s="26">
        <v>35034</v>
      </c>
      <c r="B1407" s="49">
        <f t="shared" si="22"/>
        <v>1995</v>
      </c>
      <c r="C1407" s="27" t="s">
        <v>37</v>
      </c>
      <c r="D1407" s="27" t="s">
        <v>31</v>
      </c>
      <c r="E1407" s="27">
        <v>140</v>
      </c>
    </row>
    <row r="1408" spans="1:5" x14ac:dyDescent="0.25">
      <c r="A1408" s="26">
        <v>35034</v>
      </c>
      <c r="B1408" s="49">
        <f t="shared" si="22"/>
        <v>1995</v>
      </c>
      <c r="C1408" s="27" t="s">
        <v>35</v>
      </c>
      <c r="D1408" s="27" t="s">
        <v>31</v>
      </c>
      <c r="E1408" s="27">
        <v>149</v>
      </c>
    </row>
    <row r="1409" spans="1:5" x14ac:dyDescent="0.25">
      <c r="A1409" s="26">
        <v>35034</v>
      </c>
      <c r="B1409" s="49">
        <f t="shared" si="22"/>
        <v>1995</v>
      </c>
      <c r="C1409" s="27" t="s">
        <v>34</v>
      </c>
      <c r="D1409" s="27" t="s">
        <v>31</v>
      </c>
      <c r="E1409" s="27">
        <v>236</v>
      </c>
    </row>
    <row r="1410" spans="1:5" x14ac:dyDescent="0.25">
      <c r="A1410" s="26">
        <v>35034</v>
      </c>
      <c r="B1410" s="49">
        <f t="shared" si="22"/>
        <v>1995</v>
      </c>
      <c r="C1410" s="27" t="s">
        <v>34</v>
      </c>
      <c r="D1410" s="27" t="s">
        <v>31</v>
      </c>
      <c r="E1410" s="27">
        <v>263</v>
      </c>
    </row>
    <row r="1411" spans="1:5" x14ac:dyDescent="0.25">
      <c r="A1411" s="26">
        <v>35034</v>
      </c>
      <c r="B1411" s="49">
        <f t="shared" ref="B1411:B1474" si="23">YEAR(A1411)</f>
        <v>1995</v>
      </c>
      <c r="C1411" s="27" t="s">
        <v>32</v>
      </c>
      <c r="D1411" s="27" t="s">
        <v>31</v>
      </c>
      <c r="E1411" s="27">
        <v>263</v>
      </c>
    </row>
    <row r="1412" spans="1:5" x14ac:dyDescent="0.25">
      <c r="A1412" s="26">
        <v>35034</v>
      </c>
      <c r="B1412" s="49">
        <f t="shared" si="23"/>
        <v>1995</v>
      </c>
      <c r="C1412" s="27" t="s">
        <v>35</v>
      </c>
      <c r="D1412" s="27" t="s">
        <v>31</v>
      </c>
      <c r="E1412" s="27">
        <v>49</v>
      </c>
    </row>
    <row r="1413" spans="1:5" x14ac:dyDescent="0.25">
      <c r="A1413" s="26">
        <v>35034</v>
      </c>
      <c r="B1413" s="49">
        <f t="shared" si="23"/>
        <v>1995</v>
      </c>
      <c r="C1413" s="27" t="s">
        <v>35</v>
      </c>
      <c r="D1413" s="27" t="s">
        <v>31</v>
      </c>
      <c r="E1413" s="27">
        <v>113</v>
      </c>
    </row>
    <row r="1414" spans="1:5" x14ac:dyDescent="0.25">
      <c r="A1414" s="26">
        <v>35034</v>
      </c>
      <c r="B1414" s="49">
        <f t="shared" si="23"/>
        <v>1995</v>
      </c>
      <c r="C1414" s="27" t="s">
        <v>37</v>
      </c>
      <c r="D1414" s="27" t="s">
        <v>31</v>
      </c>
      <c r="E1414" s="27">
        <v>113</v>
      </c>
    </row>
    <row r="1415" spans="1:5" x14ac:dyDescent="0.25">
      <c r="A1415" s="26">
        <v>35034</v>
      </c>
      <c r="B1415" s="49">
        <f t="shared" si="23"/>
        <v>1995</v>
      </c>
      <c r="C1415" s="27" t="s">
        <v>27</v>
      </c>
      <c r="D1415" s="27" t="s">
        <v>31</v>
      </c>
      <c r="E1415" s="27">
        <v>90</v>
      </c>
    </row>
    <row r="1416" spans="1:5" x14ac:dyDescent="0.25">
      <c r="A1416" s="26">
        <v>35034</v>
      </c>
      <c r="B1416" s="49">
        <f t="shared" si="23"/>
        <v>1995</v>
      </c>
      <c r="C1416" s="27" t="s">
        <v>32</v>
      </c>
      <c r="D1416" s="27" t="s">
        <v>31</v>
      </c>
      <c r="E1416" s="27">
        <v>113</v>
      </c>
    </row>
    <row r="1417" spans="1:5" x14ac:dyDescent="0.25">
      <c r="A1417" s="26">
        <v>35034</v>
      </c>
      <c r="B1417" s="49">
        <f t="shared" si="23"/>
        <v>1995</v>
      </c>
      <c r="C1417" s="27" t="s">
        <v>35</v>
      </c>
      <c r="D1417" s="27" t="s">
        <v>31</v>
      </c>
      <c r="E1417" s="27">
        <v>72</v>
      </c>
    </row>
    <row r="1418" spans="1:5" x14ac:dyDescent="0.25">
      <c r="A1418" s="26">
        <v>35034</v>
      </c>
      <c r="B1418" s="49">
        <f t="shared" si="23"/>
        <v>1995</v>
      </c>
      <c r="C1418" s="27" t="s">
        <v>32</v>
      </c>
      <c r="D1418" s="27" t="s">
        <v>31</v>
      </c>
      <c r="E1418" s="27">
        <v>958</v>
      </c>
    </row>
    <row r="1419" spans="1:5" x14ac:dyDescent="0.25">
      <c r="A1419" s="26">
        <v>35034</v>
      </c>
      <c r="B1419" s="49">
        <f t="shared" si="23"/>
        <v>1995</v>
      </c>
      <c r="C1419" s="27" t="s">
        <v>27</v>
      </c>
      <c r="D1419" s="27" t="s">
        <v>31</v>
      </c>
      <c r="E1419" s="27">
        <v>1343</v>
      </c>
    </row>
    <row r="1420" spans="1:5" x14ac:dyDescent="0.25">
      <c r="A1420" s="26">
        <v>35034</v>
      </c>
      <c r="B1420" s="49">
        <f t="shared" si="23"/>
        <v>1995</v>
      </c>
      <c r="C1420" s="27" t="s">
        <v>32</v>
      </c>
      <c r="D1420" s="27" t="s">
        <v>31</v>
      </c>
      <c r="E1420" s="27">
        <v>371</v>
      </c>
    </row>
    <row r="1421" spans="1:5" x14ac:dyDescent="0.25">
      <c r="A1421" s="26">
        <v>35034</v>
      </c>
      <c r="B1421" s="49">
        <f t="shared" si="23"/>
        <v>1995</v>
      </c>
      <c r="C1421" s="27" t="s">
        <v>27</v>
      </c>
      <c r="D1421" s="27" t="s">
        <v>31</v>
      </c>
      <c r="E1421" s="27">
        <v>404</v>
      </c>
    </row>
    <row r="1422" spans="1:5" x14ac:dyDescent="0.25">
      <c r="A1422" s="26">
        <v>35034</v>
      </c>
      <c r="B1422" s="49">
        <f t="shared" si="23"/>
        <v>1995</v>
      </c>
      <c r="C1422" s="27" t="s">
        <v>34</v>
      </c>
      <c r="D1422" s="27" t="s">
        <v>31</v>
      </c>
      <c r="E1422" s="27">
        <v>859</v>
      </c>
    </row>
    <row r="1423" spans="1:5" x14ac:dyDescent="0.25">
      <c r="A1423" s="26">
        <v>35034</v>
      </c>
      <c r="B1423" s="49">
        <f t="shared" si="23"/>
        <v>1995</v>
      </c>
      <c r="C1423" s="27" t="s">
        <v>34</v>
      </c>
      <c r="D1423" s="27" t="s">
        <v>31</v>
      </c>
      <c r="E1423" s="27">
        <v>706</v>
      </c>
    </row>
    <row r="1424" spans="1:5" x14ac:dyDescent="0.25">
      <c r="A1424" s="26">
        <v>35034</v>
      </c>
      <c r="B1424" s="49">
        <f t="shared" si="23"/>
        <v>1995</v>
      </c>
      <c r="C1424" s="27" t="s">
        <v>34</v>
      </c>
      <c r="D1424" s="27" t="s">
        <v>33</v>
      </c>
      <c r="E1424" s="27">
        <v>72</v>
      </c>
    </row>
    <row r="1425" spans="1:5" x14ac:dyDescent="0.25">
      <c r="A1425" s="26">
        <v>35034</v>
      </c>
      <c r="B1425" s="49">
        <f t="shared" si="23"/>
        <v>1995</v>
      </c>
      <c r="C1425" s="27" t="s">
        <v>27</v>
      </c>
      <c r="D1425" s="27" t="s">
        <v>33</v>
      </c>
      <c r="E1425" s="27">
        <v>739</v>
      </c>
    </row>
    <row r="1426" spans="1:5" x14ac:dyDescent="0.25">
      <c r="A1426" s="26">
        <v>35034</v>
      </c>
      <c r="B1426" s="49">
        <f t="shared" si="23"/>
        <v>1995</v>
      </c>
      <c r="C1426" s="27" t="s">
        <v>27</v>
      </c>
      <c r="D1426" s="27" t="s">
        <v>33</v>
      </c>
      <c r="E1426" s="27">
        <v>44</v>
      </c>
    </row>
    <row r="1427" spans="1:5" x14ac:dyDescent="0.25">
      <c r="A1427" s="26">
        <v>35034</v>
      </c>
      <c r="B1427" s="49">
        <f t="shared" si="23"/>
        <v>1995</v>
      </c>
      <c r="C1427" s="27" t="s">
        <v>35</v>
      </c>
      <c r="D1427" s="27" t="s">
        <v>33</v>
      </c>
      <c r="E1427" s="27">
        <v>50</v>
      </c>
    </row>
    <row r="1428" spans="1:5" x14ac:dyDescent="0.25">
      <c r="A1428" s="26">
        <v>35034</v>
      </c>
      <c r="B1428" s="49">
        <f t="shared" si="23"/>
        <v>1995</v>
      </c>
      <c r="C1428" s="27" t="s">
        <v>34</v>
      </c>
      <c r="D1428" s="27" t="s">
        <v>33</v>
      </c>
      <c r="E1428" s="27">
        <v>63</v>
      </c>
    </row>
    <row r="1429" spans="1:5" x14ac:dyDescent="0.25">
      <c r="A1429" s="26">
        <v>35034</v>
      </c>
      <c r="B1429" s="49">
        <f t="shared" si="23"/>
        <v>1995</v>
      </c>
      <c r="C1429" s="27" t="s">
        <v>35</v>
      </c>
      <c r="D1429" s="27" t="s">
        <v>33</v>
      </c>
      <c r="E1429" s="27">
        <v>70</v>
      </c>
    </row>
    <row r="1430" spans="1:5" x14ac:dyDescent="0.25">
      <c r="A1430" s="26">
        <v>35034</v>
      </c>
      <c r="B1430" s="49">
        <f t="shared" si="23"/>
        <v>1995</v>
      </c>
      <c r="C1430" s="27" t="s">
        <v>35</v>
      </c>
      <c r="D1430" s="27" t="s">
        <v>33</v>
      </c>
      <c r="E1430" s="27">
        <v>79</v>
      </c>
    </row>
    <row r="1431" spans="1:5" x14ac:dyDescent="0.25">
      <c r="A1431" s="26">
        <v>35034</v>
      </c>
      <c r="B1431" s="49">
        <f t="shared" si="23"/>
        <v>1995</v>
      </c>
      <c r="C1431" s="27" t="s">
        <v>27</v>
      </c>
      <c r="D1431" s="27" t="s">
        <v>33</v>
      </c>
      <c r="E1431" s="27">
        <v>79</v>
      </c>
    </row>
    <row r="1432" spans="1:5" x14ac:dyDescent="0.25">
      <c r="A1432" s="26">
        <v>35034</v>
      </c>
      <c r="B1432" s="49">
        <f t="shared" si="23"/>
        <v>1995</v>
      </c>
      <c r="C1432" s="27" t="s">
        <v>35</v>
      </c>
      <c r="D1432" s="27" t="s">
        <v>33</v>
      </c>
      <c r="E1432" s="27">
        <v>98</v>
      </c>
    </row>
    <row r="1433" spans="1:5" x14ac:dyDescent="0.25">
      <c r="A1433" s="26">
        <v>35034</v>
      </c>
      <c r="B1433" s="49">
        <f t="shared" si="23"/>
        <v>1995</v>
      </c>
      <c r="C1433" s="27" t="s">
        <v>37</v>
      </c>
      <c r="D1433" s="27" t="s">
        <v>33</v>
      </c>
      <c r="E1433" s="27">
        <v>113</v>
      </c>
    </row>
    <row r="1434" spans="1:5" x14ac:dyDescent="0.25">
      <c r="A1434" s="26">
        <v>35034</v>
      </c>
      <c r="B1434" s="49">
        <f t="shared" si="23"/>
        <v>1995</v>
      </c>
      <c r="C1434" s="27" t="s">
        <v>37</v>
      </c>
      <c r="D1434" s="27" t="s">
        <v>33</v>
      </c>
      <c r="E1434" s="27">
        <v>175</v>
      </c>
    </row>
    <row r="1435" spans="1:5" x14ac:dyDescent="0.25">
      <c r="A1435" s="26">
        <v>35034</v>
      </c>
      <c r="B1435" s="49">
        <f t="shared" si="23"/>
        <v>1995</v>
      </c>
      <c r="C1435" s="27" t="s">
        <v>32</v>
      </c>
      <c r="D1435" s="27" t="s">
        <v>33</v>
      </c>
      <c r="E1435" s="27">
        <v>371</v>
      </c>
    </row>
    <row r="1436" spans="1:5" x14ac:dyDescent="0.25">
      <c r="A1436" s="26">
        <v>35034</v>
      </c>
      <c r="B1436" s="49">
        <f t="shared" si="23"/>
        <v>1995</v>
      </c>
      <c r="C1436" s="27" t="s">
        <v>34</v>
      </c>
      <c r="D1436" s="27" t="s">
        <v>33</v>
      </c>
      <c r="E1436" s="27">
        <v>933</v>
      </c>
    </row>
    <row r="1437" spans="1:5" x14ac:dyDescent="0.25">
      <c r="A1437" s="26">
        <v>35034</v>
      </c>
      <c r="B1437" s="49">
        <f t="shared" si="23"/>
        <v>1995</v>
      </c>
      <c r="C1437" s="27" t="s">
        <v>32</v>
      </c>
      <c r="D1437" s="27" t="s">
        <v>33</v>
      </c>
      <c r="E1437" s="27">
        <v>1206</v>
      </c>
    </row>
    <row r="1438" spans="1:5" x14ac:dyDescent="0.25">
      <c r="A1438" s="26">
        <v>35034</v>
      </c>
      <c r="B1438" s="49">
        <f t="shared" si="23"/>
        <v>1995</v>
      </c>
      <c r="C1438" s="27" t="s">
        <v>32</v>
      </c>
      <c r="D1438" s="27" t="s">
        <v>33</v>
      </c>
      <c r="E1438" s="27">
        <v>1867</v>
      </c>
    </row>
    <row r="1439" spans="1:5" x14ac:dyDescent="0.25">
      <c r="A1439" s="26">
        <v>35034</v>
      </c>
      <c r="B1439" s="49">
        <f t="shared" si="23"/>
        <v>1995</v>
      </c>
      <c r="C1439" s="27" t="s">
        <v>34</v>
      </c>
      <c r="D1439" s="27" t="s">
        <v>33</v>
      </c>
      <c r="E1439" s="27">
        <v>1900</v>
      </c>
    </row>
    <row r="1440" spans="1:5" x14ac:dyDescent="0.25">
      <c r="A1440" s="26">
        <v>35034</v>
      </c>
      <c r="B1440" s="49">
        <f t="shared" si="23"/>
        <v>1995</v>
      </c>
      <c r="C1440" s="27" t="s">
        <v>27</v>
      </c>
      <c r="D1440" s="27" t="s">
        <v>33</v>
      </c>
      <c r="E1440" s="27">
        <v>1976</v>
      </c>
    </row>
    <row r="1441" spans="1:5" x14ac:dyDescent="0.25">
      <c r="A1441" s="26">
        <v>35034</v>
      </c>
      <c r="B1441" s="49">
        <f t="shared" si="23"/>
        <v>1995</v>
      </c>
      <c r="C1441" s="27" t="s">
        <v>32</v>
      </c>
      <c r="D1441" s="27" t="s">
        <v>33</v>
      </c>
      <c r="E1441" s="27">
        <v>239</v>
      </c>
    </row>
    <row r="1442" spans="1:5" x14ac:dyDescent="0.25">
      <c r="A1442" s="26">
        <v>35034</v>
      </c>
      <c r="B1442" s="49">
        <f t="shared" si="23"/>
        <v>1995</v>
      </c>
      <c r="C1442" s="27" t="s">
        <v>37</v>
      </c>
      <c r="D1442" s="27" t="s">
        <v>36</v>
      </c>
      <c r="E1442" s="27">
        <v>254</v>
      </c>
    </row>
    <row r="1443" spans="1:5" x14ac:dyDescent="0.25">
      <c r="A1443" s="26">
        <v>35034</v>
      </c>
      <c r="B1443" s="49">
        <f t="shared" si="23"/>
        <v>1995</v>
      </c>
      <c r="C1443" s="27" t="s">
        <v>34</v>
      </c>
      <c r="D1443" s="27" t="s">
        <v>36</v>
      </c>
      <c r="E1443" s="27">
        <v>615</v>
      </c>
    </row>
    <row r="1444" spans="1:5" x14ac:dyDescent="0.25">
      <c r="A1444" s="26">
        <v>35034</v>
      </c>
      <c r="B1444" s="49">
        <f t="shared" si="23"/>
        <v>1995</v>
      </c>
      <c r="C1444" s="27" t="s">
        <v>34</v>
      </c>
      <c r="D1444" s="27" t="s">
        <v>36</v>
      </c>
      <c r="E1444" s="27">
        <v>413</v>
      </c>
    </row>
    <row r="1445" spans="1:5" x14ac:dyDescent="0.25">
      <c r="A1445" s="26">
        <v>35034</v>
      </c>
      <c r="B1445" s="49">
        <f t="shared" si="23"/>
        <v>1995</v>
      </c>
      <c r="C1445" s="27" t="s">
        <v>32</v>
      </c>
      <c r="D1445" s="27" t="s">
        <v>36</v>
      </c>
      <c r="E1445" s="27">
        <v>1165</v>
      </c>
    </row>
    <row r="1446" spans="1:5" x14ac:dyDescent="0.25">
      <c r="A1446" s="26">
        <v>35034</v>
      </c>
      <c r="B1446" s="49">
        <f t="shared" si="23"/>
        <v>1995</v>
      </c>
      <c r="C1446" s="27" t="s">
        <v>34</v>
      </c>
      <c r="D1446" s="27" t="s">
        <v>36</v>
      </c>
      <c r="E1446" s="27">
        <v>263</v>
      </c>
    </row>
    <row r="1447" spans="1:5" x14ac:dyDescent="0.25">
      <c r="A1447" s="26">
        <v>35034</v>
      </c>
      <c r="B1447" s="49">
        <f t="shared" si="23"/>
        <v>1995</v>
      </c>
      <c r="C1447" s="27" t="s">
        <v>37</v>
      </c>
      <c r="D1447" s="27" t="s">
        <v>36</v>
      </c>
      <c r="E1447" s="27">
        <v>225</v>
      </c>
    </row>
    <row r="1448" spans="1:5" x14ac:dyDescent="0.25">
      <c r="A1448" s="26">
        <v>35034</v>
      </c>
      <c r="B1448" s="49">
        <f t="shared" si="23"/>
        <v>1995</v>
      </c>
      <c r="C1448" s="27" t="s">
        <v>35</v>
      </c>
      <c r="D1448" s="27" t="s">
        <v>36</v>
      </c>
      <c r="E1448" s="27">
        <v>191</v>
      </c>
    </row>
    <row r="1449" spans="1:5" x14ac:dyDescent="0.25">
      <c r="A1449" s="26">
        <v>35034</v>
      </c>
      <c r="B1449" s="49">
        <f t="shared" si="23"/>
        <v>1995</v>
      </c>
      <c r="C1449" s="27" t="s">
        <v>32</v>
      </c>
      <c r="D1449" s="27" t="s">
        <v>36</v>
      </c>
      <c r="E1449" s="27">
        <v>180</v>
      </c>
    </row>
    <row r="1450" spans="1:5" x14ac:dyDescent="0.25">
      <c r="A1450" s="26">
        <v>35034</v>
      </c>
      <c r="B1450" s="49">
        <f t="shared" si="23"/>
        <v>1995</v>
      </c>
      <c r="C1450" s="27" t="s">
        <v>27</v>
      </c>
      <c r="D1450" s="27" t="s">
        <v>36</v>
      </c>
      <c r="E1450" s="27">
        <v>169</v>
      </c>
    </row>
    <row r="1451" spans="1:5" x14ac:dyDescent="0.25">
      <c r="A1451" s="26">
        <v>35034</v>
      </c>
      <c r="B1451" s="49">
        <f t="shared" si="23"/>
        <v>1995</v>
      </c>
      <c r="C1451" s="27" t="s">
        <v>34</v>
      </c>
      <c r="D1451" s="27" t="s">
        <v>36</v>
      </c>
      <c r="E1451" s="27">
        <v>270</v>
      </c>
    </row>
    <row r="1452" spans="1:5" x14ac:dyDescent="0.25">
      <c r="A1452" s="26">
        <v>35034</v>
      </c>
      <c r="B1452" s="49">
        <f t="shared" si="23"/>
        <v>1995</v>
      </c>
      <c r="C1452" s="27" t="s">
        <v>35</v>
      </c>
      <c r="D1452" s="27" t="s">
        <v>36</v>
      </c>
      <c r="E1452" s="27">
        <v>151</v>
      </c>
    </row>
    <row r="1453" spans="1:5" x14ac:dyDescent="0.25">
      <c r="A1453" s="26">
        <v>35034</v>
      </c>
      <c r="B1453" s="49">
        <f t="shared" si="23"/>
        <v>1995</v>
      </c>
      <c r="C1453" s="27" t="s">
        <v>27</v>
      </c>
      <c r="D1453" s="27" t="s">
        <v>36</v>
      </c>
      <c r="E1453" s="27">
        <v>28</v>
      </c>
    </row>
    <row r="1454" spans="1:5" x14ac:dyDescent="0.25">
      <c r="A1454" s="26">
        <v>35034</v>
      </c>
      <c r="B1454" s="49">
        <f t="shared" si="23"/>
        <v>1995</v>
      </c>
      <c r="C1454" s="27" t="s">
        <v>27</v>
      </c>
      <c r="D1454" s="27" t="s">
        <v>36</v>
      </c>
      <c r="E1454" s="27">
        <v>27</v>
      </c>
    </row>
    <row r="1455" spans="1:5" x14ac:dyDescent="0.25">
      <c r="A1455" s="26">
        <v>35034</v>
      </c>
      <c r="B1455" s="49">
        <f t="shared" si="23"/>
        <v>1995</v>
      </c>
      <c r="C1455" s="27" t="s">
        <v>32</v>
      </c>
      <c r="D1455" s="27" t="s">
        <v>36</v>
      </c>
      <c r="E1455" s="27">
        <v>158</v>
      </c>
    </row>
    <row r="1456" spans="1:5" x14ac:dyDescent="0.25">
      <c r="A1456" s="26">
        <v>35034</v>
      </c>
      <c r="B1456" s="49">
        <f t="shared" si="23"/>
        <v>1995</v>
      </c>
      <c r="C1456" s="27" t="s">
        <v>35</v>
      </c>
      <c r="D1456" s="27" t="s">
        <v>36</v>
      </c>
      <c r="E1456" s="27">
        <v>149</v>
      </c>
    </row>
    <row r="1457" spans="1:5" x14ac:dyDescent="0.25">
      <c r="A1457" s="26">
        <v>35034</v>
      </c>
      <c r="B1457" s="49">
        <f t="shared" si="23"/>
        <v>1995</v>
      </c>
      <c r="C1457" s="27" t="s">
        <v>35</v>
      </c>
      <c r="D1457" s="27" t="s">
        <v>36</v>
      </c>
      <c r="E1457" s="27">
        <v>149</v>
      </c>
    </row>
    <row r="1458" spans="1:5" x14ac:dyDescent="0.25">
      <c r="A1458" s="26">
        <v>35034</v>
      </c>
      <c r="B1458" s="49">
        <f t="shared" si="23"/>
        <v>1995</v>
      </c>
      <c r="C1458" s="27" t="s">
        <v>27</v>
      </c>
      <c r="D1458" s="27" t="s">
        <v>36</v>
      </c>
      <c r="E1458" s="27">
        <v>124</v>
      </c>
    </row>
    <row r="1459" spans="1:5" x14ac:dyDescent="0.25">
      <c r="A1459" s="26">
        <v>35034</v>
      </c>
      <c r="B1459" s="49">
        <f t="shared" si="23"/>
        <v>1995</v>
      </c>
      <c r="C1459" s="27" t="s">
        <v>34</v>
      </c>
      <c r="D1459" s="27" t="s">
        <v>36</v>
      </c>
      <c r="E1459" s="27">
        <v>124</v>
      </c>
    </row>
    <row r="1460" spans="1:5" x14ac:dyDescent="0.25">
      <c r="A1460" s="26">
        <v>35034</v>
      </c>
      <c r="B1460" s="49">
        <f t="shared" si="23"/>
        <v>1995</v>
      </c>
      <c r="C1460" s="27" t="s">
        <v>27</v>
      </c>
      <c r="D1460" s="27" t="s">
        <v>36</v>
      </c>
      <c r="E1460" s="27">
        <v>114</v>
      </c>
    </row>
    <row r="1461" spans="1:5" x14ac:dyDescent="0.25">
      <c r="A1461" s="26">
        <v>35034</v>
      </c>
      <c r="B1461" s="49">
        <f t="shared" si="23"/>
        <v>1995</v>
      </c>
      <c r="C1461" s="27" t="s">
        <v>27</v>
      </c>
      <c r="D1461" s="27" t="s">
        <v>36</v>
      </c>
      <c r="E1461" s="27">
        <v>44</v>
      </c>
    </row>
    <row r="1462" spans="1:5" x14ac:dyDescent="0.25">
      <c r="A1462" s="26">
        <v>35034</v>
      </c>
      <c r="B1462" s="49">
        <f t="shared" si="23"/>
        <v>1995</v>
      </c>
      <c r="C1462" s="27" t="s">
        <v>32</v>
      </c>
      <c r="D1462" s="27" t="s">
        <v>36</v>
      </c>
      <c r="E1462" s="27">
        <v>110</v>
      </c>
    </row>
    <row r="1463" spans="1:5" x14ac:dyDescent="0.25">
      <c r="A1463" s="26">
        <v>35034</v>
      </c>
      <c r="B1463" s="49">
        <f t="shared" si="23"/>
        <v>1995</v>
      </c>
      <c r="C1463" s="27" t="s">
        <v>34</v>
      </c>
      <c r="D1463" s="27" t="s">
        <v>36</v>
      </c>
      <c r="E1463" s="27">
        <v>53</v>
      </c>
    </row>
    <row r="1464" spans="1:5" x14ac:dyDescent="0.25">
      <c r="A1464" s="26">
        <v>35034</v>
      </c>
      <c r="B1464" s="49">
        <f t="shared" si="23"/>
        <v>1995</v>
      </c>
      <c r="C1464" s="27" t="s">
        <v>35</v>
      </c>
      <c r="D1464" s="27" t="s">
        <v>36</v>
      </c>
      <c r="E1464" s="27">
        <v>96</v>
      </c>
    </row>
    <row r="1465" spans="1:5" x14ac:dyDescent="0.25">
      <c r="A1465" s="26">
        <v>35034</v>
      </c>
      <c r="B1465" s="49">
        <f t="shared" si="23"/>
        <v>1995</v>
      </c>
      <c r="C1465" s="27" t="s">
        <v>35</v>
      </c>
      <c r="D1465" s="27" t="s">
        <v>36</v>
      </c>
      <c r="E1465" s="27">
        <v>95</v>
      </c>
    </row>
    <row r="1466" spans="1:5" x14ac:dyDescent="0.25">
      <c r="A1466" s="26">
        <v>35034</v>
      </c>
      <c r="B1466" s="49">
        <f t="shared" si="23"/>
        <v>1995</v>
      </c>
      <c r="C1466" s="27" t="s">
        <v>37</v>
      </c>
      <c r="D1466" s="27" t="s">
        <v>36</v>
      </c>
      <c r="E1466" s="27">
        <v>83</v>
      </c>
    </row>
    <row r="1467" spans="1:5" x14ac:dyDescent="0.25">
      <c r="A1467" s="26">
        <v>35034</v>
      </c>
      <c r="B1467" s="49">
        <f t="shared" si="23"/>
        <v>1995</v>
      </c>
      <c r="C1467" s="27" t="s">
        <v>32</v>
      </c>
      <c r="D1467" s="27" t="s">
        <v>36</v>
      </c>
      <c r="E1467" s="27">
        <v>151</v>
      </c>
    </row>
    <row r="1468" spans="1:5" x14ac:dyDescent="0.25">
      <c r="A1468" s="26">
        <v>35034</v>
      </c>
      <c r="B1468" s="49">
        <f t="shared" si="23"/>
        <v>1995</v>
      </c>
      <c r="C1468" s="27" t="s">
        <v>32</v>
      </c>
      <c r="D1468" s="27" t="s">
        <v>36</v>
      </c>
      <c r="E1468" s="27">
        <v>114</v>
      </c>
    </row>
    <row r="1469" spans="1:5" x14ac:dyDescent="0.25">
      <c r="A1469" s="26">
        <v>35065</v>
      </c>
      <c r="B1469" s="49">
        <f t="shared" si="23"/>
        <v>1996</v>
      </c>
      <c r="C1469" s="27" t="s">
        <v>34</v>
      </c>
      <c r="D1469" s="27" t="s">
        <v>28</v>
      </c>
      <c r="E1469" s="27">
        <v>441</v>
      </c>
    </row>
    <row r="1470" spans="1:5" x14ac:dyDescent="0.25">
      <c r="A1470" s="26">
        <v>35065</v>
      </c>
      <c r="B1470" s="49">
        <f t="shared" si="23"/>
        <v>1996</v>
      </c>
      <c r="C1470" s="27" t="s">
        <v>37</v>
      </c>
      <c r="D1470" s="27" t="s">
        <v>28</v>
      </c>
      <c r="E1470" s="27">
        <v>588</v>
      </c>
    </row>
    <row r="1471" spans="1:5" x14ac:dyDescent="0.25">
      <c r="A1471" s="26">
        <v>35065</v>
      </c>
      <c r="B1471" s="49">
        <f t="shared" si="23"/>
        <v>1996</v>
      </c>
      <c r="C1471" s="27" t="s">
        <v>27</v>
      </c>
      <c r="D1471" s="27" t="s">
        <v>28</v>
      </c>
      <c r="E1471" s="27">
        <v>681</v>
      </c>
    </row>
    <row r="1472" spans="1:5" x14ac:dyDescent="0.25">
      <c r="A1472" s="26">
        <v>35065</v>
      </c>
      <c r="B1472" s="49">
        <f t="shared" si="23"/>
        <v>1996</v>
      </c>
      <c r="C1472" s="27" t="s">
        <v>27</v>
      </c>
      <c r="D1472" s="27" t="s">
        <v>28</v>
      </c>
      <c r="E1472" s="27">
        <v>735</v>
      </c>
    </row>
    <row r="1473" spans="1:5" x14ac:dyDescent="0.25">
      <c r="A1473" s="26">
        <v>35065</v>
      </c>
      <c r="B1473" s="49">
        <f t="shared" si="23"/>
        <v>1996</v>
      </c>
      <c r="C1473" s="27" t="s">
        <v>27</v>
      </c>
      <c r="D1473" s="27" t="s">
        <v>28</v>
      </c>
      <c r="E1473" s="27">
        <v>770</v>
      </c>
    </row>
    <row r="1474" spans="1:5" x14ac:dyDescent="0.25">
      <c r="A1474" s="26">
        <v>35065</v>
      </c>
      <c r="B1474" s="49">
        <f t="shared" si="23"/>
        <v>1996</v>
      </c>
      <c r="C1474" s="27" t="s">
        <v>34</v>
      </c>
      <c r="D1474" s="27" t="s">
        <v>28</v>
      </c>
      <c r="E1474" s="27">
        <v>782</v>
      </c>
    </row>
    <row r="1475" spans="1:5" x14ac:dyDescent="0.25">
      <c r="A1475" s="26">
        <v>35065</v>
      </c>
      <c r="B1475" s="49">
        <f t="shared" ref="B1475:B1538" si="24">YEAR(A1475)</f>
        <v>1996</v>
      </c>
      <c r="C1475" s="27" t="s">
        <v>27</v>
      </c>
      <c r="D1475" s="27" t="s">
        <v>28</v>
      </c>
      <c r="E1475" s="27">
        <v>848</v>
      </c>
    </row>
    <row r="1476" spans="1:5" x14ac:dyDescent="0.25">
      <c r="A1476" s="26">
        <v>35065</v>
      </c>
      <c r="B1476" s="49">
        <f t="shared" si="24"/>
        <v>1996</v>
      </c>
      <c r="C1476" s="27" t="s">
        <v>32</v>
      </c>
      <c r="D1476" s="27" t="s">
        <v>28</v>
      </c>
      <c r="E1476" s="27">
        <v>1075</v>
      </c>
    </row>
    <row r="1477" spans="1:5" x14ac:dyDescent="0.25">
      <c r="A1477" s="26">
        <v>35065</v>
      </c>
      <c r="B1477" s="49">
        <f t="shared" si="24"/>
        <v>1996</v>
      </c>
      <c r="C1477" s="27" t="s">
        <v>35</v>
      </c>
      <c r="D1477" s="27" t="s">
        <v>28</v>
      </c>
      <c r="E1477" s="27">
        <v>248</v>
      </c>
    </row>
    <row r="1478" spans="1:5" x14ac:dyDescent="0.25">
      <c r="A1478" s="26">
        <v>35065</v>
      </c>
      <c r="B1478" s="49">
        <f t="shared" si="24"/>
        <v>1996</v>
      </c>
      <c r="C1478" s="27" t="s">
        <v>34</v>
      </c>
      <c r="D1478" s="27" t="s">
        <v>28</v>
      </c>
      <c r="E1478" s="27">
        <v>2443</v>
      </c>
    </row>
    <row r="1479" spans="1:5" x14ac:dyDescent="0.25">
      <c r="A1479" s="26">
        <v>35065</v>
      </c>
      <c r="B1479" s="49">
        <f t="shared" si="24"/>
        <v>1996</v>
      </c>
      <c r="C1479" s="27" t="s">
        <v>35</v>
      </c>
      <c r="D1479" s="27" t="s">
        <v>28</v>
      </c>
      <c r="E1479" s="27">
        <v>50</v>
      </c>
    </row>
    <row r="1480" spans="1:5" x14ac:dyDescent="0.25">
      <c r="A1480" s="26">
        <v>35065</v>
      </c>
      <c r="B1480" s="49">
        <f t="shared" si="24"/>
        <v>1996</v>
      </c>
      <c r="C1480" s="27" t="s">
        <v>35</v>
      </c>
      <c r="D1480" s="27" t="s">
        <v>28</v>
      </c>
      <c r="E1480" s="27">
        <v>302</v>
      </c>
    </row>
    <row r="1481" spans="1:5" x14ac:dyDescent="0.25">
      <c r="A1481" s="26">
        <v>35065</v>
      </c>
      <c r="B1481" s="49">
        <f t="shared" si="24"/>
        <v>1996</v>
      </c>
      <c r="C1481" s="27" t="s">
        <v>34</v>
      </c>
      <c r="D1481" s="27" t="s">
        <v>28</v>
      </c>
      <c r="E1481" s="27">
        <v>270</v>
      </c>
    </row>
    <row r="1482" spans="1:5" x14ac:dyDescent="0.25">
      <c r="A1482" s="26">
        <v>35065</v>
      </c>
      <c r="B1482" s="49">
        <f t="shared" si="24"/>
        <v>1996</v>
      </c>
      <c r="C1482" s="27" t="s">
        <v>32</v>
      </c>
      <c r="D1482" s="27" t="s">
        <v>28</v>
      </c>
      <c r="E1482" s="27">
        <v>90</v>
      </c>
    </row>
    <row r="1483" spans="1:5" x14ac:dyDescent="0.25">
      <c r="A1483" s="26">
        <v>35065</v>
      </c>
      <c r="B1483" s="49">
        <f t="shared" si="24"/>
        <v>1996</v>
      </c>
      <c r="C1483" s="27" t="s">
        <v>37</v>
      </c>
      <c r="D1483" s="27" t="s">
        <v>28</v>
      </c>
      <c r="E1483" s="27">
        <v>113</v>
      </c>
    </row>
    <row r="1484" spans="1:5" x14ac:dyDescent="0.25">
      <c r="A1484" s="26">
        <v>35065</v>
      </c>
      <c r="B1484" s="49">
        <f t="shared" si="24"/>
        <v>1996</v>
      </c>
      <c r="C1484" s="27" t="s">
        <v>35</v>
      </c>
      <c r="D1484" s="27" t="s">
        <v>28</v>
      </c>
      <c r="E1484" s="27">
        <v>225</v>
      </c>
    </row>
    <row r="1485" spans="1:5" x14ac:dyDescent="0.25">
      <c r="A1485" s="26">
        <v>35065</v>
      </c>
      <c r="B1485" s="49">
        <f t="shared" si="24"/>
        <v>1996</v>
      </c>
      <c r="C1485" s="27" t="s">
        <v>32</v>
      </c>
      <c r="D1485" s="27" t="s">
        <v>28</v>
      </c>
      <c r="E1485" s="27">
        <v>248</v>
      </c>
    </row>
    <row r="1486" spans="1:5" x14ac:dyDescent="0.25">
      <c r="A1486" s="26">
        <v>35065</v>
      </c>
      <c r="B1486" s="49">
        <f t="shared" si="24"/>
        <v>1996</v>
      </c>
      <c r="C1486" s="27" t="s">
        <v>34</v>
      </c>
      <c r="D1486" s="27" t="s">
        <v>29</v>
      </c>
      <c r="E1486" s="27">
        <v>420</v>
      </c>
    </row>
    <row r="1487" spans="1:5" x14ac:dyDescent="0.25">
      <c r="A1487" s="26">
        <v>35065</v>
      </c>
      <c r="B1487" s="49">
        <f t="shared" si="24"/>
        <v>1996</v>
      </c>
      <c r="C1487" s="27" t="s">
        <v>35</v>
      </c>
      <c r="D1487" s="27" t="s">
        <v>29</v>
      </c>
      <c r="E1487" s="27">
        <v>245</v>
      </c>
    </row>
    <row r="1488" spans="1:5" x14ac:dyDescent="0.25">
      <c r="A1488" s="26">
        <v>35065</v>
      </c>
      <c r="B1488" s="49">
        <f t="shared" si="24"/>
        <v>1996</v>
      </c>
      <c r="C1488" s="27" t="s">
        <v>35</v>
      </c>
      <c r="D1488" s="27" t="s">
        <v>29</v>
      </c>
      <c r="E1488" s="27">
        <v>273</v>
      </c>
    </row>
    <row r="1489" spans="1:5" x14ac:dyDescent="0.25">
      <c r="A1489" s="26">
        <v>35065</v>
      </c>
      <c r="B1489" s="49">
        <f t="shared" si="24"/>
        <v>1996</v>
      </c>
      <c r="C1489" s="27" t="s">
        <v>37</v>
      </c>
      <c r="D1489" s="27" t="s">
        <v>29</v>
      </c>
      <c r="E1489" s="27">
        <v>293</v>
      </c>
    </row>
    <row r="1490" spans="1:5" x14ac:dyDescent="0.25">
      <c r="A1490" s="26">
        <v>35065</v>
      </c>
      <c r="B1490" s="49">
        <f t="shared" si="24"/>
        <v>1996</v>
      </c>
      <c r="C1490" s="27" t="s">
        <v>27</v>
      </c>
      <c r="D1490" s="27" t="s">
        <v>29</v>
      </c>
      <c r="E1490" s="27">
        <v>315</v>
      </c>
    </row>
    <row r="1491" spans="1:5" x14ac:dyDescent="0.25">
      <c r="A1491" s="26">
        <v>35065</v>
      </c>
      <c r="B1491" s="49">
        <f t="shared" si="24"/>
        <v>1996</v>
      </c>
      <c r="C1491" s="27" t="s">
        <v>35</v>
      </c>
      <c r="D1491" s="27" t="s">
        <v>29</v>
      </c>
      <c r="E1491" s="27">
        <v>360</v>
      </c>
    </row>
    <row r="1492" spans="1:5" x14ac:dyDescent="0.25">
      <c r="A1492" s="26">
        <v>35065</v>
      </c>
      <c r="B1492" s="49">
        <f t="shared" si="24"/>
        <v>1996</v>
      </c>
      <c r="C1492" s="27" t="s">
        <v>35</v>
      </c>
      <c r="D1492" s="27" t="s">
        <v>29</v>
      </c>
      <c r="E1492" s="27">
        <v>185</v>
      </c>
    </row>
    <row r="1493" spans="1:5" x14ac:dyDescent="0.25">
      <c r="A1493" s="26">
        <v>35065</v>
      </c>
      <c r="B1493" s="49">
        <f t="shared" si="24"/>
        <v>1996</v>
      </c>
      <c r="C1493" s="27" t="s">
        <v>32</v>
      </c>
      <c r="D1493" s="27" t="s">
        <v>29</v>
      </c>
      <c r="E1493" s="27">
        <v>175</v>
      </c>
    </row>
    <row r="1494" spans="1:5" x14ac:dyDescent="0.25">
      <c r="A1494" s="26">
        <v>35065</v>
      </c>
      <c r="B1494" s="49">
        <f t="shared" si="24"/>
        <v>1996</v>
      </c>
      <c r="C1494" s="27" t="s">
        <v>34</v>
      </c>
      <c r="D1494" s="27" t="s">
        <v>29</v>
      </c>
      <c r="E1494" s="27">
        <v>557</v>
      </c>
    </row>
    <row r="1495" spans="1:5" x14ac:dyDescent="0.25">
      <c r="A1495" s="26">
        <v>35065</v>
      </c>
      <c r="B1495" s="49">
        <f t="shared" si="24"/>
        <v>1996</v>
      </c>
      <c r="C1495" s="27" t="s">
        <v>27</v>
      </c>
      <c r="D1495" s="27" t="s">
        <v>29</v>
      </c>
      <c r="E1495" s="27">
        <v>606</v>
      </c>
    </row>
    <row r="1496" spans="1:5" x14ac:dyDescent="0.25">
      <c r="A1496" s="26">
        <v>35065</v>
      </c>
      <c r="B1496" s="49">
        <f t="shared" si="24"/>
        <v>1996</v>
      </c>
      <c r="C1496" s="27" t="s">
        <v>32</v>
      </c>
      <c r="D1496" s="27" t="s">
        <v>29</v>
      </c>
      <c r="E1496" s="27">
        <v>630</v>
      </c>
    </row>
    <row r="1497" spans="1:5" x14ac:dyDescent="0.25">
      <c r="A1497" s="26">
        <v>35065</v>
      </c>
      <c r="B1497" s="49">
        <f t="shared" si="24"/>
        <v>1996</v>
      </c>
      <c r="C1497" s="27" t="s">
        <v>34</v>
      </c>
      <c r="D1497" s="27" t="s">
        <v>29</v>
      </c>
      <c r="E1497" s="27">
        <v>394</v>
      </c>
    </row>
    <row r="1498" spans="1:5" x14ac:dyDescent="0.25">
      <c r="A1498" s="26">
        <v>35065</v>
      </c>
      <c r="B1498" s="49">
        <f t="shared" si="24"/>
        <v>1996</v>
      </c>
      <c r="C1498" s="27" t="s">
        <v>32</v>
      </c>
      <c r="D1498" s="27" t="s">
        <v>29</v>
      </c>
      <c r="E1498" s="27">
        <v>79</v>
      </c>
    </row>
    <row r="1499" spans="1:5" x14ac:dyDescent="0.25">
      <c r="A1499" s="26">
        <v>35065</v>
      </c>
      <c r="B1499" s="49">
        <f t="shared" si="24"/>
        <v>1996</v>
      </c>
      <c r="C1499" s="27" t="s">
        <v>37</v>
      </c>
      <c r="D1499" s="27" t="s">
        <v>29</v>
      </c>
      <c r="E1499" s="27">
        <v>123</v>
      </c>
    </row>
    <row r="1500" spans="1:5" x14ac:dyDescent="0.25">
      <c r="A1500" s="26">
        <v>35065</v>
      </c>
      <c r="B1500" s="49">
        <f t="shared" si="24"/>
        <v>1996</v>
      </c>
      <c r="C1500" s="27" t="s">
        <v>32</v>
      </c>
      <c r="D1500" s="27" t="s">
        <v>29</v>
      </c>
      <c r="E1500" s="27">
        <v>135</v>
      </c>
    </row>
    <row r="1501" spans="1:5" x14ac:dyDescent="0.25">
      <c r="A1501" s="26">
        <v>35065</v>
      </c>
      <c r="B1501" s="49">
        <f t="shared" si="24"/>
        <v>1996</v>
      </c>
      <c r="C1501" s="27" t="s">
        <v>34</v>
      </c>
      <c r="D1501" s="27" t="s">
        <v>29</v>
      </c>
      <c r="E1501" s="27">
        <v>952</v>
      </c>
    </row>
    <row r="1502" spans="1:5" x14ac:dyDescent="0.25">
      <c r="A1502" s="26">
        <v>35065</v>
      </c>
      <c r="B1502" s="49">
        <f t="shared" si="24"/>
        <v>1996</v>
      </c>
      <c r="C1502" s="27" t="s">
        <v>27</v>
      </c>
      <c r="D1502" s="27" t="s">
        <v>29</v>
      </c>
      <c r="E1502" s="27">
        <v>985</v>
      </c>
    </row>
    <row r="1503" spans="1:5" x14ac:dyDescent="0.25">
      <c r="A1503" s="26">
        <v>35065</v>
      </c>
      <c r="B1503" s="49">
        <f t="shared" si="24"/>
        <v>1996</v>
      </c>
      <c r="C1503" s="27" t="s">
        <v>27</v>
      </c>
      <c r="D1503" s="27" t="s">
        <v>29</v>
      </c>
      <c r="E1503" s="27">
        <v>696</v>
      </c>
    </row>
    <row r="1504" spans="1:5" x14ac:dyDescent="0.25">
      <c r="A1504" s="26">
        <v>35065</v>
      </c>
      <c r="B1504" s="49">
        <f t="shared" si="24"/>
        <v>1996</v>
      </c>
      <c r="C1504" s="27" t="s">
        <v>27</v>
      </c>
      <c r="D1504" s="27" t="s">
        <v>30</v>
      </c>
      <c r="E1504" s="27">
        <v>90</v>
      </c>
    </row>
    <row r="1505" spans="1:5" x14ac:dyDescent="0.25">
      <c r="A1505" s="26">
        <v>35065</v>
      </c>
      <c r="B1505" s="49">
        <f t="shared" si="24"/>
        <v>1996</v>
      </c>
      <c r="C1505" s="27" t="s">
        <v>27</v>
      </c>
      <c r="D1505" s="27" t="s">
        <v>30</v>
      </c>
      <c r="E1505" s="27">
        <v>63</v>
      </c>
    </row>
    <row r="1506" spans="1:5" x14ac:dyDescent="0.25">
      <c r="A1506" s="26">
        <v>35065</v>
      </c>
      <c r="B1506" s="49">
        <f t="shared" si="24"/>
        <v>1996</v>
      </c>
      <c r="C1506" s="27" t="s">
        <v>32</v>
      </c>
      <c r="D1506" s="27" t="s">
        <v>30</v>
      </c>
      <c r="E1506" s="27">
        <v>90</v>
      </c>
    </row>
    <row r="1507" spans="1:5" x14ac:dyDescent="0.25">
      <c r="A1507" s="26">
        <v>35065</v>
      </c>
      <c r="B1507" s="49">
        <f t="shared" si="24"/>
        <v>1996</v>
      </c>
      <c r="C1507" s="27" t="s">
        <v>32</v>
      </c>
      <c r="D1507" s="27" t="s">
        <v>30</v>
      </c>
      <c r="E1507" s="27">
        <v>234</v>
      </c>
    </row>
    <row r="1508" spans="1:5" x14ac:dyDescent="0.25">
      <c r="A1508" s="26">
        <v>35065</v>
      </c>
      <c r="B1508" s="49">
        <f t="shared" si="24"/>
        <v>1996</v>
      </c>
      <c r="C1508" s="27" t="s">
        <v>32</v>
      </c>
      <c r="D1508" s="27" t="s">
        <v>30</v>
      </c>
      <c r="E1508" s="27">
        <v>140</v>
      </c>
    </row>
    <row r="1509" spans="1:5" x14ac:dyDescent="0.25">
      <c r="A1509" s="26">
        <v>35065</v>
      </c>
      <c r="B1509" s="49">
        <f t="shared" si="24"/>
        <v>1996</v>
      </c>
      <c r="C1509" s="27" t="s">
        <v>27</v>
      </c>
      <c r="D1509" s="27" t="s">
        <v>30</v>
      </c>
      <c r="E1509" s="27">
        <v>72</v>
      </c>
    </row>
    <row r="1510" spans="1:5" x14ac:dyDescent="0.25">
      <c r="A1510" s="26">
        <v>35065</v>
      </c>
      <c r="B1510" s="49">
        <f t="shared" si="24"/>
        <v>1996</v>
      </c>
      <c r="C1510" s="27" t="s">
        <v>32</v>
      </c>
      <c r="D1510" s="27" t="s">
        <v>30</v>
      </c>
      <c r="E1510" s="27">
        <v>149</v>
      </c>
    </row>
    <row r="1511" spans="1:5" x14ac:dyDescent="0.25">
      <c r="A1511" s="26">
        <v>35065</v>
      </c>
      <c r="B1511" s="49">
        <f t="shared" si="24"/>
        <v>1996</v>
      </c>
      <c r="C1511" s="27" t="s">
        <v>27</v>
      </c>
      <c r="D1511" s="27" t="s">
        <v>30</v>
      </c>
      <c r="E1511" s="27">
        <v>113</v>
      </c>
    </row>
    <row r="1512" spans="1:5" x14ac:dyDescent="0.25">
      <c r="A1512" s="26">
        <v>35065</v>
      </c>
      <c r="B1512" s="49">
        <f t="shared" si="24"/>
        <v>1996</v>
      </c>
      <c r="C1512" s="27" t="s">
        <v>32</v>
      </c>
      <c r="D1512" s="27" t="s">
        <v>30</v>
      </c>
      <c r="E1512" s="27">
        <v>113</v>
      </c>
    </row>
    <row r="1513" spans="1:5" x14ac:dyDescent="0.25">
      <c r="A1513" s="26">
        <v>35065</v>
      </c>
      <c r="B1513" s="49">
        <f t="shared" si="24"/>
        <v>1996</v>
      </c>
      <c r="C1513" s="27" t="s">
        <v>27</v>
      </c>
      <c r="D1513" s="27" t="s">
        <v>30</v>
      </c>
      <c r="E1513" s="27">
        <v>2290</v>
      </c>
    </row>
    <row r="1514" spans="1:5" x14ac:dyDescent="0.25">
      <c r="A1514" s="26">
        <v>35065</v>
      </c>
      <c r="B1514" s="49">
        <f t="shared" si="24"/>
        <v>1996</v>
      </c>
      <c r="C1514" s="27" t="s">
        <v>27</v>
      </c>
      <c r="D1514" s="27" t="s">
        <v>30</v>
      </c>
      <c r="E1514" s="27">
        <v>1601</v>
      </c>
    </row>
    <row r="1515" spans="1:5" x14ac:dyDescent="0.25">
      <c r="A1515" s="26">
        <v>35065</v>
      </c>
      <c r="B1515" s="49">
        <f t="shared" si="24"/>
        <v>1996</v>
      </c>
      <c r="C1515" s="27" t="s">
        <v>32</v>
      </c>
      <c r="D1515" s="27" t="s">
        <v>30</v>
      </c>
      <c r="E1515" s="27">
        <v>358</v>
      </c>
    </row>
    <row r="1516" spans="1:5" x14ac:dyDescent="0.25">
      <c r="A1516" s="26">
        <v>35065</v>
      </c>
      <c r="B1516" s="49">
        <f t="shared" si="24"/>
        <v>1996</v>
      </c>
      <c r="C1516" s="27" t="s">
        <v>35</v>
      </c>
      <c r="D1516" s="27" t="s">
        <v>31</v>
      </c>
      <c r="E1516" s="27">
        <v>56</v>
      </c>
    </row>
    <row r="1517" spans="1:5" x14ac:dyDescent="0.25">
      <c r="A1517" s="26">
        <v>35065</v>
      </c>
      <c r="B1517" s="49">
        <f t="shared" si="24"/>
        <v>1996</v>
      </c>
      <c r="C1517" s="27" t="s">
        <v>32</v>
      </c>
      <c r="D1517" s="27" t="s">
        <v>31</v>
      </c>
      <c r="E1517" s="27">
        <v>45</v>
      </c>
    </row>
    <row r="1518" spans="1:5" x14ac:dyDescent="0.25">
      <c r="A1518" s="26">
        <v>35065</v>
      </c>
      <c r="B1518" s="49">
        <f t="shared" si="24"/>
        <v>1996</v>
      </c>
      <c r="C1518" s="27" t="s">
        <v>35</v>
      </c>
      <c r="D1518" s="27" t="s">
        <v>31</v>
      </c>
      <c r="E1518" s="27">
        <v>135</v>
      </c>
    </row>
    <row r="1519" spans="1:5" x14ac:dyDescent="0.25">
      <c r="A1519" s="26">
        <v>35065</v>
      </c>
      <c r="B1519" s="49">
        <f t="shared" si="24"/>
        <v>1996</v>
      </c>
      <c r="C1519" s="27" t="s">
        <v>34</v>
      </c>
      <c r="D1519" s="27" t="s">
        <v>31</v>
      </c>
      <c r="E1519" s="27">
        <v>210</v>
      </c>
    </row>
    <row r="1520" spans="1:5" x14ac:dyDescent="0.25">
      <c r="A1520" s="26">
        <v>35065</v>
      </c>
      <c r="B1520" s="49">
        <f t="shared" si="24"/>
        <v>1996</v>
      </c>
      <c r="C1520" s="27" t="s">
        <v>32</v>
      </c>
      <c r="D1520" s="27" t="s">
        <v>31</v>
      </c>
      <c r="E1520" s="27">
        <v>440</v>
      </c>
    </row>
    <row r="1521" spans="1:5" x14ac:dyDescent="0.25">
      <c r="A1521" s="26">
        <v>35065</v>
      </c>
      <c r="B1521" s="49">
        <f t="shared" si="24"/>
        <v>1996</v>
      </c>
      <c r="C1521" s="27" t="s">
        <v>37</v>
      </c>
      <c r="D1521" s="27" t="s">
        <v>31</v>
      </c>
      <c r="E1521" s="27">
        <v>158</v>
      </c>
    </row>
    <row r="1522" spans="1:5" x14ac:dyDescent="0.25">
      <c r="A1522" s="26">
        <v>35065</v>
      </c>
      <c r="B1522" s="49">
        <f t="shared" si="24"/>
        <v>1996</v>
      </c>
      <c r="C1522" s="27" t="s">
        <v>35</v>
      </c>
      <c r="D1522" s="27" t="s">
        <v>31</v>
      </c>
      <c r="E1522" s="27">
        <v>166</v>
      </c>
    </row>
    <row r="1523" spans="1:5" x14ac:dyDescent="0.25">
      <c r="A1523" s="26">
        <v>35065</v>
      </c>
      <c r="B1523" s="49">
        <f t="shared" si="24"/>
        <v>1996</v>
      </c>
      <c r="C1523" s="27" t="s">
        <v>27</v>
      </c>
      <c r="D1523" s="27" t="s">
        <v>31</v>
      </c>
      <c r="E1523" s="27">
        <v>175</v>
      </c>
    </row>
    <row r="1524" spans="1:5" x14ac:dyDescent="0.25">
      <c r="A1524" s="26">
        <v>35065</v>
      </c>
      <c r="B1524" s="49">
        <f t="shared" si="24"/>
        <v>1996</v>
      </c>
      <c r="C1524" s="27" t="s">
        <v>34</v>
      </c>
      <c r="D1524" s="27" t="s">
        <v>31</v>
      </c>
      <c r="E1524" s="27">
        <v>184</v>
      </c>
    </row>
    <row r="1525" spans="1:5" x14ac:dyDescent="0.25">
      <c r="A1525" s="26">
        <v>35065</v>
      </c>
      <c r="B1525" s="49">
        <f t="shared" si="24"/>
        <v>1996</v>
      </c>
      <c r="C1525" s="27" t="s">
        <v>27</v>
      </c>
      <c r="D1525" s="27" t="s">
        <v>31</v>
      </c>
      <c r="E1525" s="27">
        <v>437</v>
      </c>
    </row>
    <row r="1526" spans="1:5" x14ac:dyDescent="0.25">
      <c r="A1526" s="26">
        <v>35065</v>
      </c>
      <c r="B1526" s="49">
        <f t="shared" si="24"/>
        <v>1996</v>
      </c>
      <c r="C1526" s="27" t="s">
        <v>32</v>
      </c>
      <c r="D1526" s="27" t="s">
        <v>31</v>
      </c>
      <c r="E1526" s="27">
        <v>1115</v>
      </c>
    </row>
    <row r="1527" spans="1:5" x14ac:dyDescent="0.25">
      <c r="A1527" s="26">
        <v>35065</v>
      </c>
      <c r="B1527" s="49">
        <f t="shared" si="24"/>
        <v>1996</v>
      </c>
      <c r="C1527" s="27" t="s">
        <v>35</v>
      </c>
      <c r="D1527" s="27" t="s">
        <v>31</v>
      </c>
      <c r="E1527" s="27">
        <v>86</v>
      </c>
    </row>
    <row r="1528" spans="1:5" x14ac:dyDescent="0.25">
      <c r="A1528" s="26">
        <v>35065</v>
      </c>
      <c r="B1528" s="49">
        <f t="shared" si="24"/>
        <v>1996</v>
      </c>
      <c r="C1528" s="27" t="s">
        <v>27</v>
      </c>
      <c r="D1528" s="27" t="s">
        <v>31</v>
      </c>
      <c r="E1528" s="27">
        <v>1310</v>
      </c>
    </row>
    <row r="1529" spans="1:5" x14ac:dyDescent="0.25">
      <c r="A1529" s="26">
        <v>35065</v>
      </c>
      <c r="B1529" s="49">
        <f t="shared" si="24"/>
        <v>1996</v>
      </c>
      <c r="C1529" s="27" t="s">
        <v>27</v>
      </c>
      <c r="D1529" s="27" t="s">
        <v>31</v>
      </c>
      <c r="E1529" s="27">
        <v>113</v>
      </c>
    </row>
    <row r="1530" spans="1:5" x14ac:dyDescent="0.25">
      <c r="A1530" s="26">
        <v>35065</v>
      </c>
      <c r="B1530" s="49">
        <f t="shared" si="24"/>
        <v>1996</v>
      </c>
      <c r="C1530" s="27" t="s">
        <v>37</v>
      </c>
      <c r="D1530" s="27" t="s">
        <v>31</v>
      </c>
      <c r="E1530" s="27">
        <v>131</v>
      </c>
    </row>
    <row r="1531" spans="1:5" x14ac:dyDescent="0.25">
      <c r="A1531" s="26">
        <v>35065</v>
      </c>
      <c r="B1531" s="49">
        <f t="shared" si="24"/>
        <v>1996</v>
      </c>
      <c r="C1531" s="27" t="s">
        <v>34</v>
      </c>
      <c r="D1531" s="27" t="s">
        <v>31</v>
      </c>
      <c r="E1531" s="27">
        <v>468</v>
      </c>
    </row>
    <row r="1532" spans="1:5" x14ac:dyDescent="0.25">
      <c r="A1532" s="26">
        <v>35065</v>
      </c>
      <c r="B1532" s="49">
        <f t="shared" si="24"/>
        <v>1996</v>
      </c>
      <c r="C1532" s="27" t="s">
        <v>34</v>
      </c>
      <c r="D1532" s="27" t="s">
        <v>31</v>
      </c>
      <c r="E1532" s="27">
        <v>786</v>
      </c>
    </row>
    <row r="1533" spans="1:5" x14ac:dyDescent="0.25">
      <c r="A1533" s="26">
        <v>35065</v>
      </c>
      <c r="B1533" s="49">
        <f t="shared" si="24"/>
        <v>1996</v>
      </c>
      <c r="C1533" s="27" t="s">
        <v>32</v>
      </c>
      <c r="D1533" s="27" t="s">
        <v>31</v>
      </c>
      <c r="E1533" s="27">
        <v>458</v>
      </c>
    </row>
    <row r="1534" spans="1:5" x14ac:dyDescent="0.25">
      <c r="A1534" s="26">
        <v>35065</v>
      </c>
      <c r="B1534" s="49">
        <f t="shared" si="24"/>
        <v>1996</v>
      </c>
      <c r="C1534" s="27" t="s">
        <v>32</v>
      </c>
      <c r="D1534" s="27" t="s">
        <v>33</v>
      </c>
      <c r="E1534" s="27">
        <v>1272</v>
      </c>
    </row>
    <row r="1535" spans="1:5" x14ac:dyDescent="0.25">
      <c r="A1535" s="26">
        <v>35065</v>
      </c>
      <c r="B1535" s="49">
        <f t="shared" si="24"/>
        <v>1996</v>
      </c>
      <c r="C1535" s="27" t="s">
        <v>27</v>
      </c>
      <c r="D1535" s="27" t="s">
        <v>33</v>
      </c>
      <c r="E1535" s="27">
        <v>1630</v>
      </c>
    </row>
    <row r="1536" spans="1:5" x14ac:dyDescent="0.25">
      <c r="A1536" s="26">
        <v>35065</v>
      </c>
      <c r="B1536" s="49">
        <f t="shared" si="24"/>
        <v>1996</v>
      </c>
      <c r="C1536" s="27" t="s">
        <v>32</v>
      </c>
      <c r="D1536" s="27" t="s">
        <v>33</v>
      </c>
      <c r="E1536" s="27">
        <v>2083</v>
      </c>
    </row>
    <row r="1537" spans="1:5" x14ac:dyDescent="0.25">
      <c r="A1537" s="26">
        <v>35065</v>
      </c>
      <c r="B1537" s="49">
        <f t="shared" si="24"/>
        <v>1996</v>
      </c>
      <c r="C1537" s="27" t="s">
        <v>27</v>
      </c>
      <c r="D1537" s="27" t="s">
        <v>33</v>
      </c>
      <c r="E1537" s="27">
        <v>644</v>
      </c>
    </row>
    <row r="1538" spans="1:5" x14ac:dyDescent="0.25">
      <c r="A1538" s="26">
        <v>35065</v>
      </c>
      <c r="B1538" s="49">
        <f t="shared" si="24"/>
        <v>1996</v>
      </c>
      <c r="C1538" s="27" t="s">
        <v>34</v>
      </c>
      <c r="D1538" s="27" t="s">
        <v>33</v>
      </c>
      <c r="E1538" s="27">
        <v>1129</v>
      </c>
    </row>
    <row r="1539" spans="1:5" x14ac:dyDescent="0.25">
      <c r="A1539" s="26">
        <v>35065</v>
      </c>
      <c r="B1539" s="49">
        <f t="shared" ref="B1539:B1602" si="25">YEAR(A1539)</f>
        <v>1996</v>
      </c>
      <c r="C1539" s="27" t="s">
        <v>34</v>
      </c>
      <c r="D1539" s="27" t="s">
        <v>33</v>
      </c>
      <c r="E1539" s="27">
        <v>912</v>
      </c>
    </row>
    <row r="1540" spans="1:5" x14ac:dyDescent="0.25">
      <c r="A1540" s="26">
        <v>35065</v>
      </c>
      <c r="B1540" s="49">
        <f t="shared" si="25"/>
        <v>1996</v>
      </c>
      <c r="C1540" s="27" t="s">
        <v>27</v>
      </c>
      <c r="D1540" s="27" t="s">
        <v>33</v>
      </c>
      <c r="E1540" s="27">
        <v>44</v>
      </c>
    </row>
    <row r="1541" spans="1:5" x14ac:dyDescent="0.25">
      <c r="A1541" s="26">
        <v>35065</v>
      </c>
      <c r="B1541" s="49">
        <f t="shared" si="25"/>
        <v>1996</v>
      </c>
      <c r="C1541" s="27" t="s">
        <v>34</v>
      </c>
      <c r="D1541" s="27" t="s">
        <v>33</v>
      </c>
      <c r="E1541" s="27">
        <v>56</v>
      </c>
    </row>
    <row r="1542" spans="1:5" x14ac:dyDescent="0.25">
      <c r="A1542" s="26">
        <v>35065</v>
      </c>
      <c r="B1542" s="49">
        <f t="shared" si="25"/>
        <v>1996</v>
      </c>
      <c r="C1542" s="27" t="s">
        <v>35</v>
      </c>
      <c r="D1542" s="27" t="s">
        <v>33</v>
      </c>
      <c r="E1542" s="27">
        <v>63</v>
      </c>
    </row>
    <row r="1543" spans="1:5" x14ac:dyDescent="0.25">
      <c r="A1543" s="26">
        <v>35065</v>
      </c>
      <c r="B1543" s="49">
        <f t="shared" si="25"/>
        <v>1996</v>
      </c>
      <c r="C1543" s="27" t="s">
        <v>34</v>
      </c>
      <c r="D1543" s="27" t="s">
        <v>33</v>
      </c>
      <c r="E1543" s="27">
        <v>72</v>
      </c>
    </row>
    <row r="1544" spans="1:5" x14ac:dyDescent="0.25">
      <c r="A1544" s="26">
        <v>35065</v>
      </c>
      <c r="B1544" s="49">
        <f t="shared" si="25"/>
        <v>1996</v>
      </c>
      <c r="C1544" s="27" t="s">
        <v>27</v>
      </c>
      <c r="D1544" s="27" t="s">
        <v>33</v>
      </c>
      <c r="E1544" s="27">
        <v>79</v>
      </c>
    </row>
    <row r="1545" spans="1:5" x14ac:dyDescent="0.25">
      <c r="A1545" s="26">
        <v>35065</v>
      </c>
      <c r="B1545" s="49">
        <f t="shared" si="25"/>
        <v>1996</v>
      </c>
      <c r="C1545" s="27" t="s">
        <v>35</v>
      </c>
      <c r="D1545" s="27" t="s">
        <v>33</v>
      </c>
      <c r="E1545" s="27">
        <v>79</v>
      </c>
    </row>
    <row r="1546" spans="1:5" x14ac:dyDescent="0.25">
      <c r="A1546" s="26">
        <v>35065</v>
      </c>
      <c r="B1546" s="49">
        <f t="shared" si="25"/>
        <v>1996</v>
      </c>
      <c r="C1546" s="27" t="s">
        <v>35</v>
      </c>
      <c r="D1546" s="27" t="s">
        <v>33</v>
      </c>
      <c r="E1546" s="27">
        <v>90</v>
      </c>
    </row>
    <row r="1547" spans="1:5" x14ac:dyDescent="0.25">
      <c r="A1547" s="26">
        <v>35065</v>
      </c>
      <c r="B1547" s="49">
        <f t="shared" si="25"/>
        <v>1996</v>
      </c>
      <c r="C1547" s="27" t="s">
        <v>35</v>
      </c>
      <c r="D1547" s="27" t="s">
        <v>33</v>
      </c>
      <c r="E1547" s="27">
        <v>105</v>
      </c>
    </row>
    <row r="1548" spans="1:5" x14ac:dyDescent="0.25">
      <c r="A1548" s="26">
        <v>35065</v>
      </c>
      <c r="B1548" s="49">
        <f t="shared" si="25"/>
        <v>1996</v>
      </c>
      <c r="C1548" s="27" t="s">
        <v>37</v>
      </c>
      <c r="D1548" s="27" t="s">
        <v>33</v>
      </c>
      <c r="E1548" s="27">
        <v>124</v>
      </c>
    </row>
    <row r="1549" spans="1:5" x14ac:dyDescent="0.25">
      <c r="A1549" s="26">
        <v>35065</v>
      </c>
      <c r="B1549" s="49">
        <f t="shared" si="25"/>
        <v>1996</v>
      </c>
      <c r="C1549" s="27" t="s">
        <v>37</v>
      </c>
      <c r="D1549" s="27" t="s">
        <v>33</v>
      </c>
      <c r="E1549" s="27">
        <v>140</v>
      </c>
    </row>
    <row r="1550" spans="1:5" x14ac:dyDescent="0.25">
      <c r="A1550" s="26">
        <v>35065</v>
      </c>
      <c r="B1550" s="49">
        <f t="shared" si="25"/>
        <v>1996</v>
      </c>
      <c r="C1550" s="27" t="s">
        <v>32</v>
      </c>
      <c r="D1550" s="27" t="s">
        <v>33</v>
      </c>
      <c r="E1550" s="27">
        <v>252</v>
      </c>
    </row>
    <row r="1551" spans="1:5" x14ac:dyDescent="0.25">
      <c r="A1551" s="26">
        <v>35065</v>
      </c>
      <c r="B1551" s="49">
        <f t="shared" si="25"/>
        <v>1996</v>
      </c>
      <c r="C1551" s="27" t="s">
        <v>32</v>
      </c>
      <c r="D1551" s="27" t="s">
        <v>33</v>
      </c>
      <c r="E1551" s="27">
        <v>415</v>
      </c>
    </row>
    <row r="1552" spans="1:5" x14ac:dyDescent="0.25">
      <c r="A1552" s="26">
        <v>35065</v>
      </c>
      <c r="B1552" s="49">
        <f t="shared" si="25"/>
        <v>1996</v>
      </c>
      <c r="C1552" s="27" t="s">
        <v>27</v>
      </c>
      <c r="D1552" s="27" t="s">
        <v>36</v>
      </c>
      <c r="E1552" s="27">
        <v>191</v>
      </c>
    </row>
    <row r="1553" spans="1:5" x14ac:dyDescent="0.25">
      <c r="A1553" s="26">
        <v>35065</v>
      </c>
      <c r="B1553" s="49">
        <f t="shared" si="25"/>
        <v>1996</v>
      </c>
      <c r="C1553" s="27" t="s">
        <v>27</v>
      </c>
      <c r="D1553" s="27" t="s">
        <v>36</v>
      </c>
      <c r="E1553" s="27">
        <v>27</v>
      </c>
    </row>
    <row r="1554" spans="1:5" x14ac:dyDescent="0.25">
      <c r="A1554" s="26">
        <v>35065</v>
      </c>
      <c r="B1554" s="49">
        <f t="shared" si="25"/>
        <v>1996</v>
      </c>
      <c r="C1554" s="27" t="s">
        <v>27</v>
      </c>
      <c r="D1554" s="27" t="s">
        <v>36</v>
      </c>
      <c r="E1554" s="27">
        <v>61</v>
      </c>
    </row>
    <row r="1555" spans="1:5" x14ac:dyDescent="0.25">
      <c r="A1555" s="26">
        <v>35065</v>
      </c>
      <c r="B1555" s="49">
        <f t="shared" si="25"/>
        <v>1996</v>
      </c>
      <c r="C1555" s="27" t="s">
        <v>35</v>
      </c>
      <c r="D1555" s="27" t="s">
        <v>36</v>
      </c>
      <c r="E1555" s="27">
        <v>171</v>
      </c>
    </row>
    <row r="1556" spans="1:5" x14ac:dyDescent="0.25">
      <c r="A1556" s="26">
        <v>35065</v>
      </c>
      <c r="B1556" s="49">
        <f t="shared" si="25"/>
        <v>1996</v>
      </c>
      <c r="C1556" s="27" t="s">
        <v>32</v>
      </c>
      <c r="D1556" s="27" t="s">
        <v>36</v>
      </c>
      <c r="E1556" s="27">
        <v>158</v>
      </c>
    </row>
    <row r="1557" spans="1:5" x14ac:dyDescent="0.25">
      <c r="A1557" s="26">
        <v>35065</v>
      </c>
      <c r="B1557" s="49">
        <f t="shared" si="25"/>
        <v>1996</v>
      </c>
      <c r="C1557" s="27" t="s">
        <v>35</v>
      </c>
      <c r="D1557" s="27" t="s">
        <v>36</v>
      </c>
      <c r="E1557" s="27">
        <v>158</v>
      </c>
    </row>
    <row r="1558" spans="1:5" x14ac:dyDescent="0.25">
      <c r="A1558" s="26">
        <v>35065</v>
      </c>
      <c r="B1558" s="49">
        <f t="shared" si="25"/>
        <v>1996</v>
      </c>
      <c r="C1558" s="27" t="s">
        <v>35</v>
      </c>
      <c r="D1558" s="27" t="s">
        <v>36</v>
      </c>
      <c r="E1558" s="27">
        <v>151</v>
      </c>
    </row>
    <row r="1559" spans="1:5" x14ac:dyDescent="0.25">
      <c r="A1559" s="26">
        <v>35065</v>
      </c>
      <c r="B1559" s="49">
        <f t="shared" si="25"/>
        <v>1996</v>
      </c>
      <c r="C1559" s="27" t="s">
        <v>27</v>
      </c>
      <c r="D1559" s="27" t="s">
        <v>36</v>
      </c>
      <c r="E1559" s="27">
        <v>28</v>
      </c>
    </row>
    <row r="1560" spans="1:5" x14ac:dyDescent="0.25">
      <c r="A1560" s="26">
        <v>35065</v>
      </c>
      <c r="B1560" s="49">
        <f t="shared" si="25"/>
        <v>1996</v>
      </c>
      <c r="C1560" s="27" t="s">
        <v>27</v>
      </c>
      <c r="D1560" s="27" t="s">
        <v>36</v>
      </c>
      <c r="E1560" s="27">
        <v>131</v>
      </c>
    </row>
    <row r="1561" spans="1:5" x14ac:dyDescent="0.25">
      <c r="A1561" s="26">
        <v>35065</v>
      </c>
      <c r="B1561" s="49">
        <f t="shared" si="25"/>
        <v>1996</v>
      </c>
      <c r="C1561" s="27" t="s">
        <v>32</v>
      </c>
      <c r="D1561" s="27" t="s">
        <v>36</v>
      </c>
      <c r="E1561" s="27">
        <v>123</v>
      </c>
    </row>
    <row r="1562" spans="1:5" x14ac:dyDescent="0.25">
      <c r="A1562" s="26">
        <v>35065</v>
      </c>
      <c r="B1562" s="49">
        <f t="shared" si="25"/>
        <v>1996</v>
      </c>
      <c r="C1562" s="27" t="s">
        <v>37</v>
      </c>
      <c r="D1562" s="27" t="s">
        <v>36</v>
      </c>
      <c r="E1562" s="27">
        <v>113</v>
      </c>
    </row>
    <row r="1563" spans="1:5" x14ac:dyDescent="0.25">
      <c r="A1563" s="26">
        <v>35065</v>
      </c>
      <c r="B1563" s="49">
        <f t="shared" si="25"/>
        <v>1996</v>
      </c>
      <c r="C1563" s="27" t="s">
        <v>35</v>
      </c>
      <c r="D1563" s="27" t="s">
        <v>36</v>
      </c>
      <c r="E1563" s="27">
        <v>105</v>
      </c>
    </row>
    <row r="1564" spans="1:5" x14ac:dyDescent="0.25">
      <c r="A1564" s="26">
        <v>35065</v>
      </c>
      <c r="B1564" s="49">
        <f t="shared" si="25"/>
        <v>1996</v>
      </c>
      <c r="C1564" s="27" t="s">
        <v>35</v>
      </c>
      <c r="D1564" s="27" t="s">
        <v>36</v>
      </c>
      <c r="E1564" s="27">
        <v>102</v>
      </c>
    </row>
    <row r="1565" spans="1:5" x14ac:dyDescent="0.25">
      <c r="A1565" s="26">
        <v>35065</v>
      </c>
      <c r="B1565" s="49">
        <f t="shared" si="25"/>
        <v>1996</v>
      </c>
      <c r="C1565" s="27" t="s">
        <v>32</v>
      </c>
      <c r="D1565" s="27" t="s">
        <v>36</v>
      </c>
      <c r="E1565" s="27">
        <v>83</v>
      </c>
    </row>
    <row r="1566" spans="1:5" x14ac:dyDescent="0.25">
      <c r="A1566" s="26">
        <v>35065</v>
      </c>
      <c r="B1566" s="49">
        <f t="shared" si="25"/>
        <v>1996</v>
      </c>
      <c r="C1566" s="27" t="s">
        <v>27</v>
      </c>
      <c r="D1566" s="27" t="s">
        <v>36</v>
      </c>
      <c r="E1566" s="27">
        <v>138</v>
      </c>
    </row>
    <row r="1567" spans="1:5" x14ac:dyDescent="0.25">
      <c r="A1567" s="26">
        <v>35065</v>
      </c>
      <c r="B1567" s="49">
        <f t="shared" si="25"/>
        <v>1996</v>
      </c>
      <c r="C1567" s="27" t="s">
        <v>32</v>
      </c>
      <c r="D1567" s="27" t="s">
        <v>36</v>
      </c>
      <c r="E1567" s="27">
        <v>193</v>
      </c>
    </row>
    <row r="1568" spans="1:5" x14ac:dyDescent="0.25">
      <c r="A1568" s="26">
        <v>35065</v>
      </c>
      <c r="B1568" s="49">
        <f t="shared" si="25"/>
        <v>1996</v>
      </c>
      <c r="C1568" s="27" t="s">
        <v>32</v>
      </c>
      <c r="D1568" s="27" t="s">
        <v>36</v>
      </c>
      <c r="E1568" s="27">
        <v>191</v>
      </c>
    </row>
    <row r="1569" spans="1:5" x14ac:dyDescent="0.25">
      <c r="A1569" s="26">
        <v>35065</v>
      </c>
      <c r="B1569" s="49">
        <f t="shared" si="25"/>
        <v>1996</v>
      </c>
      <c r="C1569" s="27" t="s">
        <v>34</v>
      </c>
      <c r="D1569" s="27" t="s">
        <v>36</v>
      </c>
      <c r="E1569" s="27">
        <v>1180</v>
      </c>
    </row>
    <row r="1570" spans="1:5" x14ac:dyDescent="0.25">
      <c r="A1570" s="26">
        <v>35065</v>
      </c>
      <c r="B1570" s="49">
        <f t="shared" si="25"/>
        <v>1996</v>
      </c>
      <c r="C1570" s="27" t="s">
        <v>32</v>
      </c>
      <c r="D1570" s="27" t="s">
        <v>36</v>
      </c>
      <c r="E1570" s="27">
        <v>1136</v>
      </c>
    </row>
    <row r="1571" spans="1:5" x14ac:dyDescent="0.25">
      <c r="A1571" s="26">
        <v>35065</v>
      </c>
      <c r="B1571" s="49">
        <f t="shared" si="25"/>
        <v>1996</v>
      </c>
      <c r="C1571" s="27" t="s">
        <v>34</v>
      </c>
      <c r="D1571" s="27" t="s">
        <v>36</v>
      </c>
      <c r="E1571" s="27">
        <v>304</v>
      </c>
    </row>
    <row r="1572" spans="1:5" x14ac:dyDescent="0.25">
      <c r="A1572" s="26">
        <v>35065</v>
      </c>
      <c r="B1572" s="49">
        <f t="shared" si="25"/>
        <v>1996</v>
      </c>
      <c r="C1572" s="27" t="s">
        <v>34</v>
      </c>
      <c r="D1572" s="27" t="s">
        <v>36</v>
      </c>
      <c r="E1572" s="27">
        <v>289</v>
      </c>
    </row>
    <row r="1573" spans="1:5" x14ac:dyDescent="0.25">
      <c r="A1573" s="26">
        <v>35065</v>
      </c>
      <c r="B1573" s="49">
        <f t="shared" si="25"/>
        <v>1996</v>
      </c>
      <c r="C1573" s="27" t="s">
        <v>37</v>
      </c>
      <c r="D1573" s="27" t="s">
        <v>36</v>
      </c>
      <c r="E1573" s="27">
        <v>236</v>
      </c>
    </row>
    <row r="1574" spans="1:5" x14ac:dyDescent="0.25">
      <c r="A1574" s="26">
        <v>35065</v>
      </c>
      <c r="B1574" s="49">
        <f t="shared" si="25"/>
        <v>1996</v>
      </c>
      <c r="C1574" s="27" t="s">
        <v>37</v>
      </c>
      <c r="D1574" s="27" t="s">
        <v>36</v>
      </c>
      <c r="E1574" s="27">
        <v>220</v>
      </c>
    </row>
    <row r="1575" spans="1:5" x14ac:dyDescent="0.25">
      <c r="A1575" s="26">
        <v>35065</v>
      </c>
      <c r="B1575" s="49">
        <f t="shared" si="25"/>
        <v>1996</v>
      </c>
      <c r="C1575" s="27" t="s">
        <v>34</v>
      </c>
      <c r="D1575" s="27" t="s">
        <v>36</v>
      </c>
      <c r="E1575" s="27">
        <v>206</v>
      </c>
    </row>
    <row r="1576" spans="1:5" x14ac:dyDescent="0.25">
      <c r="A1576" s="26">
        <v>35065</v>
      </c>
      <c r="B1576" s="49">
        <f t="shared" si="25"/>
        <v>1996</v>
      </c>
      <c r="C1576" s="27" t="s">
        <v>35</v>
      </c>
      <c r="D1576" s="27" t="s">
        <v>36</v>
      </c>
      <c r="E1576" s="27">
        <v>203</v>
      </c>
    </row>
    <row r="1577" spans="1:5" x14ac:dyDescent="0.25">
      <c r="A1577" s="26">
        <v>35065</v>
      </c>
      <c r="B1577" s="49">
        <f t="shared" si="25"/>
        <v>1996</v>
      </c>
      <c r="C1577" s="27" t="s">
        <v>34</v>
      </c>
      <c r="D1577" s="27" t="s">
        <v>36</v>
      </c>
      <c r="E1577" s="27">
        <v>655</v>
      </c>
    </row>
    <row r="1578" spans="1:5" x14ac:dyDescent="0.25">
      <c r="A1578" s="26">
        <v>35096</v>
      </c>
      <c r="B1578" s="49">
        <f t="shared" si="25"/>
        <v>1996</v>
      </c>
      <c r="C1578" s="27" t="s">
        <v>35</v>
      </c>
      <c r="D1578" s="27" t="s">
        <v>28</v>
      </c>
      <c r="E1578" s="27">
        <v>330</v>
      </c>
    </row>
    <row r="1579" spans="1:5" x14ac:dyDescent="0.25">
      <c r="A1579" s="26">
        <v>35096</v>
      </c>
      <c r="B1579" s="49">
        <f t="shared" si="25"/>
        <v>1996</v>
      </c>
      <c r="C1579" s="27" t="s">
        <v>32</v>
      </c>
      <c r="D1579" s="27" t="s">
        <v>28</v>
      </c>
      <c r="E1579" s="27">
        <v>45</v>
      </c>
    </row>
    <row r="1580" spans="1:5" x14ac:dyDescent="0.25">
      <c r="A1580" s="26">
        <v>35096</v>
      </c>
      <c r="B1580" s="49">
        <f t="shared" si="25"/>
        <v>1996</v>
      </c>
      <c r="C1580" s="27" t="s">
        <v>37</v>
      </c>
      <c r="D1580" s="27" t="s">
        <v>28</v>
      </c>
      <c r="E1580" s="27">
        <v>124</v>
      </c>
    </row>
    <row r="1581" spans="1:5" x14ac:dyDescent="0.25">
      <c r="A1581" s="26">
        <v>35096</v>
      </c>
      <c r="B1581" s="49">
        <f t="shared" si="25"/>
        <v>1996</v>
      </c>
      <c r="C1581" s="27" t="s">
        <v>32</v>
      </c>
      <c r="D1581" s="27" t="s">
        <v>28</v>
      </c>
      <c r="E1581" s="27">
        <v>193</v>
      </c>
    </row>
    <row r="1582" spans="1:5" x14ac:dyDescent="0.25">
      <c r="A1582" s="26">
        <v>35096</v>
      </c>
      <c r="B1582" s="49">
        <f t="shared" si="25"/>
        <v>1996</v>
      </c>
      <c r="C1582" s="27" t="s">
        <v>32</v>
      </c>
      <c r="D1582" s="27" t="s">
        <v>28</v>
      </c>
      <c r="E1582" s="27">
        <v>225</v>
      </c>
    </row>
    <row r="1583" spans="1:5" x14ac:dyDescent="0.25">
      <c r="A1583" s="26">
        <v>35096</v>
      </c>
      <c r="B1583" s="49">
        <f t="shared" si="25"/>
        <v>1996</v>
      </c>
      <c r="C1583" s="27" t="s">
        <v>34</v>
      </c>
      <c r="D1583" s="27" t="s">
        <v>28</v>
      </c>
      <c r="E1583" s="27">
        <v>270</v>
      </c>
    </row>
    <row r="1584" spans="1:5" x14ac:dyDescent="0.25">
      <c r="A1584" s="26">
        <v>35096</v>
      </c>
      <c r="B1584" s="49">
        <f t="shared" si="25"/>
        <v>1996</v>
      </c>
      <c r="C1584" s="27" t="s">
        <v>35</v>
      </c>
      <c r="D1584" s="27" t="s">
        <v>28</v>
      </c>
      <c r="E1584" s="27">
        <v>66</v>
      </c>
    </row>
    <row r="1585" spans="1:5" x14ac:dyDescent="0.25">
      <c r="A1585" s="26">
        <v>35096</v>
      </c>
      <c r="B1585" s="49">
        <f t="shared" si="25"/>
        <v>1996</v>
      </c>
      <c r="C1585" s="27" t="s">
        <v>34</v>
      </c>
      <c r="D1585" s="27" t="s">
        <v>28</v>
      </c>
      <c r="E1585" s="27">
        <v>371</v>
      </c>
    </row>
    <row r="1586" spans="1:5" x14ac:dyDescent="0.25">
      <c r="A1586" s="26">
        <v>35096</v>
      </c>
      <c r="B1586" s="49">
        <f t="shared" si="25"/>
        <v>1996</v>
      </c>
      <c r="C1586" s="27" t="s">
        <v>35</v>
      </c>
      <c r="D1586" s="27" t="s">
        <v>28</v>
      </c>
      <c r="E1586" s="27">
        <v>270</v>
      </c>
    </row>
    <row r="1587" spans="1:5" x14ac:dyDescent="0.25">
      <c r="A1587" s="26">
        <v>35096</v>
      </c>
      <c r="B1587" s="49">
        <f t="shared" si="25"/>
        <v>1996</v>
      </c>
      <c r="C1587" s="27" t="s">
        <v>35</v>
      </c>
      <c r="D1587" s="27" t="s">
        <v>28</v>
      </c>
      <c r="E1587" s="27">
        <v>441</v>
      </c>
    </row>
    <row r="1588" spans="1:5" x14ac:dyDescent="0.25">
      <c r="A1588" s="26">
        <v>35096</v>
      </c>
      <c r="B1588" s="49">
        <f t="shared" si="25"/>
        <v>1996</v>
      </c>
      <c r="C1588" s="27" t="s">
        <v>37</v>
      </c>
      <c r="D1588" s="27" t="s">
        <v>28</v>
      </c>
      <c r="E1588" s="27">
        <v>587</v>
      </c>
    </row>
    <row r="1589" spans="1:5" x14ac:dyDescent="0.25">
      <c r="A1589" s="26">
        <v>35096</v>
      </c>
      <c r="B1589" s="49">
        <f t="shared" si="25"/>
        <v>1996</v>
      </c>
      <c r="C1589" s="27" t="s">
        <v>27</v>
      </c>
      <c r="D1589" s="27" t="s">
        <v>28</v>
      </c>
      <c r="E1589" s="27">
        <v>615</v>
      </c>
    </row>
    <row r="1590" spans="1:5" x14ac:dyDescent="0.25">
      <c r="A1590" s="26">
        <v>35096</v>
      </c>
      <c r="B1590" s="49">
        <f t="shared" si="25"/>
        <v>1996</v>
      </c>
      <c r="C1590" s="27" t="s">
        <v>27</v>
      </c>
      <c r="D1590" s="27" t="s">
        <v>28</v>
      </c>
      <c r="E1590" s="27">
        <v>633</v>
      </c>
    </row>
    <row r="1591" spans="1:5" x14ac:dyDescent="0.25">
      <c r="A1591" s="26">
        <v>35096</v>
      </c>
      <c r="B1591" s="49">
        <f t="shared" si="25"/>
        <v>1996</v>
      </c>
      <c r="C1591" s="27" t="s">
        <v>27</v>
      </c>
      <c r="D1591" s="27" t="s">
        <v>28</v>
      </c>
      <c r="E1591" s="27">
        <v>774</v>
      </c>
    </row>
    <row r="1592" spans="1:5" x14ac:dyDescent="0.25">
      <c r="A1592" s="26">
        <v>35096</v>
      </c>
      <c r="B1592" s="49">
        <f t="shared" si="25"/>
        <v>1996</v>
      </c>
      <c r="C1592" s="27" t="s">
        <v>27</v>
      </c>
      <c r="D1592" s="27" t="s">
        <v>28</v>
      </c>
      <c r="E1592" s="27">
        <v>976</v>
      </c>
    </row>
    <row r="1593" spans="1:5" x14ac:dyDescent="0.25">
      <c r="A1593" s="26">
        <v>35096</v>
      </c>
      <c r="B1593" s="49">
        <f t="shared" si="25"/>
        <v>1996</v>
      </c>
      <c r="C1593" s="27" t="s">
        <v>34</v>
      </c>
      <c r="D1593" s="27" t="s">
        <v>28</v>
      </c>
      <c r="E1593" s="27">
        <v>1039</v>
      </c>
    </row>
    <row r="1594" spans="1:5" x14ac:dyDescent="0.25">
      <c r="A1594" s="26">
        <v>35096</v>
      </c>
      <c r="B1594" s="49">
        <f t="shared" si="25"/>
        <v>1996</v>
      </c>
      <c r="C1594" s="27" t="s">
        <v>37</v>
      </c>
      <c r="D1594" s="27" t="s">
        <v>28</v>
      </c>
      <c r="E1594" s="27">
        <v>1081</v>
      </c>
    </row>
    <row r="1595" spans="1:5" x14ac:dyDescent="0.25">
      <c r="A1595" s="26">
        <v>35096</v>
      </c>
      <c r="B1595" s="49">
        <f t="shared" si="25"/>
        <v>1996</v>
      </c>
      <c r="C1595" s="27" t="s">
        <v>37</v>
      </c>
      <c r="D1595" s="27" t="s">
        <v>28</v>
      </c>
      <c r="E1595" s="27">
        <v>1134</v>
      </c>
    </row>
    <row r="1596" spans="1:5" x14ac:dyDescent="0.25">
      <c r="A1596" s="26">
        <v>35096</v>
      </c>
      <c r="B1596" s="49">
        <f t="shared" si="25"/>
        <v>1996</v>
      </c>
      <c r="C1596" s="27" t="s">
        <v>34</v>
      </c>
      <c r="D1596" s="27" t="s">
        <v>28</v>
      </c>
      <c r="E1596" s="27">
        <v>2517</v>
      </c>
    </row>
    <row r="1597" spans="1:5" x14ac:dyDescent="0.25">
      <c r="A1597" s="26">
        <v>35096</v>
      </c>
      <c r="B1597" s="49">
        <f t="shared" si="25"/>
        <v>1996</v>
      </c>
      <c r="C1597" s="27" t="s">
        <v>32</v>
      </c>
      <c r="D1597" s="27" t="s">
        <v>28</v>
      </c>
      <c r="E1597" s="27">
        <v>1475</v>
      </c>
    </row>
    <row r="1598" spans="1:5" x14ac:dyDescent="0.25">
      <c r="A1598" s="26">
        <v>35096</v>
      </c>
      <c r="B1598" s="49">
        <f t="shared" si="25"/>
        <v>1996</v>
      </c>
      <c r="C1598" s="27" t="s">
        <v>34</v>
      </c>
      <c r="D1598" s="27" t="s">
        <v>29</v>
      </c>
      <c r="E1598" s="27">
        <v>368</v>
      </c>
    </row>
    <row r="1599" spans="1:5" x14ac:dyDescent="0.25">
      <c r="A1599" s="26">
        <v>35096</v>
      </c>
      <c r="B1599" s="49">
        <f t="shared" si="25"/>
        <v>1996</v>
      </c>
      <c r="C1599" s="27" t="s">
        <v>27</v>
      </c>
      <c r="D1599" s="27" t="s">
        <v>29</v>
      </c>
      <c r="E1599" s="27">
        <v>448</v>
      </c>
    </row>
    <row r="1600" spans="1:5" x14ac:dyDescent="0.25">
      <c r="A1600" s="26">
        <v>35096</v>
      </c>
      <c r="B1600" s="49">
        <f t="shared" si="25"/>
        <v>1996</v>
      </c>
      <c r="C1600" s="27" t="s">
        <v>37</v>
      </c>
      <c r="D1600" s="27" t="s">
        <v>29</v>
      </c>
      <c r="E1600" s="27">
        <v>473</v>
      </c>
    </row>
    <row r="1601" spans="1:5" x14ac:dyDescent="0.25">
      <c r="A1601" s="26">
        <v>35096</v>
      </c>
      <c r="B1601" s="49">
        <f t="shared" si="25"/>
        <v>1996</v>
      </c>
      <c r="C1601" s="27" t="s">
        <v>35</v>
      </c>
      <c r="D1601" s="27" t="s">
        <v>29</v>
      </c>
      <c r="E1601" s="27">
        <v>480</v>
      </c>
    </row>
    <row r="1602" spans="1:5" x14ac:dyDescent="0.25">
      <c r="A1602" s="26">
        <v>35096</v>
      </c>
      <c r="B1602" s="49">
        <f t="shared" si="25"/>
        <v>1996</v>
      </c>
      <c r="C1602" s="27" t="s">
        <v>32</v>
      </c>
      <c r="D1602" s="27" t="s">
        <v>29</v>
      </c>
      <c r="E1602" s="27">
        <v>193</v>
      </c>
    </row>
    <row r="1603" spans="1:5" x14ac:dyDescent="0.25">
      <c r="A1603" s="26">
        <v>35096</v>
      </c>
      <c r="B1603" s="49">
        <f t="shared" ref="B1603:B1666" si="26">YEAR(A1603)</f>
        <v>1996</v>
      </c>
      <c r="C1603" s="27" t="s">
        <v>32</v>
      </c>
      <c r="D1603" s="27" t="s">
        <v>29</v>
      </c>
      <c r="E1603" s="27">
        <v>90</v>
      </c>
    </row>
    <row r="1604" spans="1:5" x14ac:dyDescent="0.25">
      <c r="A1604" s="26">
        <v>35096</v>
      </c>
      <c r="B1604" s="49">
        <f t="shared" si="26"/>
        <v>1996</v>
      </c>
      <c r="C1604" s="27" t="s">
        <v>34</v>
      </c>
      <c r="D1604" s="27" t="s">
        <v>29</v>
      </c>
      <c r="E1604" s="27">
        <v>270</v>
      </c>
    </row>
    <row r="1605" spans="1:5" x14ac:dyDescent="0.25">
      <c r="A1605" s="26">
        <v>35096</v>
      </c>
      <c r="B1605" s="49">
        <f t="shared" si="26"/>
        <v>1996</v>
      </c>
      <c r="C1605" s="27" t="s">
        <v>37</v>
      </c>
      <c r="D1605" s="27" t="s">
        <v>29</v>
      </c>
      <c r="E1605" s="27">
        <v>149</v>
      </c>
    </row>
    <row r="1606" spans="1:5" x14ac:dyDescent="0.25">
      <c r="A1606" s="26">
        <v>35096</v>
      </c>
      <c r="B1606" s="49">
        <f t="shared" si="26"/>
        <v>1996</v>
      </c>
      <c r="C1606" s="27" t="s">
        <v>35</v>
      </c>
      <c r="D1606" s="27" t="s">
        <v>29</v>
      </c>
      <c r="E1606" s="27">
        <v>230</v>
      </c>
    </row>
    <row r="1607" spans="1:5" x14ac:dyDescent="0.25">
      <c r="A1607" s="26">
        <v>35096</v>
      </c>
      <c r="B1607" s="49">
        <f t="shared" si="26"/>
        <v>1996</v>
      </c>
      <c r="C1607" s="27" t="s">
        <v>27</v>
      </c>
      <c r="D1607" s="27" t="s">
        <v>29</v>
      </c>
      <c r="E1607" s="27">
        <v>261</v>
      </c>
    </row>
    <row r="1608" spans="1:5" x14ac:dyDescent="0.25">
      <c r="A1608" s="26">
        <v>35096</v>
      </c>
      <c r="B1608" s="49">
        <f t="shared" si="26"/>
        <v>1996</v>
      </c>
      <c r="C1608" s="27" t="s">
        <v>35</v>
      </c>
      <c r="D1608" s="27" t="s">
        <v>29</v>
      </c>
      <c r="E1608" s="27">
        <v>263</v>
      </c>
    </row>
    <row r="1609" spans="1:5" x14ac:dyDescent="0.25">
      <c r="A1609" s="26">
        <v>35096</v>
      </c>
      <c r="B1609" s="49">
        <f t="shared" si="26"/>
        <v>1996</v>
      </c>
      <c r="C1609" s="27" t="s">
        <v>35</v>
      </c>
      <c r="D1609" s="27" t="s">
        <v>29</v>
      </c>
      <c r="E1609" s="27">
        <v>312</v>
      </c>
    </row>
    <row r="1610" spans="1:5" x14ac:dyDescent="0.25">
      <c r="A1610" s="26">
        <v>35096</v>
      </c>
      <c r="B1610" s="49">
        <f t="shared" si="26"/>
        <v>1996</v>
      </c>
      <c r="C1610" s="27" t="s">
        <v>34</v>
      </c>
      <c r="D1610" s="27" t="s">
        <v>29</v>
      </c>
      <c r="E1610" s="27">
        <v>368</v>
      </c>
    </row>
    <row r="1611" spans="1:5" x14ac:dyDescent="0.25">
      <c r="A1611" s="26">
        <v>35096</v>
      </c>
      <c r="B1611" s="49">
        <f t="shared" si="26"/>
        <v>1996</v>
      </c>
      <c r="C1611" s="27" t="s">
        <v>37</v>
      </c>
      <c r="D1611" s="27" t="s">
        <v>29</v>
      </c>
      <c r="E1611" s="27">
        <v>146</v>
      </c>
    </row>
    <row r="1612" spans="1:5" x14ac:dyDescent="0.25">
      <c r="A1612" s="26">
        <v>35096</v>
      </c>
      <c r="B1612" s="49">
        <f t="shared" si="26"/>
        <v>1996</v>
      </c>
      <c r="C1612" s="27" t="s">
        <v>32</v>
      </c>
      <c r="D1612" s="27" t="s">
        <v>29</v>
      </c>
      <c r="E1612" s="27">
        <v>70</v>
      </c>
    </row>
    <row r="1613" spans="1:5" x14ac:dyDescent="0.25">
      <c r="A1613" s="26">
        <v>35096</v>
      </c>
      <c r="B1613" s="49">
        <f t="shared" si="26"/>
        <v>1996</v>
      </c>
      <c r="C1613" s="27" t="s">
        <v>32</v>
      </c>
      <c r="D1613" s="27" t="s">
        <v>29</v>
      </c>
      <c r="E1613" s="27">
        <v>620</v>
      </c>
    </row>
    <row r="1614" spans="1:5" x14ac:dyDescent="0.25">
      <c r="A1614" s="26">
        <v>35096</v>
      </c>
      <c r="B1614" s="49">
        <f t="shared" si="26"/>
        <v>1996</v>
      </c>
      <c r="C1614" s="27" t="s">
        <v>37</v>
      </c>
      <c r="D1614" s="27" t="s">
        <v>29</v>
      </c>
      <c r="E1614" s="27">
        <v>653</v>
      </c>
    </row>
    <row r="1615" spans="1:5" x14ac:dyDescent="0.25">
      <c r="A1615" s="26">
        <v>35096</v>
      </c>
      <c r="B1615" s="49">
        <f t="shared" si="26"/>
        <v>1996</v>
      </c>
      <c r="C1615" s="27" t="s">
        <v>34</v>
      </c>
      <c r="D1615" s="27" t="s">
        <v>29</v>
      </c>
      <c r="E1615" s="27">
        <v>688</v>
      </c>
    </row>
    <row r="1616" spans="1:5" x14ac:dyDescent="0.25">
      <c r="A1616" s="26">
        <v>35096</v>
      </c>
      <c r="B1616" s="49">
        <f t="shared" si="26"/>
        <v>1996</v>
      </c>
      <c r="C1616" s="27" t="s">
        <v>27</v>
      </c>
      <c r="D1616" s="27" t="s">
        <v>29</v>
      </c>
      <c r="E1616" s="27">
        <v>782</v>
      </c>
    </row>
    <row r="1617" spans="1:5" x14ac:dyDescent="0.25">
      <c r="A1617" s="26">
        <v>35096</v>
      </c>
      <c r="B1617" s="49">
        <f t="shared" si="26"/>
        <v>1996</v>
      </c>
      <c r="C1617" s="27" t="s">
        <v>27</v>
      </c>
      <c r="D1617" s="27" t="s">
        <v>29</v>
      </c>
      <c r="E1617" s="27">
        <v>1365</v>
      </c>
    </row>
    <row r="1618" spans="1:5" x14ac:dyDescent="0.25">
      <c r="A1618" s="26">
        <v>35096</v>
      </c>
      <c r="B1618" s="49">
        <f t="shared" si="26"/>
        <v>1996</v>
      </c>
      <c r="C1618" s="27" t="s">
        <v>27</v>
      </c>
      <c r="D1618" s="27" t="s">
        <v>30</v>
      </c>
      <c r="E1618" s="27">
        <v>1979</v>
      </c>
    </row>
    <row r="1619" spans="1:5" x14ac:dyDescent="0.25">
      <c r="A1619" s="26">
        <v>35096</v>
      </c>
      <c r="B1619" s="49">
        <f t="shared" si="26"/>
        <v>1996</v>
      </c>
      <c r="C1619" s="27" t="s">
        <v>27</v>
      </c>
      <c r="D1619" s="27" t="s">
        <v>30</v>
      </c>
      <c r="E1619" s="27">
        <v>2166</v>
      </c>
    </row>
    <row r="1620" spans="1:5" x14ac:dyDescent="0.25">
      <c r="A1620" s="26">
        <v>35096</v>
      </c>
      <c r="B1620" s="49">
        <f t="shared" si="26"/>
        <v>1996</v>
      </c>
      <c r="C1620" s="27" t="s">
        <v>32</v>
      </c>
      <c r="D1620" s="27" t="s">
        <v>30</v>
      </c>
      <c r="E1620" s="27">
        <v>175</v>
      </c>
    </row>
    <row r="1621" spans="1:5" x14ac:dyDescent="0.25">
      <c r="A1621" s="26">
        <v>35096</v>
      </c>
      <c r="B1621" s="49">
        <f t="shared" si="26"/>
        <v>1996</v>
      </c>
      <c r="C1621" s="27" t="s">
        <v>32</v>
      </c>
      <c r="D1621" s="27" t="s">
        <v>30</v>
      </c>
      <c r="E1621" s="27">
        <v>248</v>
      </c>
    </row>
    <row r="1622" spans="1:5" x14ac:dyDescent="0.25">
      <c r="A1622" s="26">
        <v>35096</v>
      </c>
      <c r="B1622" s="49">
        <f t="shared" si="26"/>
        <v>1996</v>
      </c>
      <c r="C1622" s="27" t="s">
        <v>27</v>
      </c>
      <c r="D1622" s="27" t="s">
        <v>30</v>
      </c>
      <c r="E1622" s="27">
        <v>126</v>
      </c>
    </row>
    <row r="1623" spans="1:5" x14ac:dyDescent="0.25">
      <c r="A1623" s="26">
        <v>35096</v>
      </c>
      <c r="B1623" s="49">
        <f t="shared" si="26"/>
        <v>1996</v>
      </c>
      <c r="C1623" s="27" t="s">
        <v>27</v>
      </c>
      <c r="D1623" s="27" t="s">
        <v>30</v>
      </c>
      <c r="E1623" s="27">
        <v>101</v>
      </c>
    </row>
    <row r="1624" spans="1:5" x14ac:dyDescent="0.25">
      <c r="A1624" s="26">
        <v>35096</v>
      </c>
      <c r="B1624" s="49">
        <f t="shared" si="26"/>
        <v>1996</v>
      </c>
      <c r="C1624" s="27" t="s">
        <v>32</v>
      </c>
      <c r="D1624" s="27" t="s">
        <v>30</v>
      </c>
      <c r="E1624" s="27">
        <v>101</v>
      </c>
    </row>
    <row r="1625" spans="1:5" x14ac:dyDescent="0.25">
      <c r="A1625" s="26">
        <v>35096</v>
      </c>
      <c r="B1625" s="49">
        <f t="shared" si="26"/>
        <v>1996</v>
      </c>
      <c r="C1625" s="27" t="s">
        <v>32</v>
      </c>
      <c r="D1625" s="27" t="s">
        <v>30</v>
      </c>
      <c r="E1625" s="27">
        <v>113</v>
      </c>
    </row>
    <row r="1626" spans="1:5" x14ac:dyDescent="0.25">
      <c r="A1626" s="26">
        <v>35096</v>
      </c>
      <c r="B1626" s="49">
        <f t="shared" si="26"/>
        <v>1996</v>
      </c>
      <c r="C1626" s="27" t="s">
        <v>27</v>
      </c>
      <c r="D1626" s="27" t="s">
        <v>30</v>
      </c>
      <c r="E1626" s="27">
        <v>60</v>
      </c>
    </row>
    <row r="1627" spans="1:5" x14ac:dyDescent="0.25">
      <c r="A1627" s="26">
        <v>35096</v>
      </c>
      <c r="B1627" s="49">
        <f t="shared" si="26"/>
        <v>1996</v>
      </c>
      <c r="C1627" s="27" t="s">
        <v>32</v>
      </c>
      <c r="D1627" s="27" t="s">
        <v>30</v>
      </c>
      <c r="E1627" s="27">
        <v>88</v>
      </c>
    </row>
    <row r="1628" spans="1:5" x14ac:dyDescent="0.25">
      <c r="A1628" s="26">
        <v>35096</v>
      </c>
      <c r="B1628" s="49">
        <f t="shared" si="26"/>
        <v>1996</v>
      </c>
      <c r="C1628" s="27" t="s">
        <v>32</v>
      </c>
      <c r="D1628" s="27" t="s">
        <v>30</v>
      </c>
      <c r="E1628" s="27">
        <v>275</v>
      </c>
    </row>
    <row r="1629" spans="1:5" x14ac:dyDescent="0.25">
      <c r="A1629" s="26">
        <v>35096</v>
      </c>
      <c r="B1629" s="49">
        <f t="shared" si="26"/>
        <v>1996</v>
      </c>
      <c r="C1629" s="27" t="s">
        <v>27</v>
      </c>
      <c r="D1629" s="27" t="s">
        <v>30</v>
      </c>
      <c r="E1629" s="27">
        <v>72</v>
      </c>
    </row>
    <row r="1630" spans="1:5" x14ac:dyDescent="0.25">
      <c r="A1630" s="26">
        <v>35096</v>
      </c>
      <c r="B1630" s="49">
        <f t="shared" si="26"/>
        <v>1996</v>
      </c>
      <c r="C1630" s="27" t="s">
        <v>27</v>
      </c>
      <c r="D1630" s="27" t="s">
        <v>31</v>
      </c>
      <c r="E1630" s="27">
        <v>113</v>
      </c>
    </row>
    <row r="1631" spans="1:5" x14ac:dyDescent="0.25">
      <c r="A1631" s="26">
        <v>35096</v>
      </c>
      <c r="B1631" s="49">
        <f t="shared" si="26"/>
        <v>1996</v>
      </c>
      <c r="C1631" s="27" t="s">
        <v>35</v>
      </c>
      <c r="D1631" s="27" t="s">
        <v>31</v>
      </c>
      <c r="E1631" s="27">
        <v>63</v>
      </c>
    </row>
    <row r="1632" spans="1:5" x14ac:dyDescent="0.25">
      <c r="A1632" s="26">
        <v>35096</v>
      </c>
      <c r="B1632" s="49">
        <f t="shared" si="26"/>
        <v>1996</v>
      </c>
      <c r="C1632" s="27" t="s">
        <v>32</v>
      </c>
      <c r="D1632" s="27" t="s">
        <v>31</v>
      </c>
      <c r="E1632" s="27">
        <v>68</v>
      </c>
    </row>
    <row r="1633" spans="1:5" x14ac:dyDescent="0.25">
      <c r="A1633" s="26">
        <v>35096</v>
      </c>
      <c r="B1633" s="49">
        <f t="shared" si="26"/>
        <v>1996</v>
      </c>
      <c r="C1633" s="27" t="s">
        <v>32</v>
      </c>
      <c r="D1633" s="27" t="s">
        <v>31</v>
      </c>
      <c r="E1633" s="27">
        <v>1326</v>
      </c>
    </row>
    <row r="1634" spans="1:5" x14ac:dyDescent="0.25">
      <c r="A1634" s="26">
        <v>35096</v>
      </c>
      <c r="B1634" s="49">
        <f t="shared" si="26"/>
        <v>1996</v>
      </c>
      <c r="C1634" s="27" t="s">
        <v>35</v>
      </c>
      <c r="D1634" s="27" t="s">
        <v>31</v>
      </c>
      <c r="E1634" s="27">
        <v>99</v>
      </c>
    </row>
    <row r="1635" spans="1:5" x14ac:dyDescent="0.25">
      <c r="A1635" s="26">
        <v>35096</v>
      </c>
      <c r="B1635" s="49">
        <f t="shared" si="26"/>
        <v>1996</v>
      </c>
      <c r="C1635" s="27" t="s">
        <v>32</v>
      </c>
      <c r="D1635" s="27" t="s">
        <v>31</v>
      </c>
      <c r="E1635" s="27">
        <v>630</v>
      </c>
    </row>
    <row r="1636" spans="1:5" x14ac:dyDescent="0.25">
      <c r="A1636" s="26">
        <v>35096</v>
      </c>
      <c r="B1636" s="49">
        <f t="shared" si="26"/>
        <v>1996</v>
      </c>
      <c r="C1636" s="27" t="s">
        <v>37</v>
      </c>
      <c r="D1636" s="27" t="s">
        <v>31</v>
      </c>
      <c r="E1636" s="27">
        <v>668</v>
      </c>
    </row>
    <row r="1637" spans="1:5" x14ac:dyDescent="0.25">
      <c r="A1637" s="26">
        <v>35096</v>
      </c>
      <c r="B1637" s="49">
        <f t="shared" si="26"/>
        <v>1996</v>
      </c>
      <c r="C1637" s="27" t="s">
        <v>34</v>
      </c>
      <c r="D1637" s="27" t="s">
        <v>31</v>
      </c>
      <c r="E1637" s="27">
        <v>858</v>
      </c>
    </row>
    <row r="1638" spans="1:5" x14ac:dyDescent="0.25">
      <c r="A1638" s="26">
        <v>35096</v>
      </c>
      <c r="B1638" s="49">
        <f t="shared" si="26"/>
        <v>1996</v>
      </c>
      <c r="C1638" s="27" t="s">
        <v>32</v>
      </c>
      <c r="D1638" s="27" t="s">
        <v>31</v>
      </c>
      <c r="E1638" s="27">
        <v>611</v>
      </c>
    </row>
    <row r="1639" spans="1:5" x14ac:dyDescent="0.25">
      <c r="A1639" s="26">
        <v>35096</v>
      </c>
      <c r="B1639" s="49">
        <f t="shared" si="26"/>
        <v>1996</v>
      </c>
      <c r="C1639" s="27" t="s">
        <v>27</v>
      </c>
      <c r="D1639" s="27" t="s">
        <v>31</v>
      </c>
      <c r="E1639" s="27">
        <v>1354</v>
      </c>
    </row>
    <row r="1640" spans="1:5" x14ac:dyDescent="0.25">
      <c r="A1640" s="26">
        <v>35096</v>
      </c>
      <c r="B1640" s="49">
        <f t="shared" si="26"/>
        <v>1996</v>
      </c>
      <c r="C1640" s="27" t="s">
        <v>37</v>
      </c>
      <c r="D1640" s="27" t="s">
        <v>31</v>
      </c>
      <c r="E1640" s="27">
        <v>124</v>
      </c>
    </row>
    <row r="1641" spans="1:5" x14ac:dyDescent="0.25">
      <c r="A1641" s="26">
        <v>35096</v>
      </c>
      <c r="B1641" s="49">
        <f t="shared" si="26"/>
        <v>1996</v>
      </c>
      <c r="C1641" s="27" t="s">
        <v>37</v>
      </c>
      <c r="D1641" s="27" t="s">
        <v>31</v>
      </c>
      <c r="E1641" s="27">
        <v>131</v>
      </c>
    </row>
    <row r="1642" spans="1:5" x14ac:dyDescent="0.25">
      <c r="A1642" s="26">
        <v>35096</v>
      </c>
      <c r="B1642" s="49">
        <f t="shared" si="26"/>
        <v>1996</v>
      </c>
      <c r="C1642" s="27" t="s">
        <v>27</v>
      </c>
      <c r="D1642" s="27" t="s">
        <v>31</v>
      </c>
      <c r="E1642" s="27">
        <v>158</v>
      </c>
    </row>
    <row r="1643" spans="1:5" x14ac:dyDescent="0.25">
      <c r="A1643" s="26">
        <v>35096</v>
      </c>
      <c r="B1643" s="49">
        <f t="shared" si="26"/>
        <v>1996</v>
      </c>
      <c r="C1643" s="27" t="s">
        <v>35</v>
      </c>
      <c r="D1643" s="27" t="s">
        <v>31</v>
      </c>
      <c r="E1643" s="27">
        <v>169</v>
      </c>
    </row>
    <row r="1644" spans="1:5" x14ac:dyDescent="0.25">
      <c r="A1644" s="26">
        <v>35096</v>
      </c>
      <c r="B1644" s="49">
        <f t="shared" si="26"/>
        <v>1996</v>
      </c>
      <c r="C1644" s="27" t="s">
        <v>35</v>
      </c>
      <c r="D1644" s="27" t="s">
        <v>31</v>
      </c>
      <c r="E1644" s="27">
        <v>201</v>
      </c>
    </row>
    <row r="1645" spans="1:5" x14ac:dyDescent="0.25">
      <c r="A1645" s="26">
        <v>35096</v>
      </c>
      <c r="B1645" s="49">
        <f t="shared" si="26"/>
        <v>1996</v>
      </c>
      <c r="C1645" s="27" t="s">
        <v>34</v>
      </c>
      <c r="D1645" s="27" t="s">
        <v>31</v>
      </c>
      <c r="E1645" s="27">
        <v>210</v>
      </c>
    </row>
    <row r="1646" spans="1:5" x14ac:dyDescent="0.25">
      <c r="A1646" s="26">
        <v>35096</v>
      </c>
      <c r="B1646" s="49">
        <f t="shared" si="26"/>
        <v>1996</v>
      </c>
      <c r="C1646" s="27" t="s">
        <v>34</v>
      </c>
      <c r="D1646" s="27" t="s">
        <v>31</v>
      </c>
      <c r="E1646" s="27">
        <v>210</v>
      </c>
    </row>
    <row r="1647" spans="1:5" x14ac:dyDescent="0.25">
      <c r="A1647" s="26">
        <v>35096</v>
      </c>
      <c r="B1647" s="49">
        <f t="shared" si="26"/>
        <v>1996</v>
      </c>
      <c r="C1647" s="27" t="s">
        <v>37</v>
      </c>
      <c r="D1647" s="27" t="s">
        <v>31</v>
      </c>
      <c r="E1647" s="27">
        <v>630</v>
      </c>
    </row>
    <row r="1648" spans="1:5" x14ac:dyDescent="0.25">
      <c r="A1648" s="26">
        <v>35096</v>
      </c>
      <c r="B1648" s="49">
        <f t="shared" si="26"/>
        <v>1996</v>
      </c>
      <c r="C1648" s="27" t="s">
        <v>27</v>
      </c>
      <c r="D1648" s="27" t="s">
        <v>31</v>
      </c>
      <c r="E1648" s="27">
        <v>525</v>
      </c>
    </row>
    <row r="1649" spans="1:5" x14ac:dyDescent="0.25">
      <c r="A1649" s="26">
        <v>35096</v>
      </c>
      <c r="B1649" s="49">
        <f t="shared" si="26"/>
        <v>1996</v>
      </c>
      <c r="C1649" s="27" t="s">
        <v>34</v>
      </c>
      <c r="D1649" s="27" t="s">
        <v>31</v>
      </c>
      <c r="E1649" s="27">
        <v>540</v>
      </c>
    </row>
    <row r="1650" spans="1:5" x14ac:dyDescent="0.25">
      <c r="A1650" s="26">
        <v>35096</v>
      </c>
      <c r="B1650" s="49">
        <f t="shared" si="26"/>
        <v>1996</v>
      </c>
      <c r="C1650" s="27" t="s">
        <v>27</v>
      </c>
      <c r="D1650" s="27" t="s">
        <v>33</v>
      </c>
      <c r="E1650" s="27">
        <v>79</v>
      </c>
    </row>
    <row r="1651" spans="1:5" x14ac:dyDescent="0.25">
      <c r="A1651" s="26">
        <v>35096</v>
      </c>
      <c r="B1651" s="49">
        <f t="shared" si="26"/>
        <v>1996</v>
      </c>
      <c r="C1651" s="27" t="s">
        <v>27</v>
      </c>
      <c r="D1651" s="27" t="s">
        <v>33</v>
      </c>
      <c r="E1651" s="27">
        <v>53</v>
      </c>
    </row>
    <row r="1652" spans="1:5" x14ac:dyDescent="0.25">
      <c r="A1652" s="26">
        <v>35096</v>
      </c>
      <c r="B1652" s="49">
        <f t="shared" si="26"/>
        <v>1996</v>
      </c>
      <c r="C1652" s="27" t="s">
        <v>34</v>
      </c>
      <c r="D1652" s="27" t="s">
        <v>33</v>
      </c>
      <c r="E1652" s="27">
        <v>56</v>
      </c>
    </row>
    <row r="1653" spans="1:5" x14ac:dyDescent="0.25">
      <c r="A1653" s="26">
        <v>35096</v>
      </c>
      <c r="B1653" s="49">
        <f t="shared" si="26"/>
        <v>1996</v>
      </c>
      <c r="C1653" s="27" t="s">
        <v>34</v>
      </c>
      <c r="D1653" s="27" t="s">
        <v>33</v>
      </c>
      <c r="E1653" s="27">
        <v>81</v>
      </c>
    </row>
    <row r="1654" spans="1:5" x14ac:dyDescent="0.25">
      <c r="A1654" s="26">
        <v>35096</v>
      </c>
      <c r="B1654" s="49">
        <f t="shared" si="26"/>
        <v>1996</v>
      </c>
      <c r="C1654" s="27" t="s">
        <v>35</v>
      </c>
      <c r="D1654" s="27" t="s">
        <v>33</v>
      </c>
      <c r="E1654" s="27">
        <v>63</v>
      </c>
    </row>
    <row r="1655" spans="1:5" x14ac:dyDescent="0.25">
      <c r="A1655" s="26">
        <v>35096</v>
      </c>
      <c r="B1655" s="49">
        <f t="shared" si="26"/>
        <v>1996</v>
      </c>
      <c r="C1655" s="27" t="s">
        <v>34</v>
      </c>
      <c r="D1655" s="27" t="s">
        <v>33</v>
      </c>
      <c r="E1655" s="27">
        <v>3002</v>
      </c>
    </row>
    <row r="1656" spans="1:5" x14ac:dyDescent="0.25">
      <c r="A1656" s="26">
        <v>35096</v>
      </c>
      <c r="B1656" s="49">
        <f t="shared" si="26"/>
        <v>1996</v>
      </c>
      <c r="C1656" s="27" t="s">
        <v>35</v>
      </c>
      <c r="D1656" s="27" t="s">
        <v>33</v>
      </c>
      <c r="E1656" s="27">
        <v>96</v>
      </c>
    </row>
    <row r="1657" spans="1:5" x14ac:dyDescent="0.25">
      <c r="A1657" s="26">
        <v>35096</v>
      </c>
      <c r="B1657" s="49">
        <f t="shared" si="26"/>
        <v>1996</v>
      </c>
      <c r="C1657" s="27" t="s">
        <v>37</v>
      </c>
      <c r="D1657" s="27" t="s">
        <v>33</v>
      </c>
      <c r="E1657" s="27">
        <v>113</v>
      </c>
    </row>
    <row r="1658" spans="1:5" x14ac:dyDescent="0.25">
      <c r="A1658" s="26">
        <v>35096</v>
      </c>
      <c r="B1658" s="49">
        <f t="shared" si="26"/>
        <v>1996</v>
      </c>
      <c r="C1658" s="27" t="s">
        <v>35</v>
      </c>
      <c r="D1658" s="27" t="s">
        <v>33</v>
      </c>
      <c r="E1658" s="27">
        <v>123</v>
      </c>
    </row>
    <row r="1659" spans="1:5" x14ac:dyDescent="0.25">
      <c r="A1659" s="26">
        <v>35096</v>
      </c>
      <c r="B1659" s="49">
        <f t="shared" si="26"/>
        <v>1996</v>
      </c>
      <c r="C1659" s="27" t="s">
        <v>37</v>
      </c>
      <c r="D1659" s="27" t="s">
        <v>33</v>
      </c>
      <c r="E1659" s="27">
        <v>123</v>
      </c>
    </row>
    <row r="1660" spans="1:5" x14ac:dyDescent="0.25">
      <c r="A1660" s="26">
        <v>35096</v>
      </c>
      <c r="B1660" s="49">
        <f t="shared" si="26"/>
        <v>1996</v>
      </c>
      <c r="C1660" s="27" t="s">
        <v>35</v>
      </c>
      <c r="D1660" s="27" t="s">
        <v>33</v>
      </c>
      <c r="E1660" s="27">
        <v>124</v>
      </c>
    </row>
    <row r="1661" spans="1:5" x14ac:dyDescent="0.25">
      <c r="A1661" s="26">
        <v>35096</v>
      </c>
      <c r="B1661" s="49">
        <f t="shared" si="26"/>
        <v>1996</v>
      </c>
      <c r="C1661" s="27" t="s">
        <v>37</v>
      </c>
      <c r="D1661" s="27" t="s">
        <v>33</v>
      </c>
      <c r="E1661" s="27">
        <v>291</v>
      </c>
    </row>
    <row r="1662" spans="1:5" x14ac:dyDescent="0.25">
      <c r="A1662" s="26">
        <v>35096</v>
      </c>
      <c r="B1662" s="49">
        <f t="shared" si="26"/>
        <v>1996</v>
      </c>
      <c r="C1662" s="27" t="s">
        <v>37</v>
      </c>
      <c r="D1662" s="27" t="s">
        <v>33</v>
      </c>
      <c r="E1662" s="27">
        <v>356</v>
      </c>
    </row>
    <row r="1663" spans="1:5" x14ac:dyDescent="0.25">
      <c r="A1663" s="26">
        <v>35096</v>
      </c>
      <c r="B1663" s="49">
        <f t="shared" si="26"/>
        <v>1996</v>
      </c>
      <c r="C1663" s="27" t="s">
        <v>32</v>
      </c>
      <c r="D1663" s="27" t="s">
        <v>33</v>
      </c>
      <c r="E1663" s="27">
        <v>374</v>
      </c>
    </row>
    <row r="1664" spans="1:5" x14ac:dyDescent="0.25">
      <c r="A1664" s="26">
        <v>35096</v>
      </c>
      <c r="B1664" s="49">
        <f t="shared" si="26"/>
        <v>1996</v>
      </c>
      <c r="C1664" s="27" t="s">
        <v>27</v>
      </c>
      <c r="D1664" s="27" t="s">
        <v>33</v>
      </c>
      <c r="E1664" s="27">
        <v>511</v>
      </c>
    </row>
    <row r="1665" spans="1:5" x14ac:dyDescent="0.25">
      <c r="A1665" s="26">
        <v>35096</v>
      </c>
      <c r="B1665" s="49">
        <f t="shared" si="26"/>
        <v>1996</v>
      </c>
      <c r="C1665" s="27" t="s">
        <v>32</v>
      </c>
      <c r="D1665" s="27" t="s">
        <v>33</v>
      </c>
      <c r="E1665" s="27">
        <v>601</v>
      </c>
    </row>
    <row r="1666" spans="1:5" x14ac:dyDescent="0.25">
      <c r="A1666" s="26">
        <v>35096</v>
      </c>
      <c r="B1666" s="49">
        <f t="shared" si="26"/>
        <v>1996</v>
      </c>
      <c r="C1666" s="27" t="s">
        <v>32</v>
      </c>
      <c r="D1666" s="27" t="s">
        <v>33</v>
      </c>
      <c r="E1666" s="27">
        <v>1050</v>
      </c>
    </row>
    <row r="1667" spans="1:5" x14ac:dyDescent="0.25">
      <c r="A1667" s="26">
        <v>35096</v>
      </c>
      <c r="B1667" s="49">
        <f t="shared" ref="B1667:B1730" si="27">YEAR(A1667)</f>
        <v>1996</v>
      </c>
      <c r="C1667" s="27" t="s">
        <v>34</v>
      </c>
      <c r="D1667" s="27" t="s">
        <v>33</v>
      </c>
      <c r="E1667" s="27">
        <v>1131</v>
      </c>
    </row>
    <row r="1668" spans="1:5" x14ac:dyDescent="0.25">
      <c r="A1668" s="26">
        <v>35096</v>
      </c>
      <c r="B1668" s="49">
        <f t="shared" si="27"/>
        <v>1996</v>
      </c>
      <c r="C1668" s="27" t="s">
        <v>32</v>
      </c>
      <c r="D1668" s="27" t="s">
        <v>33</v>
      </c>
      <c r="E1668" s="27">
        <v>2516</v>
      </c>
    </row>
    <row r="1669" spans="1:5" x14ac:dyDescent="0.25">
      <c r="A1669" s="26">
        <v>35096</v>
      </c>
      <c r="B1669" s="49">
        <f t="shared" si="27"/>
        <v>1996</v>
      </c>
      <c r="C1669" s="27" t="s">
        <v>27</v>
      </c>
      <c r="D1669" s="27" t="s">
        <v>33</v>
      </c>
      <c r="E1669" s="27">
        <v>1431</v>
      </c>
    </row>
    <row r="1670" spans="1:5" x14ac:dyDescent="0.25">
      <c r="A1670" s="26">
        <v>35096</v>
      </c>
      <c r="B1670" s="49">
        <f t="shared" si="27"/>
        <v>1996</v>
      </c>
      <c r="C1670" s="27" t="s">
        <v>37</v>
      </c>
      <c r="D1670" s="27" t="s">
        <v>36</v>
      </c>
      <c r="E1670" s="27">
        <v>1662</v>
      </c>
    </row>
    <row r="1671" spans="1:5" x14ac:dyDescent="0.25">
      <c r="A1671" s="26">
        <v>35096</v>
      </c>
      <c r="B1671" s="49">
        <f t="shared" si="27"/>
        <v>1996</v>
      </c>
      <c r="C1671" s="27" t="s">
        <v>37</v>
      </c>
      <c r="D1671" s="27" t="s">
        <v>36</v>
      </c>
      <c r="E1671" s="27">
        <v>1164</v>
      </c>
    </row>
    <row r="1672" spans="1:5" x14ac:dyDescent="0.25">
      <c r="A1672" s="26">
        <v>35096</v>
      </c>
      <c r="B1672" s="49">
        <f t="shared" si="27"/>
        <v>1996</v>
      </c>
      <c r="C1672" s="27" t="s">
        <v>32</v>
      </c>
      <c r="D1672" s="27" t="s">
        <v>36</v>
      </c>
      <c r="E1672" s="27">
        <v>627</v>
      </c>
    </row>
    <row r="1673" spans="1:5" x14ac:dyDescent="0.25">
      <c r="A1673" s="26">
        <v>35096</v>
      </c>
      <c r="B1673" s="49">
        <f t="shared" si="27"/>
        <v>1996</v>
      </c>
      <c r="C1673" s="27" t="s">
        <v>34</v>
      </c>
      <c r="D1673" s="27" t="s">
        <v>36</v>
      </c>
      <c r="E1673" s="27">
        <v>165</v>
      </c>
    </row>
    <row r="1674" spans="1:5" x14ac:dyDescent="0.25">
      <c r="A1674" s="26">
        <v>35096</v>
      </c>
      <c r="B1674" s="49">
        <f t="shared" si="27"/>
        <v>1996</v>
      </c>
      <c r="C1674" s="27" t="s">
        <v>32</v>
      </c>
      <c r="D1674" s="27" t="s">
        <v>36</v>
      </c>
      <c r="E1674" s="27">
        <v>53</v>
      </c>
    </row>
    <row r="1675" spans="1:5" x14ac:dyDescent="0.25">
      <c r="A1675" s="26">
        <v>35096</v>
      </c>
      <c r="B1675" s="49">
        <f t="shared" si="27"/>
        <v>1996</v>
      </c>
      <c r="C1675" s="27" t="s">
        <v>32</v>
      </c>
      <c r="D1675" s="27" t="s">
        <v>36</v>
      </c>
      <c r="E1675" s="27">
        <v>69</v>
      </c>
    </row>
    <row r="1676" spans="1:5" x14ac:dyDescent="0.25">
      <c r="A1676" s="26">
        <v>35096</v>
      </c>
      <c r="B1676" s="49">
        <f t="shared" si="27"/>
        <v>1996</v>
      </c>
      <c r="C1676" s="27" t="s">
        <v>35</v>
      </c>
      <c r="D1676" s="27" t="s">
        <v>36</v>
      </c>
      <c r="E1676" s="27">
        <v>69</v>
      </c>
    </row>
    <row r="1677" spans="1:5" x14ac:dyDescent="0.25">
      <c r="A1677" s="26">
        <v>35096</v>
      </c>
      <c r="B1677" s="49">
        <f t="shared" si="27"/>
        <v>1996</v>
      </c>
      <c r="C1677" s="27" t="s">
        <v>27</v>
      </c>
      <c r="D1677" s="27" t="s">
        <v>36</v>
      </c>
      <c r="E1677" s="27">
        <v>56</v>
      </c>
    </row>
    <row r="1678" spans="1:5" x14ac:dyDescent="0.25">
      <c r="A1678" s="26">
        <v>35096</v>
      </c>
      <c r="B1678" s="49">
        <f t="shared" si="27"/>
        <v>1996</v>
      </c>
      <c r="C1678" s="27" t="s">
        <v>27</v>
      </c>
      <c r="D1678" s="27" t="s">
        <v>36</v>
      </c>
      <c r="E1678" s="27">
        <v>55</v>
      </c>
    </row>
    <row r="1679" spans="1:5" x14ac:dyDescent="0.25">
      <c r="A1679" s="26">
        <v>35096</v>
      </c>
      <c r="B1679" s="49">
        <f t="shared" si="27"/>
        <v>1996</v>
      </c>
      <c r="C1679" s="27" t="s">
        <v>37</v>
      </c>
      <c r="D1679" s="27" t="s">
        <v>36</v>
      </c>
      <c r="E1679" s="27">
        <v>306</v>
      </c>
    </row>
    <row r="1680" spans="1:5" x14ac:dyDescent="0.25">
      <c r="A1680" s="26">
        <v>35096</v>
      </c>
      <c r="B1680" s="49">
        <f t="shared" si="27"/>
        <v>1996</v>
      </c>
      <c r="C1680" s="27" t="s">
        <v>32</v>
      </c>
      <c r="D1680" s="27" t="s">
        <v>36</v>
      </c>
      <c r="E1680" s="27">
        <v>53</v>
      </c>
    </row>
    <row r="1681" spans="1:5" x14ac:dyDescent="0.25">
      <c r="A1681" s="26">
        <v>35096</v>
      </c>
      <c r="B1681" s="49">
        <f t="shared" si="27"/>
        <v>1996</v>
      </c>
      <c r="C1681" s="27" t="s">
        <v>32</v>
      </c>
      <c r="D1681" s="27" t="s">
        <v>36</v>
      </c>
      <c r="E1681" s="27">
        <v>79</v>
      </c>
    </row>
    <row r="1682" spans="1:5" x14ac:dyDescent="0.25">
      <c r="A1682" s="26">
        <v>35096</v>
      </c>
      <c r="B1682" s="49">
        <f t="shared" si="27"/>
        <v>1996</v>
      </c>
      <c r="C1682" s="27" t="s">
        <v>27</v>
      </c>
      <c r="D1682" s="27" t="s">
        <v>36</v>
      </c>
      <c r="E1682" s="27">
        <v>44</v>
      </c>
    </row>
    <row r="1683" spans="1:5" x14ac:dyDescent="0.25">
      <c r="A1683" s="26">
        <v>35096</v>
      </c>
      <c r="B1683" s="49">
        <f t="shared" si="27"/>
        <v>1996</v>
      </c>
      <c r="C1683" s="27" t="s">
        <v>35</v>
      </c>
      <c r="D1683" s="27" t="s">
        <v>36</v>
      </c>
      <c r="E1683" s="27">
        <v>44</v>
      </c>
    </row>
    <row r="1684" spans="1:5" x14ac:dyDescent="0.25">
      <c r="A1684" s="26">
        <v>35096</v>
      </c>
      <c r="B1684" s="49">
        <f t="shared" si="27"/>
        <v>1996</v>
      </c>
      <c r="C1684" s="27" t="s">
        <v>35</v>
      </c>
      <c r="D1684" s="27" t="s">
        <v>36</v>
      </c>
      <c r="E1684" s="27">
        <v>39</v>
      </c>
    </row>
    <row r="1685" spans="1:5" x14ac:dyDescent="0.25">
      <c r="A1685" s="26">
        <v>35096</v>
      </c>
      <c r="B1685" s="49">
        <f t="shared" si="27"/>
        <v>1996</v>
      </c>
      <c r="C1685" s="27" t="s">
        <v>27</v>
      </c>
      <c r="D1685" s="27" t="s">
        <v>36</v>
      </c>
      <c r="E1685" s="27">
        <v>28</v>
      </c>
    </row>
    <row r="1686" spans="1:5" x14ac:dyDescent="0.25">
      <c r="A1686" s="26">
        <v>35096</v>
      </c>
      <c r="B1686" s="49">
        <f t="shared" si="27"/>
        <v>1996</v>
      </c>
      <c r="C1686" s="27" t="s">
        <v>37</v>
      </c>
      <c r="D1686" s="27" t="s">
        <v>36</v>
      </c>
      <c r="E1686" s="27">
        <v>23</v>
      </c>
    </row>
    <row r="1687" spans="1:5" x14ac:dyDescent="0.25">
      <c r="A1687" s="26">
        <v>35096</v>
      </c>
      <c r="B1687" s="49">
        <f t="shared" si="27"/>
        <v>1996</v>
      </c>
      <c r="C1687" s="27" t="s">
        <v>27</v>
      </c>
      <c r="D1687" s="27" t="s">
        <v>36</v>
      </c>
      <c r="E1687" s="27">
        <v>14</v>
      </c>
    </row>
    <row r="1688" spans="1:5" x14ac:dyDescent="0.25">
      <c r="A1688" s="26">
        <v>35096</v>
      </c>
      <c r="B1688" s="49">
        <f t="shared" si="27"/>
        <v>1996</v>
      </c>
      <c r="C1688" s="27" t="s">
        <v>35</v>
      </c>
      <c r="D1688" s="27" t="s">
        <v>36</v>
      </c>
      <c r="E1688" s="27">
        <v>54</v>
      </c>
    </row>
    <row r="1689" spans="1:5" x14ac:dyDescent="0.25">
      <c r="A1689" s="26">
        <v>35096</v>
      </c>
      <c r="B1689" s="49">
        <f t="shared" si="27"/>
        <v>1996</v>
      </c>
      <c r="C1689" s="27" t="s">
        <v>34</v>
      </c>
      <c r="D1689" s="27" t="s">
        <v>36</v>
      </c>
      <c r="E1689" s="27">
        <v>158</v>
      </c>
    </row>
    <row r="1690" spans="1:5" x14ac:dyDescent="0.25">
      <c r="A1690" s="26">
        <v>35096</v>
      </c>
      <c r="B1690" s="49">
        <f t="shared" si="27"/>
        <v>1996</v>
      </c>
      <c r="C1690" s="27" t="s">
        <v>34</v>
      </c>
      <c r="D1690" s="27" t="s">
        <v>36</v>
      </c>
      <c r="E1690" s="27">
        <v>113</v>
      </c>
    </row>
    <row r="1691" spans="1:5" x14ac:dyDescent="0.25">
      <c r="A1691" s="26">
        <v>35096</v>
      </c>
      <c r="B1691" s="49">
        <f t="shared" si="27"/>
        <v>1996</v>
      </c>
      <c r="C1691" s="27" t="s">
        <v>35</v>
      </c>
      <c r="D1691" s="27" t="s">
        <v>36</v>
      </c>
      <c r="E1691" s="27">
        <v>77</v>
      </c>
    </row>
    <row r="1692" spans="1:5" x14ac:dyDescent="0.25">
      <c r="A1692" s="26">
        <v>35096</v>
      </c>
      <c r="B1692" s="49">
        <f t="shared" si="27"/>
        <v>1996</v>
      </c>
      <c r="C1692" s="27" t="s">
        <v>34</v>
      </c>
      <c r="D1692" s="27" t="s">
        <v>36</v>
      </c>
      <c r="E1692" s="27">
        <v>96</v>
      </c>
    </row>
    <row r="1693" spans="1:5" x14ac:dyDescent="0.25">
      <c r="A1693" s="26">
        <v>35096</v>
      </c>
      <c r="B1693" s="49">
        <f t="shared" si="27"/>
        <v>1996</v>
      </c>
      <c r="C1693" s="27" t="s">
        <v>32</v>
      </c>
      <c r="D1693" s="27" t="s">
        <v>36</v>
      </c>
      <c r="E1693" s="27">
        <v>94</v>
      </c>
    </row>
    <row r="1694" spans="1:5" x14ac:dyDescent="0.25">
      <c r="A1694" s="26">
        <v>35096</v>
      </c>
      <c r="B1694" s="49">
        <f t="shared" si="27"/>
        <v>1996</v>
      </c>
      <c r="C1694" s="27" t="s">
        <v>35</v>
      </c>
      <c r="D1694" s="27" t="s">
        <v>36</v>
      </c>
      <c r="E1694" s="27">
        <v>90</v>
      </c>
    </row>
    <row r="1695" spans="1:5" x14ac:dyDescent="0.25">
      <c r="A1695" s="26">
        <v>35096</v>
      </c>
      <c r="B1695" s="49">
        <f t="shared" si="27"/>
        <v>1996</v>
      </c>
      <c r="C1695" s="27" t="s">
        <v>34</v>
      </c>
      <c r="D1695" s="27" t="s">
        <v>36</v>
      </c>
      <c r="E1695" s="27">
        <v>83</v>
      </c>
    </row>
    <row r="1696" spans="1:5" x14ac:dyDescent="0.25">
      <c r="A1696" s="26">
        <v>35096</v>
      </c>
      <c r="B1696" s="49">
        <f t="shared" si="27"/>
        <v>1996</v>
      </c>
      <c r="C1696" s="27" t="s">
        <v>37</v>
      </c>
      <c r="D1696" s="27" t="s">
        <v>36</v>
      </c>
      <c r="E1696" s="27">
        <v>79</v>
      </c>
    </row>
    <row r="1697" spans="1:5" x14ac:dyDescent="0.25">
      <c r="A1697" s="26">
        <v>35096</v>
      </c>
      <c r="B1697" s="49">
        <f t="shared" si="27"/>
        <v>1996</v>
      </c>
      <c r="C1697" s="27" t="s">
        <v>37</v>
      </c>
      <c r="D1697" s="27" t="s">
        <v>36</v>
      </c>
      <c r="E1697" s="27">
        <v>96</v>
      </c>
    </row>
    <row r="1698" spans="1:5" x14ac:dyDescent="0.25">
      <c r="A1698" s="26">
        <v>35096</v>
      </c>
      <c r="B1698" s="49">
        <f t="shared" si="27"/>
        <v>1996</v>
      </c>
      <c r="C1698" s="27" t="s">
        <v>27</v>
      </c>
      <c r="D1698" s="27" t="s">
        <v>36</v>
      </c>
      <c r="E1698" s="27">
        <v>11</v>
      </c>
    </row>
    <row r="1699" spans="1:5" x14ac:dyDescent="0.25">
      <c r="A1699" s="26">
        <v>35125</v>
      </c>
      <c r="B1699" s="49">
        <f t="shared" si="27"/>
        <v>1996</v>
      </c>
      <c r="C1699" s="27" t="s">
        <v>34</v>
      </c>
      <c r="D1699" s="27" t="s">
        <v>28</v>
      </c>
      <c r="E1699" s="27">
        <v>1050</v>
      </c>
    </row>
    <row r="1700" spans="1:5" x14ac:dyDescent="0.25">
      <c r="A1700" s="26">
        <v>35125</v>
      </c>
      <c r="B1700" s="49">
        <f t="shared" si="27"/>
        <v>1996</v>
      </c>
      <c r="C1700" s="27" t="s">
        <v>37</v>
      </c>
      <c r="D1700" s="27" t="s">
        <v>28</v>
      </c>
      <c r="E1700" s="27">
        <v>1142</v>
      </c>
    </row>
    <row r="1701" spans="1:5" x14ac:dyDescent="0.25">
      <c r="A1701" s="26">
        <v>35125</v>
      </c>
      <c r="B1701" s="49">
        <f t="shared" si="27"/>
        <v>1996</v>
      </c>
      <c r="C1701" s="27" t="s">
        <v>27</v>
      </c>
      <c r="D1701" s="27" t="s">
        <v>28</v>
      </c>
      <c r="E1701" s="27">
        <v>1156</v>
      </c>
    </row>
    <row r="1702" spans="1:5" x14ac:dyDescent="0.25">
      <c r="A1702" s="26">
        <v>35125</v>
      </c>
      <c r="B1702" s="49">
        <f t="shared" si="27"/>
        <v>1996</v>
      </c>
      <c r="C1702" s="27" t="s">
        <v>37</v>
      </c>
      <c r="D1702" s="27" t="s">
        <v>28</v>
      </c>
      <c r="E1702" s="27">
        <v>1182</v>
      </c>
    </row>
    <row r="1703" spans="1:5" x14ac:dyDescent="0.25">
      <c r="A1703" s="26">
        <v>35125</v>
      </c>
      <c r="B1703" s="49">
        <f t="shared" si="27"/>
        <v>1996</v>
      </c>
      <c r="C1703" s="27" t="s">
        <v>27</v>
      </c>
      <c r="D1703" s="27" t="s">
        <v>28</v>
      </c>
      <c r="E1703" s="27">
        <v>825</v>
      </c>
    </row>
    <row r="1704" spans="1:5" x14ac:dyDescent="0.25">
      <c r="A1704" s="26">
        <v>35125</v>
      </c>
      <c r="B1704" s="49">
        <f t="shared" si="27"/>
        <v>1996</v>
      </c>
      <c r="C1704" s="27" t="s">
        <v>35</v>
      </c>
      <c r="D1704" s="27" t="s">
        <v>28</v>
      </c>
      <c r="E1704" s="27">
        <v>214</v>
      </c>
    </row>
    <row r="1705" spans="1:5" x14ac:dyDescent="0.25">
      <c r="A1705" s="26">
        <v>35125</v>
      </c>
      <c r="B1705" s="49">
        <f t="shared" si="27"/>
        <v>1996</v>
      </c>
      <c r="C1705" s="27" t="s">
        <v>35</v>
      </c>
      <c r="D1705" s="27" t="s">
        <v>28</v>
      </c>
      <c r="E1705" s="27">
        <v>55</v>
      </c>
    </row>
    <row r="1706" spans="1:5" x14ac:dyDescent="0.25">
      <c r="A1706" s="26">
        <v>35125</v>
      </c>
      <c r="B1706" s="49">
        <f t="shared" si="27"/>
        <v>1996</v>
      </c>
      <c r="C1706" s="27" t="s">
        <v>32</v>
      </c>
      <c r="D1706" s="27" t="s">
        <v>28</v>
      </c>
      <c r="E1706" s="27">
        <v>79</v>
      </c>
    </row>
    <row r="1707" spans="1:5" x14ac:dyDescent="0.25">
      <c r="A1707" s="26">
        <v>35125</v>
      </c>
      <c r="B1707" s="49">
        <f t="shared" si="27"/>
        <v>1996</v>
      </c>
      <c r="C1707" s="27" t="s">
        <v>37</v>
      </c>
      <c r="D1707" s="27" t="s">
        <v>28</v>
      </c>
      <c r="E1707" s="27">
        <v>124</v>
      </c>
    </row>
    <row r="1708" spans="1:5" x14ac:dyDescent="0.25">
      <c r="A1708" s="26">
        <v>35125</v>
      </c>
      <c r="B1708" s="49">
        <f t="shared" si="27"/>
        <v>1996</v>
      </c>
      <c r="C1708" s="27" t="s">
        <v>34</v>
      </c>
      <c r="D1708" s="27" t="s">
        <v>28</v>
      </c>
      <c r="E1708" s="27">
        <v>855</v>
      </c>
    </row>
    <row r="1709" spans="1:5" x14ac:dyDescent="0.25">
      <c r="A1709" s="26">
        <v>35125</v>
      </c>
      <c r="B1709" s="49">
        <f t="shared" si="27"/>
        <v>1996</v>
      </c>
      <c r="C1709" s="27" t="s">
        <v>32</v>
      </c>
      <c r="D1709" s="27" t="s">
        <v>28</v>
      </c>
      <c r="E1709" s="27">
        <v>827</v>
      </c>
    </row>
    <row r="1710" spans="1:5" x14ac:dyDescent="0.25">
      <c r="A1710" s="26">
        <v>35125</v>
      </c>
      <c r="B1710" s="49">
        <f t="shared" si="27"/>
        <v>1996</v>
      </c>
      <c r="C1710" s="27" t="s">
        <v>32</v>
      </c>
      <c r="D1710" s="27" t="s">
        <v>28</v>
      </c>
      <c r="E1710" s="27">
        <v>225</v>
      </c>
    </row>
    <row r="1711" spans="1:5" x14ac:dyDescent="0.25">
      <c r="A1711" s="26">
        <v>35125</v>
      </c>
      <c r="B1711" s="49">
        <f t="shared" si="27"/>
        <v>1996</v>
      </c>
      <c r="C1711" s="27" t="s">
        <v>32</v>
      </c>
      <c r="D1711" s="27" t="s">
        <v>28</v>
      </c>
      <c r="E1711" s="27">
        <v>248</v>
      </c>
    </row>
    <row r="1712" spans="1:5" x14ac:dyDescent="0.25">
      <c r="A1712" s="26">
        <v>35125</v>
      </c>
      <c r="B1712" s="49">
        <f t="shared" si="27"/>
        <v>1996</v>
      </c>
      <c r="C1712" s="27" t="s">
        <v>34</v>
      </c>
      <c r="D1712" s="27" t="s">
        <v>28</v>
      </c>
      <c r="E1712" s="27">
        <v>270</v>
      </c>
    </row>
    <row r="1713" spans="1:5" x14ac:dyDescent="0.25">
      <c r="A1713" s="26">
        <v>35125</v>
      </c>
      <c r="B1713" s="49">
        <f t="shared" si="27"/>
        <v>1996</v>
      </c>
      <c r="C1713" s="27" t="s">
        <v>34</v>
      </c>
      <c r="D1713" s="27" t="s">
        <v>28</v>
      </c>
      <c r="E1713" s="27">
        <v>338</v>
      </c>
    </row>
    <row r="1714" spans="1:5" x14ac:dyDescent="0.25">
      <c r="A1714" s="26">
        <v>35125</v>
      </c>
      <c r="B1714" s="49">
        <f t="shared" si="27"/>
        <v>1996</v>
      </c>
      <c r="C1714" s="27" t="s">
        <v>35</v>
      </c>
      <c r="D1714" s="27" t="s">
        <v>28</v>
      </c>
      <c r="E1714" s="27">
        <v>371</v>
      </c>
    </row>
    <row r="1715" spans="1:5" x14ac:dyDescent="0.25">
      <c r="A1715" s="26">
        <v>35125</v>
      </c>
      <c r="B1715" s="49">
        <f t="shared" si="27"/>
        <v>1996</v>
      </c>
      <c r="C1715" s="27" t="s">
        <v>35</v>
      </c>
      <c r="D1715" s="27" t="s">
        <v>28</v>
      </c>
      <c r="E1715" s="27">
        <v>410</v>
      </c>
    </row>
    <row r="1716" spans="1:5" x14ac:dyDescent="0.25">
      <c r="A1716" s="26">
        <v>35125</v>
      </c>
      <c r="B1716" s="49">
        <f t="shared" si="27"/>
        <v>1996</v>
      </c>
      <c r="C1716" s="27" t="s">
        <v>27</v>
      </c>
      <c r="D1716" s="27" t="s">
        <v>28</v>
      </c>
      <c r="E1716" s="27">
        <v>534</v>
      </c>
    </row>
    <row r="1717" spans="1:5" x14ac:dyDescent="0.25">
      <c r="A1717" s="26">
        <v>35125</v>
      </c>
      <c r="B1717" s="49">
        <f t="shared" si="27"/>
        <v>1996</v>
      </c>
      <c r="C1717" s="27" t="s">
        <v>37</v>
      </c>
      <c r="D1717" s="27" t="s">
        <v>28</v>
      </c>
      <c r="E1717" s="27">
        <v>681</v>
      </c>
    </row>
    <row r="1718" spans="1:5" x14ac:dyDescent="0.25">
      <c r="A1718" s="26">
        <v>35125</v>
      </c>
      <c r="B1718" s="49">
        <f t="shared" si="27"/>
        <v>1996</v>
      </c>
      <c r="C1718" s="27" t="s">
        <v>27</v>
      </c>
      <c r="D1718" s="27" t="s">
        <v>28</v>
      </c>
      <c r="E1718" s="27">
        <v>699</v>
      </c>
    </row>
    <row r="1719" spans="1:5" x14ac:dyDescent="0.25">
      <c r="A1719" s="26">
        <v>35125</v>
      </c>
      <c r="B1719" s="49">
        <f t="shared" si="27"/>
        <v>1996</v>
      </c>
      <c r="C1719" s="27" t="s">
        <v>32</v>
      </c>
      <c r="D1719" s="27" t="s">
        <v>29</v>
      </c>
      <c r="E1719" s="27">
        <v>79</v>
      </c>
    </row>
    <row r="1720" spans="1:5" x14ac:dyDescent="0.25">
      <c r="A1720" s="26">
        <v>35125</v>
      </c>
      <c r="B1720" s="49">
        <f t="shared" si="27"/>
        <v>1996</v>
      </c>
      <c r="C1720" s="27" t="s">
        <v>27</v>
      </c>
      <c r="D1720" s="27" t="s">
        <v>29</v>
      </c>
      <c r="E1720" s="27">
        <v>923</v>
      </c>
    </row>
    <row r="1721" spans="1:5" x14ac:dyDescent="0.25">
      <c r="A1721" s="26">
        <v>35125</v>
      </c>
      <c r="B1721" s="49">
        <f t="shared" si="27"/>
        <v>1996</v>
      </c>
      <c r="C1721" s="27" t="s">
        <v>37</v>
      </c>
      <c r="D1721" s="27" t="s">
        <v>29</v>
      </c>
      <c r="E1721" s="27">
        <v>101</v>
      </c>
    </row>
    <row r="1722" spans="1:5" x14ac:dyDescent="0.25">
      <c r="A1722" s="26">
        <v>35125</v>
      </c>
      <c r="B1722" s="49">
        <f t="shared" si="27"/>
        <v>1996</v>
      </c>
      <c r="C1722" s="27" t="s">
        <v>37</v>
      </c>
      <c r="D1722" s="27" t="s">
        <v>29</v>
      </c>
      <c r="E1722" s="27">
        <v>438</v>
      </c>
    </row>
    <row r="1723" spans="1:5" x14ac:dyDescent="0.25">
      <c r="A1723" s="26">
        <v>35125</v>
      </c>
      <c r="B1723" s="49">
        <f t="shared" si="27"/>
        <v>1996</v>
      </c>
      <c r="C1723" s="27" t="s">
        <v>34</v>
      </c>
      <c r="D1723" s="27" t="s">
        <v>29</v>
      </c>
      <c r="E1723" s="27">
        <v>484</v>
      </c>
    </row>
    <row r="1724" spans="1:5" x14ac:dyDescent="0.25">
      <c r="A1724" s="26">
        <v>35125</v>
      </c>
      <c r="B1724" s="49">
        <f t="shared" si="27"/>
        <v>1996</v>
      </c>
      <c r="C1724" s="27" t="s">
        <v>34</v>
      </c>
      <c r="D1724" s="27" t="s">
        <v>29</v>
      </c>
      <c r="E1724" s="27">
        <v>492</v>
      </c>
    </row>
    <row r="1725" spans="1:5" x14ac:dyDescent="0.25">
      <c r="A1725" s="26">
        <v>35125</v>
      </c>
      <c r="B1725" s="49">
        <f t="shared" si="27"/>
        <v>1996</v>
      </c>
      <c r="C1725" s="27" t="s">
        <v>32</v>
      </c>
      <c r="D1725" s="27" t="s">
        <v>29</v>
      </c>
      <c r="E1725" s="27">
        <v>495</v>
      </c>
    </row>
    <row r="1726" spans="1:5" x14ac:dyDescent="0.25">
      <c r="A1726" s="26">
        <v>35125</v>
      </c>
      <c r="B1726" s="49">
        <f t="shared" si="27"/>
        <v>1996</v>
      </c>
      <c r="C1726" s="27" t="s">
        <v>35</v>
      </c>
      <c r="D1726" s="27" t="s">
        <v>29</v>
      </c>
      <c r="E1726" s="27">
        <v>513</v>
      </c>
    </row>
    <row r="1727" spans="1:5" x14ac:dyDescent="0.25">
      <c r="A1727" s="26">
        <v>35125</v>
      </c>
      <c r="B1727" s="49">
        <f t="shared" si="27"/>
        <v>1996</v>
      </c>
      <c r="C1727" s="27" t="s">
        <v>27</v>
      </c>
      <c r="D1727" s="27" t="s">
        <v>29</v>
      </c>
      <c r="E1727" s="27">
        <v>377</v>
      </c>
    </row>
    <row r="1728" spans="1:5" x14ac:dyDescent="0.25">
      <c r="A1728" s="26">
        <v>35125</v>
      </c>
      <c r="B1728" s="49">
        <f t="shared" si="27"/>
        <v>1996</v>
      </c>
      <c r="C1728" s="27" t="s">
        <v>37</v>
      </c>
      <c r="D1728" s="27" t="s">
        <v>29</v>
      </c>
      <c r="E1728" s="27">
        <v>653</v>
      </c>
    </row>
    <row r="1729" spans="1:5" x14ac:dyDescent="0.25">
      <c r="A1729" s="26">
        <v>35125</v>
      </c>
      <c r="B1729" s="49">
        <f t="shared" si="27"/>
        <v>1996</v>
      </c>
      <c r="C1729" s="27" t="s">
        <v>27</v>
      </c>
      <c r="D1729" s="27" t="s">
        <v>29</v>
      </c>
      <c r="E1729" s="27">
        <v>697</v>
      </c>
    </row>
    <row r="1730" spans="1:5" x14ac:dyDescent="0.25">
      <c r="A1730" s="26">
        <v>35125</v>
      </c>
      <c r="B1730" s="49">
        <f t="shared" si="27"/>
        <v>1996</v>
      </c>
      <c r="C1730" s="27" t="s">
        <v>35</v>
      </c>
      <c r="D1730" s="27" t="s">
        <v>29</v>
      </c>
      <c r="E1730" s="27">
        <v>245</v>
      </c>
    </row>
    <row r="1731" spans="1:5" x14ac:dyDescent="0.25">
      <c r="A1731" s="26">
        <v>35125</v>
      </c>
      <c r="B1731" s="49">
        <f t="shared" ref="B1731:B1794" si="28">YEAR(A1731)</f>
        <v>1996</v>
      </c>
      <c r="C1731" s="27" t="s">
        <v>32</v>
      </c>
      <c r="D1731" s="27" t="s">
        <v>29</v>
      </c>
      <c r="E1731" s="27">
        <v>124</v>
      </c>
    </row>
    <row r="1732" spans="1:5" x14ac:dyDescent="0.25">
      <c r="A1732" s="26">
        <v>35125</v>
      </c>
      <c r="B1732" s="49">
        <f t="shared" si="28"/>
        <v>1996</v>
      </c>
      <c r="C1732" s="27" t="s">
        <v>37</v>
      </c>
      <c r="D1732" s="27" t="s">
        <v>29</v>
      </c>
      <c r="E1732" s="27">
        <v>140</v>
      </c>
    </row>
    <row r="1733" spans="1:5" x14ac:dyDescent="0.25">
      <c r="A1733" s="26">
        <v>35125</v>
      </c>
      <c r="B1733" s="49">
        <f t="shared" si="28"/>
        <v>1996</v>
      </c>
      <c r="C1733" s="27" t="s">
        <v>32</v>
      </c>
      <c r="D1733" s="27" t="s">
        <v>29</v>
      </c>
      <c r="E1733" s="27">
        <v>175</v>
      </c>
    </row>
    <row r="1734" spans="1:5" x14ac:dyDescent="0.25">
      <c r="A1734" s="26">
        <v>35125</v>
      </c>
      <c r="B1734" s="49">
        <f t="shared" si="28"/>
        <v>1996</v>
      </c>
      <c r="C1734" s="27" t="s">
        <v>35</v>
      </c>
      <c r="D1734" s="27" t="s">
        <v>29</v>
      </c>
      <c r="E1734" s="27">
        <v>248</v>
      </c>
    </row>
    <row r="1735" spans="1:5" x14ac:dyDescent="0.25">
      <c r="A1735" s="26">
        <v>35125</v>
      </c>
      <c r="B1735" s="49">
        <f t="shared" si="28"/>
        <v>1996</v>
      </c>
      <c r="C1735" s="27" t="s">
        <v>27</v>
      </c>
      <c r="D1735" s="27" t="s">
        <v>29</v>
      </c>
      <c r="E1735" s="27">
        <v>257</v>
      </c>
    </row>
    <row r="1736" spans="1:5" x14ac:dyDescent="0.25">
      <c r="A1736" s="26">
        <v>35125</v>
      </c>
      <c r="B1736" s="49">
        <f t="shared" si="28"/>
        <v>1996</v>
      </c>
      <c r="C1736" s="27" t="s">
        <v>34</v>
      </c>
      <c r="D1736" s="27" t="s">
        <v>29</v>
      </c>
      <c r="E1736" s="27">
        <v>315</v>
      </c>
    </row>
    <row r="1737" spans="1:5" x14ac:dyDescent="0.25">
      <c r="A1737" s="26">
        <v>35125</v>
      </c>
      <c r="B1737" s="49">
        <f t="shared" si="28"/>
        <v>1996</v>
      </c>
      <c r="C1737" s="27" t="s">
        <v>35</v>
      </c>
      <c r="D1737" s="27" t="s">
        <v>29</v>
      </c>
      <c r="E1737" s="27">
        <v>322</v>
      </c>
    </row>
    <row r="1738" spans="1:5" x14ac:dyDescent="0.25">
      <c r="A1738" s="26">
        <v>35125</v>
      </c>
      <c r="B1738" s="49">
        <f t="shared" si="28"/>
        <v>1996</v>
      </c>
      <c r="C1738" s="27" t="s">
        <v>34</v>
      </c>
      <c r="D1738" s="27" t="s">
        <v>29</v>
      </c>
      <c r="E1738" s="27">
        <v>203</v>
      </c>
    </row>
    <row r="1739" spans="1:5" x14ac:dyDescent="0.25">
      <c r="A1739" s="26">
        <v>35125</v>
      </c>
      <c r="B1739" s="49">
        <f t="shared" si="28"/>
        <v>1996</v>
      </c>
      <c r="C1739" s="27" t="s">
        <v>32</v>
      </c>
      <c r="D1739" s="27" t="s">
        <v>38</v>
      </c>
      <c r="E1739" s="27">
        <v>79</v>
      </c>
    </row>
    <row r="1740" spans="1:5" x14ac:dyDescent="0.25">
      <c r="A1740" s="26">
        <v>35125</v>
      </c>
      <c r="B1740" s="49">
        <f t="shared" si="28"/>
        <v>1996</v>
      </c>
      <c r="C1740" s="27" t="s">
        <v>27</v>
      </c>
      <c r="D1740" s="27" t="s">
        <v>38</v>
      </c>
      <c r="E1740" s="27">
        <v>11</v>
      </c>
    </row>
    <row r="1741" spans="1:5" x14ac:dyDescent="0.25">
      <c r="A1741" s="26">
        <v>35125</v>
      </c>
      <c r="B1741" s="49">
        <f t="shared" si="28"/>
        <v>1996</v>
      </c>
      <c r="C1741" s="27" t="s">
        <v>37</v>
      </c>
      <c r="D1741" s="27" t="s">
        <v>38</v>
      </c>
      <c r="E1741" s="27">
        <v>116</v>
      </c>
    </row>
    <row r="1742" spans="1:5" x14ac:dyDescent="0.25">
      <c r="A1742" s="26">
        <v>35125</v>
      </c>
      <c r="B1742" s="49">
        <f t="shared" si="28"/>
        <v>1996</v>
      </c>
      <c r="C1742" s="27" t="s">
        <v>34</v>
      </c>
      <c r="D1742" s="27" t="s">
        <v>38</v>
      </c>
      <c r="E1742" s="27">
        <v>158</v>
      </c>
    </row>
    <row r="1743" spans="1:5" x14ac:dyDescent="0.25">
      <c r="A1743" s="26">
        <v>35125</v>
      </c>
      <c r="B1743" s="49">
        <f t="shared" si="28"/>
        <v>1996</v>
      </c>
      <c r="C1743" s="27" t="s">
        <v>37</v>
      </c>
      <c r="D1743" s="27" t="s">
        <v>38</v>
      </c>
      <c r="E1743" s="27">
        <v>167</v>
      </c>
    </row>
    <row r="1744" spans="1:5" x14ac:dyDescent="0.25">
      <c r="A1744" s="26">
        <v>35125</v>
      </c>
      <c r="B1744" s="49">
        <f t="shared" si="28"/>
        <v>1996</v>
      </c>
      <c r="C1744" s="27" t="s">
        <v>32</v>
      </c>
      <c r="D1744" s="27" t="s">
        <v>38</v>
      </c>
      <c r="E1744" s="27">
        <v>594</v>
      </c>
    </row>
    <row r="1745" spans="1:5" x14ac:dyDescent="0.25">
      <c r="A1745" s="26">
        <v>35125</v>
      </c>
      <c r="B1745" s="49">
        <f t="shared" si="28"/>
        <v>1996</v>
      </c>
      <c r="C1745" s="27" t="s">
        <v>32</v>
      </c>
      <c r="D1745" s="27" t="s">
        <v>38</v>
      </c>
      <c r="E1745" s="27">
        <v>287</v>
      </c>
    </row>
    <row r="1746" spans="1:5" x14ac:dyDescent="0.25">
      <c r="A1746" s="26">
        <v>35125</v>
      </c>
      <c r="B1746" s="49">
        <f t="shared" si="28"/>
        <v>1996</v>
      </c>
      <c r="C1746" s="27" t="s">
        <v>34</v>
      </c>
      <c r="D1746" s="27" t="s">
        <v>38</v>
      </c>
      <c r="E1746" s="27">
        <v>338</v>
      </c>
    </row>
    <row r="1747" spans="1:5" x14ac:dyDescent="0.25">
      <c r="A1747" s="26">
        <v>35125</v>
      </c>
      <c r="B1747" s="49">
        <f t="shared" si="28"/>
        <v>1996</v>
      </c>
      <c r="C1747" s="27" t="s">
        <v>35</v>
      </c>
      <c r="D1747" s="27" t="s">
        <v>38</v>
      </c>
      <c r="E1747" s="27">
        <v>23</v>
      </c>
    </row>
    <row r="1748" spans="1:5" x14ac:dyDescent="0.25">
      <c r="A1748" s="26">
        <v>35125</v>
      </c>
      <c r="B1748" s="49">
        <f t="shared" si="28"/>
        <v>1996</v>
      </c>
      <c r="C1748" s="27" t="s">
        <v>37</v>
      </c>
      <c r="D1748" s="27" t="s">
        <v>38</v>
      </c>
      <c r="E1748" s="27">
        <v>23</v>
      </c>
    </row>
    <row r="1749" spans="1:5" x14ac:dyDescent="0.25">
      <c r="A1749" s="26">
        <v>35125</v>
      </c>
      <c r="B1749" s="49">
        <f t="shared" si="28"/>
        <v>1996</v>
      </c>
      <c r="C1749" s="27" t="s">
        <v>35</v>
      </c>
      <c r="D1749" s="27" t="s">
        <v>38</v>
      </c>
      <c r="E1749" s="27">
        <v>23</v>
      </c>
    </row>
    <row r="1750" spans="1:5" x14ac:dyDescent="0.25">
      <c r="A1750" s="26">
        <v>35125</v>
      </c>
      <c r="B1750" s="49">
        <f t="shared" si="28"/>
        <v>1996</v>
      </c>
      <c r="C1750" s="27" t="s">
        <v>27</v>
      </c>
      <c r="D1750" s="27" t="s">
        <v>38</v>
      </c>
      <c r="E1750" s="27">
        <v>32</v>
      </c>
    </row>
    <row r="1751" spans="1:5" x14ac:dyDescent="0.25">
      <c r="A1751" s="26">
        <v>35125</v>
      </c>
      <c r="B1751" s="49">
        <f t="shared" si="28"/>
        <v>1996</v>
      </c>
      <c r="C1751" s="27" t="s">
        <v>27</v>
      </c>
      <c r="D1751" s="27" t="s">
        <v>38</v>
      </c>
      <c r="E1751" s="27">
        <v>34</v>
      </c>
    </row>
    <row r="1752" spans="1:5" x14ac:dyDescent="0.25">
      <c r="A1752" s="26">
        <v>35125</v>
      </c>
      <c r="B1752" s="49">
        <f t="shared" si="28"/>
        <v>1996</v>
      </c>
      <c r="C1752" s="27" t="s">
        <v>27</v>
      </c>
      <c r="D1752" s="27" t="s">
        <v>38</v>
      </c>
      <c r="E1752" s="27">
        <v>35</v>
      </c>
    </row>
    <row r="1753" spans="1:5" x14ac:dyDescent="0.25">
      <c r="A1753" s="26">
        <v>35125</v>
      </c>
      <c r="B1753" s="49">
        <f t="shared" si="28"/>
        <v>1996</v>
      </c>
      <c r="C1753" s="27" t="s">
        <v>35</v>
      </c>
      <c r="D1753" s="27" t="s">
        <v>38</v>
      </c>
      <c r="E1753" s="27">
        <v>46</v>
      </c>
    </row>
    <row r="1754" spans="1:5" x14ac:dyDescent="0.25">
      <c r="A1754" s="26">
        <v>35125</v>
      </c>
      <c r="B1754" s="49">
        <f t="shared" si="28"/>
        <v>1996</v>
      </c>
      <c r="C1754" s="27" t="s">
        <v>34</v>
      </c>
      <c r="D1754" s="27" t="s">
        <v>38</v>
      </c>
      <c r="E1754" s="27">
        <v>70</v>
      </c>
    </row>
    <row r="1755" spans="1:5" x14ac:dyDescent="0.25">
      <c r="A1755" s="26">
        <v>35125</v>
      </c>
      <c r="B1755" s="49">
        <f t="shared" si="28"/>
        <v>1996</v>
      </c>
      <c r="C1755" s="27" t="s">
        <v>35</v>
      </c>
      <c r="D1755" s="27" t="s">
        <v>38</v>
      </c>
      <c r="E1755" s="27">
        <v>70</v>
      </c>
    </row>
    <row r="1756" spans="1:5" x14ac:dyDescent="0.25">
      <c r="A1756" s="26">
        <v>35125</v>
      </c>
      <c r="B1756" s="49">
        <f t="shared" si="28"/>
        <v>1996</v>
      </c>
      <c r="C1756" s="27" t="s">
        <v>34</v>
      </c>
      <c r="D1756" s="27" t="s">
        <v>38</v>
      </c>
      <c r="E1756" s="27">
        <v>79</v>
      </c>
    </row>
    <row r="1757" spans="1:5" x14ac:dyDescent="0.25">
      <c r="A1757" s="26">
        <v>35125</v>
      </c>
      <c r="B1757" s="49">
        <f t="shared" si="28"/>
        <v>1996</v>
      </c>
      <c r="C1757" s="27" t="s">
        <v>32</v>
      </c>
      <c r="D1757" s="27" t="s">
        <v>38</v>
      </c>
      <c r="E1757" s="27">
        <v>79</v>
      </c>
    </row>
    <row r="1758" spans="1:5" x14ac:dyDescent="0.25">
      <c r="A1758" s="26">
        <v>35125</v>
      </c>
      <c r="B1758" s="49">
        <f t="shared" si="28"/>
        <v>1996</v>
      </c>
      <c r="C1758" s="27" t="s">
        <v>37</v>
      </c>
      <c r="D1758" s="27" t="s">
        <v>38</v>
      </c>
      <c r="E1758" s="27">
        <v>18</v>
      </c>
    </row>
    <row r="1759" spans="1:5" x14ac:dyDescent="0.25">
      <c r="A1759" s="26">
        <v>35125</v>
      </c>
      <c r="B1759" s="49">
        <f t="shared" si="28"/>
        <v>1996</v>
      </c>
      <c r="C1759" s="27" t="s">
        <v>27</v>
      </c>
      <c r="D1759" s="27" t="s">
        <v>30</v>
      </c>
      <c r="E1759" s="27">
        <v>149</v>
      </c>
    </row>
    <row r="1760" spans="1:5" x14ac:dyDescent="0.25">
      <c r="A1760" s="26">
        <v>35125</v>
      </c>
      <c r="B1760" s="49">
        <f t="shared" si="28"/>
        <v>1996</v>
      </c>
      <c r="C1760" s="27" t="s">
        <v>32</v>
      </c>
      <c r="D1760" s="27" t="s">
        <v>30</v>
      </c>
      <c r="E1760" s="27">
        <v>135</v>
      </c>
    </row>
    <row r="1761" spans="1:5" x14ac:dyDescent="0.25">
      <c r="A1761" s="26">
        <v>35125</v>
      </c>
      <c r="B1761" s="49">
        <f t="shared" si="28"/>
        <v>1996</v>
      </c>
      <c r="C1761" s="27" t="s">
        <v>27</v>
      </c>
      <c r="D1761" s="27" t="s">
        <v>30</v>
      </c>
      <c r="E1761" s="27">
        <v>101</v>
      </c>
    </row>
    <row r="1762" spans="1:5" x14ac:dyDescent="0.25">
      <c r="A1762" s="26">
        <v>35125</v>
      </c>
      <c r="B1762" s="49">
        <f t="shared" si="28"/>
        <v>1996</v>
      </c>
      <c r="C1762" s="27" t="s">
        <v>32</v>
      </c>
      <c r="D1762" s="27" t="s">
        <v>30</v>
      </c>
      <c r="E1762" s="27">
        <v>88</v>
      </c>
    </row>
    <row r="1763" spans="1:5" x14ac:dyDescent="0.25">
      <c r="A1763" s="26">
        <v>35125</v>
      </c>
      <c r="B1763" s="49">
        <f t="shared" si="28"/>
        <v>1996</v>
      </c>
      <c r="C1763" s="27" t="s">
        <v>32</v>
      </c>
      <c r="D1763" s="27" t="s">
        <v>30</v>
      </c>
      <c r="E1763" s="27">
        <v>79</v>
      </c>
    </row>
    <row r="1764" spans="1:5" x14ac:dyDescent="0.25">
      <c r="A1764" s="26">
        <v>35125</v>
      </c>
      <c r="B1764" s="49">
        <f t="shared" si="28"/>
        <v>1996</v>
      </c>
      <c r="C1764" s="27" t="s">
        <v>27</v>
      </c>
      <c r="D1764" s="27" t="s">
        <v>30</v>
      </c>
      <c r="E1764" s="27">
        <v>72</v>
      </c>
    </row>
    <row r="1765" spans="1:5" x14ac:dyDescent="0.25">
      <c r="A1765" s="26">
        <v>35125</v>
      </c>
      <c r="B1765" s="49">
        <f t="shared" si="28"/>
        <v>1996</v>
      </c>
      <c r="C1765" s="27" t="s">
        <v>27</v>
      </c>
      <c r="D1765" s="27" t="s">
        <v>30</v>
      </c>
      <c r="E1765" s="27">
        <v>63</v>
      </c>
    </row>
    <row r="1766" spans="1:5" x14ac:dyDescent="0.25">
      <c r="A1766" s="26">
        <v>35125</v>
      </c>
      <c r="B1766" s="49">
        <f t="shared" si="28"/>
        <v>1996</v>
      </c>
      <c r="C1766" s="27" t="s">
        <v>27</v>
      </c>
      <c r="D1766" s="27" t="s">
        <v>30</v>
      </c>
      <c r="E1766" s="27">
        <v>950</v>
      </c>
    </row>
    <row r="1767" spans="1:5" x14ac:dyDescent="0.25">
      <c r="A1767" s="26">
        <v>35125</v>
      </c>
      <c r="B1767" s="49">
        <f t="shared" si="28"/>
        <v>1996</v>
      </c>
      <c r="C1767" s="27" t="s">
        <v>27</v>
      </c>
      <c r="D1767" s="27" t="s">
        <v>30</v>
      </c>
      <c r="E1767" s="27">
        <v>1976</v>
      </c>
    </row>
    <row r="1768" spans="1:5" x14ac:dyDescent="0.25">
      <c r="A1768" s="26">
        <v>35125</v>
      </c>
      <c r="B1768" s="49">
        <f t="shared" si="28"/>
        <v>1996</v>
      </c>
      <c r="C1768" s="27" t="s">
        <v>32</v>
      </c>
      <c r="D1768" s="27" t="s">
        <v>30</v>
      </c>
      <c r="E1768" s="27">
        <v>220</v>
      </c>
    </row>
    <row r="1769" spans="1:5" x14ac:dyDescent="0.25">
      <c r="A1769" s="26">
        <v>35125</v>
      </c>
      <c r="B1769" s="49">
        <f t="shared" si="28"/>
        <v>1996</v>
      </c>
      <c r="C1769" s="27" t="s">
        <v>32</v>
      </c>
      <c r="D1769" s="27" t="s">
        <v>30</v>
      </c>
      <c r="E1769" s="27">
        <v>275</v>
      </c>
    </row>
    <row r="1770" spans="1:5" x14ac:dyDescent="0.25">
      <c r="A1770" s="26">
        <v>35125</v>
      </c>
      <c r="B1770" s="49">
        <f t="shared" si="28"/>
        <v>1996</v>
      </c>
      <c r="C1770" s="27" t="s">
        <v>32</v>
      </c>
      <c r="D1770" s="27" t="s">
        <v>30</v>
      </c>
      <c r="E1770" s="27">
        <v>158</v>
      </c>
    </row>
    <row r="1771" spans="1:5" x14ac:dyDescent="0.25">
      <c r="A1771" s="26">
        <v>35125</v>
      </c>
      <c r="B1771" s="49">
        <f t="shared" si="28"/>
        <v>1996</v>
      </c>
      <c r="C1771" s="27" t="s">
        <v>34</v>
      </c>
      <c r="D1771" s="27" t="s">
        <v>31</v>
      </c>
      <c r="E1771" s="27">
        <v>1079</v>
      </c>
    </row>
    <row r="1772" spans="1:5" x14ac:dyDescent="0.25">
      <c r="A1772" s="26">
        <v>35125</v>
      </c>
      <c r="B1772" s="49">
        <f t="shared" si="28"/>
        <v>1996</v>
      </c>
      <c r="C1772" s="27" t="s">
        <v>32</v>
      </c>
      <c r="D1772" s="27" t="s">
        <v>31</v>
      </c>
      <c r="E1772" s="27">
        <v>525</v>
      </c>
    </row>
    <row r="1773" spans="1:5" x14ac:dyDescent="0.25">
      <c r="A1773" s="26">
        <v>35125</v>
      </c>
      <c r="B1773" s="49">
        <f t="shared" si="28"/>
        <v>1996</v>
      </c>
      <c r="C1773" s="27" t="s">
        <v>37</v>
      </c>
      <c r="D1773" s="27" t="s">
        <v>31</v>
      </c>
      <c r="E1773" s="27">
        <v>525</v>
      </c>
    </row>
    <row r="1774" spans="1:5" x14ac:dyDescent="0.25">
      <c r="A1774" s="26">
        <v>35125</v>
      </c>
      <c r="B1774" s="49">
        <f t="shared" si="28"/>
        <v>1996</v>
      </c>
      <c r="C1774" s="27" t="s">
        <v>32</v>
      </c>
      <c r="D1774" s="27" t="s">
        <v>31</v>
      </c>
      <c r="E1774" s="27">
        <v>565</v>
      </c>
    </row>
    <row r="1775" spans="1:5" x14ac:dyDescent="0.25">
      <c r="A1775" s="26">
        <v>35125</v>
      </c>
      <c r="B1775" s="49">
        <f t="shared" si="28"/>
        <v>1996</v>
      </c>
      <c r="C1775" s="27" t="s">
        <v>32</v>
      </c>
      <c r="D1775" s="27" t="s">
        <v>31</v>
      </c>
      <c r="E1775" s="27">
        <v>1047</v>
      </c>
    </row>
    <row r="1776" spans="1:5" x14ac:dyDescent="0.25">
      <c r="A1776" s="26">
        <v>35125</v>
      </c>
      <c r="B1776" s="49">
        <f t="shared" si="28"/>
        <v>1996</v>
      </c>
      <c r="C1776" s="27" t="s">
        <v>27</v>
      </c>
      <c r="D1776" s="27" t="s">
        <v>31</v>
      </c>
      <c r="E1776" s="27">
        <v>1062</v>
      </c>
    </row>
    <row r="1777" spans="1:5" x14ac:dyDescent="0.25">
      <c r="A1777" s="26">
        <v>35125</v>
      </c>
      <c r="B1777" s="49">
        <f t="shared" si="28"/>
        <v>1996</v>
      </c>
      <c r="C1777" s="27" t="s">
        <v>27</v>
      </c>
      <c r="D1777" s="27" t="s">
        <v>31</v>
      </c>
      <c r="E1777" s="27">
        <v>448</v>
      </c>
    </row>
    <row r="1778" spans="1:5" x14ac:dyDescent="0.25">
      <c r="A1778" s="26">
        <v>35125</v>
      </c>
      <c r="B1778" s="49">
        <f t="shared" si="28"/>
        <v>1996</v>
      </c>
      <c r="C1778" s="27" t="s">
        <v>27</v>
      </c>
      <c r="D1778" s="27" t="s">
        <v>31</v>
      </c>
      <c r="E1778" s="27">
        <v>210</v>
      </c>
    </row>
    <row r="1779" spans="1:5" x14ac:dyDescent="0.25">
      <c r="A1779" s="26">
        <v>35125</v>
      </c>
      <c r="B1779" s="49">
        <f t="shared" si="28"/>
        <v>1996</v>
      </c>
      <c r="C1779" s="27" t="s">
        <v>27</v>
      </c>
      <c r="D1779" s="27" t="s">
        <v>31</v>
      </c>
      <c r="E1779" s="27">
        <v>135</v>
      </c>
    </row>
    <row r="1780" spans="1:5" x14ac:dyDescent="0.25">
      <c r="A1780" s="26">
        <v>35125</v>
      </c>
      <c r="B1780" s="49">
        <f t="shared" si="28"/>
        <v>1996</v>
      </c>
      <c r="C1780" s="27" t="s">
        <v>35</v>
      </c>
      <c r="D1780" s="27" t="s">
        <v>31</v>
      </c>
      <c r="E1780" s="27">
        <v>135</v>
      </c>
    </row>
    <row r="1781" spans="1:5" x14ac:dyDescent="0.25">
      <c r="A1781" s="26">
        <v>35125</v>
      </c>
      <c r="B1781" s="49">
        <f t="shared" si="28"/>
        <v>1996</v>
      </c>
      <c r="C1781" s="27" t="s">
        <v>37</v>
      </c>
      <c r="D1781" s="27" t="s">
        <v>31</v>
      </c>
      <c r="E1781" s="27">
        <v>140</v>
      </c>
    </row>
    <row r="1782" spans="1:5" x14ac:dyDescent="0.25">
      <c r="A1782" s="26">
        <v>35125</v>
      </c>
      <c r="B1782" s="49">
        <f t="shared" si="28"/>
        <v>1996</v>
      </c>
      <c r="C1782" s="27" t="s">
        <v>37</v>
      </c>
      <c r="D1782" s="27" t="s">
        <v>31</v>
      </c>
      <c r="E1782" s="27">
        <v>146</v>
      </c>
    </row>
    <row r="1783" spans="1:5" x14ac:dyDescent="0.25">
      <c r="A1783" s="26">
        <v>35125</v>
      </c>
      <c r="B1783" s="49">
        <f t="shared" si="28"/>
        <v>1996</v>
      </c>
      <c r="C1783" s="27" t="s">
        <v>34</v>
      </c>
      <c r="D1783" s="27" t="s">
        <v>31</v>
      </c>
      <c r="E1783" s="27">
        <v>158</v>
      </c>
    </row>
    <row r="1784" spans="1:5" x14ac:dyDescent="0.25">
      <c r="A1784" s="26">
        <v>35125</v>
      </c>
      <c r="B1784" s="49">
        <f t="shared" si="28"/>
        <v>1996</v>
      </c>
      <c r="C1784" s="27" t="s">
        <v>34</v>
      </c>
      <c r="D1784" s="27" t="s">
        <v>31</v>
      </c>
      <c r="E1784" s="27">
        <v>473</v>
      </c>
    </row>
    <row r="1785" spans="1:5" x14ac:dyDescent="0.25">
      <c r="A1785" s="26">
        <v>35125</v>
      </c>
      <c r="B1785" s="49">
        <f t="shared" si="28"/>
        <v>1996</v>
      </c>
      <c r="C1785" s="27" t="s">
        <v>34</v>
      </c>
      <c r="D1785" s="27" t="s">
        <v>31</v>
      </c>
      <c r="E1785" s="27">
        <v>184</v>
      </c>
    </row>
    <row r="1786" spans="1:5" x14ac:dyDescent="0.25">
      <c r="A1786" s="26">
        <v>35125</v>
      </c>
      <c r="B1786" s="49">
        <f t="shared" si="28"/>
        <v>1996</v>
      </c>
      <c r="C1786" s="27" t="s">
        <v>37</v>
      </c>
      <c r="D1786" s="27" t="s">
        <v>31</v>
      </c>
      <c r="E1786" s="27">
        <v>408</v>
      </c>
    </row>
    <row r="1787" spans="1:5" x14ac:dyDescent="0.25">
      <c r="A1787" s="26">
        <v>35125</v>
      </c>
      <c r="B1787" s="49">
        <f t="shared" si="28"/>
        <v>1996</v>
      </c>
      <c r="C1787" s="27" t="s">
        <v>35</v>
      </c>
      <c r="D1787" s="27" t="s">
        <v>31</v>
      </c>
      <c r="E1787" s="27">
        <v>184</v>
      </c>
    </row>
    <row r="1788" spans="1:5" x14ac:dyDescent="0.25">
      <c r="A1788" s="26">
        <v>35125</v>
      </c>
      <c r="B1788" s="49">
        <f t="shared" si="28"/>
        <v>1996</v>
      </c>
      <c r="C1788" s="27" t="s">
        <v>32</v>
      </c>
      <c r="D1788" s="27" t="s">
        <v>31</v>
      </c>
      <c r="E1788" s="27">
        <v>135</v>
      </c>
    </row>
    <row r="1789" spans="1:5" x14ac:dyDescent="0.25">
      <c r="A1789" s="26">
        <v>35125</v>
      </c>
      <c r="B1789" s="49">
        <f t="shared" si="28"/>
        <v>1996</v>
      </c>
      <c r="C1789" s="27" t="s">
        <v>35</v>
      </c>
      <c r="D1789" s="27" t="s">
        <v>31</v>
      </c>
      <c r="E1789" s="27">
        <v>53</v>
      </c>
    </row>
    <row r="1790" spans="1:5" x14ac:dyDescent="0.25">
      <c r="A1790" s="26">
        <v>35125</v>
      </c>
      <c r="B1790" s="49">
        <f t="shared" si="28"/>
        <v>1996</v>
      </c>
      <c r="C1790" s="27" t="s">
        <v>35</v>
      </c>
      <c r="D1790" s="27" t="s">
        <v>31</v>
      </c>
      <c r="E1790" s="27">
        <v>86</v>
      </c>
    </row>
    <row r="1791" spans="1:5" x14ac:dyDescent="0.25">
      <c r="A1791" s="26">
        <v>35125</v>
      </c>
      <c r="B1791" s="49">
        <f t="shared" si="28"/>
        <v>1996</v>
      </c>
      <c r="C1791" s="27" t="s">
        <v>35</v>
      </c>
      <c r="D1791" s="27" t="s">
        <v>33</v>
      </c>
      <c r="E1791" s="27">
        <v>124</v>
      </c>
    </row>
    <row r="1792" spans="1:5" x14ac:dyDescent="0.25">
      <c r="A1792" s="26">
        <v>35125</v>
      </c>
      <c r="B1792" s="49">
        <f t="shared" si="28"/>
        <v>1996</v>
      </c>
      <c r="C1792" s="27" t="s">
        <v>27</v>
      </c>
      <c r="D1792" s="27" t="s">
        <v>33</v>
      </c>
      <c r="E1792" s="27">
        <v>44</v>
      </c>
    </row>
    <row r="1793" spans="1:5" x14ac:dyDescent="0.25">
      <c r="A1793" s="26">
        <v>35125</v>
      </c>
      <c r="B1793" s="49">
        <f t="shared" si="28"/>
        <v>1996</v>
      </c>
      <c r="C1793" s="27" t="s">
        <v>34</v>
      </c>
      <c r="D1793" s="27" t="s">
        <v>33</v>
      </c>
      <c r="E1793" s="27">
        <v>44</v>
      </c>
    </row>
    <row r="1794" spans="1:5" x14ac:dyDescent="0.25">
      <c r="A1794" s="26">
        <v>35125</v>
      </c>
      <c r="B1794" s="49">
        <f t="shared" si="28"/>
        <v>1996</v>
      </c>
      <c r="C1794" s="27" t="s">
        <v>35</v>
      </c>
      <c r="D1794" s="27" t="s">
        <v>33</v>
      </c>
      <c r="E1794" s="27">
        <v>50</v>
      </c>
    </row>
    <row r="1795" spans="1:5" x14ac:dyDescent="0.25">
      <c r="A1795" s="26">
        <v>35125</v>
      </c>
      <c r="B1795" s="49">
        <f t="shared" ref="B1795:B1858" si="29">YEAR(A1795)</f>
        <v>1996</v>
      </c>
      <c r="C1795" s="27" t="s">
        <v>34</v>
      </c>
      <c r="D1795" s="27" t="s">
        <v>33</v>
      </c>
      <c r="E1795" s="27">
        <v>56</v>
      </c>
    </row>
    <row r="1796" spans="1:5" x14ac:dyDescent="0.25">
      <c r="A1796" s="26">
        <v>35125</v>
      </c>
      <c r="B1796" s="49">
        <f t="shared" si="29"/>
        <v>1996</v>
      </c>
      <c r="C1796" s="27" t="s">
        <v>27</v>
      </c>
      <c r="D1796" s="27" t="s">
        <v>33</v>
      </c>
      <c r="E1796" s="27">
        <v>56</v>
      </c>
    </row>
    <row r="1797" spans="1:5" x14ac:dyDescent="0.25">
      <c r="A1797" s="26">
        <v>35125</v>
      </c>
      <c r="B1797" s="49">
        <f t="shared" si="29"/>
        <v>1996</v>
      </c>
      <c r="C1797" s="27" t="s">
        <v>34</v>
      </c>
      <c r="D1797" s="27" t="s">
        <v>33</v>
      </c>
      <c r="E1797" s="27">
        <v>72</v>
      </c>
    </row>
    <row r="1798" spans="1:5" x14ac:dyDescent="0.25">
      <c r="A1798" s="26">
        <v>35125</v>
      </c>
      <c r="B1798" s="49">
        <f t="shared" si="29"/>
        <v>1996</v>
      </c>
      <c r="C1798" s="27" t="s">
        <v>35</v>
      </c>
      <c r="D1798" s="27" t="s">
        <v>33</v>
      </c>
      <c r="E1798" s="27">
        <v>79</v>
      </c>
    </row>
    <row r="1799" spans="1:5" x14ac:dyDescent="0.25">
      <c r="A1799" s="26">
        <v>35125</v>
      </c>
      <c r="B1799" s="49">
        <f t="shared" si="29"/>
        <v>1996</v>
      </c>
      <c r="C1799" s="27" t="s">
        <v>37</v>
      </c>
      <c r="D1799" s="27" t="s">
        <v>33</v>
      </c>
      <c r="E1799" s="27">
        <v>277</v>
      </c>
    </row>
    <row r="1800" spans="1:5" x14ac:dyDescent="0.25">
      <c r="A1800" s="26">
        <v>35125</v>
      </c>
      <c r="B1800" s="49">
        <f t="shared" si="29"/>
        <v>1996</v>
      </c>
      <c r="C1800" s="27" t="s">
        <v>32</v>
      </c>
      <c r="D1800" s="27" t="s">
        <v>33</v>
      </c>
      <c r="E1800" s="27">
        <v>455</v>
      </c>
    </row>
    <row r="1801" spans="1:5" x14ac:dyDescent="0.25">
      <c r="A1801" s="26">
        <v>35125</v>
      </c>
      <c r="B1801" s="49">
        <f t="shared" si="29"/>
        <v>1996</v>
      </c>
      <c r="C1801" s="27" t="s">
        <v>32</v>
      </c>
      <c r="D1801" s="27" t="s">
        <v>33</v>
      </c>
      <c r="E1801" s="27">
        <v>481</v>
      </c>
    </row>
    <row r="1802" spans="1:5" x14ac:dyDescent="0.25">
      <c r="A1802" s="26">
        <v>35125</v>
      </c>
      <c r="B1802" s="49">
        <f t="shared" si="29"/>
        <v>1996</v>
      </c>
      <c r="C1802" s="27" t="s">
        <v>27</v>
      </c>
      <c r="D1802" s="27" t="s">
        <v>33</v>
      </c>
      <c r="E1802" s="27">
        <v>590</v>
      </c>
    </row>
    <row r="1803" spans="1:5" x14ac:dyDescent="0.25">
      <c r="A1803" s="26">
        <v>35125</v>
      </c>
      <c r="B1803" s="49">
        <f t="shared" si="29"/>
        <v>1996</v>
      </c>
      <c r="C1803" s="27" t="s">
        <v>37</v>
      </c>
      <c r="D1803" s="27" t="s">
        <v>33</v>
      </c>
      <c r="E1803" s="27">
        <v>716</v>
      </c>
    </row>
    <row r="1804" spans="1:5" x14ac:dyDescent="0.25">
      <c r="A1804" s="26">
        <v>35125</v>
      </c>
      <c r="B1804" s="49">
        <f t="shared" si="29"/>
        <v>1996</v>
      </c>
      <c r="C1804" s="27" t="s">
        <v>32</v>
      </c>
      <c r="D1804" s="27" t="s">
        <v>33</v>
      </c>
      <c r="E1804" s="27">
        <v>1269</v>
      </c>
    </row>
    <row r="1805" spans="1:5" x14ac:dyDescent="0.25">
      <c r="A1805" s="26">
        <v>35125</v>
      </c>
      <c r="B1805" s="49">
        <f t="shared" si="29"/>
        <v>1996</v>
      </c>
      <c r="C1805" s="27" t="s">
        <v>27</v>
      </c>
      <c r="D1805" s="27" t="s">
        <v>33</v>
      </c>
      <c r="E1805" s="27">
        <v>1549</v>
      </c>
    </row>
    <row r="1806" spans="1:5" x14ac:dyDescent="0.25">
      <c r="A1806" s="26">
        <v>35125</v>
      </c>
      <c r="B1806" s="49">
        <f t="shared" si="29"/>
        <v>1996</v>
      </c>
      <c r="C1806" s="27" t="s">
        <v>32</v>
      </c>
      <c r="D1806" s="27" t="s">
        <v>33</v>
      </c>
      <c r="E1806" s="27">
        <v>2338</v>
      </c>
    </row>
    <row r="1807" spans="1:5" x14ac:dyDescent="0.25">
      <c r="A1807" s="26">
        <v>35125</v>
      </c>
      <c r="B1807" s="49">
        <f t="shared" si="29"/>
        <v>1996</v>
      </c>
      <c r="C1807" s="27" t="s">
        <v>34</v>
      </c>
      <c r="D1807" s="27" t="s">
        <v>33</v>
      </c>
      <c r="E1807" s="27">
        <v>3157</v>
      </c>
    </row>
    <row r="1808" spans="1:5" x14ac:dyDescent="0.25">
      <c r="A1808" s="26">
        <v>35125</v>
      </c>
      <c r="B1808" s="49">
        <f t="shared" si="29"/>
        <v>1996</v>
      </c>
      <c r="C1808" s="27" t="s">
        <v>35</v>
      </c>
      <c r="D1808" s="27" t="s">
        <v>33</v>
      </c>
      <c r="E1808" s="27">
        <v>112</v>
      </c>
    </row>
    <row r="1809" spans="1:5" x14ac:dyDescent="0.25">
      <c r="A1809" s="26">
        <v>35125</v>
      </c>
      <c r="B1809" s="49">
        <f t="shared" si="29"/>
        <v>1996</v>
      </c>
      <c r="C1809" s="27" t="s">
        <v>37</v>
      </c>
      <c r="D1809" s="27" t="s">
        <v>33</v>
      </c>
      <c r="E1809" s="27">
        <v>131</v>
      </c>
    </row>
    <row r="1810" spans="1:5" x14ac:dyDescent="0.25">
      <c r="A1810" s="26">
        <v>35125</v>
      </c>
      <c r="B1810" s="49">
        <f t="shared" si="29"/>
        <v>1996</v>
      </c>
      <c r="C1810" s="27" t="s">
        <v>37</v>
      </c>
      <c r="D1810" s="27" t="s">
        <v>33</v>
      </c>
      <c r="E1810" s="27">
        <v>124</v>
      </c>
    </row>
    <row r="1811" spans="1:5" x14ac:dyDescent="0.25">
      <c r="A1811" s="26">
        <v>35125</v>
      </c>
      <c r="B1811" s="49">
        <f t="shared" si="29"/>
        <v>1996</v>
      </c>
      <c r="C1811" s="27" t="s">
        <v>37</v>
      </c>
      <c r="D1811" s="27" t="s">
        <v>36</v>
      </c>
      <c r="E1811" s="27">
        <v>1860</v>
      </c>
    </row>
    <row r="1812" spans="1:5" x14ac:dyDescent="0.25">
      <c r="A1812" s="26">
        <v>35125</v>
      </c>
      <c r="B1812" s="49">
        <f t="shared" si="29"/>
        <v>1996</v>
      </c>
      <c r="C1812" s="27" t="s">
        <v>35</v>
      </c>
      <c r="D1812" s="27" t="s">
        <v>36</v>
      </c>
      <c r="E1812" s="27">
        <v>69</v>
      </c>
    </row>
    <row r="1813" spans="1:5" x14ac:dyDescent="0.25">
      <c r="A1813" s="26">
        <v>35125</v>
      </c>
      <c r="B1813" s="49">
        <f t="shared" si="29"/>
        <v>1996</v>
      </c>
      <c r="C1813" s="27" t="s">
        <v>32</v>
      </c>
      <c r="D1813" s="27" t="s">
        <v>36</v>
      </c>
      <c r="E1813" s="27">
        <v>66</v>
      </c>
    </row>
    <row r="1814" spans="1:5" x14ac:dyDescent="0.25">
      <c r="A1814" s="26">
        <v>35125</v>
      </c>
      <c r="B1814" s="49">
        <f t="shared" si="29"/>
        <v>1996</v>
      </c>
      <c r="C1814" s="27" t="s">
        <v>37</v>
      </c>
      <c r="D1814" s="27" t="s">
        <v>36</v>
      </c>
      <c r="E1814" s="27">
        <v>61</v>
      </c>
    </row>
    <row r="1815" spans="1:5" x14ac:dyDescent="0.25">
      <c r="A1815" s="26">
        <v>35125</v>
      </c>
      <c r="B1815" s="49">
        <f t="shared" si="29"/>
        <v>1996</v>
      </c>
      <c r="C1815" s="27" t="s">
        <v>27</v>
      </c>
      <c r="D1815" s="27" t="s">
        <v>36</v>
      </c>
      <c r="E1815" s="27">
        <v>56</v>
      </c>
    </row>
    <row r="1816" spans="1:5" x14ac:dyDescent="0.25">
      <c r="A1816" s="26">
        <v>35125</v>
      </c>
      <c r="B1816" s="49">
        <f t="shared" si="29"/>
        <v>1996</v>
      </c>
      <c r="C1816" s="27" t="s">
        <v>34</v>
      </c>
      <c r="D1816" s="27" t="s">
        <v>36</v>
      </c>
      <c r="E1816" s="27">
        <v>53</v>
      </c>
    </row>
    <row r="1817" spans="1:5" x14ac:dyDescent="0.25">
      <c r="A1817" s="26">
        <v>35125</v>
      </c>
      <c r="B1817" s="49">
        <f t="shared" si="29"/>
        <v>1996</v>
      </c>
      <c r="C1817" s="27" t="s">
        <v>37</v>
      </c>
      <c r="D1817" s="27" t="s">
        <v>36</v>
      </c>
      <c r="E1817" s="27">
        <v>34</v>
      </c>
    </row>
    <row r="1818" spans="1:5" x14ac:dyDescent="0.25">
      <c r="A1818" s="26">
        <v>35125</v>
      </c>
      <c r="B1818" s="49">
        <f t="shared" si="29"/>
        <v>1996</v>
      </c>
      <c r="C1818" s="27" t="s">
        <v>35</v>
      </c>
      <c r="D1818" s="27" t="s">
        <v>36</v>
      </c>
      <c r="E1818" s="27">
        <v>50</v>
      </c>
    </row>
    <row r="1819" spans="1:5" x14ac:dyDescent="0.25">
      <c r="A1819" s="26">
        <v>35125</v>
      </c>
      <c r="B1819" s="49">
        <f t="shared" si="29"/>
        <v>1996</v>
      </c>
      <c r="C1819" s="27" t="s">
        <v>34</v>
      </c>
      <c r="D1819" s="27" t="s">
        <v>36</v>
      </c>
      <c r="E1819" s="27">
        <v>83</v>
      </c>
    </row>
    <row r="1820" spans="1:5" x14ac:dyDescent="0.25">
      <c r="A1820" s="26">
        <v>35125</v>
      </c>
      <c r="B1820" s="49">
        <f t="shared" si="29"/>
        <v>1996</v>
      </c>
      <c r="C1820" s="27" t="s">
        <v>27</v>
      </c>
      <c r="D1820" s="27" t="s">
        <v>36</v>
      </c>
      <c r="E1820" s="27">
        <v>44</v>
      </c>
    </row>
    <row r="1821" spans="1:5" x14ac:dyDescent="0.25">
      <c r="A1821" s="26">
        <v>35125</v>
      </c>
      <c r="B1821" s="49">
        <f t="shared" si="29"/>
        <v>1996</v>
      </c>
      <c r="C1821" s="27" t="s">
        <v>32</v>
      </c>
      <c r="D1821" s="27" t="s">
        <v>36</v>
      </c>
      <c r="E1821" s="27">
        <v>44</v>
      </c>
    </row>
    <row r="1822" spans="1:5" x14ac:dyDescent="0.25">
      <c r="A1822" s="26">
        <v>35125</v>
      </c>
      <c r="B1822" s="49">
        <f t="shared" si="29"/>
        <v>1996</v>
      </c>
      <c r="C1822" s="27" t="s">
        <v>32</v>
      </c>
      <c r="D1822" s="27" t="s">
        <v>36</v>
      </c>
      <c r="E1822" s="27">
        <v>42</v>
      </c>
    </row>
    <row r="1823" spans="1:5" x14ac:dyDescent="0.25">
      <c r="A1823" s="26">
        <v>35125</v>
      </c>
      <c r="B1823" s="49">
        <f t="shared" si="29"/>
        <v>1996</v>
      </c>
      <c r="C1823" s="27" t="s">
        <v>27</v>
      </c>
      <c r="D1823" s="27" t="s">
        <v>36</v>
      </c>
      <c r="E1823" s="27">
        <v>41</v>
      </c>
    </row>
    <row r="1824" spans="1:5" x14ac:dyDescent="0.25">
      <c r="A1824" s="26">
        <v>35125</v>
      </c>
      <c r="B1824" s="49">
        <f t="shared" si="29"/>
        <v>1996</v>
      </c>
      <c r="C1824" s="27" t="s">
        <v>35</v>
      </c>
      <c r="D1824" s="27" t="s">
        <v>36</v>
      </c>
      <c r="E1824" s="27">
        <v>35</v>
      </c>
    </row>
    <row r="1825" spans="1:5" x14ac:dyDescent="0.25">
      <c r="A1825" s="26">
        <v>35125</v>
      </c>
      <c r="B1825" s="49">
        <f t="shared" si="29"/>
        <v>1996</v>
      </c>
      <c r="C1825" s="27" t="s">
        <v>37</v>
      </c>
      <c r="D1825" s="27" t="s">
        <v>36</v>
      </c>
      <c r="E1825" s="27">
        <v>1172</v>
      </c>
    </row>
    <row r="1826" spans="1:5" x14ac:dyDescent="0.25">
      <c r="A1826" s="26">
        <v>35125</v>
      </c>
      <c r="B1826" s="49">
        <f t="shared" si="29"/>
        <v>1996</v>
      </c>
      <c r="C1826" s="27" t="s">
        <v>32</v>
      </c>
      <c r="D1826" s="27" t="s">
        <v>36</v>
      </c>
      <c r="E1826" s="27">
        <v>450</v>
      </c>
    </row>
    <row r="1827" spans="1:5" x14ac:dyDescent="0.25">
      <c r="A1827" s="26">
        <v>35125</v>
      </c>
      <c r="B1827" s="49">
        <f t="shared" si="29"/>
        <v>1996</v>
      </c>
      <c r="C1827" s="27" t="s">
        <v>37</v>
      </c>
      <c r="D1827" s="27" t="s">
        <v>36</v>
      </c>
      <c r="E1827" s="27">
        <v>338</v>
      </c>
    </row>
    <row r="1828" spans="1:5" x14ac:dyDescent="0.25">
      <c r="A1828" s="26">
        <v>35125</v>
      </c>
      <c r="B1828" s="49">
        <f t="shared" si="29"/>
        <v>1996</v>
      </c>
      <c r="C1828" s="27" t="s">
        <v>34</v>
      </c>
      <c r="D1828" s="27" t="s">
        <v>36</v>
      </c>
      <c r="E1828" s="27">
        <v>79</v>
      </c>
    </row>
    <row r="1829" spans="1:5" x14ac:dyDescent="0.25">
      <c r="A1829" s="26">
        <v>35125</v>
      </c>
      <c r="B1829" s="49">
        <f t="shared" si="29"/>
        <v>1996</v>
      </c>
      <c r="C1829" s="27" t="s">
        <v>34</v>
      </c>
      <c r="D1829" s="27" t="s">
        <v>36</v>
      </c>
      <c r="E1829" s="27">
        <v>165</v>
      </c>
    </row>
    <row r="1830" spans="1:5" x14ac:dyDescent="0.25">
      <c r="A1830" s="26">
        <v>35125</v>
      </c>
      <c r="B1830" s="49">
        <f t="shared" si="29"/>
        <v>1996</v>
      </c>
      <c r="C1830" s="27" t="s">
        <v>32</v>
      </c>
      <c r="D1830" s="27" t="s">
        <v>36</v>
      </c>
      <c r="E1830" s="27">
        <v>79</v>
      </c>
    </row>
    <row r="1831" spans="1:5" x14ac:dyDescent="0.25">
      <c r="A1831" s="26">
        <v>35125</v>
      </c>
      <c r="B1831" s="49">
        <f t="shared" si="29"/>
        <v>1996</v>
      </c>
      <c r="C1831" s="27" t="s">
        <v>35</v>
      </c>
      <c r="D1831" s="27" t="s">
        <v>36</v>
      </c>
      <c r="E1831" s="27">
        <v>90</v>
      </c>
    </row>
    <row r="1832" spans="1:5" x14ac:dyDescent="0.25">
      <c r="A1832" s="26">
        <v>35125</v>
      </c>
      <c r="B1832" s="49">
        <f t="shared" si="29"/>
        <v>1996</v>
      </c>
      <c r="C1832" s="27" t="s">
        <v>35</v>
      </c>
      <c r="D1832" s="27" t="s">
        <v>36</v>
      </c>
      <c r="E1832" s="27">
        <v>88</v>
      </c>
    </row>
    <row r="1833" spans="1:5" x14ac:dyDescent="0.25">
      <c r="A1833" s="26">
        <v>35125</v>
      </c>
      <c r="B1833" s="49">
        <f t="shared" si="29"/>
        <v>1996</v>
      </c>
      <c r="C1833" s="27" t="s">
        <v>32</v>
      </c>
      <c r="D1833" s="27" t="s">
        <v>36</v>
      </c>
      <c r="E1833" s="27">
        <v>83</v>
      </c>
    </row>
    <row r="1834" spans="1:5" x14ac:dyDescent="0.25">
      <c r="A1834" s="26">
        <v>35125</v>
      </c>
      <c r="B1834" s="49">
        <f t="shared" si="29"/>
        <v>1996</v>
      </c>
      <c r="C1834" s="27" t="s">
        <v>37</v>
      </c>
      <c r="D1834" s="27" t="s">
        <v>36</v>
      </c>
      <c r="E1834" s="27">
        <v>83</v>
      </c>
    </row>
    <row r="1835" spans="1:5" x14ac:dyDescent="0.25">
      <c r="A1835" s="26">
        <v>35125</v>
      </c>
      <c r="B1835" s="49">
        <f t="shared" si="29"/>
        <v>1996</v>
      </c>
      <c r="C1835" s="27" t="s">
        <v>27</v>
      </c>
      <c r="D1835" s="27" t="s">
        <v>36</v>
      </c>
      <c r="E1835" s="27">
        <v>33</v>
      </c>
    </row>
    <row r="1836" spans="1:5" x14ac:dyDescent="0.25">
      <c r="A1836" s="26">
        <v>35125</v>
      </c>
      <c r="B1836" s="49">
        <f t="shared" si="29"/>
        <v>1996</v>
      </c>
      <c r="C1836" s="27" t="s">
        <v>34</v>
      </c>
      <c r="D1836" s="27" t="s">
        <v>36</v>
      </c>
      <c r="E1836" s="27">
        <v>180</v>
      </c>
    </row>
    <row r="1837" spans="1:5" x14ac:dyDescent="0.25">
      <c r="A1837" s="26">
        <v>35125</v>
      </c>
      <c r="B1837" s="49">
        <f t="shared" si="29"/>
        <v>1996</v>
      </c>
      <c r="C1837" s="27" t="s">
        <v>35</v>
      </c>
      <c r="D1837" s="27" t="s">
        <v>36</v>
      </c>
      <c r="E1837" s="27">
        <v>35</v>
      </c>
    </row>
    <row r="1838" spans="1:5" x14ac:dyDescent="0.25">
      <c r="A1838" s="26">
        <v>35125</v>
      </c>
      <c r="B1838" s="49">
        <f t="shared" si="29"/>
        <v>1996</v>
      </c>
      <c r="C1838" s="27" t="s">
        <v>34</v>
      </c>
      <c r="D1838" s="27" t="s">
        <v>36</v>
      </c>
      <c r="E1838" s="27">
        <v>18</v>
      </c>
    </row>
    <row r="1839" spans="1:5" x14ac:dyDescent="0.25">
      <c r="A1839" s="26">
        <v>35125</v>
      </c>
      <c r="B1839" s="49">
        <f t="shared" si="29"/>
        <v>1996</v>
      </c>
      <c r="C1839" s="27" t="s">
        <v>27</v>
      </c>
      <c r="D1839" s="27" t="s">
        <v>36</v>
      </c>
      <c r="E1839" s="27">
        <v>11</v>
      </c>
    </row>
    <row r="1840" spans="1:5" x14ac:dyDescent="0.25">
      <c r="A1840" s="26">
        <v>35125</v>
      </c>
      <c r="B1840" s="49">
        <f t="shared" si="29"/>
        <v>1996</v>
      </c>
      <c r="C1840" s="27" t="s">
        <v>27</v>
      </c>
      <c r="D1840" s="27" t="s">
        <v>36</v>
      </c>
      <c r="E1840" s="27">
        <v>9</v>
      </c>
    </row>
    <row r="1841" spans="1:5" x14ac:dyDescent="0.25">
      <c r="A1841" s="26">
        <v>35156</v>
      </c>
      <c r="B1841" s="49">
        <f t="shared" si="29"/>
        <v>1996</v>
      </c>
      <c r="C1841" s="27" t="s">
        <v>32</v>
      </c>
      <c r="D1841" s="27" t="s">
        <v>28</v>
      </c>
      <c r="E1841" s="27">
        <v>358</v>
      </c>
    </row>
    <row r="1842" spans="1:5" x14ac:dyDescent="0.25">
      <c r="A1842" s="26">
        <v>35156</v>
      </c>
      <c r="B1842" s="49">
        <f t="shared" si="29"/>
        <v>1996</v>
      </c>
      <c r="C1842" s="27" t="s">
        <v>37</v>
      </c>
      <c r="D1842" s="27" t="s">
        <v>28</v>
      </c>
      <c r="E1842" s="27">
        <v>169</v>
      </c>
    </row>
    <row r="1843" spans="1:5" x14ac:dyDescent="0.25">
      <c r="A1843" s="26">
        <v>35156</v>
      </c>
      <c r="B1843" s="49">
        <f t="shared" si="29"/>
        <v>1996</v>
      </c>
      <c r="C1843" s="27" t="s">
        <v>35</v>
      </c>
      <c r="D1843" s="27" t="s">
        <v>28</v>
      </c>
      <c r="E1843" s="27">
        <v>180</v>
      </c>
    </row>
    <row r="1844" spans="1:5" x14ac:dyDescent="0.25">
      <c r="A1844" s="26">
        <v>35156</v>
      </c>
      <c r="B1844" s="49">
        <f t="shared" si="29"/>
        <v>1996</v>
      </c>
      <c r="C1844" s="27" t="s">
        <v>32</v>
      </c>
      <c r="D1844" s="27" t="s">
        <v>28</v>
      </c>
      <c r="E1844" s="27">
        <v>225</v>
      </c>
    </row>
    <row r="1845" spans="1:5" x14ac:dyDescent="0.25">
      <c r="A1845" s="26">
        <v>35156</v>
      </c>
      <c r="B1845" s="49">
        <f t="shared" si="29"/>
        <v>1996</v>
      </c>
      <c r="C1845" s="27" t="s">
        <v>35</v>
      </c>
      <c r="D1845" s="27" t="s">
        <v>28</v>
      </c>
      <c r="E1845" s="27">
        <v>358</v>
      </c>
    </row>
    <row r="1846" spans="1:5" x14ac:dyDescent="0.25">
      <c r="A1846" s="26">
        <v>35156</v>
      </c>
      <c r="B1846" s="49">
        <f t="shared" si="29"/>
        <v>1996</v>
      </c>
      <c r="C1846" s="27" t="s">
        <v>35</v>
      </c>
      <c r="D1846" s="27" t="s">
        <v>28</v>
      </c>
      <c r="E1846" s="27">
        <v>66</v>
      </c>
    </row>
    <row r="1847" spans="1:5" x14ac:dyDescent="0.25">
      <c r="A1847" s="26">
        <v>35156</v>
      </c>
      <c r="B1847" s="49">
        <f t="shared" si="29"/>
        <v>1996</v>
      </c>
      <c r="C1847" s="27" t="s">
        <v>34</v>
      </c>
      <c r="D1847" s="27" t="s">
        <v>28</v>
      </c>
      <c r="E1847" s="27">
        <v>371</v>
      </c>
    </row>
    <row r="1848" spans="1:5" x14ac:dyDescent="0.25">
      <c r="A1848" s="26">
        <v>35156</v>
      </c>
      <c r="B1848" s="49">
        <f t="shared" si="29"/>
        <v>1996</v>
      </c>
      <c r="C1848" s="27" t="s">
        <v>35</v>
      </c>
      <c r="D1848" s="27" t="s">
        <v>28</v>
      </c>
      <c r="E1848" s="27">
        <v>378</v>
      </c>
    </row>
    <row r="1849" spans="1:5" x14ac:dyDescent="0.25">
      <c r="A1849" s="26">
        <v>35156</v>
      </c>
      <c r="B1849" s="49">
        <f t="shared" si="29"/>
        <v>1996</v>
      </c>
      <c r="C1849" s="27" t="s">
        <v>34</v>
      </c>
      <c r="D1849" s="27" t="s">
        <v>28</v>
      </c>
      <c r="E1849" s="27">
        <v>470</v>
      </c>
    </row>
    <row r="1850" spans="1:5" x14ac:dyDescent="0.25">
      <c r="A1850" s="26">
        <v>35156</v>
      </c>
      <c r="B1850" s="49">
        <f t="shared" si="29"/>
        <v>1996</v>
      </c>
      <c r="C1850" s="27" t="s">
        <v>27</v>
      </c>
      <c r="D1850" s="27" t="s">
        <v>28</v>
      </c>
      <c r="E1850" s="27">
        <v>671</v>
      </c>
    </row>
    <row r="1851" spans="1:5" x14ac:dyDescent="0.25">
      <c r="A1851" s="26">
        <v>35156</v>
      </c>
      <c r="B1851" s="49">
        <f t="shared" si="29"/>
        <v>1996</v>
      </c>
      <c r="C1851" s="27" t="s">
        <v>37</v>
      </c>
      <c r="D1851" s="27" t="s">
        <v>28</v>
      </c>
      <c r="E1851" s="27">
        <v>786</v>
      </c>
    </row>
    <row r="1852" spans="1:5" x14ac:dyDescent="0.25">
      <c r="A1852" s="26">
        <v>35156</v>
      </c>
      <c r="B1852" s="49">
        <f t="shared" si="29"/>
        <v>1996</v>
      </c>
      <c r="C1852" s="27" t="s">
        <v>27</v>
      </c>
      <c r="D1852" s="27" t="s">
        <v>28</v>
      </c>
      <c r="E1852" s="27">
        <v>885</v>
      </c>
    </row>
    <row r="1853" spans="1:5" x14ac:dyDescent="0.25">
      <c r="A1853" s="26">
        <v>35156</v>
      </c>
      <c r="B1853" s="49">
        <f t="shared" si="29"/>
        <v>1996</v>
      </c>
      <c r="C1853" s="27" t="s">
        <v>34</v>
      </c>
      <c r="D1853" s="27" t="s">
        <v>28</v>
      </c>
      <c r="E1853" s="27">
        <v>892</v>
      </c>
    </row>
    <row r="1854" spans="1:5" x14ac:dyDescent="0.25">
      <c r="A1854" s="26">
        <v>35156</v>
      </c>
      <c r="B1854" s="49">
        <f t="shared" si="29"/>
        <v>1996</v>
      </c>
      <c r="C1854" s="27" t="s">
        <v>37</v>
      </c>
      <c r="D1854" s="27" t="s">
        <v>28</v>
      </c>
      <c r="E1854" s="27">
        <v>944</v>
      </c>
    </row>
    <row r="1855" spans="1:5" x14ac:dyDescent="0.25">
      <c r="A1855" s="26">
        <v>35156</v>
      </c>
      <c r="B1855" s="49">
        <f t="shared" si="29"/>
        <v>1996</v>
      </c>
      <c r="C1855" s="27" t="s">
        <v>37</v>
      </c>
      <c r="D1855" s="27" t="s">
        <v>28</v>
      </c>
      <c r="E1855" s="27">
        <v>1106</v>
      </c>
    </row>
    <row r="1856" spans="1:5" x14ac:dyDescent="0.25">
      <c r="A1856" s="26">
        <v>35156</v>
      </c>
      <c r="B1856" s="49">
        <f t="shared" si="29"/>
        <v>1996</v>
      </c>
      <c r="C1856" s="27" t="s">
        <v>34</v>
      </c>
      <c r="D1856" s="27" t="s">
        <v>28</v>
      </c>
      <c r="E1856" s="27">
        <v>1318</v>
      </c>
    </row>
    <row r="1857" spans="1:5" x14ac:dyDescent="0.25">
      <c r="A1857" s="26">
        <v>35156</v>
      </c>
      <c r="B1857" s="49">
        <f t="shared" si="29"/>
        <v>1996</v>
      </c>
      <c r="C1857" s="27" t="s">
        <v>32</v>
      </c>
      <c r="D1857" s="27" t="s">
        <v>28</v>
      </c>
      <c r="E1857" s="27">
        <v>248</v>
      </c>
    </row>
    <row r="1858" spans="1:5" x14ac:dyDescent="0.25">
      <c r="A1858" s="26">
        <v>35156</v>
      </c>
      <c r="B1858" s="49">
        <f t="shared" si="29"/>
        <v>1996</v>
      </c>
      <c r="C1858" s="27" t="s">
        <v>32</v>
      </c>
      <c r="D1858" s="27" t="s">
        <v>28</v>
      </c>
      <c r="E1858" s="27">
        <v>56</v>
      </c>
    </row>
    <row r="1859" spans="1:5" x14ac:dyDescent="0.25">
      <c r="A1859" s="26">
        <v>35156</v>
      </c>
      <c r="B1859" s="49">
        <f t="shared" ref="B1859:B1922" si="30">YEAR(A1859)</f>
        <v>1996</v>
      </c>
      <c r="C1859" s="27" t="s">
        <v>27</v>
      </c>
      <c r="D1859" s="27" t="s">
        <v>28</v>
      </c>
      <c r="E1859" s="27">
        <v>1543</v>
      </c>
    </row>
    <row r="1860" spans="1:5" x14ac:dyDescent="0.25">
      <c r="A1860" s="26">
        <v>35156</v>
      </c>
      <c r="B1860" s="49">
        <f t="shared" si="30"/>
        <v>1996</v>
      </c>
      <c r="C1860" s="27" t="s">
        <v>27</v>
      </c>
      <c r="D1860" s="27" t="s">
        <v>28</v>
      </c>
      <c r="E1860" s="27">
        <v>774</v>
      </c>
    </row>
    <row r="1861" spans="1:5" x14ac:dyDescent="0.25">
      <c r="A1861" s="26">
        <v>35156</v>
      </c>
      <c r="B1861" s="49">
        <f t="shared" si="30"/>
        <v>1996</v>
      </c>
      <c r="C1861" s="27" t="s">
        <v>27</v>
      </c>
      <c r="D1861" s="27" t="s">
        <v>29</v>
      </c>
      <c r="E1861" s="27">
        <v>697</v>
      </c>
    </row>
    <row r="1862" spans="1:5" x14ac:dyDescent="0.25">
      <c r="A1862" s="26">
        <v>35156</v>
      </c>
      <c r="B1862" s="49">
        <f t="shared" si="30"/>
        <v>1996</v>
      </c>
      <c r="C1862" s="27" t="s">
        <v>37</v>
      </c>
      <c r="D1862" s="27" t="s">
        <v>29</v>
      </c>
      <c r="E1862" s="27">
        <v>698</v>
      </c>
    </row>
    <row r="1863" spans="1:5" x14ac:dyDescent="0.25">
      <c r="A1863" s="26">
        <v>35156</v>
      </c>
      <c r="B1863" s="49">
        <f t="shared" si="30"/>
        <v>1996</v>
      </c>
      <c r="C1863" s="27" t="s">
        <v>37</v>
      </c>
      <c r="D1863" s="27" t="s">
        <v>29</v>
      </c>
      <c r="E1863" s="27">
        <v>79</v>
      </c>
    </row>
    <row r="1864" spans="1:5" x14ac:dyDescent="0.25">
      <c r="A1864" s="26">
        <v>35156</v>
      </c>
      <c r="B1864" s="49">
        <f t="shared" si="30"/>
        <v>1996</v>
      </c>
      <c r="C1864" s="27" t="s">
        <v>27</v>
      </c>
      <c r="D1864" s="27" t="s">
        <v>29</v>
      </c>
      <c r="E1864" s="27">
        <v>1242</v>
      </c>
    </row>
    <row r="1865" spans="1:5" x14ac:dyDescent="0.25">
      <c r="A1865" s="26">
        <v>35156</v>
      </c>
      <c r="B1865" s="49">
        <f t="shared" si="30"/>
        <v>1996</v>
      </c>
      <c r="C1865" s="27" t="s">
        <v>32</v>
      </c>
      <c r="D1865" s="27" t="s">
        <v>29</v>
      </c>
      <c r="E1865" s="27">
        <v>68</v>
      </c>
    </row>
    <row r="1866" spans="1:5" x14ac:dyDescent="0.25">
      <c r="A1866" s="26">
        <v>35156</v>
      </c>
      <c r="B1866" s="49">
        <f t="shared" si="30"/>
        <v>1996</v>
      </c>
      <c r="C1866" s="27" t="s">
        <v>35</v>
      </c>
      <c r="D1866" s="27" t="s">
        <v>29</v>
      </c>
      <c r="E1866" s="27">
        <v>513</v>
      </c>
    </row>
    <row r="1867" spans="1:5" x14ac:dyDescent="0.25">
      <c r="A1867" s="26">
        <v>35156</v>
      </c>
      <c r="B1867" s="49">
        <f t="shared" si="30"/>
        <v>1996</v>
      </c>
      <c r="C1867" s="27" t="s">
        <v>32</v>
      </c>
      <c r="D1867" s="27" t="s">
        <v>29</v>
      </c>
      <c r="E1867" s="27">
        <v>495</v>
      </c>
    </row>
    <row r="1868" spans="1:5" x14ac:dyDescent="0.25">
      <c r="A1868" s="26">
        <v>35156</v>
      </c>
      <c r="B1868" s="49">
        <f t="shared" si="30"/>
        <v>1996</v>
      </c>
      <c r="C1868" s="27" t="s">
        <v>35</v>
      </c>
      <c r="D1868" s="27" t="s">
        <v>29</v>
      </c>
      <c r="E1868" s="27">
        <v>236</v>
      </c>
    </row>
    <row r="1869" spans="1:5" x14ac:dyDescent="0.25">
      <c r="A1869" s="26">
        <v>35156</v>
      </c>
      <c r="B1869" s="49">
        <f t="shared" si="30"/>
        <v>1996</v>
      </c>
      <c r="C1869" s="27" t="s">
        <v>32</v>
      </c>
      <c r="D1869" s="27" t="s">
        <v>29</v>
      </c>
      <c r="E1869" s="27">
        <v>245</v>
      </c>
    </row>
    <row r="1870" spans="1:5" x14ac:dyDescent="0.25">
      <c r="A1870" s="26">
        <v>35156</v>
      </c>
      <c r="B1870" s="49">
        <f t="shared" si="30"/>
        <v>1996</v>
      </c>
      <c r="C1870" s="27" t="s">
        <v>37</v>
      </c>
      <c r="D1870" s="27" t="s">
        <v>29</v>
      </c>
      <c r="E1870" s="27">
        <v>149</v>
      </c>
    </row>
    <row r="1871" spans="1:5" x14ac:dyDescent="0.25">
      <c r="A1871" s="26">
        <v>35156</v>
      </c>
      <c r="B1871" s="49">
        <f t="shared" si="30"/>
        <v>1996</v>
      </c>
      <c r="C1871" s="27" t="s">
        <v>34</v>
      </c>
      <c r="D1871" s="27" t="s">
        <v>29</v>
      </c>
      <c r="E1871" s="27">
        <v>270</v>
      </c>
    </row>
    <row r="1872" spans="1:5" x14ac:dyDescent="0.25">
      <c r="A1872" s="26">
        <v>35156</v>
      </c>
      <c r="B1872" s="49">
        <f t="shared" si="30"/>
        <v>1996</v>
      </c>
      <c r="C1872" s="27" t="s">
        <v>27</v>
      </c>
      <c r="D1872" s="27" t="s">
        <v>29</v>
      </c>
      <c r="E1872" s="27">
        <v>279</v>
      </c>
    </row>
    <row r="1873" spans="1:5" x14ac:dyDescent="0.25">
      <c r="A1873" s="26">
        <v>35156</v>
      </c>
      <c r="B1873" s="49">
        <f t="shared" si="30"/>
        <v>1996</v>
      </c>
      <c r="C1873" s="27" t="s">
        <v>34</v>
      </c>
      <c r="D1873" s="27" t="s">
        <v>29</v>
      </c>
      <c r="E1873" s="27">
        <v>315</v>
      </c>
    </row>
    <row r="1874" spans="1:5" x14ac:dyDescent="0.25">
      <c r="A1874" s="26">
        <v>35156</v>
      </c>
      <c r="B1874" s="49">
        <f t="shared" si="30"/>
        <v>1996</v>
      </c>
      <c r="C1874" s="27" t="s">
        <v>34</v>
      </c>
      <c r="D1874" s="27" t="s">
        <v>29</v>
      </c>
      <c r="E1874" s="27">
        <v>612</v>
      </c>
    </row>
    <row r="1875" spans="1:5" x14ac:dyDescent="0.25">
      <c r="A1875" s="26">
        <v>35156</v>
      </c>
      <c r="B1875" s="49">
        <f t="shared" si="30"/>
        <v>1996</v>
      </c>
      <c r="C1875" s="27" t="s">
        <v>35</v>
      </c>
      <c r="D1875" s="27" t="s">
        <v>29</v>
      </c>
      <c r="E1875" s="27">
        <v>365</v>
      </c>
    </row>
    <row r="1876" spans="1:5" x14ac:dyDescent="0.25">
      <c r="A1876" s="26">
        <v>35156</v>
      </c>
      <c r="B1876" s="49">
        <f t="shared" si="30"/>
        <v>1996</v>
      </c>
      <c r="C1876" s="27" t="s">
        <v>35</v>
      </c>
      <c r="D1876" s="27" t="s">
        <v>29</v>
      </c>
      <c r="E1876" s="27">
        <v>375</v>
      </c>
    </row>
    <row r="1877" spans="1:5" x14ac:dyDescent="0.25">
      <c r="A1877" s="26">
        <v>35156</v>
      </c>
      <c r="B1877" s="49">
        <f t="shared" si="30"/>
        <v>1996</v>
      </c>
      <c r="C1877" s="27" t="s">
        <v>27</v>
      </c>
      <c r="D1877" s="27" t="s">
        <v>29</v>
      </c>
      <c r="E1877" s="27">
        <v>410</v>
      </c>
    </row>
    <row r="1878" spans="1:5" x14ac:dyDescent="0.25">
      <c r="A1878" s="26">
        <v>35156</v>
      </c>
      <c r="B1878" s="49">
        <f t="shared" si="30"/>
        <v>1996</v>
      </c>
      <c r="C1878" s="27" t="s">
        <v>32</v>
      </c>
      <c r="D1878" s="27" t="s">
        <v>29</v>
      </c>
      <c r="E1878" s="27">
        <v>79</v>
      </c>
    </row>
    <row r="1879" spans="1:5" x14ac:dyDescent="0.25">
      <c r="A1879" s="26">
        <v>35156</v>
      </c>
      <c r="B1879" s="49">
        <f t="shared" si="30"/>
        <v>1996</v>
      </c>
      <c r="C1879" s="27" t="s">
        <v>34</v>
      </c>
      <c r="D1879" s="27" t="s">
        <v>29</v>
      </c>
      <c r="E1879" s="27">
        <v>426</v>
      </c>
    </row>
    <row r="1880" spans="1:5" x14ac:dyDescent="0.25">
      <c r="A1880" s="26">
        <v>35156</v>
      </c>
      <c r="B1880" s="49">
        <f t="shared" si="30"/>
        <v>1996</v>
      </c>
      <c r="C1880" s="27" t="s">
        <v>37</v>
      </c>
      <c r="D1880" s="27" t="s">
        <v>29</v>
      </c>
      <c r="E1880" s="27">
        <v>473</v>
      </c>
    </row>
    <row r="1881" spans="1:5" x14ac:dyDescent="0.25">
      <c r="A1881" s="26">
        <v>35156</v>
      </c>
      <c r="B1881" s="49">
        <f t="shared" si="30"/>
        <v>1996</v>
      </c>
      <c r="C1881" s="27" t="s">
        <v>34</v>
      </c>
      <c r="D1881" s="27" t="s">
        <v>38</v>
      </c>
      <c r="E1881" s="27">
        <v>450</v>
      </c>
    </row>
    <row r="1882" spans="1:5" x14ac:dyDescent="0.25">
      <c r="A1882" s="26">
        <v>35156</v>
      </c>
      <c r="B1882" s="49">
        <f t="shared" si="30"/>
        <v>1996</v>
      </c>
      <c r="C1882" s="27" t="s">
        <v>32</v>
      </c>
      <c r="D1882" s="27" t="s">
        <v>38</v>
      </c>
      <c r="E1882" s="27">
        <v>605</v>
      </c>
    </row>
    <row r="1883" spans="1:5" x14ac:dyDescent="0.25">
      <c r="A1883" s="26">
        <v>35156</v>
      </c>
      <c r="B1883" s="49">
        <f t="shared" si="30"/>
        <v>1996</v>
      </c>
      <c r="C1883" s="27" t="s">
        <v>27</v>
      </c>
      <c r="D1883" s="27" t="s">
        <v>38</v>
      </c>
      <c r="E1883" s="27">
        <v>11</v>
      </c>
    </row>
    <row r="1884" spans="1:5" x14ac:dyDescent="0.25">
      <c r="A1884" s="26">
        <v>35156</v>
      </c>
      <c r="B1884" s="49">
        <f t="shared" si="30"/>
        <v>1996</v>
      </c>
      <c r="C1884" s="27" t="s">
        <v>35</v>
      </c>
      <c r="D1884" s="27" t="s">
        <v>38</v>
      </c>
      <c r="E1884" s="27">
        <v>23</v>
      </c>
    </row>
    <row r="1885" spans="1:5" x14ac:dyDescent="0.25">
      <c r="A1885" s="26">
        <v>35156</v>
      </c>
      <c r="B1885" s="49">
        <f t="shared" si="30"/>
        <v>1996</v>
      </c>
      <c r="C1885" s="27" t="s">
        <v>27</v>
      </c>
      <c r="D1885" s="27" t="s">
        <v>38</v>
      </c>
      <c r="E1885" s="27">
        <v>26</v>
      </c>
    </row>
    <row r="1886" spans="1:5" x14ac:dyDescent="0.25">
      <c r="A1886" s="26">
        <v>35156</v>
      </c>
      <c r="B1886" s="49">
        <f t="shared" si="30"/>
        <v>1996</v>
      </c>
      <c r="C1886" s="27" t="s">
        <v>27</v>
      </c>
      <c r="D1886" s="27" t="s">
        <v>38</v>
      </c>
      <c r="E1886" s="27">
        <v>32</v>
      </c>
    </row>
    <row r="1887" spans="1:5" x14ac:dyDescent="0.25">
      <c r="A1887" s="26">
        <v>35156</v>
      </c>
      <c r="B1887" s="49">
        <f t="shared" si="30"/>
        <v>1996</v>
      </c>
      <c r="C1887" s="27" t="s">
        <v>35</v>
      </c>
      <c r="D1887" s="27" t="s">
        <v>38</v>
      </c>
      <c r="E1887" s="27">
        <v>34</v>
      </c>
    </row>
    <row r="1888" spans="1:5" x14ac:dyDescent="0.25">
      <c r="A1888" s="26">
        <v>35156</v>
      </c>
      <c r="B1888" s="49">
        <f t="shared" si="30"/>
        <v>1996</v>
      </c>
      <c r="C1888" s="27" t="s">
        <v>27</v>
      </c>
      <c r="D1888" s="27" t="s">
        <v>38</v>
      </c>
      <c r="E1888" s="27">
        <v>34</v>
      </c>
    </row>
    <row r="1889" spans="1:5" x14ac:dyDescent="0.25">
      <c r="A1889" s="26">
        <v>35156</v>
      </c>
      <c r="B1889" s="49">
        <f t="shared" si="30"/>
        <v>1996</v>
      </c>
      <c r="C1889" s="27" t="s">
        <v>35</v>
      </c>
      <c r="D1889" s="27" t="s">
        <v>38</v>
      </c>
      <c r="E1889" s="27">
        <v>49</v>
      </c>
    </row>
    <row r="1890" spans="1:5" x14ac:dyDescent="0.25">
      <c r="A1890" s="26">
        <v>35156</v>
      </c>
      <c r="B1890" s="49">
        <f t="shared" si="30"/>
        <v>1996</v>
      </c>
      <c r="C1890" s="27" t="s">
        <v>37</v>
      </c>
      <c r="D1890" s="27" t="s">
        <v>38</v>
      </c>
      <c r="E1890" s="27">
        <v>56</v>
      </c>
    </row>
    <row r="1891" spans="1:5" x14ac:dyDescent="0.25">
      <c r="A1891" s="26">
        <v>35156</v>
      </c>
      <c r="B1891" s="49">
        <f t="shared" si="30"/>
        <v>1996</v>
      </c>
      <c r="C1891" s="27" t="s">
        <v>37</v>
      </c>
      <c r="D1891" s="27" t="s">
        <v>38</v>
      </c>
      <c r="E1891" s="27">
        <v>26</v>
      </c>
    </row>
    <row r="1892" spans="1:5" x14ac:dyDescent="0.25">
      <c r="A1892" s="26">
        <v>35156</v>
      </c>
      <c r="B1892" s="49">
        <f t="shared" si="30"/>
        <v>1996</v>
      </c>
      <c r="C1892" s="27" t="s">
        <v>34</v>
      </c>
      <c r="D1892" s="27" t="s">
        <v>38</v>
      </c>
      <c r="E1892" s="27">
        <v>88</v>
      </c>
    </row>
    <row r="1893" spans="1:5" x14ac:dyDescent="0.25">
      <c r="A1893" s="26">
        <v>35156</v>
      </c>
      <c r="B1893" s="49">
        <f t="shared" si="30"/>
        <v>1996</v>
      </c>
      <c r="C1893" s="27" t="s">
        <v>37</v>
      </c>
      <c r="D1893" s="27" t="s">
        <v>38</v>
      </c>
      <c r="E1893" s="27">
        <v>123</v>
      </c>
    </row>
    <row r="1894" spans="1:5" x14ac:dyDescent="0.25">
      <c r="A1894" s="26">
        <v>35156</v>
      </c>
      <c r="B1894" s="49">
        <f t="shared" si="30"/>
        <v>1996</v>
      </c>
      <c r="C1894" s="27" t="s">
        <v>34</v>
      </c>
      <c r="D1894" s="27" t="s">
        <v>38</v>
      </c>
      <c r="E1894" s="27">
        <v>149</v>
      </c>
    </row>
    <row r="1895" spans="1:5" x14ac:dyDescent="0.25">
      <c r="A1895" s="26">
        <v>35156</v>
      </c>
      <c r="B1895" s="49">
        <f t="shared" si="30"/>
        <v>1996</v>
      </c>
      <c r="C1895" s="27" t="s">
        <v>37</v>
      </c>
      <c r="D1895" s="27" t="s">
        <v>38</v>
      </c>
      <c r="E1895" s="27">
        <v>122</v>
      </c>
    </row>
    <row r="1896" spans="1:5" x14ac:dyDescent="0.25">
      <c r="A1896" s="26">
        <v>35156</v>
      </c>
      <c r="B1896" s="49">
        <f t="shared" si="30"/>
        <v>1996</v>
      </c>
      <c r="C1896" s="27" t="s">
        <v>35</v>
      </c>
      <c r="D1896" s="27" t="s">
        <v>38</v>
      </c>
      <c r="E1896" s="27">
        <v>70</v>
      </c>
    </row>
    <row r="1897" spans="1:5" x14ac:dyDescent="0.25">
      <c r="A1897" s="26">
        <v>35156</v>
      </c>
      <c r="B1897" s="49">
        <f t="shared" si="30"/>
        <v>1996</v>
      </c>
      <c r="C1897" s="27" t="s">
        <v>34</v>
      </c>
      <c r="D1897" s="27" t="s">
        <v>38</v>
      </c>
      <c r="E1897" s="27">
        <v>113</v>
      </c>
    </row>
    <row r="1898" spans="1:5" x14ac:dyDescent="0.25">
      <c r="A1898" s="26">
        <v>35156</v>
      </c>
      <c r="B1898" s="49">
        <f t="shared" si="30"/>
        <v>1996</v>
      </c>
      <c r="C1898" s="27" t="s">
        <v>32</v>
      </c>
      <c r="D1898" s="27" t="s">
        <v>38</v>
      </c>
      <c r="E1898" s="27">
        <v>322</v>
      </c>
    </row>
    <row r="1899" spans="1:5" x14ac:dyDescent="0.25">
      <c r="A1899" s="26">
        <v>35156</v>
      </c>
      <c r="B1899" s="49">
        <f t="shared" si="30"/>
        <v>1996</v>
      </c>
      <c r="C1899" s="27" t="s">
        <v>32</v>
      </c>
      <c r="D1899" s="27" t="s">
        <v>38</v>
      </c>
      <c r="E1899" s="27">
        <v>79</v>
      </c>
    </row>
    <row r="1900" spans="1:5" x14ac:dyDescent="0.25">
      <c r="A1900" s="26">
        <v>35156</v>
      </c>
      <c r="B1900" s="49">
        <f t="shared" si="30"/>
        <v>1996</v>
      </c>
      <c r="C1900" s="27" t="s">
        <v>32</v>
      </c>
      <c r="D1900" s="27" t="s">
        <v>38</v>
      </c>
      <c r="E1900" s="27">
        <v>79</v>
      </c>
    </row>
    <row r="1901" spans="1:5" x14ac:dyDescent="0.25">
      <c r="A1901" s="26">
        <v>35156</v>
      </c>
      <c r="B1901" s="49">
        <f t="shared" si="30"/>
        <v>1996</v>
      </c>
      <c r="C1901" s="27" t="s">
        <v>27</v>
      </c>
      <c r="D1901" s="27" t="s">
        <v>30</v>
      </c>
      <c r="E1901" s="27">
        <v>2812</v>
      </c>
    </row>
    <row r="1902" spans="1:5" x14ac:dyDescent="0.25">
      <c r="A1902" s="26">
        <v>35156</v>
      </c>
      <c r="B1902" s="49">
        <f t="shared" si="30"/>
        <v>1996</v>
      </c>
      <c r="C1902" s="27" t="s">
        <v>32</v>
      </c>
      <c r="D1902" s="27" t="s">
        <v>30</v>
      </c>
      <c r="E1902" s="27">
        <v>248</v>
      </c>
    </row>
    <row r="1903" spans="1:5" x14ac:dyDescent="0.25">
      <c r="A1903" s="26">
        <v>35156</v>
      </c>
      <c r="B1903" s="49">
        <f t="shared" si="30"/>
        <v>1996</v>
      </c>
      <c r="C1903" s="27" t="s">
        <v>27</v>
      </c>
      <c r="D1903" s="27" t="s">
        <v>30</v>
      </c>
      <c r="E1903" s="27">
        <v>3135</v>
      </c>
    </row>
    <row r="1904" spans="1:5" x14ac:dyDescent="0.25">
      <c r="A1904" s="26">
        <v>35156</v>
      </c>
      <c r="B1904" s="49">
        <f t="shared" si="30"/>
        <v>1996</v>
      </c>
      <c r="C1904" s="27" t="s">
        <v>27</v>
      </c>
      <c r="D1904" s="27" t="s">
        <v>30</v>
      </c>
      <c r="E1904" s="27">
        <v>126</v>
      </c>
    </row>
    <row r="1905" spans="1:5" x14ac:dyDescent="0.25">
      <c r="A1905" s="26">
        <v>35156</v>
      </c>
      <c r="B1905" s="49">
        <f t="shared" si="30"/>
        <v>1996</v>
      </c>
      <c r="C1905" s="27" t="s">
        <v>32</v>
      </c>
      <c r="D1905" s="27" t="s">
        <v>30</v>
      </c>
      <c r="E1905" s="27">
        <v>88</v>
      </c>
    </row>
    <row r="1906" spans="1:5" x14ac:dyDescent="0.25">
      <c r="A1906" s="26">
        <v>35156</v>
      </c>
      <c r="B1906" s="49">
        <f t="shared" si="30"/>
        <v>1996</v>
      </c>
      <c r="C1906" s="27" t="s">
        <v>32</v>
      </c>
      <c r="D1906" s="27" t="s">
        <v>30</v>
      </c>
      <c r="E1906" s="27">
        <v>90</v>
      </c>
    </row>
    <row r="1907" spans="1:5" x14ac:dyDescent="0.25">
      <c r="A1907" s="26">
        <v>35156</v>
      </c>
      <c r="B1907" s="49">
        <f t="shared" si="30"/>
        <v>1996</v>
      </c>
      <c r="C1907" s="27" t="s">
        <v>27</v>
      </c>
      <c r="D1907" s="27" t="s">
        <v>30</v>
      </c>
      <c r="E1907" s="27">
        <v>70</v>
      </c>
    </row>
    <row r="1908" spans="1:5" x14ac:dyDescent="0.25">
      <c r="A1908" s="26">
        <v>35156</v>
      </c>
      <c r="B1908" s="49">
        <f t="shared" si="30"/>
        <v>1996</v>
      </c>
      <c r="C1908" s="27" t="s">
        <v>32</v>
      </c>
      <c r="D1908" s="27" t="s">
        <v>30</v>
      </c>
      <c r="E1908" s="27">
        <v>135</v>
      </c>
    </row>
    <row r="1909" spans="1:5" x14ac:dyDescent="0.25">
      <c r="A1909" s="26">
        <v>35156</v>
      </c>
      <c r="B1909" s="49">
        <f t="shared" si="30"/>
        <v>1996</v>
      </c>
      <c r="C1909" s="27" t="s">
        <v>32</v>
      </c>
      <c r="D1909" s="27" t="s">
        <v>30</v>
      </c>
      <c r="E1909" s="27">
        <v>166</v>
      </c>
    </row>
    <row r="1910" spans="1:5" x14ac:dyDescent="0.25">
      <c r="A1910" s="26">
        <v>35156</v>
      </c>
      <c r="B1910" s="49">
        <f t="shared" si="30"/>
        <v>1996</v>
      </c>
      <c r="C1910" s="27" t="s">
        <v>27</v>
      </c>
      <c r="D1910" s="27" t="s">
        <v>30</v>
      </c>
      <c r="E1910" s="27">
        <v>124</v>
      </c>
    </row>
    <row r="1911" spans="1:5" x14ac:dyDescent="0.25">
      <c r="A1911" s="26">
        <v>35156</v>
      </c>
      <c r="B1911" s="49">
        <f t="shared" si="30"/>
        <v>1996</v>
      </c>
      <c r="C1911" s="27" t="s">
        <v>32</v>
      </c>
      <c r="D1911" s="27" t="s">
        <v>30</v>
      </c>
      <c r="E1911" s="27">
        <v>220</v>
      </c>
    </row>
    <row r="1912" spans="1:5" x14ac:dyDescent="0.25">
      <c r="A1912" s="26">
        <v>35156</v>
      </c>
      <c r="B1912" s="49">
        <f t="shared" si="30"/>
        <v>1996</v>
      </c>
      <c r="C1912" s="27" t="s">
        <v>27</v>
      </c>
      <c r="D1912" s="27" t="s">
        <v>30</v>
      </c>
      <c r="E1912" s="27">
        <v>83</v>
      </c>
    </row>
    <row r="1913" spans="1:5" x14ac:dyDescent="0.25">
      <c r="A1913" s="26">
        <v>35156</v>
      </c>
      <c r="B1913" s="49">
        <f t="shared" si="30"/>
        <v>1996</v>
      </c>
      <c r="C1913" s="27" t="s">
        <v>35</v>
      </c>
      <c r="D1913" s="27" t="s">
        <v>31</v>
      </c>
      <c r="E1913" s="27">
        <v>49</v>
      </c>
    </row>
    <row r="1914" spans="1:5" x14ac:dyDescent="0.25">
      <c r="A1914" s="26">
        <v>35156</v>
      </c>
      <c r="B1914" s="49">
        <f t="shared" si="30"/>
        <v>1996</v>
      </c>
      <c r="C1914" s="27" t="s">
        <v>35</v>
      </c>
      <c r="D1914" s="27" t="s">
        <v>31</v>
      </c>
      <c r="E1914" s="27">
        <v>90</v>
      </c>
    </row>
    <row r="1915" spans="1:5" x14ac:dyDescent="0.25">
      <c r="A1915" s="26">
        <v>35156</v>
      </c>
      <c r="B1915" s="49">
        <f t="shared" si="30"/>
        <v>1996</v>
      </c>
      <c r="C1915" s="27" t="s">
        <v>32</v>
      </c>
      <c r="D1915" s="27" t="s">
        <v>31</v>
      </c>
      <c r="E1915" s="27">
        <v>657</v>
      </c>
    </row>
    <row r="1916" spans="1:5" x14ac:dyDescent="0.25">
      <c r="A1916" s="26">
        <v>35156</v>
      </c>
      <c r="B1916" s="49">
        <f t="shared" si="30"/>
        <v>1996</v>
      </c>
      <c r="C1916" s="27" t="s">
        <v>37</v>
      </c>
      <c r="D1916" s="27" t="s">
        <v>31</v>
      </c>
      <c r="E1916" s="27">
        <v>664</v>
      </c>
    </row>
    <row r="1917" spans="1:5" x14ac:dyDescent="0.25">
      <c r="A1917" s="26">
        <v>35156</v>
      </c>
      <c r="B1917" s="49">
        <f t="shared" si="30"/>
        <v>1996</v>
      </c>
      <c r="C1917" s="27" t="s">
        <v>27</v>
      </c>
      <c r="D1917" s="27" t="s">
        <v>31</v>
      </c>
      <c r="E1917" s="27">
        <v>890</v>
      </c>
    </row>
    <row r="1918" spans="1:5" x14ac:dyDescent="0.25">
      <c r="A1918" s="26">
        <v>35156</v>
      </c>
      <c r="B1918" s="49">
        <f t="shared" si="30"/>
        <v>1996</v>
      </c>
      <c r="C1918" s="27" t="s">
        <v>32</v>
      </c>
      <c r="D1918" s="27" t="s">
        <v>31</v>
      </c>
      <c r="E1918" s="27">
        <v>1089</v>
      </c>
    </row>
    <row r="1919" spans="1:5" x14ac:dyDescent="0.25">
      <c r="A1919" s="26">
        <v>35156</v>
      </c>
      <c r="B1919" s="49">
        <f t="shared" si="30"/>
        <v>1996</v>
      </c>
      <c r="C1919" s="27" t="s">
        <v>34</v>
      </c>
      <c r="D1919" s="27" t="s">
        <v>31</v>
      </c>
      <c r="E1919" s="27">
        <v>1208</v>
      </c>
    </row>
    <row r="1920" spans="1:5" x14ac:dyDescent="0.25">
      <c r="A1920" s="26">
        <v>35156</v>
      </c>
      <c r="B1920" s="49">
        <f t="shared" si="30"/>
        <v>1996</v>
      </c>
      <c r="C1920" s="27" t="s">
        <v>27</v>
      </c>
      <c r="D1920" s="27" t="s">
        <v>31</v>
      </c>
      <c r="E1920" s="27">
        <v>458</v>
      </c>
    </row>
    <row r="1921" spans="1:5" x14ac:dyDescent="0.25">
      <c r="A1921" s="26">
        <v>35156</v>
      </c>
      <c r="B1921" s="49">
        <f t="shared" si="30"/>
        <v>1996</v>
      </c>
      <c r="C1921" s="27" t="s">
        <v>37</v>
      </c>
      <c r="D1921" s="27" t="s">
        <v>31</v>
      </c>
      <c r="E1921" s="27">
        <v>430</v>
      </c>
    </row>
    <row r="1922" spans="1:5" x14ac:dyDescent="0.25">
      <c r="A1922" s="26">
        <v>35156</v>
      </c>
      <c r="B1922" s="49">
        <f t="shared" si="30"/>
        <v>1996</v>
      </c>
      <c r="C1922" s="27" t="s">
        <v>37</v>
      </c>
      <c r="D1922" s="27" t="s">
        <v>31</v>
      </c>
      <c r="E1922" s="27">
        <v>158</v>
      </c>
    </row>
    <row r="1923" spans="1:5" x14ac:dyDescent="0.25">
      <c r="A1923" s="26">
        <v>35156</v>
      </c>
      <c r="B1923" s="49">
        <f t="shared" ref="B1923:B1986" si="31">YEAR(A1923)</f>
        <v>1996</v>
      </c>
      <c r="C1923" s="27" t="s">
        <v>27</v>
      </c>
      <c r="D1923" s="27" t="s">
        <v>31</v>
      </c>
      <c r="E1923" s="27">
        <v>123</v>
      </c>
    </row>
    <row r="1924" spans="1:5" x14ac:dyDescent="0.25">
      <c r="A1924" s="26">
        <v>35156</v>
      </c>
      <c r="B1924" s="49">
        <f t="shared" si="31"/>
        <v>1996</v>
      </c>
      <c r="C1924" s="27" t="s">
        <v>37</v>
      </c>
      <c r="D1924" s="27" t="s">
        <v>31</v>
      </c>
      <c r="E1924" s="27">
        <v>123</v>
      </c>
    </row>
    <row r="1925" spans="1:5" x14ac:dyDescent="0.25">
      <c r="A1925" s="26">
        <v>35156</v>
      </c>
      <c r="B1925" s="49">
        <f t="shared" si="31"/>
        <v>1996</v>
      </c>
      <c r="C1925" s="27" t="s">
        <v>27</v>
      </c>
      <c r="D1925" s="27" t="s">
        <v>31</v>
      </c>
      <c r="E1925" s="27">
        <v>135</v>
      </c>
    </row>
    <row r="1926" spans="1:5" x14ac:dyDescent="0.25">
      <c r="A1926" s="26">
        <v>35156</v>
      </c>
      <c r="B1926" s="49">
        <f t="shared" si="31"/>
        <v>1996</v>
      </c>
      <c r="C1926" s="27" t="s">
        <v>32</v>
      </c>
      <c r="D1926" s="27" t="s">
        <v>31</v>
      </c>
      <c r="E1926" s="27">
        <v>546</v>
      </c>
    </row>
    <row r="1927" spans="1:5" x14ac:dyDescent="0.25">
      <c r="A1927" s="26">
        <v>35156</v>
      </c>
      <c r="B1927" s="49">
        <f t="shared" si="31"/>
        <v>1996</v>
      </c>
      <c r="C1927" s="27" t="s">
        <v>35</v>
      </c>
      <c r="D1927" s="27" t="s">
        <v>31</v>
      </c>
      <c r="E1927" s="27">
        <v>158</v>
      </c>
    </row>
    <row r="1928" spans="1:5" x14ac:dyDescent="0.25">
      <c r="A1928" s="26">
        <v>35156</v>
      </c>
      <c r="B1928" s="49">
        <f t="shared" si="31"/>
        <v>1996</v>
      </c>
      <c r="C1928" s="27" t="s">
        <v>34</v>
      </c>
      <c r="D1928" s="27" t="s">
        <v>31</v>
      </c>
      <c r="E1928" s="27">
        <v>158</v>
      </c>
    </row>
    <row r="1929" spans="1:5" x14ac:dyDescent="0.25">
      <c r="A1929" s="26">
        <v>35156</v>
      </c>
      <c r="B1929" s="49">
        <f t="shared" si="31"/>
        <v>1996</v>
      </c>
      <c r="C1929" s="27" t="s">
        <v>34</v>
      </c>
      <c r="D1929" s="27" t="s">
        <v>31</v>
      </c>
      <c r="E1929" s="27">
        <v>263</v>
      </c>
    </row>
    <row r="1930" spans="1:5" x14ac:dyDescent="0.25">
      <c r="A1930" s="26">
        <v>35156</v>
      </c>
      <c r="B1930" s="49">
        <f t="shared" si="31"/>
        <v>1996</v>
      </c>
      <c r="C1930" s="27" t="s">
        <v>32</v>
      </c>
      <c r="D1930" s="27" t="s">
        <v>31</v>
      </c>
      <c r="E1930" s="27">
        <v>270</v>
      </c>
    </row>
    <row r="1931" spans="1:5" x14ac:dyDescent="0.25">
      <c r="A1931" s="26">
        <v>35156</v>
      </c>
      <c r="B1931" s="49">
        <f t="shared" si="31"/>
        <v>1996</v>
      </c>
      <c r="C1931" s="27" t="s">
        <v>34</v>
      </c>
      <c r="D1931" s="27" t="s">
        <v>31</v>
      </c>
      <c r="E1931" s="27">
        <v>405</v>
      </c>
    </row>
    <row r="1932" spans="1:5" x14ac:dyDescent="0.25">
      <c r="A1932" s="26">
        <v>35156</v>
      </c>
      <c r="B1932" s="49">
        <f t="shared" si="31"/>
        <v>1996</v>
      </c>
      <c r="C1932" s="27" t="s">
        <v>35</v>
      </c>
      <c r="D1932" s="27" t="s">
        <v>31</v>
      </c>
      <c r="E1932" s="27">
        <v>135</v>
      </c>
    </row>
    <row r="1933" spans="1:5" x14ac:dyDescent="0.25">
      <c r="A1933" s="26">
        <v>35156</v>
      </c>
      <c r="B1933" s="49">
        <f t="shared" si="31"/>
        <v>1996</v>
      </c>
      <c r="C1933" s="27" t="s">
        <v>32</v>
      </c>
      <c r="D1933" s="27" t="s">
        <v>33</v>
      </c>
      <c r="E1933" s="27">
        <v>1072</v>
      </c>
    </row>
    <row r="1934" spans="1:5" x14ac:dyDescent="0.25">
      <c r="A1934" s="26">
        <v>35156</v>
      </c>
      <c r="B1934" s="49">
        <f t="shared" si="31"/>
        <v>1996</v>
      </c>
      <c r="C1934" s="27" t="s">
        <v>37</v>
      </c>
      <c r="D1934" s="27" t="s">
        <v>33</v>
      </c>
      <c r="E1934" s="27">
        <v>1325</v>
      </c>
    </row>
    <row r="1935" spans="1:5" x14ac:dyDescent="0.25">
      <c r="A1935" s="26">
        <v>35156</v>
      </c>
      <c r="B1935" s="49">
        <f t="shared" si="31"/>
        <v>1996</v>
      </c>
      <c r="C1935" s="27" t="s">
        <v>27</v>
      </c>
      <c r="D1935" s="27" t="s">
        <v>33</v>
      </c>
      <c r="E1935" s="27">
        <v>1850</v>
      </c>
    </row>
    <row r="1936" spans="1:5" x14ac:dyDescent="0.25">
      <c r="A1936" s="26">
        <v>35156</v>
      </c>
      <c r="B1936" s="49">
        <f t="shared" si="31"/>
        <v>1996</v>
      </c>
      <c r="C1936" s="27" t="s">
        <v>32</v>
      </c>
      <c r="D1936" s="27" t="s">
        <v>33</v>
      </c>
      <c r="E1936" s="27">
        <v>2406</v>
      </c>
    </row>
    <row r="1937" spans="1:5" x14ac:dyDescent="0.25">
      <c r="A1937" s="26">
        <v>35156</v>
      </c>
      <c r="B1937" s="49">
        <f t="shared" si="31"/>
        <v>1996</v>
      </c>
      <c r="C1937" s="27" t="s">
        <v>34</v>
      </c>
      <c r="D1937" s="27" t="s">
        <v>33</v>
      </c>
      <c r="E1937" s="27">
        <v>2829</v>
      </c>
    </row>
    <row r="1938" spans="1:5" x14ac:dyDescent="0.25">
      <c r="A1938" s="26">
        <v>35156</v>
      </c>
      <c r="B1938" s="49">
        <f t="shared" si="31"/>
        <v>1996</v>
      </c>
      <c r="C1938" s="27" t="s">
        <v>32</v>
      </c>
      <c r="D1938" s="27" t="s">
        <v>33</v>
      </c>
      <c r="E1938" s="27">
        <v>491</v>
      </c>
    </row>
    <row r="1939" spans="1:5" x14ac:dyDescent="0.25">
      <c r="A1939" s="26">
        <v>35156</v>
      </c>
      <c r="B1939" s="49">
        <f t="shared" si="31"/>
        <v>1996</v>
      </c>
      <c r="C1939" s="27" t="s">
        <v>27</v>
      </c>
      <c r="D1939" s="27" t="s">
        <v>33</v>
      </c>
      <c r="E1939" s="27">
        <v>700</v>
      </c>
    </row>
    <row r="1940" spans="1:5" x14ac:dyDescent="0.25">
      <c r="A1940" s="26">
        <v>35156</v>
      </c>
      <c r="B1940" s="49">
        <f t="shared" si="31"/>
        <v>1996</v>
      </c>
      <c r="C1940" s="27" t="s">
        <v>32</v>
      </c>
      <c r="D1940" s="27" t="s">
        <v>33</v>
      </c>
      <c r="E1940" s="27">
        <v>503</v>
      </c>
    </row>
    <row r="1941" spans="1:5" x14ac:dyDescent="0.25">
      <c r="A1941" s="26">
        <v>35156</v>
      </c>
      <c r="B1941" s="49">
        <f t="shared" si="31"/>
        <v>1996</v>
      </c>
      <c r="C1941" s="27" t="s">
        <v>34</v>
      </c>
      <c r="D1941" s="27" t="s">
        <v>33</v>
      </c>
      <c r="E1941" s="27">
        <v>39</v>
      </c>
    </row>
    <row r="1942" spans="1:5" x14ac:dyDescent="0.25">
      <c r="A1942" s="26">
        <v>35156</v>
      </c>
      <c r="B1942" s="49">
        <f t="shared" si="31"/>
        <v>1996</v>
      </c>
      <c r="C1942" s="27" t="s">
        <v>27</v>
      </c>
      <c r="D1942" s="27" t="s">
        <v>33</v>
      </c>
      <c r="E1942" s="27">
        <v>44</v>
      </c>
    </row>
    <row r="1943" spans="1:5" x14ac:dyDescent="0.25">
      <c r="A1943" s="26">
        <v>35156</v>
      </c>
      <c r="B1943" s="49">
        <f t="shared" si="31"/>
        <v>1996</v>
      </c>
      <c r="C1943" s="27" t="s">
        <v>35</v>
      </c>
      <c r="D1943" s="27" t="s">
        <v>33</v>
      </c>
      <c r="E1943" s="27">
        <v>50</v>
      </c>
    </row>
    <row r="1944" spans="1:5" x14ac:dyDescent="0.25">
      <c r="A1944" s="26">
        <v>35156</v>
      </c>
      <c r="B1944" s="49">
        <f t="shared" si="31"/>
        <v>1996</v>
      </c>
      <c r="C1944" s="27" t="s">
        <v>34</v>
      </c>
      <c r="D1944" s="27" t="s">
        <v>33</v>
      </c>
      <c r="E1944" s="27">
        <v>61</v>
      </c>
    </row>
    <row r="1945" spans="1:5" x14ac:dyDescent="0.25">
      <c r="A1945" s="26">
        <v>35156</v>
      </c>
      <c r="B1945" s="49">
        <f t="shared" si="31"/>
        <v>1996</v>
      </c>
      <c r="C1945" s="27" t="s">
        <v>27</v>
      </c>
      <c r="D1945" s="27" t="s">
        <v>33</v>
      </c>
      <c r="E1945" s="27">
        <v>68</v>
      </c>
    </row>
    <row r="1946" spans="1:5" x14ac:dyDescent="0.25">
      <c r="A1946" s="26">
        <v>35156</v>
      </c>
      <c r="B1946" s="49">
        <f t="shared" si="31"/>
        <v>1996</v>
      </c>
      <c r="C1946" s="27" t="s">
        <v>34</v>
      </c>
      <c r="D1946" s="27" t="s">
        <v>33</v>
      </c>
      <c r="E1946" s="27">
        <v>72</v>
      </c>
    </row>
    <row r="1947" spans="1:5" x14ac:dyDescent="0.25">
      <c r="A1947" s="26">
        <v>35156</v>
      </c>
      <c r="B1947" s="49">
        <f t="shared" si="31"/>
        <v>1996</v>
      </c>
      <c r="C1947" s="27" t="s">
        <v>35</v>
      </c>
      <c r="D1947" s="27" t="s">
        <v>33</v>
      </c>
      <c r="E1947" s="27">
        <v>88</v>
      </c>
    </row>
    <row r="1948" spans="1:5" x14ac:dyDescent="0.25">
      <c r="A1948" s="26">
        <v>35156</v>
      </c>
      <c r="B1948" s="49">
        <f t="shared" si="31"/>
        <v>1996</v>
      </c>
      <c r="C1948" s="27" t="s">
        <v>35</v>
      </c>
      <c r="D1948" s="27" t="s">
        <v>33</v>
      </c>
      <c r="E1948" s="27">
        <v>119</v>
      </c>
    </row>
    <row r="1949" spans="1:5" x14ac:dyDescent="0.25">
      <c r="A1949" s="26">
        <v>35156</v>
      </c>
      <c r="B1949" s="49">
        <f t="shared" si="31"/>
        <v>1996</v>
      </c>
      <c r="C1949" s="27" t="s">
        <v>37</v>
      </c>
      <c r="D1949" s="27" t="s">
        <v>33</v>
      </c>
      <c r="E1949" s="27">
        <v>123</v>
      </c>
    </row>
    <row r="1950" spans="1:5" x14ac:dyDescent="0.25">
      <c r="A1950" s="26">
        <v>35156</v>
      </c>
      <c r="B1950" s="49">
        <f t="shared" si="31"/>
        <v>1996</v>
      </c>
      <c r="C1950" s="27" t="s">
        <v>35</v>
      </c>
      <c r="D1950" s="27" t="s">
        <v>33</v>
      </c>
      <c r="E1950" s="27">
        <v>135</v>
      </c>
    </row>
    <row r="1951" spans="1:5" x14ac:dyDescent="0.25">
      <c r="A1951" s="26">
        <v>35156</v>
      </c>
      <c r="B1951" s="49">
        <f t="shared" si="31"/>
        <v>1996</v>
      </c>
      <c r="C1951" s="27" t="s">
        <v>37</v>
      </c>
      <c r="D1951" s="27" t="s">
        <v>33</v>
      </c>
      <c r="E1951" s="27">
        <v>158</v>
      </c>
    </row>
    <row r="1952" spans="1:5" x14ac:dyDescent="0.25">
      <c r="A1952" s="26">
        <v>35156</v>
      </c>
      <c r="B1952" s="49">
        <f t="shared" si="31"/>
        <v>1996</v>
      </c>
      <c r="C1952" s="27" t="s">
        <v>37</v>
      </c>
      <c r="D1952" s="27" t="s">
        <v>33</v>
      </c>
      <c r="E1952" s="27">
        <v>263</v>
      </c>
    </row>
    <row r="1953" spans="1:5" x14ac:dyDescent="0.25">
      <c r="A1953" s="26">
        <v>35156</v>
      </c>
      <c r="B1953" s="49">
        <f t="shared" si="31"/>
        <v>1996</v>
      </c>
      <c r="C1953" s="27" t="s">
        <v>27</v>
      </c>
      <c r="D1953" s="27" t="s">
        <v>36</v>
      </c>
      <c r="E1953" s="27">
        <v>11</v>
      </c>
    </row>
    <row r="1954" spans="1:5" x14ac:dyDescent="0.25">
      <c r="A1954" s="26">
        <v>35156</v>
      </c>
      <c r="B1954" s="49">
        <f t="shared" si="31"/>
        <v>1996</v>
      </c>
      <c r="C1954" s="27" t="s">
        <v>34</v>
      </c>
      <c r="D1954" s="27" t="s">
        <v>36</v>
      </c>
      <c r="E1954" s="27">
        <v>18</v>
      </c>
    </row>
    <row r="1955" spans="1:5" x14ac:dyDescent="0.25">
      <c r="A1955" s="26">
        <v>35156</v>
      </c>
      <c r="B1955" s="49">
        <f t="shared" si="31"/>
        <v>1996</v>
      </c>
      <c r="C1955" s="27" t="s">
        <v>27</v>
      </c>
      <c r="D1955" s="27" t="s">
        <v>36</v>
      </c>
      <c r="E1955" s="27">
        <v>28</v>
      </c>
    </row>
    <row r="1956" spans="1:5" x14ac:dyDescent="0.25">
      <c r="A1956" s="26">
        <v>35156</v>
      </c>
      <c r="B1956" s="49">
        <f t="shared" si="31"/>
        <v>1996</v>
      </c>
      <c r="C1956" s="27" t="s">
        <v>27</v>
      </c>
      <c r="D1956" s="27" t="s">
        <v>36</v>
      </c>
      <c r="E1956" s="27">
        <v>44</v>
      </c>
    </row>
    <row r="1957" spans="1:5" x14ac:dyDescent="0.25">
      <c r="A1957" s="26">
        <v>35156</v>
      </c>
      <c r="B1957" s="49">
        <f t="shared" si="31"/>
        <v>1996</v>
      </c>
      <c r="C1957" s="27" t="s">
        <v>32</v>
      </c>
      <c r="D1957" s="27" t="s">
        <v>36</v>
      </c>
      <c r="E1957" s="27">
        <v>66</v>
      </c>
    </row>
    <row r="1958" spans="1:5" x14ac:dyDescent="0.25">
      <c r="A1958" s="26">
        <v>35156</v>
      </c>
      <c r="B1958" s="49">
        <f t="shared" si="31"/>
        <v>1996</v>
      </c>
      <c r="C1958" s="27" t="s">
        <v>27</v>
      </c>
      <c r="D1958" s="27" t="s">
        <v>36</v>
      </c>
      <c r="E1958" s="27">
        <v>55</v>
      </c>
    </row>
    <row r="1959" spans="1:5" x14ac:dyDescent="0.25">
      <c r="A1959" s="26">
        <v>35156</v>
      </c>
      <c r="B1959" s="49">
        <f t="shared" si="31"/>
        <v>1996</v>
      </c>
      <c r="C1959" s="27" t="s">
        <v>34</v>
      </c>
      <c r="D1959" s="27" t="s">
        <v>36</v>
      </c>
      <c r="E1959" s="27">
        <v>55</v>
      </c>
    </row>
    <row r="1960" spans="1:5" x14ac:dyDescent="0.25">
      <c r="A1960" s="26">
        <v>35156</v>
      </c>
      <c r="B1960" s="49">
        <f t="shared" si="31"/>
        <v>1996</v>
      </c>
      <c r="C1960" s="27" t="s">
        <v>32</v>
      </c>
      <c r="D1960" s="27" t="s">
        <v>36</v>
      </c>
      <c r="E1960" s="27">
        <v>53</v>
      </c>
    </row>
    <row r="1961" spans="1:5" x14ac:dyDescent="0.25">
      <c r="A1961" s="26">
        <v>35156</v>
      </c>
      <c r="B1961" s="49">
        <f t="shared" si="31"/>
        <v>1996</v>
      </c>
      <c r="C1961" s="27" t="s">
        <v>27</v>
      </c>
      <c r="D1961" s="27" t="s">
        <v>36</v>
      </c>
      <c r="E1961" s="27">
        <v>14</v>
      </c>
    </row>
    <row r="1962" spans="1:5" x14ac:dyDescent="0.25">
      <c r="A1962" s="26">
        <v>35156</v>
      </c>
      <c r="B1962" s="49">
        <f t="shared" si="31"/>
        <v>1996</v>
      </c>
      <c r="C1962" s="27" t="s">
        <v>27</v>
      </c>
      <c r="D1962" s="27" t="s">
        <v>36</v>
      </c>
      <c r="E1962" s="27">
        <v>45</v>
      </c>
    </row>
    <row r="1963" spans="1:5" x14ac:dyDescent="0.25">
      <c r="A1963" s="26">
        <v>35156</v>
      </c>
      <c r="B1963" s="49">
        <f t="shared" si="31"/>
        <v>1996</v>
      </c>
      <c r="C1963" s="27" t="s">
        <v>35</v>
      </c>
      <c r="D1963" s="27" t="s">
        <v>36</v>
      </c>
      <c r="E1963" s="27">
        <v>44</v>
      </c>
    </row>
    <row r="1964" spans="1:5" x14ac:dyDescent="0.25">
      <c r="A1964" s="26">
        <v>35156</v>
      </c>
      <c r="B1964" s="49">
        <f t="shared" si="31"/>
        <v>1996</v>
      </c>
      <c r="C1964" s="27" t="s">
        <v>35</v>
      </c>
      <c r="D1964" s="27" t="s">
        <v>36</v>
      </c>
      <c r="E1964" s="27">
        <v>41</v>
      </c>
    </row>
    <row r="1965" spans="1:5" x14ac:dyDescent="0.25">
      <c r="A1965" s="26">
        <v>35156</v>
      </c>
      <c r="B1965" s="49">
        <f t="shared" si="31"/>
        <v>1996</v>
      </c>
      <c r="C1965" s="27" t="s">
        <v>35</v>
      </c>
      <c r="D1965" s="27" t="s">
        <v>36</v>
      </c>
      <c r="E1965" s="27">
        <v>39</v>
      </c>
    </row>
    <row r="1966" spans="1:5" x14ac:dyDescent="0.25">
      <c r="A1966" s="26">
        <v>35156</v>
      </c>
      <c r="B1966" s="49">
        <f t="shared" si="31"/>
        <v>1996</v>
      </c>
      <c r="C1966" s="27" t="s">
        <v>37</v>
      </c>
      <c r="D1966" s="27" t="s">
        <v>36</v>
      </c>
      <c r="E1966" s="27">
        <v>34</v>
      </c>
    </row>
    <row r="1967" spans="1:5" x14ac:dyDescent="0.25">
      <c r="A1967" s="26">
        <v>35156</v>
      </c>
      <c r="B1967" s="49">
        <f t="shared" si="31"/>
        <v>1996</v>
      </c>
      <c r="C1967" s="27" t="s">
        <v>32</v>
      </c>
      <c r="D1967" s="27" t="s">
        <v>36</v>
      </c>
      <c r="E1967" s="27">
        <v>46</v>
      </c>
    </row>
    <row r="1968" spans="1:5" x14ac:dyDescent="0.25">
      <c r="A1968" s="26">
        <v>35156</v>
      </c>
      <c r="B1968" s="49">
        <f t="shared" si="31"/>
        <v>1996</v>
      </c>
      <c r="C1968" s="27" t="s">
        <v>34</v>
      </c>
      <c r="D1968" s="27" t="s">
        <v>36</v>
      </c>
      <c r="E1968" s="27">
        <v>70</v>
      </c>
    </row>
    <row r="1969" spans="1:5" x14ac:dyDescent="0.25">
      <c r="A1969" s="26">
        <v>35156</v>
      </c>
      <c r="B1969" s="49">
        <f t="shared" si="31"/>
        <v>1996</v>
      </c>
      <c r="C1969" s="27" t="s">
        <v>32</v>
      </c>
      <c r="D1969" s="27" t="s">
        <v>36</v>
      </c>
      <c r="E1969" s="27">
        <v>101</v>
      </c>
    </row>
    <row r="1970" spans="1:5" x14ac:dyDescent="0.25">
      <c r="A1970" s="26">
        <v>35156</v>
      </c>
      <c r="B1970" s="49">
        <f t="shared" si="31"/>
        <v>1996</v>
      </c>
      <c r="C1970" s="27" t="s">
        <v>32</v>
      </c>
      <c r="D1970" s="27" t="s">
        <v>36</v>
      </c>
      <c r="E1970" s="27">
        <v>124</v>
      </c>
    </row>
    <row r="1971" spans="1:5" x14ac:dyDescent="0.25">
      <c r="A1971" s="26">
        <v>35156</v>
      </c>
      <c r="B1971" s="49">
        <f t="shared" si="31"/>
        <v>1996</v>
      </c>
      <c r="C1971" s="27" t="s">
        <v>34</v>
      </c>
      <c r="D1971" s="27" t="s">
        <v>36</v>
      </c>
      <c r="E1971" s="27">
        <v>113</v>
      </c>
    </row>
    <row r="1972" spans="1:5" x14ac:dyDescent="0.25">
      <c r="A1972" s="26">
        <v>35156</v>
      </c>
      <c r="B1972" s="49">
        <f t="shared" si="31"/>
        <v>1996</v>
      </c>
      <c r="C1972" s="27" t="s">
        <v>35</v>
      </c>
      <c r="D1972" s="27" t="s">
        <v>36</v>
      </c>
      <c r="E1972" s="27">
        <v>101</v>
      </c>
    </row>
    <row r="1973" spans="1:5" x14ac:dyDescent="0.25">
      <c r="A1973" s="26">
        <v>35156</v>
      </c>
      <c r="B1973" s="49">
        <f t="shared" si="31"/>
        <v>1996</v>
      </c>
      <c r="C1973" s="27" t="s">
        <v>34</v>
      </c>
      <c r="D1973" s="27" t="s">
        <v>36</v>
      </c>
      <c r="E1973" s="27">
        <v>96</v>
      </c>
    </row>
    <row r="1974" spans="1:5" x14ac:dyDescent="0.25">
      <c r="A1974" s="26">
        <v>35156</v>
      </c>
      <c r="B1974" s="49">
        <f t="shared" si="31"/>
        <v>1996</v>
      </c>
      <c r="C1974" s="27" t="s">
        <v>37</v>
      </c>
      <c r="D1974" s="27" t="s">
        <v>36</v>
      </c>
      <c r="E1974" s="27">
        <v>83</v>
      </c>
    </row>
    <row r="1975" spans="1:5" x14ac:dyDescent="0.25">
      <c r="A1975" s="26">
        <v>35156</v>
      </c>
      <c r="B1975" s="49">
        <f t="shared" si="31"/>
        <v>1996</v>
      </c>
      <c r="C1975" s="27" t="s">
        <v>37</v>
      </c>
      <c r="D1975" s="27" t="s">
        <v>36</v>
      </c>
      <c r="E1975" s="27">
        <v>70</v>
      </c>
    </row>
    <row r="1976" spans="1:5" x14ac:dyDescent="0.25">
      <c r="A1976" s="26">
        <v>35156</v>
      </c>
      <c r="B1976" s="49">
        <f t="shared" si="31"/>
        <v>1996</v>
      </c>
      <c r="C1976" s="27" t="s">
        <v>35</v>
      </c>
      <c r="D1976" s="27" t="s">
        <v>36</v>
      </c>
      <c r="E1976" s="27">
        <v>116</v>
      </c>
    </row>
    <row r="1977" spans="1:5" x14ac:dyDescent="0.25">
      <c r="A1977" s="26">
        <v>35156</v>
      </c>
      <c r="B1977" s="49">
        <f t="shared" si="31"/>
        <v>1996</v>
      </c>
      <c r="C1977" s="27" t="s">
        <v>34</v>
      </c>
      <c r="D1977" s="27" t="s">
        <v>36</v>
      </c>
      <c r="E1977" s="27">
        <v>180</v>
      </c>
    </row>
    <row r="1978" spans="1:5" x14ac:dyDescent="0.25">
      <c r="A1978" s="26">
        <v>35156</v>
      </c>
      <c r="B1978" s="49">
        <f t="shared" si="31"/>
        <v>1996</v>
      </c>
      <c r="C1978" s="27" t="s">
        <v>37</v>
      </c>
      <c r="D1978" s="27" t="s">
        <v>36</v>
      </c>
      <c r="E1978" s="27">
        <v>1238</v>
      </c>
    </row>
    <row r="1979" spans="1:5" x14ac:dyDescent="0.25">
      <c r="A1979" s="26">
        <v>35156</v>
      </c>
      <c r="B1979" s="49">
        <f t="shared" si="31"/>
        <v>1996</v>
      </c>
      <c r="C1979" s="27" t="s">
        <v>37</v>
      </c>
      <c r="D1979" s="27" t="s">
        <v>36</v>
      </c>
      <c r="E1979" s="27">
        <v>261</v>
      </c>
    </row>
    <row r="1980" spans="1:5" x14ac:dyDescent="0.25">
      <c r="A1980" s="26">
        <v>35156</v>
      </c>
      <c r="B1980" s="49">
        <f t="shared" si="31"/>
        <v>1996</v>
      </c>
      <c r="C1980" s="27" t="s">
        <v>37</v>
      </c>
      <c r="D1980" s="27" t="s">
        <v>36</v>
      </c>
      <c r="E1980" s="27">
        <v>1048</v>
      </c>
    </row>
    <row r="1981" spans="1:5" x14ac:dyDescent="0.25">
      <c r="A1981" s="26">
        <v>35156</v>
      </c>
      <c r="B1981" s="49">
        <f t="shared" si="31"/>
        <v>1996</v>
      </c>
      <c r="C1981" s="27" t="s">
        <v>32</v>
      </c>
      <c r="D1981" s="27" t="s">
        <v>36</v>
      </c>
      <c r="E1981" s="27">
        <v>560</v>
      </c>
    </row>
    <row r="1982" spans="1:5" x14ac:dyDescent="0.25">
      <c r="A1982" s="26">
        <v>35156</v>
      </c>
      <c r="B1982" s="49">
        <f t="shared" si="31"/>
        <v>1996</v>
      </c>
      <c r="C1982" s="27" t="s">
        <v>35</v>
      </c>
      <c r="D1982" s="27" t="s">
        <v>36</v>
      </c>
      <c r="E1982" s="27">
        <v>69</v>
      </c>
    </row>
    <row r="1983" spans="1:5" x14ac:dyDescent="0.25">
      <c r="A1983" s="26">
        <v>35186</v>
      </c>
      <c r="B1983" s="49">
        <f t="shared" si="31"/>
        <v>1996</v>
      </c>
      <c r="C1983" s="27" t="s">
        <v>37</v>
      </c>
      <c r="D1983" s="27" t="s">
        <v>28</v>
      </c>
      <c r="E1983" s="27">
        <v>774</v>
      </c>
    </row>
    <row r="1984" spans="1:5" x14ac:dyDescent="0.25">
      <c r="A1984" s="26">
        <v>35186</v>
      </c>
      <c r="B1984" s="49">
        <f t="shared" si="31"/>
        <v>1996</v>
      </c>
      <c r="C1984" s="27" t="s">
        <v>32</v>
      </c>
      <c r="D1984" s="27" t="s">
        <v>28</v>
      </c>
      <c r="E1984" s="27">
        <v>270</v>
      </c>
    </row>
    <row r="1985" spans="1:5" x14ac:dyDescent="0.25">
      <c r="A1985" s="26">
        <v>35186</v>
      </c>
      <c r="B1985" s="49">
        <f t="shared" si="31"/>
        <v>1996</v>
      </c>
      <c r="C1985" s="27" t="s">
        <v>35</v>
      </c>
      <c r="D1985" s="27" t="s">
        <v>28</v>
      </c>
      <c r="E1985" s="27">
        <v>315</v>
      </c>
    </row>
    <row r="1986" spans="1:5" x14ac:dyDescent="0.25">
      <c r="A1986" s="26">
        <v>35186</v>
      </c>
      <c r="B1986" s="49">
        <f t="shared" si="31"/>
        <v>1996</v>
      </c>
      <c r="C1986" s="27" t="s">
        <v>34</v>
      </c>
      <c r="D1986" s="27" t="s">
        <v>28</v>
      </c>
      <c r="E1986" s="27">
        <v>371</v>
      </c>
    </row>
    <row r="1987" spans="1:5" x14ac:dyDescent="0.25">
      <c r="A1987" s="26">
        <v>35186</v>
      </c>
      <c r="B1987" s="49">
        <f t="shared" ref="B1987:B2050" si="32">YEAR(A1987)</f>
        <v>1996</v>
      </c>
      <c r="C1987" s="27" t="s">
        <v>35</v>
      </c>
      <c r="D1987" s="27" t="s">
        <v>28</v>
      </c>
      <c r="E1987" s="27">
        <v>399</v>
      </c>
    </row>
    <row r="1988" spans="1:5" x14ac:dyDescent="0.25">
      <c r="A1988" s="26">
        <v>35186</v>
      </c>
      <c r="B1988" s="49">
        <f t="shared" si="32"/>
        <v>1996</v>
      </c>
      <c r="C1988" s="27" t="s">
        <v>34</v>
      </c>
      <c r="D1988" s="27" t="s">
        <v>28</v>
      </c>
      <c r="E1988" s="27">
        <v>611</v>
      </c>
    </row>
    <row r="1989" spans="1:5" x14ac:dyDescent="0.25">
      <c r="A1989" s="26">
        <v>35186</v>
      </c>
      <c r="B1989" s="49">
        <f t="shared" si="32"/>
        <v>1996</v>
      </c>
      <c r="C1989" s="27" t="s">
        <v>27</v>
      </c>
      <c r="D1989" s="27" t="s">
        <v>28</v>
      </c>
      <c r="E1989" s="27">
        <v>614</v>
      </c>
    </row>
    <row r="1990" spans="1:5" x14ac:dyDescent="0.25">
      <c r="A1990" s="26">
        <v>35186</v>
      </c>
      <c r="B1990" s="49">
        <f t="shared" si="32"/>
        <v>1996</v>
      </c>
      <c r="C1990" s="27" t="s">
        <v>39</v>
      </c>
      <c r="D1990" s="27" t="s">
        <v>28</v>
      </c>
      <c r="E1990" s="27">
        <v>681</v>
      </c>
    </row>
    <row r="1991" spans="1:5" x14ac:dyDescent="0.25">
      <c r="A1991" s="26">
        <v>35186</v>
      </c>
      <c r="B1991" s="49">
        <f t="shared" si="32"/>
        <v>1996</v>
      </c>
      <c r="C1991" s="27" t="s">
        <v>37</v>
      </c>
      <c r="D1991" s="27" t="s">
        <v>28</v>
      </c>
      <c r="E1991" s="27">
        <v>770</v>
      </c>
    </row>
    <row r="1992" spans="1:5" x14ac:dyDescent="0.25">
      <c r="A1992" s="26">
        <v>35186</v>
      </c>
      <c r="B1992" s="49">
        <f t="shared" si="32"/>
        <v>1996</v>
      </c>
      <c r="C1992" s="27" t="s">
        <v>32</v>
      </c>
      <c r="D1992" s="27" t="s">
        <v>28</v>
      </c>
      <c r="E1992" s="27">
        <v>868</v>
      </c>
    </row>
    <row r="1993" spans="1:5" x14ac:dyDescent="0.25">
      <c r="A1993" s="26">
        <v>35186</v>
      </c>
      <c r="B1993" s="49">
        <f t="shared" si="32"/>
        <v>1996</v>
      </c>
      <c r="C1993" s="27" t="s">
        <v>27</v>
      </c>
      <c r="D1993" s="27" t="s">
        <v>28</v>
      </c>
      <c r="E1993" s="27">
        <v>1069</v>
      </c>
    </row>
    <row r="1994" spans="1:5" x14ac:dyDescent="0.25">
      <c r="A1994" s="26">
        <v>35186</v>
      </c>
      <c r="B1994" s="49">
        <f t="shared" si="32"/>
        <v>1996</v>
      </c>
      <c r="C1994" s="27" t="s">
        <v>34</v>
      </c>
      <c r="D1994" s="27" t="s">
        <v>28</v>
      </c>
      <c r="E1994" s="27">
        <v>1257</v>
      </c>
    </row>
    <row r="1995" spans="1:5" x14ac:dyDescent="0.25">
      <c r="A1995" s="26">
        <v>35186</v>
      </c>
      <c r="B1995" s="49">
        <f t="shared" si="32"/>
        <v>1996</v>
      </c>
      <c r="C1995" s="27" t="s">
        <v>39</v>
      </c>
      <c r="D1995" s="27" t="s">
        <v>28</v>
      </c>
      <c r="E1995" s="27">
        <v>1430</v>
      </c>
    </row>
    <row r="1996" spans="1:5" x14ac:dyDescent="0.25">
      <c r="A1996" s="26">
        <v>35186</v>
      </c>
      <c r="B1996" s="49">
        <f t="shared" si="32"/>
        <v>1996</v>
      </c>
      <c r="C1996" s="27" t="s">
        <v>37</v>
      </c>
      <c r="D1996" s="27" t="s">
        <v>28</v>
      </c>
      <c r="E1996" s="27">
        <v>1560</v>
      </c>
    </row>
    <row r="1997" spans="1:5" x14ac:dyDescent="0.25">
      <c r="A1997" s="26">
        <v>35186</v>
      </c>
      <c r="B1997" s="49">
        <f t="shared" si="32"/>
        <v>1996</v>
      </c>
      <c r="C1997" s="27" t="s">
        <v>27</v>
      </c>
      <c r="D1997" s="27" t="s">
        <v>28</v>
      </c>
      <c r="E1997" s="27">
        <v>1862</v>
      </c>
    </row>
    <row r="1998" spans="1:5" x14ac:dyDescent="0.25">
      <c r="A1998" s="26">
        <v>35186</v>
      </c>
      <c r="B1998" s="49">
        <f t="shared" si="32"/>
        <v>1996</v>
      </c>
      <c r="C1998" s="27" t="s">
        <v>27</v>
      </c>
      <c r="D1998" s="27" t="s">
        <v>28</v>
      </c>
      <c r="E1998" s="27">
        <v>684</v>
      </c>
    </row>
    <row r="1999" spans="1:5" x14ac:dyDescent="0.25">
      <c r="A1999" s="26">
        <v>35186</v>
      </c>
      <c r="B1999" s="49">
        <f t="shared" si="32"/>
        <v>1996</v>
      </c>
      <c r="C1999" s="27" t="s">
        <v>35</v>
      </c>
      <c r="D1999" s="27" t="s">
        <v>28</v>
      </c>
      <c r="E1999" s="27">
        <v>158</v>
      </c>
    </row>
    <row r="2000" spans="1:5" x14ac:dyDescent="0.25">
      <c r="A2000" s="26">
        <v>35186</v>
      </c>
      <c r="B2000" s="49">
        <f t="shared" si="32"/>
        <v>1996</v>
      </c>
      <c r="C2000" s="27" t="s">
        <v>32</v>
      </c>
      <c r="D2000" s="27" t="s">
        <v>28</v>
      </c>
      <c r="E2000" s="27">
        <v>220</v>
      </c>
    </row>
    <row r="2001" spans="1:5" x14ac:dyDescent="0.25">
      <c r="A2001" s="26">
        <v>35186</v>
      </c>
      <c r="B2001" s="49">
        <f t="shared" si="32"/>
        <v>1996</v>
      </c>
      <c r="C2001" s="27" t="s">
        <v>32</v>
      </c>
      <c r="D2001" s="27" t="s">
        <v>28</v>
      </c>
      <c r="E2001" s="27">
        <v>34</v>
      </c>
    </row>
    <row r="2002" spans="1:5" x14ac:dyDescent="0.25">
      <c r="A2002" s="26">
        <v>35186</v>
      </c>
      <c r="B2002" s="49">
        <f t="shared" si="32"/>
        <v>1996</v>
      </c>
      <c r="C2002" s="27" t="s">
        <v>35</v>
      </c>
      <c r="D2002" s="27" t="s">
        <v>28</v>
      </c>
      <c r="E2002" s="27">
        <v>77</v>
      </c>
    </row>
    <row r="2003" spans="1:5" x14ac:dyDescent="0.25">
      <c r="A2003" s="26">
        <v>35186</v>
      </c>
      <c r="B2003" s="49">
        <f t="shared" si="32"/>
        <v>1996</v>
      </c>
      <c r="C2003" s="27" t="s">
        <v>37</v>
      </c>
      <c r="D2003" s="27" t="s">
        <v>28</v>
      </c>
      <c r="E2003" s="27">
        <v>101</v>
      </c>
    </row>
    <row r="2004" spans="1:5" x14ac:dyDescent="0.25">
      <c r="A2004" s="26">
        <v>35186</v>
      </c>
      <c r="B2004" s="49">
        <f t="shared" si="32"/>
        <v>1996</v>
      </c>
      <c r="C2004" s="27" t="s">
        <v>34</v>
      </c>
      <c r="D2004" s="27" t="s">
        <v>28</v>
      </c>
      <c r="E2004" s="27">
        <v>206</v>
      </c>
    </row>
    <row r="2005" spans="1:5" x14ac:dyDescent="0.25">
      <c r="A2005" s="26">
        <v>35186</v>
      </c>
      <c r="B2005" s="49">
        <f t="shared" si="32"/>
        <v>1996</v>
      </c>
      <c r="C2005" s="27" t="s">
        <v>39</v>
      </c>
      <c r="D2005" s="27" t="s">
        <v>29</v>
      </c>
      <c r="E2005" s="27">
        <v>459</v>
      </c>
    </row>
    <row r="2006" spans="1:5" x14ac:dyDescent="0.25">
      <c r="A2006" s="26">
        <v>35186</v>
      </c>
      <c r="B2006" s="49">
        <f t="shared" si="32"/>
        <v>1996</v>
      </c>
      <c r="C2006" s="27" t="s">
        <v>34</v>
      </c>
      <c r="D2006" s="27" t="s">
        <v>29</v>
      </c>
      <c r="E2006" s="27">
        <v>663</v>
      </c>
    </row>
    <row r="2007" spans="1:5" x14ac:dyDescent="0.25">
      <c r="A2007" s="26">
        <v>35186</v>
      </c>
      <c r="B2007" s="49">
        <f t="shared" si="32"/>
        <v>1996</v>
      </c>
      <c r="C2007" s="27" t="s">
        <v>32</v>
      </c>
      <c r="D2007" s="27" t="s">
        <v>29</v>
      </c>
      <c r="E2007" s="27">
        <v>540</v>
      </c>
    </row>
    <row r="2008" spans="1:5" x14ac:dyDescent="0.25">
      <c r="A2008" s="26">
        <v>35186</v>
      </c>
      <c r="B2008" s="49">
        <f t="shared" si="32"/>
        <v>1996</v>
      </c>
      <c r="C2008" s="27" t="s">
        <v>37</v>
      </c>
      <c r="D2008" s="27" t="s">
        <v>29</v>
      </c>
      <c r="E2008" s="27">
        <v>578</v>
      </c>
    </row>
    <row r="2009" spans="1:5" x14ac:dyDescent="0.25">
      <c r="A2009" s="26">
        <v>35186</v>
      </c>
      <c r="B2009" s="49">
        <f t="shared" si="32"/>
        <v>1996</v>
      </c>
      <c r="C2009" s="27" t="s">
        <v>35</v>
      </c>
      <c r="D2009" s="27" t="s">
        <v>29</v>
      </c>
      <c r="E2009" s="27">
        <v>557</v>
      </c>
    </row>
    <row r="2010" spans="1:5" x14ac:dyDescent="0.25">
      <c r="A2010" s="26">
        <v>35186</v>
      </c>
      <c r="B2010" s="49">
        <f t="shared" si="32"/>
        <v>1996</v>
      </c>
      <c r="C2010" s="27" t="s">
        <v>35</v>
      </c>
      <c r="D2010" s="27" t="s">
        <v>29</v>
      </c>
      <c r="E2010" s="27">
        <v>428</v>
      </c>
    </row>
    <row r="2011" spans="1:5" x14ac:dyDescent="0.25">
      <c r="A2011" s="26">
        <v>35186</v>
      </c>
      <c r="B2011" s="49">
        <f t="shared" si="32"/>
        <v>1996</v>
      </c>
      <c r="C2011" s="27" t="s">
        <v>27</v>
      </c>
      <c r="D2011" s="27" t="s">
        <v>29</v>
      </c>
      <c r="E2011" s="27">
        <v>284</v>
      </c>
    </row>
    <row r="2012" spans="1:5" x14ac:dyDescent="0.25">
      <c r="A2012" s="26">
        <v>35186</v>
      </c>
      <c r="B2012" s="49">
        <f t="shared" si="32"/>
        <v>1996</v>
      </c>
      <c r="C2012" s="27" t="s">
        <v>34</v>
      </c>
      <c r="D2012" s="27" t="s">
        <v>29</v>
      </c>
      <c r="E2012" s="27">
        <v>270</v>
      </c>
    </row>
    <row r="2013" spans="1:5" x14ac:dyDescent="0.25">
      <c r="A2013" s="26">
        <v>35186</v>
      </c>
      <c r="B2013" s="49">
        <f t="shared" si="32"/>
        <v>1996</v>
      </c>
      <c r="C2013" s="27" t="s">
        <v>34</v>
      </c>
      <c r="D2013" s="27" t="s">
        <v>29</v>
      </c>
      <c r="E2013" s="27">
        <v>236</v>
      </c>
    </row>
    <row r="2014" spans="1:5" x14ac:dyDescent="0.25">
      <c r="A2014" s="26">
        <v>35186</v>
      </c>
      <c r="B2014" s="49">
        <f t="shared" si="32"/>
        <v>1996</v>
      </c>
      <c r="C2014" s="27" t="s">
        <v>35</v>
      </c>
      <c r="D2014" s="27" t="s">
        <v>29</v>
      </c>
      <c r="E2014" s="27">
        <v>228</v>
      </c>
    </row>
    <row r="2015" spans="1:5" x14ac:dyDescent="0.25">
      <c r="A2015" s="26">
        <v>35186</v>
      </c>
      <c r="B2015" s="49">
        <f t="shared" si="32"/>
        <v>1996</v>
      </c>
      <c r="C2015" s="27" t="s">
        <v>37</v>
      </c>
      <c r="D2015" s="27" t="s">
        <v>29</v>
      </c>
      <c r="E2015" s="27">
        <v>158</v>
      </c>
    </row>
    <row r="2016" spans="1:5" x14ac:dyDescent="0.25">
      <c r="A2016" s="26">
        <v>35186</v>
      </c>
      <c r="B2016" s="49">
        <f t="shared" si="32"/>
        <v>1996</v>
      </c>
      <c r="C2016" s="27" t="s">
        <v>35</v>
      </c>
      <c r="D2016" s="27" t="s">
        <v>29</v>
      </c>
      <c r="E2016" s="27">
        <v>371</v>
      </c>
    </row>
    <row r="2017" spans="1:5" x14ac:dyDescent="0.25">
      <c r="A2017" s="26">
        <v>35186</v>
      </c>
      <c r="B2017" s="49">
        <f t="shared" si="32"/>
        <v>1996</v>
      </c>
      <c r="C2017" s="27" t="s">
        <v>27</v>
      </c>
      <c r="D2017" s="27" t="s">
        <v>29</v>
      </c>
      <c r="E2017" s="27">
        <v>343</v>
      </c>
    </row>
    <row r="2018" spans="1:5" x14ac:dyDescent="0.25">
      <c r="A2018" s="26">
        <v>35186</v>
      </c>
      <c r="B2018" s="49">
        <f t="shared" si="32"/>
        <v>1996</v>
      </c>
      <c r="C2018" s="27" t="s">
        <v>32</v>
      </c>
      <c r="D2018" s="27" t="s">
        <v>29</v>
      </c>
      <c r="E2018" s="27">
        <v>298</v>
      </c>
    </row>
    <row r="2019" spans="1:5" x14ac:dyDescent="0.25">
      <c r="A2019" s="26">
        <v>35186</v>
      </c>
      <c r="B2019" s="49">
        <f t="shared" si="32"/>
        <v>1996</v>
      </c>
      <c r="C2019" s="27" t="s">
        <v>34</v>
      </c>
      <c r="D2019" s="27" t="s">
        <v>29</v>
      </c>
      <c r="E2019" s="27">
        <v>315</v>
      </c>
    </row>
    <row r="2020" spans="1:5" x14ac:dyDescent="0.25">
      <c r="A2020" s="26">
        <v>35186</v>
      </c>
      <c r="B2020" s="49">
        <f t="shared" si="32"/>
        <v>1996</v>
      </c>
      <c r="C2020" s="27" t="s">
        <v>39</v>
      </c>
      <c r="D2020" s="27" t="s">
        <v>29</v>
      </c>
      <c r="E2020" s="27">
        <v>1012</v>
      </c>
    </row>
    <row r="2021" spans="1:5" x14ac:dyDescent="0.25">
      <c r="A2021" s="26">
        <v>35186</v>
      </c>
      <c r="B2021" s="49">
        <f t="shared" si="32"/>
        <v>1996</v>
      </c>
      <c r="C2021" s="27" t="s">
        <v>27</v>
      </c>
      <c r="D2021" s="27" t="s">
        <v>29</v>
      </c>
      <c r="E2021" s="27">
        <v>766</v>
      </c>
    </row>
    <row r="2022" spans="1:5" x14ac:dyDescent="0.25">
      <c r="A2022" s="26">
        <v>35186</v>
      </c>
      <c r="B2022" s="49">
        <f t="shared" si="32"/>
        <v>1996</v>
      </c>
      <c r="C2022" s="27" t="s">
        <v>37</v>
      </c>
      <c r="D2022" s="27" t="s">
        <v>29</v>
      </c>
      <c r="E2022" s="27">
        <v>673</v>
      </c>
    </row>
    <row r="2023" spans="1:5" x14ac:dyDescent="0.25">
      <c r="A2023" s="26">
        <v>35186</v>
      </c>
      <c r="B2023" s="49">
        <f t="shared" si="32"/>
        <v>1996</v>
      </c>
      <c r="C2023" s="27" t="s">
        <v>27</v>
      </c>
      <c r="D2023" s="27" t="s">
        <v>29</v>
      </c>
      <c r="E2023" s="27">
        <v>1412</v>
      </c>
    </row>
    <row r="2024" spans="1:5" x14ac:dyDescent="0.25">
      <c r="A2024" s="26">
        <v>35186</v>
      </c>
      <c r="B2024" s="49">
        <f t="shared" si="32"/>
        <v>1996</v>
      </c>
      <c r="C2024" s="27" t="s">
        <v>37</v>
      </c>
      <c r="D2024" s="27" t="s">
        <v>29</v>
      </c>
      <c r="E2024" s="27">
        <v>68</v>
      </c>
    </row>
    <row r="2025" spans="1:5" x14ac:dyDescent="0.25">
      <c r="A2025" s="26">
        <v>35186</v>
      </c>
      <c r="B2025" s="49">
        <f t="shared" si="32"/>
        <v>1996</v>
      </c>
      <c r="C2025" s="27" t="s">
        <v>32</v>
      </c>
      <c r="D2025" s="27" t="s">
        <v>29</v>
      </c>
      <c r="E2025" s="27">
        <v>45</v>
      </c>
    </row>
    <row r="2026" spans="1:5" x14ac:dyDescent="0.25">
      <c r="A2026" s="26">
        <v>35186</v>
      </c>
      <c r="B2026" s="49">
        <f t="shared" si="32"/>
        <v>1996</v>
      </c>
      <c r="C2026" s="27" t="s">
        <v>32</v>
      </c>
      <c r="D2026" s="27" t="s">
        <v>29</v>
      </c>
      <c r="E2026" s="27">
        <v>96</v>
      </c>
    </row>
    <row r="2027" spans="1:5" x14ac:dyDescent="0.25">
      <c r="A2027" s="26">
        <v>35186</v>
      </c>
      <c r="B2027" s="49">
        <f t="shared" si="32"/>
        <v>1996</v>
      </c>
      <c r="C2027" s="27" t="s">
        <v>27</v>
      </c>
      <c r="D2027" s="27" t="s">
        <v>38</v>
      </c>
      <c r="E2027" s="27">
        <v>14</v>
      </c>
    </row>
    <row r="2028" spans="1:5" x14ac:dyDescent="0.25">
      <c r="A2028" s="26">
        <v>35186</v>
      </c>
      <c r="B2028" s="49">
        <f t="shared" si="32"/>
        <v>1996</v>
      </c>
      <c r="C2028" s="27" t="s">
        <v>32</v>
      </c>
      <c r="D2028" s="27" t="s">
        <v>38</v>
      </c>
      <c r="E2028" s="27">
        <v>853</v>
      </c>
    </row>
    <row r="2029" spans="1:5" x14ac:dyDescent="0.25">
      <c r="A2029" s="26">
        <v>35186</v>
      </c>
      <c r="B2029" s="49">
        <f t="shared" si="32"/>
        <v>1996</v>
      </c>
      <c r="C2029" s="27" t="s">
        <v>35</v>
      </c>
      <c r="D2029" s="27" t="s">
        <v>38</v>
      </c>
      <c r="E2029" s="27">
        <v>61</v>
      </c>
    </row>
    <row r="2030" spans="1:5" x14ac:dyDescent="0.25">
      <c r="A2030" s="26">
        <v>35186</v>
      </c>
      <c r="B2030" s="49">
        <f t="shared" si="32"/>
        <v>1996</v>
      </c>
      <c r="C2030" s="27" t="s">
        <v>37</v>
      </c>
      <c r="D2030" s="27" t="s">
        <v>38</v>
      </c>
      <c r="E2030" s="27">
        <v>56</v>
      </c>
    </row>
    <row r="2031" spans="1:5" x14ac:dyDescent="0.25">
      <c r="A2031" s="26">
        <v>35186</v>
      </c>
      <c r="B2031" s="49">
        <f t="shared" si="32"/>
        <v>1996</v>
      </c>
      <c r="C2031" s="27" t="s">
        <v>34</v>
      </c>
      <c r="D2031" s="27" t="s">
        <v>38</v>
      </c>
      <c r="E2031" s="27">
        <v>105</v>
      </c>
    </row>
    <row r="2032" spans="1:5" x14ac:dyDescent="0.25">
      <c r="A2032" s="26">
        <v>35186</v>
      </c>
      <c r="B2032" s="49">
        <f t="shared" si="32"/>
        <v>1996</v>
      </c>
      <c r="C2032" s="27" t="s">
        <v>34</v>
      </c>
      <c r="D2032" s="27" t="s">
        <v>38</v>
      </c>
      <c r="E2032" s="27">
        <v>158</v>
      </c>
    </row>
    <row r="2033" spans="1:5" x14ac:dyDescent="0.25">
      <c r="A2033" s="26">
        <v>35186</v>
      </c>
      <c r="B2033" s="49">
        <f t="shared" si="32"/>
        <v>1996</v>
      </c>
      <c r="C2033" s="27" t="s">
        <v>39</v>
      </c>
      <c r="D2033" s="27" t="s">
        <v>38</v>
      </c>
      <c r="E2033" s="27">
        <v>210</v>
      </c>
    </row>
    <row r="2034" spans="1:5" x14ac:dyDescent="0.25">
      <c r="A2034" s="26">
        <v>35186</v>
      </c>
      <c r="B2034" s="49">
        <f t="shared" si="32"/>
        <v>1996</v>
      </c>
      <c r="C2034" s="27" t="s">
        <v>37</v>
      </c>
      <c r="D2034" s="27" t="s">
        <v>38</v>
      </c>
      <c r="E2034" s="27">
        <v>112</v>
      </c>
    </row>
    <row r="2035" spans="1:5" x14ac:dyDescent="0.25">
      <c r="A2035" s="26">
        <v>35186</v>
      </c>
      <c r="B2035" s="49">
        <f t="shared" si="32"/>
        <v>1996</v>
      </c>
      <c r="C2035" s="27" t="s">
        <v>32</v>
      </c>
      <c r="D2035" s="27" t="s">
        <v>38</v>
      </c>
      <c r="E2035" s="27">
        <v>70</v>
      </c>
    </row>
    <row r="2036" spans="1:5" x14ac:dyDescent="0.25">
      <c r="A2036" s="26">
        <v>35186</v>
      </c>
      <c r="B2036" s="49">
        <f t="shared" si="32"/>
        <v>1996</v>
      </c>
      <c r="C2036" s="27" t="s">
        <v>34</v>
      </c>
      <c r="D2036" s="27" t="s">
        <v>38</v>
      </c>
      <c r="E2036" s="27">
        <v>90</v>
      </c>
    </row>
    <row r="2037" spans="1:5" x14ac:dyDescent="0.25">
      <c r="A2037" s="26">
        <v>35186</v>
      </c>
      <c r="B2037" s="49">
        <f t="shared" si="32"/>
        <v>1996</v>
      </c>
      <c r="C2037" s="27" t="s">
        <v>32</v>
      </c>
      <c r="D2037" s="27" t="s">
        <v>38</v>
      </c>
      <c r="E2037" s="27">
        <v>508</v>
      </c>
    </row>
    <row r="2038" spans="1:5" x14ac:dyDescent="0.25">
      <c r="A2038" s="26">
        <v>35186</v>
      </c>
      <c r="B2038" s="49">
        <f t="shared" si="32"/>
        <v>1996</v>
      </c>
      <c r="C2038" s="27" t="s">
        <v>37</v>
      </c>
      <c r="D2038" s="27" t="s">
        <v>38</v>
      </c>
      <c r="E2038" s="27">
        <v>90</v>
      </c>
    </row>
    <row r="2039" spans="1:5" x14ac:dyDescent="0.25">
      <c r="A2039" s="26">
        <v>35186</v>
      </c>
      <c r="B2039" s="49">
        <f t="shared" si="32"/>
        <v>1996</v>
      </c>
      <c r="C2039" s="27" t="s">
        <v>34</v>
      </c>
      <c r="D2039" s="27" t="s">
        <v>38</v>
      </c>
      <c r="E2039" s="27">
        <v>530</v>
      </c>
    </row>
    <row r="2040" spans="1:5" x14ac:dyDescent="0.25">
      <c r="A2040" s="26">
        <v>35186</v>
      </c>
      <c r="B2040" s="49">
        <f t="shared" si="32"/>
        <v>1996</v>
      </c>
      <c r="C2040" s="27" t="s">
        <v>39</v>
      </c>
      <c r="D2040" s="27" t="s">
        <v>38</v>
      </c>
      <c r="E2040" s="27">
        <v>557</v>
      </c>
    </row>
    <row r="2041" spans="1:5" x14ac:dyDescent="0.25">
      <c r="A2041" s="26">
        <v>35186</v>
      </c>
      <c r="B2041" s="49">
        <f t="shared" si="32"/>
        <v>1996</v>
      </c>
      <c r="C2041" s="27" t="s">
        <v>32</v>
      </c>
      <c r="D2041" s="27" t="s">
        <v>38</v>
      </c>
      <c r="E2041" s="27">
        <v>79</v>
      </c>
    </row>
    <row r="2042" spans="1:5" x14ac:dyDescent="0.25">
      <c r="A2042" s="26">
        <v>35186</v>
      </c>
      <c r="B2042" s="49">
        <f t="shared" si="32"/>
        <v>1996</v>
      </c>
      <c r="C2042" s="27" t="s">
        <v>27</v>
      </c>
      <c r="D2042" s="27" t="s">
        <v>38</v>
      </c>
      <c r="E2042" s="27">
        <v>34</v>
      </c>
    </row>
    <row r="2043" spans="1:5" x14ac:dyDescent="0.25">
      <c r="A2043" s="26">
        <v>35186</v>
      </c>
      <c r="B2043" s="49">
        <f t="shared" si="32"/>
        <v>1996</v>
      </c>
      <c r="C2043" s="27" t="s">
        <v>27</v>
      </c>
      <c r="D2043" s="27" t="s">
        <v>38</v>
      </c>
      <c r="E2043" s="27">
        <v>35</v>
      </c>
    </row>
    <row r="2044" spans="1:5" x14ac:dyDescent="0.25">
      <c r="A2044" s="26">
        <v>35186</v>
      </c>
      <c r="B2044" s="49">
        <f t="shared" si="32"/>
        <v>1996</v>
      </c>
      <c r="C2044" s="27" t="s">
        <v>27</v>
      </c>
      <c r="D2044" s="27" t="s">
        <v>38</v>
      </c>
      <c r="E2044" s="27">
        <v>36</v>
      </c>
    </row>
    <row r="2045" spans="1:5" x14ac:dyDescent="0.25">
      <c r="A2045" s="26">
        <v>35186</v>
      </c>
      <c r="B2045" s="49">
        <f t="shared" si="32"/>
        <v>1996</v>
      </c>
      <c r="C2045" s="27" t="s">
        <v>35</v>
      </c>
      <c r="D2045" s="27" t="s">
        <v>38</v>
      </c>
      <c r="E2045" s="27">
        <v>23</v>
      </c>
    </row>
    <row r="2046" spans="1:5" x14ac:dyDescent="0.25">
      <c r="A2046" s="26">
        <v>35186</v>
      </c>
      <c r="B2046" s="49">
        <f t="shared" si="32"/>
        <v>1996</v>
      </c>
      <c r="C2046" s="27" t="s">
        <v>35</v>
      </c>
      <c r="D2046" s="27" t="s">
        <v>38</v>
      </c>
      <c r="E2046" s="27">
        <v>23</v>
      </c>
    </row>
    <row r="2047" spans="1:5" x14ac:dyDescent="0.25">
      <c r="A2047" s="26">
        <v>35186</v>
      </c>
      <c r="B2047" s="49">
        <f t="shared" si="32"/>
        <v>1996</v>
      </c>
      <c r="C2047" s="27" t="s">
        <v>37</v>
      </c>
      <c r="D2047" s="27" t="s">
        <v>38</v>
      </c>
      <c r="E2047" s="27">
        <v>26</v>
      </c>
    </row>
    <row r="2048" spans="1:5" x14ac:dyDescent="0.25">
      <c r="A2048" s="26">
        <v>35186</v>
      </c>
      <c r="B2048" s="49">
        <f t="shared" si="32"/>
        <v>1996</v>
      </c>
      <c r="C2048" s="27" t="s">
        <v>35</v>
      </c>
      <c r="D2048" s="27" t="s">
        <v>38</v>
      </c>
      <c r="E2048" s="27">
        <v>42</v>
      </c>
    </row>
    <row r="2049" spans="1:5" x14ac:dyDescent="0.25">
      <c r="A2049" s="26">
        <v>35186</v>
      </c>
      <c r="B2049" s="49">
        <f t="shared" si="32"/>
        <v>1996</v>
      </c>
      <c r="C2049" s="27" t="s">
        <v>27</v>
      </c>
      <c r="D2049" s="27" t="s">
        <v>30</v>
      </c>
      <c r="E2049" s="27">
        <v>27</v>
      </c>
    </row>
    <row r="2050" spans="1:5" x14ac:dyDescent="0.25">
      <c r="A2050" s="26">
        <v>35186</v>
      </c>
      <c r="B2050" s="49">
        <f t="shared" si="32"/>
        <v>1996</v>
      </c>
      <c r="C2050" s="27" t="s">
        <v>27</v>
      </c>
      <c r="D2050" s="27" t="s">
        <v>30</v>
      </c>
      <c r="E2050" s="27">
        <v>70</v>
      </c>
    </row>
    <row r="2051" spans="1:5" x14ac:dyDescent="0.25">
      <c r="A2051" s="26">
        <v>35186</v>
      </c>
      <c r="B2051" s="49">
        <f t="shared" ref="B2051:B2114" si="33">YEAR(A2051)</f>
        <v>1996</v>
      </c>
      <c r="C2051" s="27" t="s">
        <v>32</v>
      </c>
      <c r="D2051" s="27" t="s">
        <v>30</v>
      </c>
      <c r="E2051" s="27">
        <v>79</v>
      </c>
    </row>
    <row r="2052" spans="1:5" x14ac:dyDescent="0.25">
      <c r="A2052" s="26">
        <v>35186</v>
      </c>
      <c r="B2052" s="49">
        <f t="shared" si="33"/>
        <v>1996</v>
      </c>
      <c r="C2052" s="27" t="s">
        <v>27</v>
      </c>
      <c r="D2052" s="27" t="s">
        <v>30</v>
      </c>
      <c r="E2052" s="27">
        <v>83</v>
      </c>
    </row>
    <row r="2053" spans="1:5" x14ac:dyDescent="0.25">
      <c r="A2053" s="26">
        <v>35186</v>
      </c>
      <c r="B2053" s="49">
        <f t="shared" si="33"/>
        <v>1996</v>
      </c>
      <c r="C2053" s="27" t="s">
        <v>32</v>
      </c>
      <c r="D2053" s="27" t="s">
        <v>30</v>
      </c>
      <c r="E2053" s="27">
        <v>88</v>
      </c>
    </row>
    <row r="2054" spans="1:5" x14ac:dyDescent="0.25">
      <c r="A2054" s="26">
        <v>35186</v>
      </c>
      <c r="B2054" s="49">
        <f t="shared" si="33"/>
        <v>1996</v>
      </c>
      <c r="C2054" s="27" t="s">
        <v>32</v>
      </c>
      <c r="D2054" s="27" t="s">
        <v>30</v>
      </c>
      <c r="E2054" s="27">
        <v>206</v>
      </c>
    </row>
    <row r="2055" spans="1:5" x14ac:dyDescent="0.25">
      <c r="A2055" s="26">
        <v>35186</v>
      </c>
      <c r="B2055" s="49">
        <f t="shared" si="33"/>
        <v>1996</v>
      </c>
      <c r="C2055" s="27" t="s">
        <v>27</v>
      </c>
      <c r="D2055" s="27" t="s">
        <v>30</v>
      </c>
      <c r="E2055" s="27">
        <v>135</v>
      </c>
    </row>
    <row r="2056" spans="1:5" x14ac:dyDescent="0.25">
      <c r="A2056" s="26">
        <v>35186</v>
      </c>
      <c r="B2056" s="49">
        <f t="shared" si="33"/>
        <v>1996</v>
      </c>
      <c r="C2056" s="27" t="s">
        <v>32</v>
      </c>
      <c r="D2056" s="27" t="s">
        <v>30</v>
      </c>
      <c r="E2056" s="27">
        <v>149</v>
      </c>
    </row>
    <row r="2057" spans="1:5" x14ac:dyDescent="0.25">
      <c r="A2057" s="26">
        <v>35186</v>
      </c>
      <c r="B2057" s="49">
        <f t="shared" si="33"/>
        <v>1996</v>
      </c>
      <c r="C2057" s="27" t="s">
        <v>32</v>
      </c>
      <c r="D2057" s="27" t="s">
        <v>30</v>
      </c>
      <c r="E2057" s="27">
        <v>135</v>
      </c>
    </row>
    <row r="2058" spans="1:5" x14ac:dyDescent="0.25">
      <c r="A2058" s="26">
        <v>35186</v>
      </c>
      <c r="B2058" s="49">
        <f t="shared" si="33"/>
        <v>1996</v>
      </c>
      <c r="C2058" s="27" t="s">
        <v>32</v>
      </c>
      <c r="D2058" s="27" t="s">
        <v>30</v>
      </c>
      <c r="E2058" s="27">
        <v>248</v>
      </c>
    </row>
    <row r="2059" spans="1:5" x14ac:dyDescent="0.25">
      <c r="A2059" s="26">
        <v>35186</v>
      </c>
      <c r="B2059" s="49">
        <f t="shared" si="33"/>
        <v>1996</v>
      </c>
      <c r="C2059" s="27" t="s">
        <v>27</v>
      </c>
      <c r="D2059" s="27" t="s">
        <v>30</v>
      </c>
      <c r="E2059" s="27">
        <v>2265</v>
      </c>
    </row>
    <row r="2060" spans="1:5" x14ac:dyDescent="0.25">
      <c r="A2060" s="26">
        <v>35186</v>
      </c>
      <c r="B2060" s="49">
        <f t="shared" si="33"/>
        <v>1996</v>
      </c>
      <c r="C2060" s="27" t="s">
        <v>27</v>
      </c>
      <c r="D2060" s="27" t="s">
        <v>30</v>
      </c>
      <c r="E2060" s="27">
        <v>3296</v>
      </c>
    </row>
    <row r="2061" spans="1:5" x14ac:dyDescent="0.25">
      <c r="A2061" s="26">
        <v>35186</v>
      </c>
      <c r="B2061" s="49">
        <f t="shared" si="33"/>
        <v>1996</v>
      </c>
      <c r="C2061" s="27" t="s">
        <v>35</v>
      </c>
      <c r="D2061" s="27" t="s">
        <v>31</v>
      </c>
      <c r="E2061" s="27">
        <v>42</v>
      </c>
    </row>
    <row r="2062" spans="1:5" x14ac:dyDescent="0.25">
      <c r="A2062" s="26">
        <v>35186</v>
      </c>
      <c r="B2062" s="49">
        <f t="shared" si="33"/>
        <v>1996</v>
      </c>
      <c r="C2062" s="27" t="s">
        <v>32</v>
      </c>
      <c r="D2062" s="27" t="s">
        <v>31</v>
      </c>
      <c r="E2062" s="27">
        <v>590</v>
      </c>
    </row>
    <row r="2063" spans="1:5" x14ac:dyDescent="0.25">
      <c r="A2063" s="26">
        <v>35186</v>
      </c>
      <c r="B2063" s="49">
        <f t="shared" si="33"/>
        <v>1996</v>
      </c>
      <c r="C2063" s="27" t="s">
        <v>34</v>
      </c>
      <c r="D2063" s="27" t="s">
        <v>31</v>
      </c>
      <c r="E2063" s="27">
        <v>590</v>
      </c>
    </row>
    <row r="2064" spans="1:5" x14ac:dyDescent="0.25">
      <c r="A2064" s="26">
        <v>35186</v>
      </c>
      <c r="B2064" s="49">
        <f t="shared" si="33"/>
        <v>1996</v>
      </c>
      <c r="C2064" s="27" t="s">
        <v>35</v>
      </c>
      <c r="D2064" s="27" t="s">
        <v>31</v>
      </c>
      <c r="E2064" s="27">
        <v>81</v>
      </c>
    </row>
    <row r="2065" spans="1:5" x14ac:dyDescent="0.25">
      <c r="A2065" s="26">
        <v>35186</v>
      </c>
      <c r="B2065" s="49">
        <f t="shared" si="33"/>
        <v>1996</v>
      </c>
      <c r="C2065" s="27" t="s">
        <v>37</v>
      </c>
      <c r="D2065" s="27" t="s">
        <v>31</v>
      </c>
      <c r="E2065" s="27">
        <v>751</v>
      </c>
    </row>
    <row r="2066" spans="1:5" x14ac:dyDescent="0.25">
      <c r="A2066" s="26">
        <v>35186</v>
      </c>
      <c r="B2066" s="49">
        <f t="shared" si="33"/>
        <v>1996</v>
      </c>
      <c r="C2066" s="27" t="s">
        <v>27</v>
      </c>
      <c r="D2066" s="27" t="s">
        <v>31</v>
      </c>
      <c r="E2066" s="27">
        <v>856</v>
      </c>
    </row>
    <row r="2067" spans="1:5" x14ac:dyDescent="0.25">
      <c r="A2067" s="26">
        <v>35186</v>
      </c>
      <c r="B2067" s="49">
        <f t="shared" si="33"/>
        <v>1996</v>
      </c>
      <c r="C2067" s="27" t="s">
        <v>39</v>
      </c>
      <c r="D2067" s="27" t="s">
        <v>31</v>
      </c>
      <c r="E2067" s="27">
        <v>491</v>
      </c>
    </row>
    <row r="2068" spans="1:5" x14ac:dyDescent="0.25">
      <c r="A2068" s="26">
        <v>35186</v>
      </c>
      <c r="B2068" s="49">
        <f t="shared" si="33"/>
        <v>1996</v>
      </c>
      <c r="C2068" s="27" t="s">
        <v>32</v>
      </c>
      <c r="D2068" s="27" t="s">
        <v>31</v>
      </c>
      <c r="E2068" s="27">
        <v>922</v>
      </c>
    </row>
    <row r="2069" spans="1:5" x14ac:dyDescent="0.25">
      <c r="A2069" s="26">
        <v>35186</v>
      </c>
      <c r="B2069" s="49">
        <f t="shared" si="33"/>
        <v>1996</v>
      </c>
      <c r="C2069" s="27" t="s">
        <v>27</v>
      </c>
      <c r="D2069" s="27" t="s">
        <v>31</v>
      </c>
      <c r="E2069" s="27">
        <v>105</v>
      </c>
    </row>
    <row r="2070" spans="1:5" x14ac:dyDescent="0.25">
      <c r="A2070" s="26">
        <v>35186</v>
      </c>
      <c r="B2070" s="49">
        <f t="shared" si="33"/>
        <v>1996</v>
      </c>
      <c r="C2070" s="27" t="s">
        <v>37</v>
      </c>
      <c r="D2070" s="27" t="s">
        <v>31</v>
      </c>
      <c r="E2070" s="27">
        <v>149</v>
      </c>
    </row>
    <row r="2071" spans="1:5" x14ac:dyDescent="0.25">
      <c r="A2071" s="26">
        <v>35186</v>
      </c>
      <c r="B2071" s="49">
        <f t="shared" si="33"/>
        <v>1996</v>
      </c>
      <c r="C2071" s="27" t="s">
        <v>35</v>
      </c>
      <c r="D2071" s="27" t="s">
        <v>31</v>
      </c>
      <c r="E2071" s="27">
        <v>131</v>
      </c>
    </row>
    <row r="2072" spans="1:5" x14ac:dyDescent="0.25">
      <c r="A2072" s="26">
        <v>35186</v>
      </c>
      <c r="B2072" s="49">
        <f t="shared" si="33"/>
        <v>1996</v>
      </c>
      <c r="C2072" s="27" t="s">
        <v>34</v>
      </c>
      <c r="D2072" s="27" t="s">
        <v>31</v>
      </c>
      <c r="E2072" s="27">
        <v>184</v>
      </c>
    </row>
    <row r="2073" spans="1:5" x14ac:dyDescent="0.25">
      <c r="A2073" s="26">
        <v>35186</v>
      </c>
      <c r="B2073" s="49">
        <f t="shared" si="33"/>
        <v>1996</v>
      </c>
      <c r="C2073" s="27" t="s">
        <v>37</v>
      </c>
      <c r="D2073" s="27" t="s">
        <v>31</v>
      </c>
      <c r="E2073" s="27">
        <v>191</v>
      </c>
    </row>
    <row r="2074" spans="1:5" x14ac:dyDescent="0.25">
      <c r="A2074" s="26">
        <v>35186</v>
      </c>
      <c r="B2074" s="49">
        <f t="shared" si="33"/>
        <v>1996</v>
      </c>
      <c r="C2074" s="27" t="s">
        <v>35</v>
      </c>
      <c r="D2074" s="27" t="s">
        <v>31</v>
      </c>
      <c r="E2074" s="27">
        <v>124</v>
      </c>
    </row>
    <row r="2075" spans="1:5" x14ac:dyDescent="0.25">
      <c r="A2075" s="26">
        <v>35186</v>
      </c>
      <c r="B2075" s="49">
        <f t="shared" si="33"/>
        <v>1996</v>
      </c>
      <c r="C2075" s="27" t="s">
        <v>34</v>
      </c>
      <c r="D2075" s="27" t="s">
        <v>31</v>
      </c>
      <c r="E2075" s="27">
        <v>315</v>
      </c>
    </row>
    <row r="2076" spans="1:5" x14ac:dyDescent="0.25">
      <c r="A2076" s="26">
        <v>35186</v>
      </c>
      <c r="B2076" s="49">
        <f t="shared" si="33"/>
        <v>1996</v>
      </c>
      <c r="C2076" s="27" t="s">
        <v>32</v>
      </c>
      <c r="D2076" s="27" t="s">
        <v>31</v>
      </c>
      <c r="E2076" s="27">
        <v>383</v>
      </c>
    </row>
    <row r="2077" spans="1:5" x14ac:dyDescent="0.25">
      <c r="A2077" s="26">
        <v>35186</v>
      </c>
      <c r="B2077" s="49">
        <f t="shared" si="33"/>
        <v>1996</v>
      </c>
      <c r="C2077" s="27" t="s">
        <v>39</v>
      </c>
      <c r="D2077" s="27" t="s">
        <v>31</v>
      </c>
      <c r="E2077" s="27">
        <v>394</v>
      </c>
    </row>
    <row r="2078" spans="1:5" x14ac:dyDescent="0.25">
      <c r="A2078" s="26">
        <v>35186</v>
      </c>
      <c r="B2078" s="49">
        <f t="shared" si="33"/>
        <v>1996</v>
      </c>
      <c r="C2078" s="27" t="s">
        <v>34</v>
      </c>
      <c r="D2078" s="27" t="s">
        <v>31</v>
      </c>
      <c r="E2078" s="27">
        <v>405</v>
      </c>
    </row>
    <row r="2079" spans="1:5" x14ac:dyDescent="0.25">
      <c r="A2079" s="26">
        <v>35186</v>
      </c>
      <c r="B2079" s="49">
        <f t="shared" si="33"/>
        <v>1996</v>
      </c>
      <c r="C2079" s="27" t="s">
        <v>27</v>
      </c>
      <c r="D2079" s="27" t="s">
        <v>31</v>
      </c>
      <c r="E2079" s="27">
        <v>459</v>
      </c>
    </row>
    <row r="2080" spans="1:5" x14ac:dyDescent="0.25">
      <c r="A2080" s="26">
        <v>35186</v>
      </c>
      <c r="B2080" s="49">
        <f t="shared" si="33"/>
        <v>1996</v>
      </c>
      <c r="C2080" s="27" t="s">
        <v>37</v>
      </c>
      <c r="D2080" s="27" t="s">
        <v>31</v>
      </c>
      <c r="E2080" s="27">
        <v>473</v>
      </c>
    </row>
    <row r="2081" spans="1:5" x14ac:dyDescent="0.25">
      <c r="A2081" s="26">
        <v>35186</v>
      </c>
      <c r="B2081" s="49">
        <f t="shared" si="33"/>
        <v>1996</v>
      </c>
      <c r="C2081" s="27" t="s">
        <v>32</v>
      </c>
      <c r="D2081" s="27" t="s">
        <v>31</v>
      </c>
      <c r="E2081" s="27">
        <v>491</v>
      </c>
    </row>
    <row r="2082" spans="1:5" x14ac:dyDescent="0.25">
      <c r="A2082" s="26">
        <v>35186</v>
      </c>
      <c r="B2082" s="49">
        <f t="shared" si="33"/>
        <v>1996</v>
      </c>
      <c r="C2082" s="27" t="s">
        <v>27</v>
      </c>
      <c r="D2082" s="27" t="s">
        <v>31</v>
      </c>
      <c r="E2082" s="27">
        <v>135</v>
      </c>
    </row>
    <row r="2083" spans="1:5" x14ac:dyDescent="0.25">
      <c r="A2083" s="26">
        <v>35186</v>
      </c>
      <c r="B2083" s="49">
        <f t="shared" si="33"/>
        <v>1996</v>
      </c>
      <c r="C2083" s="27" t="s">
        <v>35</v>
      </c>
      <c r="D2083" s="27" t="s">
        <v>33</v>
      </c>
      <c r="E2083" s="27">
        <v>105</v>
      </c>
    </row>
    <row r="2084" spans="1:5" x14ac:dyDescent="0.25">
      <c r="A2084" s="26">
        <v>35186</v>
      </c>
      <c r="B2084" s="49">
        <f t="shared" si="33"/>
        <v>1996</v>
      </c>
      <c r="C2084" s="27" t="s">
        <v>34</v>
      </c>
      <c r="D2084" s="27" t="s">
        <v>33</v>
      </c>
      <c r="E2084" s="27">
        <v>2460</v>
      </c>
    </row>
    <row r="2085" spans="1:5" x14ac:dyDescent="0.25">
      <c r="A2085" s="26">
        <v>35186</v>
      </c>
      <c r="B2085" s="49">
        <f t="shared" si="33"/>
        <v>1996</v>
      </c>
      <c r="C2085" s="27" t="s">
        <v>35</v>
      </c>
      <c r="D2085" s="27" t="s">
        <v>33</v>
      </c>
      <c r="E2085" s="27">
        <v>146</v>
      </c>
    </row>
    <row r="2086" spans="1:5" x14ac:dyDescent="0.25">
      <c r="A2086" s="26">
        <v>35186</v>
      </c>
      <c r="B2086" s="49">
        <f t="shared" si="33"/>
        <v>1996</v>
      </c>
      <c r="C2086" s="27" t="s">
        <v>34</v>
      </c>
      <c r="D2086" s="27" t="s">
        <v>33</v>
      </c>
      <c r="E2086" s="27">
        <v>158</v>
      </c>
    </row>
    <row r="2087" spans="1:5" x14ac:dyDescent="0.25">
      <c r="A2087" s="26">
        <v>35186</v>
      </c>
      <c r="B2087" s="49">
        <f t="shared" si="33"/>
        <v>1996</v>
      </c>
      <c r="C2087" s="27" t="s">
        <v>37</v>
      </c>
      <c r="D2087" s="27" t="s">
        <v>33</v>
      </c>
      <c r="E2087" s="27">
        <v>175</v>
      </c>
    </row>
    <row r="2088" spans="1:5" x14ac:dyDescent="0.25">
      <c r="A2088" s="26">
        <v>35186</v>
      </c>
      <c r="B2088" s="49">
        <f t="shared" si="33"/>
        <v>1996</v>
      </c>
      <c r="C2088" s="27" t="s">
        <v>37</v>
      </c>
      <c r="D2088" s="27" t="s">
        <v>33</v>
      </c>
      <c r="E2088" s="27">
        <v>224</v>
      </c>
    </row>
    <row r="2089" spans="1:5" x14ac:dyDescent="0.25">
      <c r="A2089" s="26">
        <v>35186</v>
      </c>
      <c r="B2089" s="49">
        <f t="shared" si="33"/>
        <v>1996</v>
      </c>
      <c r="C2089" s="27" t="s">
        <v>39</v>
      </c>
      <c r="D2089" s="27" t="s">
        <v>33</v>
      </c>
      <c r="E2089" s="27">
        <v>254</v>
      </c>
    </row>
    <row r="2090" spans="1:5" x14ac:dyDescent="0.25">
      <c r="A2090" s="26">
        <v>35186</v>
      </c>
      <c r="B2090" s="49">
        <f t="shared" si="33"/>
        <v>1996</v>
      </c>
      <c r="C2090" s="27" t="s">
        <v>39</v>
      </c>
      <c r="D2090" s="27" t="s">
        <v>33</v>
      </c>
      <c r="E2090" s="27">
        <v>259</v>
      </c>
    </row>
    <row r="2091" spans="1:5" x14ac:dyDescent="0.25">
      <c r="A2091" s="26">
        <v>35186</v>
      </c>
      <c r="B2091" s="49">
        <f t="shared" si="33"/>
        <v>1996</v>
      </c>
      <c r="C2091" s="27" t="s">
        <v>32</v>
      </c>
      <c r="D2091" s="27" t="s">
        <v>33</v>
      </c>
      <c r="E2091" s="27">
        <v>524</v>
      </c>
    </row>
    <row r="2092" spans="1:5" x14ac:dyDescent="0.25">
      <c r="A2092" s="26">
        <v>35186</v>
      </c>
      <c r="B2092" s="49">
        <f t="shared" si="33"/>
        <v>1996</v>
      </c>
      <c r="C2092" s="27" t="s">
        <v>32</v>
      </c>
      <c r="D2092" s="27" t="s">
        <v>33</v>
      </c>
      <c r="E2092" s="27">
        <v>565</v>
      </c>
    </row>
    <row r="2093" spans="1:5" x14ac:dyDescent="0.25">
      <c r="A2093" s="26">
        <v>35186</v>
      </c>
      <c r="B2093" s="49">
        <f t="shared" si="33"/>
        <v>1996</v>
      </c>
      <c r="C2093" s="27" t="s">
        <v>27</v>
      </c>
      <c r="D2093" s="27" t="s">
        <v>33</v>
      </c>
      <c r="E2093" s="27">
        <v>715</v>
      </c>
    </row>
    <row r="2094" spans="1:5" x14ac:dyDescent="0.25">
      <c r="A2094" s="26">
        <v>35186</v>
      </c>
      <c r="B2094" s="49">
        <f t="shared" si="33"/>
        <v>1996</v>
      </c>
      <c r="C2094" s="27" t="s">
        <v>27</v>
      </c>
      <c r="D2094" s="27" t="s">
        <v>33</v>
      </c>
      <c r="E2094" s="27">
        <v>1137</v>
      </c>
    </row>
    <row r="2095" spans="1:5" x14ac:dyDescent="0.25">
      <c r="A2095" s="26">
        <v>35186</v>
      </c>
      <c r="B2095" s="49">
        <f t="shared" si="33"/>
        <v>1996</v>
      </c>
      <c r="C2095" s="27" t="s">
        <v>32</v>
      </c>
      <c r="D2095" s="27" t="s">
        <v>33</v>
      </c>
      <c r="E2095" s="27">
        <v>1236</v>
      </c>
    </row>
    <row r="2096" spans="1:5" x14ac:dyDescent="0.25">
      <c r="A2096" s="26">
        <v>35186</v>
      </c>
      <c r="B2096" s="49">
        <f t="shared" si="33"/>
        <v>1996</v>
      </c>
      <c r="C2096" s="27" t="s">
        <v>32</v>
      </c>
      <c r="D2096" s="27" t="s">
        <v>33</v>
      </c>
      <c r="E2096" s="27">
        <v>2182</v>
      </c>
    </row>
    <row r="2097" spans="1:5" x14ac:dyDescent="0.25">
      <c r="A2097" s="26">
        <v>35186</v>
      </c>
      <c r="B2097" s="49">
        <f t="shared" si="33"/>
        <v>1996</v>
      </c>
      <c r="C2097" s="27" t="s">
        <v>37</v>
      </c>
      <c r="D2097" s="27" t="s">
        <v>33</v>
      </c>
      <c r="E2097" s="27">
        <v>1285</v>
      </c>
    </row>
    <row r="2098" spans="1:5" x14ac:dyDescent="0.25">
      <c r="A2098" s="26">
        <v>35186</v>
      </c>
      <c r="B2098" s="49">
        <f t="shared" si="33"/>
        <v>1996</v>
      </c>
      <c r="C2098" s="27" t="s">
        <v>35</v>
      </c>
      <c r="D2098" s="27" t="s">
        <v>33</v>
      </c>
      <c r="E2098" s="27">
        <v>79</v>
      </c>
    </row>
    <row r="2099" spans="1:5" x14ac:dyDescent="0.25">
      <c r="A2099" s="26">
        <v>35186</v>
      </c>
      <c r="B2099" s="49">
        <f t="shared" si="33"/>
        <v>1996</v>
      </c>
      <c r="C2099" s="27" t="s">
        <v>37</v>
      </c>
      <c r="D2099" s="27" t="s">
        <v>33</v>
      </c>
      <c r="E2099" s="27">
        <v>124</v>
      </c>
    </row>
    <row r="2100" spans="1:5" x14ac:dyDescent="0.25">
      <c r="A2100" s="26">
        <v>35186</v>
      </c>
      <c r="B2100" s="49">
        <f t="shared" si="33"/>
        <v>1996</v>
      </c>
      <c r="C2100" s="27" t="s">
        <v>34</v>
      </c>
      <c r="D2100" s="27" t="s">
        <v>33</v>
      </c>
      <c r="E2100" s="27">
        <v>39</v>
      </c>
    </row>
    <row r="2101" spans="1:5" x14ac:dyDescent="0.25">
      <c r="A2101" s="26">
        <v>35186</v>
      </c>
      <c r="B2101" s="49">
        <f t="shared" si="33"/>
        <v>1996</v>
      </c>
      <c r="C2101" s="27" t="s">
        <v>34</v>
      </c>
      <c r="D2101" s="27" t="s">
        <v>33</v>
      </c>
      <c r="E2101" s="27">
        <v>50</v>
      </c>
    </row>
    <row r="2102" spans="1:5" x14ac:dyDescent="0.25">
      <c r="A2102" s="26">
        <v>35186</v>
      </c>
      <c r="B2102" s="49">
        <f t="shared" si="33"/>
        <v>1996</v>
      </c>
      <c r="C2102" s="27" t="s">
        <v>27</v>
      </c>
      <c r="D2102" s="27" t="s">
        <v>33</v>
      </c>
      <c r="E2102" s="27">
        <v>53</v>
      </c>
    </row>
    <row r="2103" spans="1:5" x14ac:dyDescent="0.25">
      <c r="A2103" s="26">
        <v>35186</v>
      </c>
      <c r="B2103" s="49">
        <f t="shared" si="33"/>
        <v>1996</v>
      </c>
      <c r="C2103" s="27" t="s">
        <v>35</v>
      </c>
      <c r="D2103" s="27" t="s">
        <v>33</v>
      </c>
      <c r="E2103" s="27">
        <v>63</v>
      </c>
    </row>
    <row r="2104" spans="1:5" x14ac:dyDescent="0.25">
      <c r="A2104" s="26">
        <v>35186</v>
      </c>
      <c r="B2104" s="49">
        <f t="shared" si="33"/>
        <v>1996</v>
      </c>
      <c r="C2104" s="27" t="s">
        <v>27</v>
      </c>
      <c r="D2104" s="27" t="s">
        <v>33</v>
      </c>
      <c r="E2104" s="27">
        <v>68</v>
      </c>
    </row>
    <row r="2105" spans="1:5" x14ac:dyDescent="0.25">
      <c r="A2105" s="26">
        <v>35186</v>
      </c>
      <c r="B2105" s="49">
        <f t="shared" si="33"/>
        <v>1996</v>
      </c>
      <c r="C2105" s="27" t="s">
        <v>35</v>
      </c>
      <c r="D2105" s="27" t="s">
        <v>36</v>
      </c>
      <c r="E2105" s="27">
        <v>69</v>
      </c>
    </row>
    <row r="2106" spans="1:5" x14ac:dyDescent="0.25">
      <c r="A2106" s="26">
        <v>35186</v>
      </c>
      <c r="B2106" s="49">
        <f t="shared" si="33"/>
        <v>1996</v>
      </c>
      <c r="C2106" s="27" t="s">
        <v>39</v>
      </c>
      <c r="D2106" s="27" t="s">
        <v>36</v>
      </c>
      <c r="E2106" s="27">
        <v>2214</v>
      </c>
    </row>
    <row r="2107" spans="1:5" x14ac:dyDescent="0.25">
      <c r="A2107" s="26">
        <v>35186</v>
      </c>
      <c r="B2107" s="49">
        <f t="shared" si="33"/>
        <v>1996</v>
      </c>
      <c r="C2107" s="27" t="s">
        <v>37</v>
      </c>
      <c r="D2107" s="27" t="s">
        <v>36</v>
      </c>
      <c r="E2107" s="27">
        <v>1370</v>
      </c>
    </row>
    <row r="2108" spans="1:5" x14ac:dyDescent="0.25">
      <c r="A2108" s="26">
        <v>35186</v>
      </c>
      <c r="B2108" s="49">
        <f t="shared" si="33"/>
        <v>1996</v>
      </c>
      <c r="C2108" s="27" t="s">
        <v>37</v>
      </c>
      <c r="D2108" s="27" t="s">
        <v>36</v>
      </c>
      <c r="E2108" s="27">
        <v>1256</v>
      </c>
    </row>
    <row r="2109" spans="1:5" x14ac:dyDescent="0.25">
      <c r="A2109" s="26">
        <v>35186</v>
      </c>
      <c r="B2109" s="49">
        <f t="shared" si="33"/>
        <v>1996</v>
      </c>
      <c r="C2109" s="27" t="s">
        <v>32</v>
      </c>
      <c r="D2109" s="27" t="s">
        <v>36</v>
      </c>
      <c r="E2109" s="27">
        <v>624</v>
      </c>
    </row>
    <row r="2110" spans="1:5" x14ac:dyDescent="0.25">
      <c r="A2110" s="26">
        <v>35186</v>
      </c>
      <c r="B2110" s="49">
        <f t="shared" si="33"/>
        <v>1996</v>
      </c>
      <c r="C2110" s="27" t="s">
        <v>39</v>
      </c>
      <c r="D2110" s="27" t="s">
        <v>36</v>
      </c>
      <c r="E2110" s="27">
        <v>508</v>
      </c>
    </row>
    <row r="2111" spans="1:5" x14ac:dyDescent="0.25">
      <c r="A2111" s="26">
        <v>35186</v>
      </c>
      <c r="B2111" s="49">
        <f t="shared" si="33"/>
        <v>1996</v>
      </c>
      <c r="C2111" s="27" t="s">
        <v>37</v>
      </c>
      <c r="D2111" s="27" t="s">
        <v>36</v>
      </c>
      <c r="E2111" s="27">
        <v>315</v>
      </c>
    </row>
    <row r="2112" spans="1:5" x14ac:dyDescent="0.25">
      <c r="A2112" s="26">
        <v>35186</v>
      </c>
      <c r="B2112" s="49">
        <f t="shared" si="33"/>
        <v>1996</v>
      </c>
      <c r="C2112" s="27" t="s">
        <v>34</v>
      </c>
      <c r="D2112" s="27" t="s">
        <v>36</v>
      </c>
      <c r="E2112" s="27">
        <v>225</v>
      </c>
    </row>
    <row r="2113" spans="1:5" x14ac:dyDescent="0.25">
      <c r="A2113" s="26">
        <v>35186</v>
      </c>
      <c r="B2113" s="49">
        <f t="shared" si="33"/>
        <v>1996</v>
      </c>
      <c r="C2113" s="27" t="s">
        <v>39</v>
      </c>
      <c r="D2113" s="27" t="s">
        <v>36</v>
      </c>
      <c r="E2113" s="27">
        <v>671</v>
      </c>
    </row>
    <row r="2114" spans="1:5" x14ac:dyDescent="0.25">
      <c r="A2114" s="26">
        <v>35186</v>
      </c>
      <c r="B2114" s="49">
        <f t="shared" si="33"/>
        <v>1996</v>
      </c>
      <c r="C2114" s="27" t="s">
        <v>35</v>
      </c>
      <c r="D2114" s="27" t="s">
        <v>36</v>
      </c>
      <c r="E2114" s="27">
        <v>113</v>
      </c>
    </row>
    <row r="2115" spans="1:5" x14ac:dyDescent="0.25">
      <c r="A2115" s="26">
        <v>35186</v>
      </c>
      <c r="B2115" s="49">
        <f t="shared" ref="B2115:B2178" si="34">YEAR(A2115)</f>
        <v>1996</v>
      </c>
      <c r="C2115" s="27" t="s">
        <v>34</v>
      </c>
      <c r="D2115" s="27" t="s">
        <v>36</v>
      </c>
      <c r="E2115" s="27">
        <v>18</v>
      </c>
    </row>
    <row r="2116" spans="1:5" x14ac:dyDescent="0.25">
      <c r="A2116" s="26">
        <v>35186</v>
      </c>
      <c r="B2116" s="49">
        <f t="shared" si="34"/>
        <v>1996</v>
      </c>
      <c r="C2116" s="27" t="s">
        <v>32</v>
      </c>
      <c r="D2116" s="27" t="s">
        <v>36</v>
      </c>
      <c r="E2116" s="27">
        <v>44</v>
      </c>
    </row>
    <row r="2117" spans="1:5" x14ac:dyDescent="0.25">
      <c r="A2117" s="26">
        <v>35186</v>
      </c>
      <c r="B2117" s="49">
        <f t="shared" si="34"/>
        <v>1996</v>
      </c>
      <c r="C2117" s="27" t="s">
        <v>27</v>
      </c>
      <c r="D2117" s="27" t="s">
        <v>36</v>
      </c>
      <c r="E2117" s="27">
        <v>41</v>
      </c>
    </row>
    <row r="2118" spans="1:5" x14ac:dyDescent="0.25">
      <c r="A2118" s="26">
        <v>35186</v>
      </c>
      <c r="B2118" s="49">
        <f t="shared" si="34"/>
        <v>1996</v>
      </c>
      <c r="C2118" s="27" t="s">
        <v>35</v>
      </c>
      <c r="D2118" s="27" t="s">
        <v>36</v>
      </c>
      <c r="E2118" s="27">
        <v>41</v>
      </c>
    </row>
    <row r="2119" spans="1:5" x14ac:dyDescent="0.25">
      <c r="A2119" s="26">
        <v>35186</v>
      </c>
      <c r="B2119" s="49">
        <f t="shared" si="34"/>
        <v>1996</v>
      </c>
      <c r="C2119" s="27" t="s">
        <v>27</v>
      </c>
      <c r="D2119" s="27" t="s">
        <v>36</v>
      </c>
      <c r="E2119" s="27">
        <v>39</v>
      </c>
    </row>
    <row r="2120" spans="1:5" x14ac:dyDescent="0.25">
      <c r="A2120" s="26">
        <v>35186</v>
      </c>
      <c r="B2120" s="49">
        <f t="shared" si="34"/>
        <v>1996</v>
      </c>
      <c r="C2120" s="27" t="s">
        <v>34</v>
      </c>
      <c r="D2120" s="27" t="s">
        <v>36</v>
      </c>
      <c r="E2120" s="27">
        <v>135</v>
      </c>
    </row>
    <row r="2121" spans="1:5" x14ac:dyDescent="0.25">
      <c r="A2121" s="26">
        <v>35186</v>
      </c>
      <c r="B2121" s="49">
        <f t="shared" si="34"/>
        <v>1996</v>
      </c>
      <c r="C2121" s="27" t="s">
        <v>35</v>
      </c>
      <c r="D2121" s="27" t="s">
        <v>36</v>
      </c>
      <c r="E2121" s="27">
        <v>35</v>
      </c>
    </row>
    <row r="2122" spans="1:5" x14ac:dyDescent="0.25">
      <c r="A2122" s="26">
        <v>35186</v>
      </c>
      <c r="B2122" s="49">
        <f t="shared" si="34"/>
        <v>1996</v>
      </c>
      <c r="C2122" s="27" t="s">
        <v>32</v>
      </c>
      <c r="D2122" s="27" t="s">
        <v>36</v>
      </c>
      <c r="E2122" s="27">
        <v>53</v>
      </c>
    </row>
    <row r="2123" spans="1:5" x14ac:dyDescent="0.25">
      <c r="A2123" s="26">
        <v>35186</v>
      </c>
      <c r="B2123" s="49">
        <f t="shared" si="34"/>
        <v>1996</v>
      </c>
      <c r="C2123" s="27" t="s">
        <v>27</v>
      </c>
      <c r="D2123" s="27" t="s">
        <v>36</v>
      </c>
      <c r="E2123" s="27">
        <v>11</v>
      </c>
    </row>
    <row r="2124" spans="1:5" x14ac:dyDescent="0.25">
      <c r="A2124" s="26">
        <v>35186</v>
      </c>
      <c r="B2124" s="49">
        <f t="shared" si="34"/>
        <v>1996</v>
      </c>
      <c r="C2124" s="27" t="s">
        <v>27</v>
      </c>
      <c r="D2124" s="27" t="s">
        <v>36</v>
      </c>
      <c r="E2124" s="27">
        <v>9</v>
      </c>
    </row>
    <row r="2125" spans="1:5" x14ac:dyDescent="0.25">
      <c r="A2125" s="26">
        <v>35186</v>
      </c>
      <c r="B2125" s="49">
        <f t="shared" si="34"/>
        <v>1996</v>
      </c>
      <c r="C2125" s="27" t="s">
        <v>35</v>
      </c>
      <c r="D2125" s="27" t="s">
        <v>36</v>
      </c>
      <c r="E2125" s="27">
        <v>35</v>
      </c>
    </row>
    <row r="2126" spans="1:5" x14ac:dyDescent="0.25">
      <c r="A2126" s="26">
        <v>35186</v>
      </c>
      <c r="B2126" s="49">
        <f t="shared" si="34"/>
        <v>1996</v>
      </c>
      <c r="C2126" s="27" t="s">
        <v>34</v>
      </c>
      <c r="D2126" s="27" t="s">
        <v>36</v>
      </c>
      <c r="E2126" s="27">
        <v>83</v>
      </c>
    </row>
    <row r="2127" spans="1:5" x14ac:dyDescent="0.25">
      <c r="A2127" s="26">
        <v>35186</v>
      </c>
      <c r="B2127" s="49">
        <f t="shared" si="34"/>
        <v>1996</v>
      </c>
      <c r="C2127" s="27" t="s">
        <v>34</v>
      </c>
      <c r="D2127" s="27" t="s">
        <v>36</v>
      </c>
      <c r="E2127" s="27">
        <v>110</v>
      </c>
    </row>
    <row r="2128" spans="1:5" x14ac:dyDescent="0.25">
      <c r="A2128" s="26">
        <v>35186</v>
      </c>
      <c r="B2128" s="49">
        <f t="shared" si="34"/>
        <v>1996</v>
      </c>
      <c r="C2128" s="27" t="s">
        <v>32</v>
      </c>
      <c r="D2128" s="27" t="s">
        <v>36</v>
      </c>
      <c r="E2128" s="27">
        <v>96</v>
      </c>
    </row>
    <row r="2129" spans="1:5" x14ac:dyDescent="0.25">
      <c r="A2129" s="26">
        <v>35186</v>
      </c>
      <c r="B2129" s="49">
        <f t="shared" si="34"/>
        <v>1996</v>
      </c>
      <c r="C2129" s="27" t="s">
        <v>34</v>
      </c>
      <c r="D2129" s="27" t="s">
        <v>36</v>
      </c>
      <c r="E2129" s="27">
        <v>96</v>
      </c>
    </row>
    <row r="2130" spans="1:5" x14ac:dyDescent="0.25">
      <c r="A2130" s="26">
        <v>35186</v>
      </c>
      <c r="B2130" s="49">
        <f t="shared" si="34"/>
        <v>1996</v>
      </c>
      <c r="C2130" s="27" t="s">
        <v>35</v>
      </c>
      <c r="D2130" s="27" t="s">
        <v>36</v>
      </c>
      <c r="E2130" s="27">
        <v>94</v>
      </c>
    </row>
    <row r="2131" spans="1:5" x14ac:dyDescent="0.25">
      <c r="A2131" s="26">
        <v>35186</v>
      </c>
      <c r="B2131" s="49">
        <f t="shared" si="34"/>
        <v>1996</v>
      </c>
      <c r="C2131" s="27" t="s">
        <v>37</v>
      </c>
      <c r="D2131" s="27" t="s">
        <v>36</v>
      </c>
      <c r="E2131" s="27">
        <v>88</v>
      </c>
    </row>
    <row r="2132" spans="1:5" x14ac:dyDescent="0.25">
      <c r="A2132" s="26">
        <v>35186</v>
      </c>
      <c r="B2132" s="49">
        <f t="shared" si="34"/>
        <v>1996</v>
      </c>
      <c r="C2132" s="27" t="s">
        <v>32</v>
      </c>
      <c r="D2132" s="27" t="s">
        <v>36</v>
      </c>
      <c r="E2132" s="27">
        <v>46</v>
      </c>
    </row>
    <row r="2133" spans="1:5" x14ac:dyDescent="0.25">
      <c r="A2133" s="26">
        <v>35186</v>
      </c>
      <c r="B2133" s="49">
        <f t="shared" si="34"/>
        <v>1996</v>
      </c>
      <c r="C2133" s="27" t="s">
        <v>27</v>
      </c>
      <c r="D2133" s="27" t="s">
        <v>36</v>
      </c>
      <c r="E2133" s="27">
        <v>68</v>
      </c>
    </row>
    <row r="2134" spans="1:5" x14ac:dyDescent="0.25">
      <c r="A2134" s="26">
        <v>35186</v>
      </c>
      <c r="B2134" s="49">
        <f t="shared" si="34"/>
        <v>1996</v>
      </c>
      <c r="C2134" s="27" t="s">
        <v>37</v>
      </c>
      <c r="D2134" s="27" t="s">
        <v>36</v>
      </c>
      <c r="E2134" s="27">
        <v>68</v>
      </c>
    </row>
    <row r="2135" spans="1:5" x14ac:dyDescent="0.25">
      <c r="A2135" s="26">
        <v>35186</v>
      </c>
      <c r="B2135" s="49">
        <f t="shared" si="34"/>
        <v>1996</v>
      </c>
      <c r="C2135" s="27" t="s">
        <v>27</v>
      </c>
      <c r="D2135" s="27" t="s">
        <v>36</v>
      </c>
      <c r="E2135" s="27">
        <v>53</v>
      </c>
    </row>
    <row r="2136" spans="1:5" x14ac:dyDescent="0.25">
      <c r="A2136" s="26">
        <v>35186</v>
      </c>
      <c r="B2136" s="49">
        <f t="shared" si="34"/>
        <v>1996</v>
      </c>
      <c r="C2136" s="27" t="s">
        <v>32</v>
      </c>
      <c r="D2136" s="27" t="s">
        <v>36</v>
      </c>
      <c r="E2136" s="27">
        <v>113</v>
      </c>
    </row>
    <row r="2137" spans="1:5" x14ac:dyDescent="0.25">
      <c r="A2137" s="26">
        <v>35186</v>
      </c>
      <c r="B2137" s="49">
        <f t="shared" si="34"/>
        <v>1996</v>
      </c>
      <c r="C2137" s="27" t="s">
        <v>37</v>
      </c>
      <c r="D2137" s="27" t="s">
        <v>36</v>
      </c>
      <c r="E2137" s="27">
        <v>83</v>
      </c>
    </row>
    <row r="2138" spans="1:5" x14ac:dyDescent="0.25">
      <c r="A2138" s="26">
        <v>35217</v>
      </c>
      <c r="B2138" s="49">
        <f t="shared" si="34"/>
        <v>1996</v>
      </c>
      <c r="C2138" s="27" t="s">
        <v>39</v>
      </c>
      <c r="D2138" s="27" t="s">
        <v>28</v>
      </c>
      <c r="E2138" s="27">
        <v>760</v>
      </c>
    </row>
    <row r="2139" spans="1:5" x14ac:dyDescent="0.25">
      <c r="A2139" s="26">
        <v>35217</v>
      </c>
      <c r="B2139" s="49">
        <f t="shared" si="34"/>
        <v>1996</v>
      </c>
      <c r="C2139" s="27" t="s">
        <v>27</v>
      </c>
      <c r="D2139" s="27" t="s">
        <v>28</v>
      </c>
      <c r="E2139" s="27">
        <v>789</v>
      </c>
    </row>
    <row r="2140" spans="1:5" x14ac:dyDescent="0.25">
      <c r="A2140" s="26">
        <v>35217</v>
      </c>
      <c r="B2140" s="49">
        <f t="shared" si="34"/>
        <v>1996</v>
      </c>
      <c r="C2140" s="27" t="s">
        <v>37</v>
      </c>
      <c r="D2140" s="27" t="s">
        <v>28</v>
      </c>
      <c r="E2140" s="27">
        <v>790</v>
      </c>
    </row>
    <row r="2141" spans="1:5" x14ac:dyDescent="0.25">
      <c r="A2141" s="26">
        <v>35217</v>
      </c>
      <c r="B2141" s="49">
        <f t="shared" si="34"/>
        <v>1996</v>
      </c>
      <c r="C2141" s="27" t="s">
        <v>37</v>
      </c>
      <c r="D2141" s="27" t="s">
        <v>28</v>
      </c>
      <c r="E2141" s="27">
        <v>834</v>
      </c>
    </row>
    <row r="2142" spans="1:5" x14ac:dyDescent="0.25">
      <c r="A2142" s="26">
        <v>35217</v>
      </c>
      <c r="B2142" s="49">
        <f t="shared" si="34"/>
        <v>1996</v>
      </c>
      <c r="C2142" s="27" t="s">
        <v>34</v>
      </c>
      <c r="D2142" s="27" t="s">
        <v>28</v>
      </c>
      <c r="E2142" s="27">
        <v>1055</v>
      </c>
    </row>
    <row r="2143" spans="1:5" x14ac:dyDescent="0.25">
      <c r="A2143" s="26">
        <v>35217</v>
      </c>
      <c r="B2143" s="49">
        <f t="shared" si="34"/>
        <v>1996</v>
      </c>
      <c r="C2143" s="27" t="s">
        <v>37</v>
      </c>
      <c r="D2143" s="27" t="s">
        <v>28</v>
      </c>
      <c r="E2143" s="27">
        <v>1210</v>
      </c>
    </row>
    <row r="2144" spans="1:5" x14ac:dyDescent="0.25">
      <c r="A2144" s="26">
        <v>35217</v>
      </c>
      <c r="B2144" s="49">
        <f t="shared" si="34"/>
        <v>1996</v>
      </c>
      <c r="C2144" s="27" t="s">
        <v>32</v>
      </c>
      <c r="D2144" s="27" t="s">
        <v>28</v>
      </c>
      <c r="E2144" s="27">
        <v>1596</v>
      </c>
    </row>
    <row r="2145" spans="1:5" x14ac:dyDescent="0.25">
      <c r="A2145" s="26">
        <v>35217</v>
      </c>
      <c r="B2145" s="49">
        <f t="shared" si="34"/>
        <v>1996</v>
      </c>
      <c r="C2145" s="27" t="s">
        <v>27</v>
      </c>
      <c r="D2145" s="27" t="s">
        <v>28</v>
      </c>
      <c r="E2145" s="27">
        <v>1655</v>
      </c>
    </row>
    <row r="2146" spans="1:5" x14ac:dyDescent="0.25">
      <c r="A2146" s="26">
        <v>35217</v>
      </c>
      <c r="B2146" s="49">
        <f t="shared" si="34"/>
        <v>1996</v>
      </c>
      <c r="C2146" s="27" t="s">
        <v>27</v>
      </c>
      <c r="D2146" s="27" t="s">
        <v>28</v>
      </c>
      <c r="E2146" s="27">
        <v>520</v>
      </c>
    </row>
    <row r="2147" spans="1:5" x14ac:dyDescent="0.25">
      <c r="A2147" s="26">
        <v>35217</v>
      </c>
      <c r="B2147" s="49">
        <f t="shared" si="34"/>
        <v>1996</v>
      </c>
      <c r="C2147" s="27" t="s">
        <v>39</v>
      </c>
      <c r="D2147" s="27" t="s">
        <v>28</v>
      </c>
      <c r="E2147" s="27">
        <v>1812</v>
      </c>
    </row>
    <row r="2148" spans="1:5" x14ac:dyDescent="0.25">
      <c r="A2148" s="26">
        <v>35217</v>
      </c>
      <c r="B2148" s="49">
        <f t="shared" si="34"/>
        <v>1996</v>
      </c>
      <c r="C2148" s="27" t="s">
        <v>35</v>
      </c>
      <c r="D2148" s="27" t="s">
        <v>28</v>
      </c>
      <c r="E2148" s="27">
        <v>135</v>
      </c>
    </row>
    <row r="2149" spans="1:5" x14ac:dyDescent="0.25">
      <c r="A2149" s="26">
        <v>35217</v>
      </c>
      <c r="B2149" s="49">
        <f t="shared" si="34"/>
        <v>1996</v>
      </c>
      <c r="C2149" s="27" t="s">
        <v>32</v>
      </c>
      <c r="D2149" s="27" t="s">
        <v>28</v>
      </c>
      <c r="E2149" s="27">
        <v>34</v>
      </c>
    </row>
    <row r="2150" spans="1:5" x14ac:dyDescent="0.25">
      <c r="A2150" s="26">
        <v>35217</v>
      </c>
      <c r="B2150" s="49">
        <f t="shared" si="34"/>
        <v>1996</v>
      </c>
      <c r="C2150" s="27" t="s">
        <v>35</v>
      </c>
      <c r="D2150" s="27" t="s">
        <v>28</v>
      </c>
      <c r="E2150" s="27">
        <v>50</v>
      </c>
    </row>
    <row r="2151" spans="1:5" x14ac:dyDescent="0.25">
      <c r="A2151" s="26">
        <v>35217</v>
      </c>
      <c r="B2151" s="49">
        <f t="shared" si="34"/>
        <v>1996</v>
      </c>
      <c r="C2151" s="27" t="s">
        <v>34</v>
      </c>
      <c r="D2151" s="27" t="s">
        <v>28</v>
      </c>
      <c r="E2151" s="27">
        <v>83</v>
      </c>
    </row>
    <row r="2152" spans="1:5" x14ac:dyDescent="0.25">
      <c r="A2152" s="26">
        <v>35217</v>
      </c>
      <c r="B2152" s="49">
        <f t="shared" si="34"/>
        <v>1996</v>
      </c>
      <c r="C2152" s="27" t="s">
        <v>37</v>
      </c>
      <c r="D2152" s="27" t="s">
        <v>28</v>
      </c>
      <c r="E2152" s="27">
        <v>124</v>
      </c>
    </row>
    <row r="2153" spans="1:5" x14ac:dyDescent="0.25">
      <c r="A2153" s="26">
        <v>35217</v>
      </c>
      <c r="B2153" s="49">
        <f t="shared" si="34"/>
        <v>1996</v>
      </c>
      <c r="C2153" s="27" t="s">
        <v>34</v>
      </c>
      <c r="D2153" s="27" t="s">
        <v>28</v>
      </c>
      <c r="E2153" s="27">
        <v>678</v>
      </c>
    </row>
    <row r="2154" spans="1:5" x14ac:dyDescent="0.25">
      <c r="A2154" s="26">
        <v>35217</v>
      </c>
      <c r="B2154" s="49">
        <f t="shared" si="34"/>
        <v>1996</v>
      </c>
      <c r="C2154" s="27" t="s">
        <v>32</v>
      </c>
      <c r="D2154" s="27" t="s">
        <v>28</v>
      </c>
      <c r="E2154" s="27">
        <v>248</v>
      </c>
    </row>
    <row r="2155" spans="1:5" x14ac:dyDescent="0.25">
      <c r="A2155" s="26">
        <v>35217</v>
      </c>
      <c r="B2155" s="49">
        <f t="shared" si="34"/>
        <v>1996</v>
      </c>
      <c r="C2155" s="27" t="s">
        <v>35</v>
      </c>
      <c r="D2155" s="27" t="s">
        <v>28</v>
      </c>
      <c r="E2155" s="27">
        <v>344</v>
      </c>
    </row>
    <row r="2156" spans="1:5" x14ac:dyDescent="0.25">
      <c r="A2156" s="26">
        <v>35217</v>
      </c>
      <c r="B2156" s="49">
        <f t="shared" si="34"/>
        <v>1996</v>
      </c>
      <c r="C2156" s="27" t="s">
        <v>35</v>
      </c>
      <c r="D2156" s="27" t="s">
        <v>28</v>
      </c>
      <c r="E2156" s="27">
        <v>369</v>
      </c>
    </row>
    <row r="2157" spans="1:5" x14ac:dyDescent="0.25">
      <c r="A2157" s="26">
        <v>35217</v>
      </c>
      <c r="B2157" s="49">
        <f t="shared" si="34"/>
        <v>1996</v>
      </c>
      <c r="C2157" s="27" t="s">
        <v>32</v>
      </c>
      <c r="D2157" s="27" t="s">
        <v>28</v>
      </c>
      <c r="E2157" s="27">
        <v>383</v>
      </c>
    </row>
    <row r="2158" spans="1:5" x14ac:dyDescent="0.25">
      <c r="A2158" s="26">
        <v>35217</v>
      </c>
      <c r="B2158" s="49">
        <f t="shared" si="34"/>
        <v>1996</v>
      </c>
      <c r="C2158" s="27" t="s">
        <v>27</v>
      </c>
      <c r="D2158" s="27" t="s">
        <v>28</v>
      </c>
      <c r="E2158" s="27">
        <v>451</v>
      </c>
    </row>
    <row r="2159" spans="1:5" x14ac:dyDescent="0.25">
      <c r="A2159" s="26">
        <v>35217</v>
      </c>
      <c r="B2159" s="49">
        <f t="shared" si="34"/>
        <v>1996</v>
      </c>
      <c r="C2159" s="27" t="s">
        <v>34</v>
      </c>
      <c r="D2159" s="27" t="s">
        <v>28</v>
      </c>
      <c r="E2159" s="27">
        <v>492</v>
      </c>
    </row>
    <row r="2160" spans="1:5" x14ac:dyDescent="0.25">
      <c r="A2160" s="26">
        <v>35217</v>
      </c>
      <c r="B2160" s="49">
        <f t="shared" si="34"/>
        <v>1996</v>
      </c>
      <c r="C2160" s="27" t="s">
        <v>27</v>
      </c>
      <c r="D2160" s="27" t="s">
        <v>29</v>
      </c>
      <c r="E2160" s="27">
        <v>203</v>
      </c>
    </row>
    <row r="2161" spans="1:5" x14ac:dyDescent="0.25">
      <c r="A2161" s="26">
        <v>35217</v>
      </c>
      <c r="B2161" s="49">
        <f t="shared" si="34"/>
        <v>1996</v>
      </c>
      <c r="C2161" s="27" t="s">
        <v>34</v>
      </c>
      <c r="D2161" s="27" t="s">
        <v>29</v>
      </c>
      <c r="E2161" s="27">
        <v>338</v>
      </c>
    </row>
    <row r="2162" spans="1:5" x14ac:dyDescent="0.25">
      <c r="A2162" s="26">
        <v>35217</v>
      </c>
      <c r="B2162" s="49">
        <f t="shared" si="34"/>
        <v>1996</v>
      </c>
      <c r="C2162" s="27" t="s">
        <v>27</v>
      </c>
      <c r="D2162" s="27" t="s">
        <v>29</v>
      </c>
      <c r="E2162" s="27">
        <v>171</v>
      </c>
    </row>
    <row r="2163" spans="1:5" x14ac:dyDescent="0.25">
      <c r="A2163" s="26">
        <v>35217</v>
      </c>
      <c r="B2163" s="49">
        <f t="shared" si="34"/>
        <v>1996</v>
      </c>
      <c r="C2163" s="27" t="s">
        <v>35</v>
      </c>
      <c r="D2163" s="27" t="s">
        <v>29</v>
      </c>
      <c r="E2163" s="27">
        <v>210</v>
      </c>
    </row>
    <row r="2164" spans="1:5" x14ac:dyDescent="0.25">
      <c r="A2164" s="26">
        <v>35217</v>
      </c>
      <c r="B2164" s="49">
        <f t="shared" si="34"/>
        <v>1996</v>
      </c>
      <c r="C2164" s="27" t="s">
        <v>27</v>
      </c>
      <c r="D2164" s="27" t="s">
        <v>29</v>
      </c>
      <c r="E2164" s="27">
        <v>1207</v>
      </c>
    </row>
    <row r="2165" spans="1:5" x14ac:dyDescent="0.25">
      <c r="A2165" s="26">
        <v>35217</v>
      </c>
      <c r="B2165" s="49">
        <f t="shared" si="34"/>
        <v>1996</v>
      </c>
      <c r="C2165" s="27" t="s">
        <v>34</v>
      </c>
      <c r="D2165" s="27" t="s">
        <v>29</v>
      </c>
      <c r="E2165" s="27">
        <v>315</v>
      </c>
    </row>
    <row r="2166" spans="1:5" x14ac:dyDescent="0.25">
      <c r="A2166" s="26">
        <v>35217</v>
      </c>
      <c r="B2166" s="49">
        <f t="shared" si="34"/>
        <v>1996</v>
      </c>
      <c r="C2166" s="27" t="s">
        <v>39</v>
      </c>
      <c r="D2166" s="27" t="s">
        <v>29</v>
      </c>
      <c r="E2166" s="27">
        <v>1337</v>
      </c>
    </row>
    <row r="2167" spans="1:5" x14ac:dyDescent="0.25">
      <c r="A2167" s="26">
        <v>35217</v>
      </c>
      <c r="B2167" s="49">
        <f t="shared" si="34"/>
        <v>1996</v>
      </c>
      <c r="C2167" s="27" t="s">
        <v>37</v>
      </c>
      <c r="D2167" s="27" t="s">
        <v>29</v>
      </c>
      <c r="E2167" s="27">
        <v>848</v>
      </c>
    </row>
    <row r="2168" spans="1:5" x14ac:dyDescent="0.25">
      <c r="A2168" s="26">
        <v>35217</v>
      </c>
      <c r="B2168" s="49">
        <f t="shared" si="34"/>
        <v>1996</v>
      </c>
      <c r="C2168" s="27" t="s">
        <v>34</v>
      </c>
      <c r="D2168" s="27" t="s">
        <v>29</v>
      </c>
      <c r="E2168" s="27">
        <v>341</v>
      </c>
    </row>
    <row r="2169" spans="1:5" x14ac:dyDescent="0.25">
      <c r="A2169" s="26">
        <v>35217</v>
      </c>
      <c r="B2169" s="49">
        <f t="shared" si="34"/>
        <v>1996</v>
      </c>
      <c r="C2169" s="27" t="s">
        <v>32</v>
      </c>
      <c r="D2169" s="27" t="s">
        <v>29</v>
      </c>
      <c r="E2169" s="27">
        <v>509</v>
      </c>
    </row>
    <row r="2170" spans="1:5" x14ac:dyDescent="0.25">
      <c r="A2170" s="26">
        <v>35217</v>
      </c>
      <c r="B2170" s="49">
        <f t="shared" si="34"/>
        <v>1996</v>
      </c>
      <c r="C2170" s="27" t="s">
        <v>37</v>
      </c>
      <c r="D2170" s="27" t="s">
        <v>29</v>
      </c>
      <c r="E2170" s="27">
        <v>489</v>
      </c>
    </row>
    <row r="2171" spans="1:5" x14ac:dyDescent="0.25">
      <c r="A2171" s="26">
        <v>35217</v>
      </c>
      <c r="B2171" s="49">
        <f t="shared" si="34"/>
        <v>1996</v>
      </c>
      <c r="C2171" s="27" t="s">
        <v>34</v>
      </c>
      <c r="D2171" s="27" t="s">
        <v>29</v>
      </c>
      <c r="E2171" s="27">
        <v>270</v>
      </c>
    </row>
    <row r="2172" spans="1:5" x14ac:dyDescent="0.25">
      <c r="A2172" s="26">
        <v>35217</v>
      </c>
      <c r="B2172" s="49">
        <f t="shared" si="34"/>
        <v>1996</v>
      </c>
      <c r="C2172" s="27" t="s">
        <v>37</v>
      </c>
      <c r="D2172" s="27" t="s">
        <v>29</v>
      </c>
      <c r="E2172" s="27">
        <v>140</v>
      </c>
    </row>
    <row r="2173" spans="1:5" x14ac:dyDescent="0.25">
      <c r="A2173" s="26">
        <v>35217</v>
      </c>
      <c r="B2173" s="49">
        <f t="shared" si="34"/>
        <v>1996</v>
      </c>
      <c r="C2173" s="27" t="s">
        <v>37</v>
      </c>
      <c r="D2173" s="27" t="s">
        <v>29</v>
      </c>
      <c r="E2173" s="27">
        <v>135</v>
      </c>
    </row>
    <row r="2174" spans="1:5" x14ac:dyDescent="0.25">
      <c r="A2174" s="26">
        <v>35217</v>
      </c>
      <c r="B2174" s="49">
        <f t="shared" si="34"/>
        <v>1996</v>
      </c>
      <c r="C2174" s="27" t="s">
        <v>35</v>
      </c>
      <c r="D2174" s="27" t="s">
        <v>29</v>
      </c>
      <c r="E2174" s="27">
        <v>426</v>
      </c>
    </row>
    <row r="2175" spans="1:5" x14ac:dyDescent="0.25">
      <c r="A2175" s="26">
        <v>35217</v>
      </c>
      <c r="B2175" s="49">
        <f t="shared" si="34"/>
        <v>1996</v>
      </c>
      <c r="C2175" s="27" t="s">
        <v>32</v>
      </c>
      <c r="D2175" s="27" t="s">
        <v>29</v>
      </c>
      <c r="E2175" s="27">
        <v>124</v>
      </c>
    </row>
    <row r="2176" spans="1:5" x14ac:dyDescent="0.25">
      <c r="A2176" s="26">
        <v>35217</v>
      </c>
      <c r="B2176" s="49">
        <f t="shared" si="34"/>
        <v>1996</v>
      </c>
      <c r="C2176" s="27" t="s">
        <v>32</v>
      </c>
      <c r="D2176" s="27" t="s">
        <v>29</v>
      </c>
      <c r="E2176" s="27">
        <v>79</v>
      </c>
    </row>
    <row r="2177" spans="1:5" x14ac:dyDescent="0.25">
      <c r="A2177" s="26">
        <v>35217</v>
      </c>
      <c r="B2177" s="49">
        <f t="shared" si="34"/>
        <v>1996</v>
      </c>
      <c r="C2177" s="27" t="s">
        <v>32</v>
      </c>
      <c r="D2177" s="27" t="s">
        <v>29</v>
      </c>
      <c r="E2177" s="27">
        <v>350</v>
      </c>
    </row>
    <row r="2178" spans="1:5" x14ac:dyDescent="0.25">
      <c r="A2178" s="26">
        <v>35217</v>
      </c>
      <c r="B2178" s="49">
        <f t="shared" si="34"/>
        <v>1996</v>
      </c>
      <c r="C2178" s="27" t="s">
        <v>35</v>
      </c>
      <c r="D2178" s="27" t="s">
        <v>29</v>
      </c>
      <c r="E2178" s="27">
        <v>277</v>
      </c>
    </row>
    <row r="2179" spans="1:5" x14ac:dyDescent="0.25">
      <c r="A2179" s="26">
        <v>35217</v>
      </c>
      <c r="B2179" s="49">
        <f t="shared" ref="B2179:B2242" si="35">YEAR(A2179)</f>
        <v>1996</v>
      </c>
      <c r="C2179" s="27" t="s">
        <v>27</v>
      </c>
      <c r="D2179" s="27" t="s">
        <v>29</v>
      </c>
      <c r="E2179" s="27">
        <v>645</v>
      </c>
    </row>
    <row r="2180" spans="1:5" x14ac:dyDescent="0.25">
      <c r="A2180" s="26">
        <v>35217</v>
      </c>
      <c r="B2180" s="49">
        <f t="shared" si="35"/>
        <v>1996</v>
      </c>
      <c r="C2180" s="27" t="s">
        <v>39</v>
      </c>
      <c r="D2180" s="27" t="s">
        <v>29</v>
      </c>
      <c r="E2180" s="27">
        <v>557</v>
      </c>
    </row>
    <row r="2181" spans="1:5" x14ac:dyDescent="0.25">
      <c r="A2181" s="26">
        <v>35217</v>
      </c>
      <c r="B2181" s="49">
        <f t="shared" si="35"/>
        <v>1996</v>
      </c>
      <c r="C2181" s="27" t="s">
        <v>35</v>
      </c>
      <c r="D2181" s="27" t="s">
        <v>29</v>
      </c>
      <c r="E2181" s="27">
        <v>369</v>
      </c>
    </row>
    <row r="2182" spans="1:5" x14ac:dyDescent="0.25">
      <c r="A2182" s="26">
        <v>35217</v>
      </c>
      <c r="B2182" s="49">
        <f t="shared" si="35"/>
        <v>1996</v>
      </c>
      <c r="C2182" s="27" t="s">
        <v>39</v>
      </c>
      <c r="D2182" s="27" t="s">
        <v>38</v>
      </c>
      <c r="E2182" s="27">
        <v>1461</v>
      </c>
    </row>
    <row r="2183" spans="1:5" x14ac:dyDescent="0.25">
      <c r="A2183" s="26">
        <v>35217</v>
      </c>
      <c r="B2183" s="49">
        <f t="shared" si="35"/>
        <v>1996</v>
      </c>
      <c r="C2183" s="27" t="s">
        <v>34</v>
      </c>
      <c r="D2183" s="27" t="s">
        <v>38</v>
      </c>
      <c r="E2183" s="27">
        <v>1521</v>
      </c>
    </row>
    <row r="2184" spans="1:5" x14ac:dyDescent="0.25">
      <c r="A2184" s="26">
        <v>35217</v>
      </c>
      <c r="B2184" s="49">
        <f t="shared" si="35"/>
        <v>1996</v>
      </c>
      <c r="C2184" s="27" t="s">
        <v>34</v>
      </c>
      <c r="D2184" s="27" t="s">
        <v>38</v>
      </c>
      <c r="E2184" s="27">
        <v>557</v>
      </c>
    </row>
    <row r="2185" spans="1:5" x14ac:dyDescent="0.25">
      <c r="A2185" s="26">
        <v>35217</v>
      </c>
      <c r="B2185" s="49">
        <f t="shared" si="35"/>
        <v>1996</v>
      </c>
      <c r="C2185" s="27" t="s">
        <v>39</v>
      </c>
      <c r="D2185" s="27" t="s">
        <v>38</v>
      </c>
      <c r="E2185" s="27">
        <v>714</v>
      </c>
    </row>
    <row r="2186" spans="1:5" x14ac:dyDescent="0.25">
      <c r="A2186" s="26">
        <v>35217</v>
      </c>
      <c r="B2186" s="49">
        <f t="shared" si="35"/>
        <v>1996</v>
      </c>
      <c r="C2186" s="27" t="s">
        <v>27</v>
      </c>
      <c r="D2186" s="27" t="s">
        <v>38</v>
      </c>
      <c r="E2186" s="27">
        <v>35</v>
      </c>
    </row>
    <row r="2187" spans="1:5" x14ac:dyDescent="0.25">
      <c r="A2187" s="26">
        <v>35217</v>
      </c>
      <c r="B2187" s="49">
        <f t="shared" si="35"/>
        <v>1996</v>
      </c>
      <c r="C2187" s="27" t="s">
        <v>35</v>
      </c>
      <c r="D2187" s="27" t="s">
        <v>38</v>
      </c>
      <c r="E2187" s="27">
        <v>63</v>
      </c>
    </row>
    <row r="2188" spans="1:5" x14ac:dyDescent="0.25">
      <c r="A2188" s="26">
        <v>35217</v>
      </c>
      <c r="B2188" s="49">
        <f t="shared" si="35"/>
        <v>1996</v>
      </c>
      <c r="C2188" s="27" t="s">
        <v>35</v>
      </c>
      <c r="D2188" s="27" t="s">
        <v>38</v>
      </c>
      <c r="E2188" s="27">
        <v>68</v>
      </c>
    </row>
    <row r="2189" spans="1:5" x14ac:dyDescent="0.25">
      <c r="A2189" s="26">
        <v>35217</v>
      </c>
      <c r="B2189" s="49">
        <f t="shared" si="35"/>
        <v>1996</v>
      </c>
      <c r="C2189" s="27" t="s">
        <v>34</v>
      </c>
      <c r="D2189" s="27" t="s">
        <v>38</v>
      </c>
      <c r="E2189" s="27">
        <v>420</v>
      </c>
    </row>
    <row r="2190" spans="1:5" x14ac:dyDescent="0.25">
      <c r="A2190" s="26">
        <v>35217</v>
      </c>
      <c r="B2190" s="49">
        <f t="shared" si="35"/>
        <v>1996</v>
      </c>
      <c r="C2190" s="27" t="s">
        <v>34</v>
      </c>
      <c r="D2190" s="27" t="s">
        <v>38</v>
      </c>
      <c r="E2190" s="27">
        <v>315</v>
      </c>
    </row>
    <row r="2191" spans="1:5" x14ac:dyDescent="0.25">
      <c r="A2191" s="26">
        <v>35217</v>
      </c>
      <c r="B2191" s="49">
        <f t="shared" si="35"/>
        <v>1996</v>
      </c>
      <c r="C2191" s="27" t="s">
        <v>32</v>
      </c>
      <c r="D2191" s="27" t="s">
        <v>38</v>
      </c>
      <c r="E2191" s="27">
        <v>1193</v>
      </c>
    </row>
    <row r="2192" spans="1:5" x14ac:dyDescent="0.25">
      <c r="A2192" s="26">
        <v>35217</v>
      </c>
      <c r="B2192" s="49">
        <f t="shared" si="35"/>
        <v>1996</v>
      </c>
      <c r="C2192" s="27" t="s">
        <v>32</v>
      </c>
      <c r="D2192" s="27" t="s">
        <v>38</v>
      </c>
      <c r="E2192" s="27">
        <v>934</v>
      </c>
    </row>
    <row r="2193" spans="1:5" x14ac:dyDescent="0.25">
      <c r="A2193" s="26">
        <v>35217</v>
      </c>
      <c r="B2193" s="49">
        <f t="shared" si="35"/>
        <v>1996</v>
      </c>
      <c r="C2193" s="27" t="s">
        <v>32</v>
      </c>
      <c r="D2193" s="27" t="s">
        <v>38</v>
      </c>
      <c r="E2193" s="27">
        <v>191</v>
      </c>
    </row>
    <row r="2194" spans="1:5" x14ac:dyDescent="0.25">
      <c r="A2194" s="26">
        <v>35217</v>
      </c>
      <c r="B2194" s="49">
        <f t="shared" si="35"/>
        <v>1996</v>
      </c>
      <c r="C2194" s="27" t="s">
        <v>37</v>
      </c>
      <c r="D2194" s="27" t="s">
        <v>38</v>
      </c>
      <c r="E2194" s="27">
        <v>175</v>
      </c>
    </row>
    <row r="2195" spans="1:5" x14ac:dyDescent="0.25">
      <c r="A2195" s="26">
        <v>35217</v>
      </c>
      <c r="B2195" s="49">
        <f t="shared" si="35"/>
        <v>1996</v>
      </c>
      <c r="C2195" s="27" t="s">
        <v>35</v>
      </c>
      <c r="D2195" s="27" t="s">
        <v>38</v>
      </c>
      <c r="E2195" s="27">
        <v>166</v>
      </c>
    </row>
    <row r="2196" spans="1:5" x14ac:dyDescent="0.25">
      <c r="A2196" s="26">
        <v>35217</v>
      </c>
      <c r="B2196" s="49">
        <f t="shared" si="35"/>
        <v>1996</v>
      </c>
      <c r="C2196" s="27" t="s">
        <v>37</v>
      </c>
      <c r="D2196" s="27" t="s">
        <v>38</v>
      </c>
      <c r="E2196" s="27">
        <v>146</v>
      </c>
    </row>
    <row r="2197" spans="1:5" x14ac:dyDescent="0.25">
      <c r="A2197" s="26">
        <v>35217</v>
      </c>
      <c r="B2197" s="49">
        <f t="shared" si="35"/>
        <v>1996</v>
      </c>
      <c r="C2197" s="27" t="s">
        <v>35</v>
      </c>
      <c r="D2197" s="27" t="s">
        <v>38</v>
      </c>
      <c r="E2197" s="27">
        <v>112</v>
      </c>
    </row>
    <row r="2198" spans="1:5" x14ac:dyDescent="0.25">
      <c r="A2198" s="26">
        <v>35217</v>
      </c>
      <c r="B2198" s="49">
        <f t="shared" si="35"/>
        <v>1996</v>
      </c>
      <c r="C2198" s="27" t="s">
        <v>32</v>
      </c>
      <c r="D2198" s="27" t="s">
        <v>38</v>
      </c>
      <c r="E2198" s="27">
        <v>158</v>
      </c>
    </row>
    <row r="2199" spans="1:5" x14ac:dyDescent="0.25">
      <c r="A2199" s="26">
        <v>35217</v>
      </c>
      <c r="B2199" s="49">
        <f t="shared" si="35"/>
        <v>1996</v>
      </c>
      <c r="C2199" s="27" t="s">
        <v>27</v>
      </c>
      <c r="D2199" s="27" t="s">
        <v>38</v>
      </c>
      <c r="E2199" s="27">
        <v>105</v>
      </c>
    </row>
    <row r="2200" spans="1:5" x14ac:dyDescent="0.25">
      <c r="A2200" s="26">
        <v>35217</v>
      </c>
      <c r="B2200" s="49">
        <f t="shared" si="35"/>
        <v>1996</v>
      </c>
      <c r="C2200" s="27" t="s">
        <v>37</v>
      </c>
      <c r="D2200" s="27" t="s">
        <v>38</v>
      </c>
      <c r="E2200" s="27">
        <v>70</v>
      </c>
    </row>
    <row r="2201" spans="1:5" x14ac:dyDescent="0.25">
      <c r="A2201" s="26">
        <v>35217</v>
      </c>
      <c r="B2201" s="49">
        <f t="shared" si="35"/>
        <v>1996</v>
      </c>
      <c r="C2201" s="27" t="s">
        <v>27</v>
      </c>
      <c r="D2201" s="27" t="s">
        <v>38</v>
      </c>
      <c r="E2201" s="27">
        <v>203</v>
      </c>
    </row>
    <row r="2202" spans="1:5" x14ac:dyDescent="0.25">
      <c r="A2202" s="26">
        <v>35217</v>
      </c>
      <c r="B2202" s="49">
        <f t="shared" si="35"/>
        <v>1996</v>
      </c>
      <c r="C2202" s="27" t="s">
        <v>27</v>
      </c>
      <c r="D2202" s="27" t="s">
        <v>38</v>
      </c>
      <c r="E2202" s="27">
        <v>101</v>
      </c>
    </row>
    <row r="2203" spans="1:5" x14ac:dyDescent="0.25">
      <c r="A2203" s="26">
        <v>35217</v>
      </c>
      <c r="B2203" s="49">
        <f t="shared" si="35"/>
        <v>1996</v>
      </c>
      <c r="C2203" s="27" t="s">
        <v>37</v>
      </c>
      <c r="D2203" s="27" t="s">
        <v>38</v>
      </c>
      <c r="E2203" s="27">
        <v>225</v>
      </c>
    </row>
    <row r="2204" spans="1:5" x14ac:dyDescent="0.25">
      <c r="A2204" s="26">
        <v>35217</v>
      </c>
      <c r="B2204" s="49">
        <f t="shared" si="35"/>
        <v>1996</v>
      </c>
      <c r="C2204" s="27" t="s">
        <v>27</v>
      </c>
      <c r="D2204" s="27" t="s">
        <v>30</v>
      </c>
      <c r="E2204" s="27">
        <v>77</v>
      </c>
    </row>
    <row r="2205" spans="1:5" x14ac:dyDescent="0.25">
      <c r="A2205" s="26">
        <v>35217</v>
      </c>
      <c r="B2205" s="49">
        <f t="shared" si="35"/>
        <v>1996</v>
      </c>
      <c r="C2205" s="27" t="s">
        <v>27</v>
      </c>
      <c r="D2205" s="27" t="s">
        <v>30</v>
      </c>
      <c r="E2205" s="27">
        <v>99</v>
      </c>
    </row>
    <row r="2206" spans="1:5" x14ac:dyDescent="0.25">
      <c r="A2206" s="26">
        <v>35217</v>
      </c>
      <c r="B2206" s="49">
        <f t="shared" si="35"/>
        <v>1996</v>
      </c>
      <c r="C2206" s="27" t="s">
        <v>27</v>
      </c>
      <c r="D2206" s="27" t="s">
        <v>30</v>
      </c>
      <c r="E2206" s="27">
        <v>113</v>
      </c>
    </row>
    <row r="2207" spans="1:5" x14ac:dyDescent="0.25">
      <c r="A2207" s="26">
        <v>35217</v>
      </c>
      <c r="B2207" s="49">
        <f t="shared" si="35"/>
        <v>1996</v>
      </c>
      <c r="C2207" s="27" t="s">
        <v>32</v>
      </c>
      <c r="D2207" s="27" t="s">
        <v>30</v>
      </c>
      <c r="E2207" s="27">
        <v>105</v>
      </c>
    </row>
    <row r="2208" spans="1:5" x14ac:dyDescent="0.25">
      <c r="A2208" s="26">
        <v>35217</v>
      </c>
      <c r="B2208" s="49">
        <f t="shared" si="35"/>
        <v>1996</v>
      </c>
      <c r="C2208" s="27" t="s">
        <v>27</v>
      </c>
      <c r="D2208" s="27" t="s">
        <v>30</v>
      </c>
      <c r="E2208" s="27">
        <v>23</v>
      </c>
    </row>
    <row r="2209" spans="1:5" x14ac:dyDescent="0.25">
      <c r="A2209" s="26">
        <v>35217</v>
      </c>
      <c r="B2209" s="49">
        <f t="shared" si="35"/>
        <v>1996</v>
      </c>
      <c r="C2209" s="27" t="s">
        <v>32</v>
      </c>
      <c r="D2209" s="27" t="s">
        <v>30</v>
      </c>
      <c r="E2209" s="27">
        <v>68</v>
      </c>
    </row>
    <row r="2210" spans="1:5" x14ac:dyDescent="0.25">
      <c r="A2210" s="26">
        <v>35217</v>
      </c>
      <c r="B2210" s="49">
        <f t="shared" si="35"/>
        <v>1996</v>
      </c>
      <c r="C2210" s="27" t="s">
        <v>27</v>
      </c>
      <c r="D2210" s="27" t="s">
        <v>30</v>
      </c>
      <c r="E2210" s="27">
        <v>2914</v>
      </c>
    </row>
    <row r="2211" spans="1:5" x14ac:dyDescent="0.25">
      <c r="A2211" s="26">
        <v>35217</v>
      </c>
      <c r="B2211" s="49">
        <f t="shared" si="35"/>
        <v>1996</v>
      </c>
      <c r="C2211" s="27" t="s">
        <v>27</v>
      </c>
      <c r="D2211" s="27" t="s">
        <v>30</v>
      </c>
      <c r="E2211" s="27">
        <v>2110</v>
      </c>
    </row>
    <row r="2212" spans="1:5" x14ac:dyDescent="0.25">
      <c r="A2212" s="26">
        <v>35217</v>
      </c>
      <c r="B2212" s="49">
        <f t="shared" si="35"/>
        <v>1996</v>
      </c>
      <c r="C2212" s="27" t="s">
        <v>32</v>
      </c>
      <c r="D2212" s="27" t="s">
        <v>30</v>
      </c>
      <c r="E2212" s="27">
        <v>179</v>
      </c>
    </row>
    <row r="2213" spans="1:5" x14ac:dyDescent="0.25">
      <c r="A2213" s="26">
        <v>35217</v>
      </c>
      <c r="B2213" s="49">
        <f t="shared" si="35"/>
        <v>1996</v>
      </c>
      <c r="C2213" s="27" t="s">
        <v>32</v>
      </c>
      <c r="D2213" s="27" t="s">
        <v>30</v>
      </c>
      <c r="E2213" s="27">
        <v>248</v>
      </c>
    </row>
    <row r="2214" spans="1:5" x14ac:dyDescent="0.25">
      <c r="A2214" s="26">
        <v>35217</v>
      </c>
      <c r="B2214" s="49">
        <f t="shared" si="35"/>
        <v>1996</v>
      </c>
      <c r="C2214" s="27" t="s">
        <v>32</v>
      </c>
      <c r="D2214" s="27" t="s">
        <v>30</v>
      </c>
      <c r="E2214" s="27">
        <v>149</v>
      </c>
    </row>
    <row r="2215" spans="1:5" x14ac:dyDescent="0.25">
      <c r="A2215" s="26">
        <v>35217</v>
      </c>
      <c r="B2215" s="49">
        <f t="shared" si="35"/>
        <v>1996</v>
      </c>
      <c r="C2215" s="27" t="s">
        <v>32</v>
      </c>
      <c r="D2215" s="27" t="s">
        <v>30</v>
      </c>
      <c r="E2215" s="27">
        <v>135</v>
      </c>
    </row>
    <row r="2216" spans="1:5" x14ac:dyDescent="0.25">
      <c r="A2216" s="26">
        <v>35217</v>
      </c>
      <c r="B2216" s="49">
        <f t="shared" si="35"/>
        <v>1996</v>
      </c>
      <c r="C2216" s="27" t="s">
        <v>34</v>
      </c>
      <c r="D2216" s="27" t="s">
        <v>31</v>
      </c>
      <c r="E2216" s="27">
        <v>405</v>
      </c>
    </row>
    <row r="2217" spans="1:5" x14ac:dyDescent="0.25">
      <c r="A2217" s="26">
        <v>35217</v>
      </c>
      <c r="B2217" s="49">
        <f t="shared" si="35"/>
        <v>1996</v>
      </c>
      <c r="C2217" s="27" t="s">
        <v>27</v>
      </c>
      <c r="D2217" s="27" t="s">
        <v>31</v>
      </c>
      <c r="E2217" s="27">
        <v>394</v>
      </c>
    </row>
    <row r="2218" spans="1:5" x14ac:dyDescent="0.25">
      <c r="A2218" s="26">
        <v>35217</v>
      </c>
      <c r="B2218" s="49">
        <f t="shared" si="35"/>
        <v>1996</v>
      </c>
      <c r="C2218" s="27" t="s">
        <v>34</v>
      </c>
      <c r="D2218" s="27" t="s">
        <v>31</v>
      </c>
      <c r="E2218" s="27">
        <v>368</v>
      </c>
    </row>
    <row r="2219" spans="1:5" x14ac:dyDescent="0.25">
      <c r="A2219" s="26">
        <v>35217</v>
      </c>
      <c r="B2219" s="49">
        <f t="shared" si="35"/>
        <v>1996</v>
      </c>
      <c r="C2219" s="27" t="s">
        <v>32</v>
      </c>
      <c r="D2219" s="27" t="s">
        <v>31</v>
      </c>
      <c r="E2219" s="27">
        <v>360</v>
      </c>
    </row>
    <row r="2220" spans="1:5" x14ac:dyDescent="0.25">
      <c r="A2220" s="26">
        <v>35217</v>
      </c>
      <c r="B2220" s="49">
        <f t="shared" si="35"/>
        <v>1996</v>
      </c>
      <c r="C2220" s="27" t="s">
        <v>32</v>
      </c>
      <c r="D2220" s="27" t="s">
        <v>31</v>
      </c>
      <c r="E2220" s="27">
        <v>724</v>
      </c>
    </row>
    <row r="2221" spans="1:5" x14ac:dyDescent="0.25">
      <c r="A2221" s="26">
        <v>35217</v>
      </c>
      <c r="B2221" s="49">
        <f t="shared" si="35"/>
        <v>1996</v>
      </c>
      <c r="C2221" s="27" t="s">
        <v>27</v>
      </c>
      <c r="D2221" s="27" t="s">
        <v>31</v>
      </c>
      <c r="E2221" s="27">
        <v>655</v>
      </c>
    </row>
    <row r="2222" spans="1:5" x14ac:dyDescent="0.25">
      <c r="A2222" s="26">
        <v>35217</v>
      </c>
      <c r="B2222" s="49">
        <f t="shared" si="35"/>
        <v>1996</v>
      </c>
      <c r="C2222" s="27" t="s">
        <v>34</v>
      </c>
      <c r="D2222" s="27" t="s">
        <v>31</v>
      </c>
      <c r="E2222" s="27">
        <v>557</v>
      </c>
    </row>
    <row r="2223" spans="1:5" x14ac:dyDescent="0.25">
      <c r="A2223" s="26">
        <v>35217</v>
      </c>
      <c r="B2223" s="49">
        <f t="shared" si="35"/>
        <v>1996</v>
      </c>
      <c r="C2223" s="27" t="s">
        <v>39</v>
      </c>
      <c r="D2223" s="27" t="s">
        <v>31</v>
      </c>
      <c r="E2223" s="27">
        <v>535</v>
      </c>
    </row>
    <row r="2224" spans="1:5" x14ac:dyDescent="0.25">
      <c r="A2224" s="26">
        <v>35217</v>
      </c>
      <c r="B2224" s="49">
        <f t="shared" si="35"/>
        <v>1996</v>
      </c>
      <c r="C2224" s="27" t="s">
        <v>37</v>
      </c>
      <c r="D2224" s="27" t="s">
        <v>31</v>
      </c>
      <c r="E2224" s="27">
        <v>473</v>
      </c>
    </row>
    <row r="2225" spans="1:5" x14ac:dyDescent="0.25">
      <c r="A2225" s="26">
        <v>35217</v>
      </c>
      <c r="B2225" s="49">
        <f t="shared" si="35"/>
        <v>1996</v>
      </c>
      <c r="C2225" s="27" t="s">
        <v>39</v>
      </c>
      <c r="D2225" s="27" t="s">
        <v>31</v>
      </c>
      <c r="E2225" s="27">
        <v>459</v>
      </c>
    </row>
    <row r="2226" spans="1:5" x14ac:dyDescent="0.25">
      <c r="A2226" s="26">
        <v>35217</v>
      </c>
      <c r="B2226" s="49">
        <f t="shared" si="35"/>
        <v>1996</v>
      </c>
      <c r="C2226" s="27" t="s">
        <v>32</v>
      </c>
      <c r="D2226" s="27" t="s">
        <v>31</v>
      </c>
      <c r="E2226" s="27">
        <v>448</v>
      </c>
    </row>
    <row r="2227" spans="1:5" x14ac:dyDescent="0.25">
      <c r="A2227" s="26">
        <v>35217</v>
      </c>
      <c r="B2227" s="49">
        <f t="shared" si="35"/>
        <v>1996</v>
      </c>
      <c r="C2227" s="27" t="s">
        <v>35</v>
      </c>
      <c r="D2227" s="27" t="s">
        <v>31</v>
      </c>
      <c r="E2227" s="27">
        <v>113</v>
      </c>
    </row>
    <row r="2228" spans="1:5" x14ac:dyDescent="0.25">
      <c r="A2228" s="26">
        <v>35217</v>
      </c>
      <c r="B2228" s="49">
        <f t="shared" si="35"/>
        <v>1996</v>
      </c>
      <c r="C2228" s="27" t="s">
        <v>35</v>
      </c>
      <c r="D2228" s="27" t="s">
        <v>31</v>
      </c>
      <c r="E2228" s="27">
        <v>105</v>
      </c>
    </row>
    <row r="2229" spans="1:5" x14ac:dyDescent="0.25">
      <c r="A2229" s="26">
        <v>35217</v>
      </c>
      <c r="B2229" s="49">
        <f t="shared" si="35"/>
        <v>1996</v>
      </c>
      <c r="C2229" s="27" t="s">
        <v>37</v>
      </c>
      <c r="D2229" s="27" t="s">
        <v>31</v>
      </c>
      <c r="E2229" s="27">
        <v>101</v>
      </c>
    </row>
    <row r="2230" spans="1:5" x14ac:dyDescent="0.25">
      <c r="A2230" s="26">
        <v>35217</v>
      </c>
      <c r="B2230" s="49">
        <f t="shared" si="35"/>
        <v>1996</v>
      </c>
      <c r="C2230" s="27" t="s">
        <v>34</v>
      </c>
      <c r="D2230" s="27" t="s">
        <v>31</v>
      </c>
      <c r="E2230" s="27">
        <v>158</v>
      </c>
    </row>
    <row r="2231" spans="1:5" x14ac:dyDescent="0.25">
      <c r="A2231" s="26">
        <v>35217</v>
      </c>
      <c r="B2231" s="49">
        <f t="shared" si="35"/>
        <v>1996</v>
      </c>
      <c r="C2231" s="27" t="s">
        <v>37</v>
      </c>
      <c r="D2231" s="27" t="s">
        <v>31</v>
      </c>
      <c r="E2231" s="27">
        <v>175</v>
      </c>
    </row>
    <row r="2232" spans="1:5" x14ac:dyDescent="0.25">
      <c r="A2232" s="26">
        <v>35217</v>
      </c>
      <c r="B2232" s="49">
        <f t="shared" si="35"/>
        <v>1996</v>
      </c>
      <c r="C2232" s="27" t="s">
        <v>27</v>
      </c>
      <c r="D2232" s="27" t="s">
        <v>31</v>
      </c>
      <c r="E2232" s="27">
        <v>135</v>
      </c>
    </row>
    <row r="2233" spans="1:5" x14ac:dyDescent="0.25">
      <c r="A2233" s="26">
        <v>35217</v>
      </c>
      <c r="B2233" s="49">
        <f t="shared" si="35"/>
        <v>1996</v>
      </c>
      <c r="C2233" s="27" t="s">
        <v>37</v>
      </c>
      <c r="D2233" s="27" t="s">
        <v>31</v>
      </c>
      <c r="E2233" s="27">
        <v>1036</v>
      </c>
    </row>
    <row r="2234" spans="1:5" x14ac:dyDescent="0.25">
      <c r="A2234" s="26">
        <v>35217</v>
      </c>
      <c r="B2234" s="49">
        <f t="shared" si="35"/>
        <v>1996</v>
      </c>
      <c r="C2234" s="27" t="s">
        <v>32</v>
      </c>
      <c r="D2234" s="27" t="s">
        <v>31</v>
      </c>
      <c r="E2234" s="27">
        <v>748</v>
      </c>
    </row>
    <row r="2235" spans="1:5" x14ac:dyDescent="0.25">
      <c r="A2235" s="26">
        <v>35217</v>
      </c>
      <c r="B2235" s="49">
        <f t="shared" si="35"/>
        <v>1996</v>
      </c>
      <c r="C2235" s="27" t="s">
        <v>35</v>
      </c>
      <c r="D2235" s="27" t="s">
        <v>31</v>
      </c>
      <c r="E2235" s="27">
        <v>77</v>
      </c>
    </row>
    <row r="2236" spans="1:5" x14ac:dyDescent="0.25">
      <c r="A2236" s="26">
        <v>35217</v>
      </c>
      <c r="B2236" s="49">
        <f t="shared" si="35"/>
        <v>1996</v>
      </c>
      <c r="C2236" s="27" t="s">
        <v>27</v>
      </c>
      <c r="D2236" s="27" t="s">
        <v>31</v>
      </c>
      <c r="E2236" s="27">
        <v>88</v>
      </c>
    </row>
    <row r="2237" spans="1:5" x14ac:dyDescent="0.25">
      <c r="A2237" s="26">
        <v>35217</v>
      </c>
      <c r="B2237" s="49">
        <f t="shared" si="35"/>
        <v>1996</v>
      </c>
      <c r="C2237" s="27" t="s">
        <v>35</v>
      </c>
      <c r="D2237" s="27" t="s">
        <v>31</v>
      </c>
      <c r="E2237" s="27">
        <v>39</v>
      </c>
    </row>
    <row r="2238" spans="1:5" x14ac:dyDescent="0.25">
      <c r="A2238" s="26">
        <v>35217</v>
      </c>
      <c r="B2238" s="49">
        <f t="shared" si="35"/>
        <v>1996</v>
      </c>
      <c r="C2238" s="27" t="s">
        <v>39</v>
      </c>
      <c r="D2238" s="27" t="s">
        <v>33</v>
      </c>
      <c r="E2238" s="27">
        <v>376</v>
      </c>
    </row>
    <row r="2239" spans="1:5" x14ac:dyDescent="0.25">
      <c r="A2239" s="26">
        <v>35217</v>
      </c>
      <c r="B2239" s="49">
        <f t="shared" si="35"/>
        <v>1996</v>
      </c>
      <c r="C2239" s="27" t="s">
        <v>27</v>
      </c>
      <c r="D2239" s="27" t="s">
        <v>33</v>
      </c>
      <c r="E2239" s="27">
        <v>32</v>
      </c>
    </row>
    <row r="2240" spans="1:5" x14ac:dyDescent="0.25">
      <c r="A2240" s="26">
        <v>35217</v>
      </c>
      <c r="B2240" s="49">
        <f t="shared" si="35"/>
        <v>1996</v>
      </c>
      <c r="C2240" s="27" t="s">
        <v>34</v>
      </c>
      <c r="D2240" s="27" t="s">
        <v>33</v>
      </c>
      <c r="E2240" s="27">
        <v>39</v>
      </c>
    </row>
    <row r="2241" spans="1:5" x14ac:dyDescent="0.25">
      <c r="A2241" s="26">
        <v>35217</v>
      </c>
      <c r="B2241" s="49">
        <f t="shared" si="35"/>
        <v>1996</v>
      </c>
      <c r="C2241" s="27" t="s">
        <v>27</v>
      </c>
      <c r="D2241" s="27" t="s">
        <v>33</v>
      </c>
      <c r="E2241" s="27">
        <v>44</v>
      </c>
    </row>
    <row r="2242" spans="1:5" x14ac:dyDescent="0.25">
      <c r="A2242" s="26">
        <v>35217</v>
      </c>
      <c r="B2242" s="49">
        <f t="shared" si="35"/>
        <v>1996</v>
      </c>
      <c r="C2242" s="27" t="s">
        <v>34</v>
      </c>
      <c r="D2242" s="27" t="s">
        <v>33</v>
      </c>
      <c r="E2242" s="27">
        <v>50</v>
      </c>
    </row>
    <row r="2243" spans="1:5" x14ac:dyDescent="0.25">
      <c r="A2243" s="26">
        <v>35217</v>
      </c>
      <c r="B2243" s="49">
        <f t="shared" ref="B2243:B2306" si="36">YEAR(A2243)</f>
        <v>1996</v>
      </c>
      <c r="C2243" s="27" t="s">
        <v>27</v>
      </c>
      <c r="D2243" s="27" t="s">
        <v>33</v>
      </c>
      <c r="E2243" s="27">
        <v>56</v>
      </c>
    </row>
    <row r="2244" spans="1:5" x14ac:dyDescent="0.25">
      <c r="A2244" s="26">
        <v>35217</v>
      </c>
      <c r="B2244" s="49">
        <f t="shared" si="36"/>
        <v>1996</v>
      </c>
      <c r="C2244" s="27" t="s">
        <v>35</v>
      </c>
      <c r="D2244" s="27" t="s">
        <v>33</v>
      </c>
      <c r="E2244" s="27">
        <v>68</v>
      </c>
    </row>
    <row r="2245" spans="1:5" x14ac:dyDescent="0.25">
      <c r="A2245" s="26">
        <v>35217</v>
      </c>
      <c r="B2245" s="49">
        <f t="shared" si="36"/>
        <v>1996</v>
      </c>
      <c r="C2245" s="27" t="s">
        <v>35</v>
      </c>
      <c r="D2245" s="27" t="s">
        <v>33</v>
      </c>
      <c r="E2245" s="27">
        <v>70</v>
      </c>
    </row>
    <row r="2246" spans="1:5" x14ac:dyDescent="0.25">
      <c r="A2246" s="26">
        <v>35217</v>
      </c>
      <c r="B2246" s="49">
        <f t="shared" si="36"/>
        <v>1996</v>
      </c>
      <c r="C2246" s="27" t="s">
        <v>35</v>
      </c>
      <c r="D2246" s="27" t="s">
        <v>33</v>
      </c>
      <c r="E2246" s="27">
        <v>95</v>
      </c>
    </row>
    <row r="2247" spans="1:5" x14ac:dyDescent="0.25">
      <c r="A2247" s="26">
        <v>35217</v>
      </c>
      <c r="B2247" s="49">
        <f t="shared" si="36"/>
        <v>1996</v>
      </c>
      <c r="C2247" s="27" t="s">
        <v>35</v>
      </c>
      <c r="D2247" s="27" t="s">
        <v>33</v>
      </c>
      <c r="E2247" s="27">
        <v>124</v>
      </c>
    </row>
    <row r="2248" spans="1:5" x14ac:dyDescent="0.25">
      <c r="A2248" s="26">
        <v>35217</v>
      </c>
      <c r="B2248" s="49">
        <f t="shared" si="36"/>
        <v>1996</v>
      </c>
      <c r="C2248" s="27" t="s">
        <v>37</v>
      </c>
      <c r="D2248" s="27" t="s">
        <v>33</v>
      </c>
      <c r="E2248" s="27">
        <v>146</v>
      </c>
    </row>
    <row r="2249" spans="1:5" x14ac:dyDescent="0.25">
      <c r="A2249" s="26">
        <v>35217</v>
      </c>
      <c r="B2249" s="49">
        <f t="shared" si="36"/>
        <v>1996</v>
      </c>
      <c r="C2249" s="27" t="s">
        <v>37</v>
      </c>
      <c r="D2249" s="27" t="s">
        <v>33</v>
      </c>
      <c r="E2249" s="27">
        <v>158</v>
      </c>
    </row>
    <row r="2250" spans="1:5" x14ac:dyDescent="0.25">
      <c r="A2250" s="26">
        <v>35217</v>
      </c>
      <c r="B2250" s="49">
        <f t="shared" si="36"/>
        <v>1996</v>
      </c>
      <c r="C2250" s="27" t="s">
        <v>39</v>
      </c>
      <c r="D2250" s="27" t="s">
        <v>33</v>
      </c>
      <c r="E2250" s="27">
        <v>203</v>
      </c>
    </row>
    <row r="2251" spans="1:5" x14ac:dyDescent="0.25">
      <c r="A2251" s="26">
        <v>35217</v>
      </c>
      <c r="B2251" s="49">
        <f t="shared" si="36"/>
        <v>1996</v>
      </c>
      <c r="C2251" s="27" t="s">
        <v>34</v>
      </c>
      <c r="D2251" s="27" t="s">
        <v>33</v>
      </c>
      <c r="E2251" s="27">
        <v>333</v>
      </c>
    </row>
    <row r="2252" spans="1:5" x14ac:dyDescent="0.25">
      <c r="A2252" s="26">
        <v>35217</v>
      </c>
      <c r="B2252" s="49">
        <f t="shared" si="36"/>
        <v>1996</v>
      </c>
      <c r="C2252" s="27" t="s">
        <v>32</v>
      </c>
      <c r="D2252" s="27" t="s">
        <v>33</v>
      </c>
      <c r="E2252" s="27">
        <v>423</v>
      </c>
    </row>
    <row r="2253" spans="1:5" x14ac:dyDescent="0.25">
      <c r="A2253" s="26">
        <v>35217</v>
      </c>
      <c r="B2253" s="49">
        <f t="shared" si="36"/>
        <v>1996</v>
      </c>
      <c r="C2253" s="27" t="s">
        <v>32</v>
      </c>
      <c r="D2253" s="27" t="s">
        <v>33</v>
      </c>
      <c r="E2253" s="27">
        <v>470</v>
      </c>
    </row>
    <row r="2254" spans="1:5" x14ac:dyDescent="0.25">
      <c r="A2254" s="26">
        <v>35217</v>
      </c>
      <c r="B2254" s="49">
        <f t="shared" si="36"/>
        <v>1996</v>
      </c>
      <c r="C2254" s="27" t="s">
        <v>27</v>
      </c>
      <c r="D2254" s="27" t="s">
        <v>33</v>
      </c>
      <c r="E2254" s="27">
        <v>835</v>
      </c>
    </row>
    <row r="2255" spans="1:5" x14ac:dyDescent="0.25">
      <c r="A2255" s="26">
        <v>35217</v>
      </c>
      <c r="B2255" s="49">
        <f t="shared" si="36"/>
        <v>1996</v>
      </c>
      <c r="C2255" s="27" t="s">
        <v>32</v>
      </c>
      <c r="D2255" s="27" t="s">
        <v>33</v>
      </c>
      <c r="E2255" s="27">
        <v>1483</v>
      </c>
    </row>
    <row r="2256" spans="1:5" x14ac:dyDescent="0.25">
      <c r="A2256" s="26">
        <v>35217</v>
      </c>
      <c r="B2256" s="49">
        <f t="shared" si="36"/>
        <v>1996</v>
      </c>
      <c r="C2256" s="27" t="s">
        <v>37</v>
      </c>
      <c r="D2256" s="27" t="s">
        <v>33</v>
      </c>
      <c r="E2256" s="27">
        <v>1615</v>
      </c>
    </row>
    <row r="2257" spans="1:5" x14ac:dyDescent="0.25">
      <c r="A2257" s="26">
        <v>35217</v>
      </c>
      <c r="B2257" s="49">
        <f t="shared" si="36"/>
        <v>1996</v>
      </c>
      <c r="C2257" s="27" t="s">
        <v>32</v>
      </c>
      <c r="D2257" s="27" t="s">
        <v>33</v>
      </c>
      <c r="E2257" s="27">
        <v>2031</v>
      </c>
    </row>
    <row r="2258" spans="1:5" x14ac:dyDescent="0.25">
      <c r="A2258" s="26">
        <v>35217</v>
      </c>
      <c r="B2258" s="49">
        <f t="shared" si="36"/>
        <v>1996</v>
      </c>
      <c r="C2258" s="27" t="s">
        <v>34</v>
      </c>
      <c r="D2258" s="27" t="s">
        <v>33</v>
      </c>
      <c r="E2258" s="27">
        <v>2981</v>
      </c>
    </row>
    <row r="2259" spans="1:5" x14ac:dyDescent="0.25">
      <c r="A2259" s="26">
        <v>35217</v>
      </c>
      <c r="B2259" s="49">
        <f t="shared" si="36"/>
        <v>1996</v>
      </c>
      <c r="C2259" s="27" t="s">
        <v>37</v>
      </c>
      <c r="D2259" s="27" t="s">
        <v>33</v>
      </c>
      <c r="E2259" s="27">
        <v>249</v>
      </c>
    </row>
    <row r="2260" spans="1:5" x14ac:dyDescent="0.25">
      <c r="A2260" s="26">
        <v>35217</v>
      </c>
      <c r="B2260" s="49">
        <f t="shared" si="36"/>
        <v>1996</v>
      </c>
      <c r="C2260" s="27" t="s">
        <v>27</v>
      </c>
      <c r="D2260" s="27" t="s">
        <v>36</v>
      </c>
      <c r="E2260" s="27">
        <v>7</v>
      </c>
    </row>
    <row r="2261" spans="1:5" x14ac:dyDescent="0.25">
      <c r="A2261" s="26">
        <v>35217</v>
      </c>
      <c r="B2261" s="49">
        <f t="shared" si="36"/>
        <v>1996</v>
      </c>
      <c r="C2261" s="27" t="s">
        <v>27</v>
      </c>
      <c r="D2261" s="27" t="s">
        <v>36</v>
      </c>
      <c r="E2261" s="27">
        <v>9</v>
      </c>
    </row>
    <row r="2262" spans="1:5" x14ac:dyDescent="0.25">
      <c r="A2262" s="26">
        <v>35217</v>
      </c>
      <c r="B2262" s="49">
        <f t="shared" si="36"/>
        <v>1996</v>
      </c>
      <c r="C2262" s="27" t="s">
        <v>34</v>
      </c>
      <c r="D2262" s="27" t="s">
        <v>36</v>
      </c>
      <c r="E2262" s="27">
        <v>203</v>
      </c>
    </row>
    <row r="2263" spans="1:5" x14ac:dyDescent="0.25">
      <c r="A2263" s="26">
        <v>35217</v>
      </c>
      <c r="B2263" s="49">
        <f t="shared" si="36"/>
        <v>1996</v>
      </c>
      <c r="C2263" s="27" t="s">
        <v>32</v>
      </c>
      <c r="D2263" s="27" t="s">
        <v>36</v>
      </c>
      <c r="E2263" s="27">
        <v>83</v>
      </c>
    </row>
    <row r="2264" spans="1:5" x14ac:dyDescent="0.25">
      <c r="A2264" s="26">
        <v>35217</v>
      </c>
      <c r="B2264" s="49">
        <f t="shared" si="36"/>
        <v>1996</v>
      </c>
      <c r="C2264" s="27" t="s">
        <v>35</v>
      </c>
      <c r="D2264" s="27" t="s">
        <v>36</v>
      </c>
      <c r="E2264" s="27">
        <v>88</v>
      </c>
    </row>
    <row r="2265" spans="1:5" x14ac:dyDescent="0.25">
      <c r="A2265" s="26">
        <v>35217</v>
      </c>
      <c r="B2265" s="49">
        <f t="shared" si="36"/>
        <v>1996</v>
      </c>
      <c r="C2265" s="27" t="s">
        <v>35</v>
      </c>
      <c r="D2265" s="27" t="s">
        <v>36</v>
      </c>
      <c r="E2265" s="27">
        <v>90</v>
      </c>
    </row>
    <row r="2266" spans="1:5" x14ac:dyDescent="0.25">
      <c r="A2266" s="26">
        <v>35217</v>
      </c>
      <c r="B2266" s="49">
        <f t="shared" si="36"/>
        <v>1996</v>
      </c>
      <c r="C2266" s="27" t="s">
        <v>32</v>
      </c>
      <c r="D2266" s="27" t="s">
        <v>36</v>
      </c>
      <c r="E2266" s="27">
        <v>101</v>
      </c>
    </row>
    <row r="2267" spans="1:5" x14ac:dyDescent="0.25">
      <c r="A2267" s="26">
        <v>35217</v>
      </c>
      <c r="B2267" s="49">
        <f t="shared" si="36"/>
        <v>1996</v>
      </c>
      <c r="C2267" s="27" t="s">
        <v>37</v>
      </c>
      <c r="D2267" s="27" t="s">
        <v>36</v>
      </c>
      <c r="E2267" s="27">
        <v>105</v>
      </c>
    </row>
    <row r="2268" spans="1:5" x14ac:dyDescent="0.25">
      <c r="A2268" s="26">
        <v>35217</v>
      </c>
      <c r="B2268" s="49">
        <f t="shared" si="36"/>
        <v>1996</v>
      </c>
      <c r="C2268" s="27" t="s">
        <v>34</v>
      </c>
      <c r="D2268" s="27" t="s">
        <v>36</v>
      </c>
      <c r="E2268" s="27">
        <v>105</v>
      </c>
    </row>
    <row r="2269" spans="1:5" x14ac:dyDescent="0.25">
      <c r="A2269" s="26">
        <v>35217</v>
      </c>
      <c r="B2269" s="49">
        <f t="shared" si="36"/>
        <v>1996</v>
      </c>
      <c r="C2269" s="27" t="s">
        <v>34</v>
      </c>
      <c r="D2269" s="27" t="s">
        <v>36</v>
      </c>
      <c r="E2269" s="27">
        <v>138</v>
      </c>
    </row>
    <row r="2270" spans="1:5" x14ac:dyDescent="0.25">
      <c r="A2270" s="26">
        <v>35217</v>
      </c>
      <c r="B2270" s="49">
        <f t="shared" si="36"/>
        <v>1996</v>
      </c>
      <c r="C2270" s="27" t="s">
        <v>35</v>
      </c>
      <c r="D2270" s="27" t="s">
        <v>36</v>
      </c>
      <c r="E2270" s="27">
        <v>69</v>
      </c>
    </row>
    <row r="2271" spans="1:5" x14ac:dyDescent="0.25">
      <c r="A2271" s="26">
        <v>35217</v>
      </c>
      <c r="B2271" s="49">
        <f t="shared" si="36"/>
        <v>1996</v>
      </c>
      <c r="C2271" s="27" t="s">
        <v>37</v>
      </c>
      <c r="D2271" s="27" t="s">
        <v>36</v>
      </c>
      <c r="E2271" s="27">
        <v>306</v>
      </c>
    </row>
    <row r="2272" spans="1:5" x14ac:dyDescent="0.25">
      <c r="A2272" s="26">
        <v>35217</v>
      </c>
      <c r="B2272" s="49">
        <f t="shared" si="36"/>
        <v>1996</v>
      </c>
      <c r="C2272" s="27" t="s">
        <v>39</v>
      </c>
      <c r="D2272" s="27" t="s">
        <v>36</v>
      </c>
      <c r="E2272" s="27">
        <v>641</v>
      </c>
    </row>
    <row r="2273" spans="1:5" x14ac:dyDescent="0.25">
      <c r="A2273" s="26">
        <v>35217</v>
      </c>
      <c r="B2273" s="49">
        <f t="shared" si="36"/>
        <v>1996</v>
      </c>
      <c r="C2273" s="27" t="s">
        <v>39</v>
      </c>
      <c r="D2273" s="27" t="s">
        <v>36</v>
      </c>
      <c r="E2273" s="27">
        <v>679</v>
      </c>
    </row>
    <row r="2274" spans="1:5" x14ac:dyDescent="0.25">
      <c r="A2274" s="26">
        <v>35217</v>
      </c>
      <c r="B2274" s="49">
        <f t="shared" si="36"/>
        <v>1996</v>
      </c>
      <c r="C2274" s="27" t="s">
        <v>32</v>
      </c>
      <c r="D2274" s="27" t="s">
        <v>36</v>
      </c>
      <c r="E2274" s="27">
        <v>719</v>
      </c>
    </row>
    <row r="2275" spans="1:5" x14ac:dyDescent="0.25">
      <c r="A2275" s="26">
        <v>35217</v>
      </c>
      <c r="B2275" s="49">
        <f t="shared" si="36"/>
        <v>1996</v>
      </c>
      <c r="C2275" s="27" t="s">
        <v>37</v>
      </c>
      <c r="D2275" s="27" t="s">
        <v>36</v>
      </c>
      <c r="E2275" s="27">
        <v>1020</v>
      </c>
    </row>
    <row r="2276" spans="1:5" x14ac:dyDescent="0.25">
      <c r="A2276" s="26">
        <v>35217</v>
      </c>
      <c r="B2276" s="49">
        <f t="shared" si="36"/>
        <v>1996</v>
      </c>
      <c r="C2276" s="27" t="s">
        <v>34</v>
      </c>
      <c r="D2276" s="27" t="s">
        <v>36</v>
      </c>
      <c r="E2276" s="27">
        <v>158</v>
      </c>
    </row>
    <row r="2277" spans="1:5" x14ac:dyDescent="0.25">
      <c r="A2277" s="26">
        <v>35217</v>
      </c>
      <c r="B2277" s="49">
        <f t="shared" si="36"/>
        <v>1996</v>
      </c>
      <c r="C2277" s="27" t="s">
        <v>32</v>
      </c>
      <c r="D2277" s="27" t="s">
        <v>36</v>
      </c>
      <c r="E2277" s="27">
        <v>44</v>
      </c>
    </row>
    <row r="2278" spans="1:5" x14ac:dyDescent="0.25">
      <c r="A2278" s="26">
        <v>35217</v>
      </c>
      <c r="B2278" s="49">
        <f t="shared" si="36"/>
        <v>1996</v>
      </c>
      <c r="C2278" s="27" t="s">
        <v>27</v>
      </c>
      <c r="D2278" s="27" t="s">
        <v>36</v>
      </c>
      <c r="E2278" s="27">
        <v>33</v>
      </c>
    </row>
    <row r="2279" spans="1:5" x14ac:dyDescent="0.25">
      <c r="A2279" s="26">
        <v>35217</v>
      </c>
      <c r="B2279" s="49">
        <f t="shared" si="36"/>
        <v>1996</v>
      </c>
      <c r="C2279" s="27" t="s">
        <v>37</v>
      </c>
      <c r="D2279" s="27" t="s">
        <v>36</v>
      </c>
      <c r="E2279" s="27">
        <v>34</v>
      </c>
    </row>
    <row r="2280" spans="1:5" x14ac:dyDescent="0.25">
      <c r="A2280" s="26">
        <v>35217</v>
      </c>
      <c r="B2280" s="49">
        <f t="shared" si="36"/>
        <v>1996</v>
      </c>
      <c r="C2280" s="27" t="s">
        <v>35</v>
      </c>
      <c r="D2280" s="27" t="s">
        <v>36</v>
      </c>
      <c r="E2280" s="27">
        <v>35</v>
      </c>
    </row>
    <row r="2281" spans="1:5" x14ac:dyDescent="0.25">
      <c r="A2281" s="26">
        <v>35217</v>
      </c>
      <c r="B2281" s="49">
        <f t="shared" si="36"/>
        <v>1996</v>
      </c>
      <c r="C2281" s="27" t="s">
        <v>35</v>
      </c>
      <c r="D2281" s="27" t="s">
        <v>36</v>
      </c>
      <c r="E2281" s="27">
        <v>35</v>
      </c>
    </row>
    <row r="2282" spans="1:5" x14ac:dyDescent="0.25">
      <c r="A2282" s="26">
        <v>35217</v>
      </c>
      <c r="B2282" s="49">
        <f t="shared" si="36"/>
        <v>1996</v>
      </c>
      <c r="C2282" s="27" t="s">
        <v>27</v>
      </c>
      <c r="D2282" s="27" t="s">
        <v>36</v>
      </c>
      <c r="E2282" s="27">
        <v>41</v>
      </c>
    </row>
    <row r="2283" spans="1:5" x14ac:dyDescent="0.25">
      <c r="A2283" s="26">
        <v>35217</v>
      </c>
      <c r="B2283" s="49">
        <f t="shared" si="36"/>
        <v>1996</v>
      </c>
      <c r="C2283" s="27" t="s">
        <v>37</v>
      </c>
      <c r="D2283" s="27" t="s">
        <v>36</v>
      </c>
      <c r="E2283" s="27">
        <v>83</v>
      </c>
    </row>
    <row r="2284" spans="1:5" x14ac:dyDescent="0.25">
      <c r="A2284" s="26">
        <v>35217</v>
      </c>
      <c r="B2284" s="49">
        <f t="shared" si="36"/>
        <v>1996</v>
      </c>
      <c r="C2284" s="27" t="s">
        <v>32</v>
      </c>
      <c r="D2284" s="27" t="s">
        <v>36</v>
      </c>
      <c r="E2284" s="27">
        <v>42</v>
      </c>
    </row>
    <row r="2285" spans="1:5" x14ac:dyDescent="0.25">
      <c r="A2285" s="26">
        <v>35217</v>
      </c>
      <c r="B2285" s="49">
        <f t="shared" si="36"/>
        <v>1996</v>
      </c>
      <c r="C2285" s="27" t="s">
        <v>34</v>
      </c>
      <c r="D2285" s="27" t="s">
        <v>36</v>
      </c>
      <c r="E2285" s="27">
        <v>18</v>
      </c>
    </row>
    <row r="2286" spans="1:5" x14ac:dyDescent="0.25">
      <c r="A2286" s="26">
        <v>35217</v>
      </c>
      <c r="B2286" s="49">
        <f t="shared" si="36"/>
        <v>1996</v>
      </c>
      <c r="C2286" s="27" t="s">
        <v>27</v>
      </c>
      <c r="D2286" s="27" t="s">
        <v>36</v>
      </c>
      <c r="E2286" s="27">
        <v>44</v>
      </c>
    </row>
    <row r="2287" spans="1:5" x14ac:dyDescent="0.25">
      <c r="A2287" s="26">
        <v>35217</v>
      </c>
      <c r="B2287" s="49">
        <f t="shared" si="36"/>
        <v>1996</v>
      </c>
      <c r="C2287" s="27" t="s">
        <v>32</v>
      </c>
      <c r="D2287" s="27" t="s">
        <v>36</v>
      </c>
      <c r="E2287" s="27">
        <v>44</v>
      </c>
    </row>
    <row r="2288" spans="1:5" x14ac:dyDescent="0.25">
      <c r="A2288" s="26">
        <v>35217</v>
      </c>
      <c r="B2288" s="49">
        <f t="shared" si="36"/>
        <v>1996</v>
      </c>
      <c r="C2288" s="27" t="s">
        <v>35</v>
      </c>
      <c r="D2288" s="27" t="s">
        <v>36</v>
      </c>
      <c r="E2288" s="27">
        <v>50</v>
      </c>
    </row>
    <row r="2289" spans="1:5" x14ac:dyDescent="0.25">
      <c r="A2289" s="26">
        <v>35217</v>
      </c>
      <c r="B2289" s="49">
        <f t="shared" si="36"/>
        <v>1996</v>
      </c>
      <c r="C2289" s="27" t="s">
        <v>27</v>
      </c>
      <c r="D2289" s="27" t="s">
        <v>36</v>
      </c>
      <c r="E2289" s="27">
        <v>68</v>
      </c>
    </row>
    <row r="2290" spans="1:5" x14ac:dyDescent="0.25">
      <c r="A2290" s="26">
        <v>35217</v>
      </c>
      <c r="B2290" s="49">
        <f t="shared" si="36"/>
        <v>1996</v>
      </c>
      <c r="C2290" s="27" t="s">
        <v>37</v>
      </c>
      <c r="D2290" s="27" t="s">
        <v>36</v>
      </c>
      <c r="E2290" s="27">
        <v>1319</v>
      </c>
    </row>
    <row r="2291" spans="1:5" x14ac:dyDescent="0.25">
      <c r="A2291" s="26">
        <v>35217</v>
      </c>
      <c r="B2291" s="49">
        <f t="shared" si="36"/>
        <v>1996</v>
      </c>
      <c r="C2291" s="27" t="s">
        <v>39</v>
      </c>
      <c r="D2291" s="27" t="s">
        <v>36</v>
      </c>
      <c r="E2291" s="27">
        <v>1565</v>
      </c>
    </row>
    <row r="2292" spans="1:5" x14ac:dyDescent="0.25">
      <c r="A2292" s="26">
        <v>35247</v>
      </c>
      <c r="B2292" s="49">
        <f t="shared" si="36"/>
        <v>1996</v>
      </c>
      <c r="C2292" s="27" t="s">
        <v>35</v>
      </c>
      <c r="D2292" s="27" t="s">
        <v>28</v>
      </c>
      <c r="E2292" s="27">
        <v>428</v>
      </c>
    </row>
    <row r="2293" spans="1:5" x14ac:dyDescent="0.25">
      <c r="A2293" s="26">
        <v>35247</v>
      </c>
      <c r="B2293" s="49">
        <f t="shared" si="36"/>
        <v>1996</v>
      </c>
      <c r="C2293" s="27" t="s">
        <v>35</v>
      </c>
      <c r="D2293" s="27" t="s">
        <v>28</v>
      </c>
      <c r="E2293" s="27">
        <v>72</v>
      </c>
    </row>
    <row r="2294" spans="1:5" x14ac:dyDescent="0.25">
      <c r="A2294" s="26">
        <v>35247</v>
      </c>
      <c r="B2294" s="49">
        <f t="shared" si="36"/>
        <v>1996</v>
      </c>
      <c r="C2294" s="27" t="s">
        <v>34</v>
      </c>
      <c r="D2294" s="27" t="s">
        <v>28</v>
      </c>
      <c r="E2294" s="27">
        <v>83</v>
      </c>
    </row>
    <row r="2295" spans="1:5" x14ac:dyDescent="0.25">
      <c r="A2295" s="26">
        <v>35247</v>
      </c>
      <c r="B2295" s="49">
        <f t="shared" si="36"/>
        <v>1996</v>
      </c>
      <c r="C2295" s="27" t="s">
        <v>37</v>
      </c>
      <c r="D2295" s="27" t="s">
        <v>28</v>
      </c>
      <c r="E2295" s="27">
        <v>124</v>
      </c>
    </row>
    <row r="2296" spans="1:5" x14ac:dyDescent="0.25">
      <c r="A2296" s="26">
        <v>35247</v>
      </c>
      <c r="B2296" s="49">
        <f t="shared" si="36"/>
        <v>1996</v>
      </c>
      <c r="C2296" s="27" t="s">
        <v>35</v>
      </c>
      <c r="D2296" s="27" t="s">
        <v>28</v>
      </c>
      <c r="E2296" s="27">
        <v>158</v>
      </c>
    </row>
    <row r="2297" spans="1:5" x14ac:dyDescent="0.25">
      <c r="A2297" s="26">
        <v>35247</v>
      </c>
      <c r="B2297" s="49">
        <f t="shared" si="36"/>
        <v>1996</v>
      </c>
      <c r="C2297" s="27" t="s">
        <v>34</v>
      </c>
      <c r="D2297" s="27" t="s">
        <v>28</v>
      </c>
      <c r="E2297" s="27">
        <v>203</v>
      </c>
    </row>
    <row r="2298" spans="1:5" x14ac:dyDescent="0.25">
      <c r="A2298" s="26">
        <v>35247</v>
      </c>
      <c r="B2298" s="49">
        <f t="shared" si="36"/>
        <v>1996</v>
      </c>
      <c r="C2298" s="27" t="s">
        <v>32</v>
      </c>
      <c r="D2298" s="27" t="s">
        <v>28</v>
      </c>
      <c r="E2298" s="27">
        <v>203</v>
      </c>
    </row>
    <row r="2299" spans="1:5" x14ac:dyDescent="0.25">
      <c r="A2299" s="26">
        <v>35247</v>
      </c>
      <c r="B2299" s="49">
        <f t="shared" si="36"/>
        <v>1996</v>
      </c>
      <c r="C2299" s="27" t="s">
        <v>32</v>
      </c>
      <c r="D2299" s="27" t="s">
        <v>28</v>
      </c>
      <c r="E2299" s="27">
        <v>220</v>
      </c>
    </row>
    <row r="2300" spans="1:5" x14ac:dyDescent="0.25">
      <c r="A2300" s="26">
        <v>35247</v>
      </c>
      <c r="B2300" s="49">
        <f t="shared" si="36"/>
        <v>1996</v>
      </c>
      <c r="C2300" s="27" t="s">
        <v>37</v>
      </c>
      <c r="D2300" s="27" t="s">
        <v>28</v>
      </c>
      <c r="E2300" s="27">
        <v>1061</v>
      </c>
    </row>
    <row r="2301" spans="1:5" x14ac:dyDescent="0.25">
      <c r="A2301" s="26">
        <v>35247</v>
      </c>
      <c r="B2301" s="49">
        <f t="shared" si="36"/>
        <v>1996</v>
      </c>
      <c r="C2301" s="27" t="s">
        <v>35</v>
      </c>
      <c r="D2301" s="27" t="s">
        <v>28</v>
      </c>
      <c r="E2301" s="27">
        <v>385</v>
      </c>
    </row>
    <row r="2302" spans="1:5" x14ac:dyDescent="0.25">
      <c r="A2302" s="26">
        <v>35247</v>
      </c>
      <c r="B2302" s="49">
        <f t="shared" si="36"/>
        <v>1996</v>
      </c>
      <c r="C2302" s="27" t="s">
        <v>27</v>
      </c>
      <c r="D2302" s="27" t="s">
        <v>28</v>
      </c>
      <c r="E2302" s="27">
        <v>494</v>
      </c>
    </row>
    <row r="2303" spans="1:5" x14ac:dyDescent="0.25">
      <c r="A2303" s="26">
        <v>35247</v>
      </c>
      <c r="B2303" s="49">
        <f t="shared" si="36"/>
        <v>1996</v>
      </c>
      <c r="C2303" s="27" t="s">
        <v>27</v>
      </c>
      <c r="D2303" s="27" t="s">
        <v>28</v>
      </c>
      <c r="E2303" s="27">
        <v>506</v>
      </c>
    </row>
    <row r="2304" spans="1:5" x14ac:dyDescent="0.25">
      <c r="A2304" s="26">
        <v>35247</v>
      </c>
      <c r="B2304" s="49">
        <f t="shared" si="36"/>
        <v>1996</v>
      </c>
      <c r="C2304" s="27" t="s">
        <v>32</v>
      </c>
      <c r="D2304" s="27" t="s">
        <v>28</v>
      </c>
      <c r="E2304" s="27">
        <v>655</v>
      </c>
    </row>
    <row r="2305" spans="1:5" x14ac:dyDescent="0.25">
      <c r="A2305" s="26">
        <v>35247</v>
      </c>
      <c r="B2305" s="49">
        <f t="shared" si="36"/>
        <v>1996</v>
      </c>
      <c r="C2305" s="27" t="s">
        <v>27</v>
      </c>
      <c r="D2305" s="27" t="s">
        <v>28</v>
      </c>
      <c r="E2305" s="27">
        <v>678</v>
      </c>
    </row>
    <row r="2306" spans="1:5" x14ac:dyDescent="0.25">
      <c r="A2306" s="26">
        <v>35247</v>
      </c>
      <c r="B2306" s="49">
        <f t="shared" si="36"/>
        <v>1996</v>
      </c>
      <c r="C2306" s="27" t="s">
        <v>39</v>
      </c>
      <c r="D2306" s="27" t="s">
        <v>28</v>
      </c>
      <c r="E2306" s="27">
        <v>776</v>
      </c>
    </row>
    <row r="2307" spans="1:5" x14ac:dyDescent="0.25">
      <c r="A2307" s="26">
        <v>35247</v>
      </c>
      <c r="B2307" s="49">
        <f t="shared" ref="B2307:B2370" si="37">YEAR(A2307)</f>
        <v>1996</v>
      </c>
      <c r="C2307" s="27" t="s">
        <v>37</v>
      </c>
      <c r="D2307" s="27" t="s">
        <v>28</v>
      </c>
      <c r="E2307" s="27">
        <v>829</v>
      </c>
    </row>
    <row r="2308" spans="1:5" x14ac:dyDescent="0.25">
      <c r="A2308" s="26">
        <v>35247</v>
      </c>
      <c r="B2308" s="49">
        <f t="shared" si="37"/>
        <v>1996</v>
      </c>
      <c r="C2308" s="27" t="s">
        <v>34</v>
      </c>
      <c r="D2308" s="27" t="s">
        <v>28</v>
      </c>
      <c r="E2308" s="27">
        <v>304</v>
      </c>
    </row>
    <row r="2309" spans="1:5" x14ac:dyDescent="0.25">
      <c r="A2309" s="26">
        <v>35247</v>
      </c>
      <c r="B2309" s="49">
        <f t="shared" si="37"/>
        <v>1996</v>
      </c>
      <c r="C2309" s="27" t="s">
        <v>32</v>
      </c>
      <c r="D2309" s="27" t="s">
        <v>28</v>
      </c>
      <c r="E2309" s="27">
        <v>56</v>
      </c>
    </row>
    <row r="2310" spans="1:5" x14ac:dyDescent="0.25">
      <c r="A2310" s="26">
        <v>35247</v>
      </c>
      <c r="B2310" s="49">
        <f t="shared" si="37"/>
        <v>1996</v>
      </c>
      <c r="C2310" s="27" t="s">
        <v>34</v>
      </c>
      <c r="D2310" s="27" t="s">
        <v>28</v>
      </c>
      <c r="E2310" s="27">
        <v>1529</v>
      </c>
    </row>
    <row r="2311" spans="1:5" x14ac:dyDescent="0.25">
      <c r="A2311" s="26">
        <v>35247</v>
      </c>
      <c r="B2311" s="49">
        <f t="shared" si="37"/>
        <v>1996</v>
      </c>
      <c r="C2311" s="27" t="s">
        <v>27</v>
      </c>
      <c r="D2311" s="27" t="s">
        <v>28</v>
      </c>
      <c r="E2311" s="27">
        <v>1681</v>
      </c>
    </row>
    <row r="2312" spans="1:5" x14ac:dyDescent="0.25">
      <c r="A2312" s="26">
        <v>35247</v>
      </c>
      <c r="B2312" s="49">
        <f t="shared" si="37"/>
        <v>1996</v>
      </c>
      <c r="C2312" s="27" t="s">
        <v>39</v>
      </c>
      <c r="D2312" s="27" t="s">
        <v>28</v>
      </c>
      <c r="E2312" s="27">
        <v>1932</v>
      </c>
    </row>
    <row r="2313" spans="1:5" x14ac:dyDescent="0.25">
      <c r="A2313" s="26">
        <v>35247</v>
      </c>
      <c r="B2313" s="49">
        <f t="shared" si="37"/>
        <v>1996</v>
      </c>
      <c r="C2313" s="27" t="s">
        <v>37</v>
      </c>
      <c r="D2313" s="27" t="s">
        <v>28</v>
      </c>
      <c r="E2313" s="27">
        <v>2414</v>
      </c>
    </row>
    <row r="2314" spans="1:5" x14ac:dyDescent="0.25">
      <c r="A2314" s="26">
        <v>35247</v>
      </c>
      <c r="B2314" s="49">
        <f t="shared" si="37"/>
        <v>1996</v>
      </c>
      <c r="C2314" s="27" t="s">
        <v>34</v>
      </c>
      <c r="D2314" s="27" t="s">
        <v>29</v>
      </c>
      <c r="E2314" s="27">
        <v>203</v>
      </c>
    </row>
    <row r="2315" spans="1:5" x14ac:dyDescent="0.25">
      <c r="A2315" s="26">
        <v>35247</v>
      </c>
      <c r="B2315" s="49">
        <f t="shared" si="37"/>
        <v>1996</v>
      </c>
      <c r="C2315" s="27" t="s">
        <v>27</v>
      </c>
      <c r="D2315" s="27" t="s">
        <v>29</v>
      </c>
      <c r="E2315" s="27">
        <v>646</v>
      </c>
    </row>
    <row r="2316" spans="1:5" x14ac:dyDescent="0.25">
      <c r="A2316" s="26">
        <v>35247</v>
      </c>
      <c r="B2316" s="49">
        <f t="shared" si="37"/>
        <v>1996</v>
      </c>
      <c r="C2316" s="27" t="s">
        <v>34</v>
      </c>
      <c r="D2316" s="27" t="s">
        <v>29</v>
      </c>
      <c r="E2316" s="27">
        <v>459</v>
      </c>
    </row>
    <row r="2317" spans="1:5" x14ac:dyDescent="0.25">
      <c r="A2317" s="26">
        <v>35247</v>
      </c>
      <c r="B2317" s="49">
        <f t="shared" si="37"/>
        <v>1996</v>
      </c>
      <c r="C2317" s="27" t="s">
        <v>32</v>
      </c>
      <c r="D2317" s="27" t="s">
        <v>29</v>
      </c>
      <c r="E2317" s="27">
        <v>620</v>
      </c>
    </row>
    <row r="2318" spans="1:5" x14ac:dyDescent="0.25">
      <c r="A2318" s="26">
        <v>35247</v>
      </c>
      <c r="B2318" s="49">
        <f t="shared" si="37"/>
        <v>1996</v>
      </c>
      <c r="C2318" s="27" t="s">
        <v>35</v>
      </c>
      <c r="D2318" s="27" t="s">
        <v>29</v>
      </c>
      <c r="E2318" s="27">
        <v>426</v>
      </c>
    </row>
    <row r="2319" spans="1:5" x14ac:dyDescent="0.25">
      <c r="A2319" s="26">
        <v>35247</v>
      </c>
      <c r="B2319" s="49">
        <f t="shared" si="37"/>
        <v>1996</v>
      </c>
      <c r="C2319" s="27" t="s">
        <v>37</v>
      </c>
      <c r="D2319" s="27" t="s">
        <v>29</v>
      </c>
      <c r="E2319" s="27">
        <v>648</v>
      </c>
    </row>
    <row r="2320" spans="1:5" x14ac:dyDescent="0.25">
      <c r="A2320" s="26">
        <v>35247</v>
      </c>
      <c r="B2320" s="49">
        <f t="shared" si="37"/>
        <v>1996</v>
      </c>
      <c r="C2320" s="27" t="s">
        <v>37</v>
      </c>
      <c r="D2320" s="27" t="s">
        <v>29</v>
      </c>
      <c r="E2320" s="27">
        <v>158</v>
      </c>
    </row>
    <row r="2321" spans="1:5" x14ac:dyDescent="0.25">
      <c r="A2321" s="26">
        <v>35247</v>
      </c>
      <c r="B2321" s="49">
        <f t="shared" si="37"/>
        <v>1996</v>
      </c>
      <c r="C2321" s="27" t="s">
        <v>32</v>
      </c>
      <c r="D2321" s="27" t="s">
        <v>29</v>
      </c>
      <c r="E2321" s="27">
        <v>146</v>
      </c>
    </row>
    <row r="2322" spans="1:5" x14ac:dyDescent="0.25">
      <c r="A2322" s="26">
        <v>35247</v>
      </c>
      <c r="B2322" s="49">
        <f t="shared" si="37"/>
        <v>1996</v>
      </c>
      <c r="C2322" s="27" t="s">
        <v>37</v>
      </c>
      <c r="D2322" s="27" t="s">
        <v>29</v>
      </c>
      <c r="E2322" s="27">
        <v>158</v>
      </c>
    </row>
    <row r="2323" spans="1:5" x14ac:dyDescent="0.25">
      <c r="A2323" s="26">
        <v>35247</v>
      </c>
      <c r="B2323" s="49">
        <f t="shared" si="37"/>
        <v>1996</v>
      </c>
      <c r="C2323" s="27" t="s">
        <v>32</v>
      </c>
      <c r="D2323" s="27" t="s">
        <v>29</v>
      </c>
      <c r="E2323" s="27">
        <v>88</v>
      </c>
    </row>
    <row r="2324" spans="1:5" x14ac:dyDescent="0.25">
      <c r="A2324" s="26">
        <v>35247</v>
      </c>
      <c r="B2324" s="49">
        <f t="shared" si="37"/>
        <v>1996</v>
      </c>
      <c r="C2324" s="27" t="s">
        <v>27</v>
      </c>
      <c r="D2324" s="27" t="s">
        <v>29</v>
      </c>
      <c r="E2324" s="27">
        <v>239</v>
      </c>
    </row>
    <row r="2325" spans="1:5" x14ac:dyDescent="0.25">
      <c r="A2325" s="26">
        <v>35247</v>
      </c>
      <c r="B2325" s="49">
        <f t="shared" si="37"/>
        <v>1996</v>
      </c>
      <c r="C2325" s="27" t="s">
        <v>39</v>
      </c>
      <c r="D2325" s="27" t="s">
        <v>29</v>
      </c>
      <c r="E2325" s="27">
        <v>655</v>
      </c>
    </row>
    <row r="2326" spans="1:5" x14ac:dyDescent="0.25">
      <c r="A2326" s="26">
        <v>35247</v>
      </c>
      <c r="B2326" s="49">
        <f t="shared" si="37"/>
        <v>1996</v>
      </c>
      <c r="C2326" s="27" t="s">
        <v>35</v>
      </c>
      <c r="D2326" s="27" t="s">
        <v>29</v>
      </c>
      <c r="E2326" s="27">
        <v>245</v>
      </c>
    </row>
    <row r="2327" spans="1:5" x14ac:dyDescent="0.25">
      <c r="A2327" s="26">
        <v>35247</v>
      </c>
      <c r="B2327" s="49">
        <f t="shared" si="37"/>
        <v>1996</v>
      </c>
      <c r="C2327" s="27" t="s">
        <v>27</v>
      </c>
      <c r="D2327" s="27" t="s">
        <v>29</v>
      </c>
      <c r="E2327" s="27">
        <v>238</v>
      </c>
    </row>
    <row r="2328" spans="1:5" x14ac:dyDescent="0.25">
      <c r="A2328" s="26">
        <v>35247</v>
      </c>
      <c r="B2328" s="49">
        <f t="shared" si="37"/>
        <v>1996</v>
      </c>
      <c r="C2328" s="27" t="s">
        <v>34</v>
      </c>
      <c r="D2328" s="27" t="s">
        <v>29</v>
      </c>
      <c r="E2328" s="27">
        <v>236</v>
      </c>
    </row>
    <row r="2329" spans="1:5" x14ac:dyDescent="0.25">
      <c r="A2329" s="26">
        <v>35247</v>
      </c>
      <c r="B2329" s="49">
        <f t="shared" si="37"/>
        <v>1996</v>
      </c>
      <c r="C2329" s="27" t="s">
        <v>37</v>
      </c>
      <c r="D2329" s="27" t="s">
        <v>29</v>
      </c>
      <c r="E2329" s="27">
        <v>917</v>
      </c>
    </row>
    <row r="2330" spans="1:5" x14ac:dyDescent="0.25">
      <c r="A2330" s="26">
        <v>35247</v>
      </c>
      <c r="B2330" s="49">
        <f t="shared" si="37"/>
        <v>1996</v>
      </c>
      <c r="C2330" s="27" t="s">
        <v>32</v>
      </c>
      <c r="D2330" s="27" t="s">
        <v>29</v>
      </c>
      <c r="E2330" s="27">
        <v>228</v>
      </c>
    </row>
    <row r="2331" spans="1:5" x14ac:dyDescent="0.25">
      <c r="A2331" s="26">
        <v>35247</v>
      </c>
      <c r="B2331" s="49">
        <f t="shared" si="37"/>
        <v>1996</v>
      </c>
      <c r="C2331" s="27" t="s">
        <v>39</v>
      </c>
      <c r="D2331" s="27" t="s">
        <v>29</v>
      </c>
      <c r="E2331" s="27">
        <v>1534</v>
      </c>
    </row>
    <row r="2332" spans="1:5" x14ac:dyDescent="0.25">
      <c r="A2332" s="26">
        <v>35247</v>
      </c>
      <c r="B2332" s="49">
        <f t="shared" si="37"/>
        <v>1996</v>
      </c>
      <c r="C2332" s="27" t="s">
        <v>27</v>
      </c>
      <c r="D2332" s="27" t="s">
        <v>29</v>
      </c>
      <c r="E2332" s="27">
        <v>1292</v>
      </c>
    </row>
    <row r="2333" spans="1:5" x14ac:dyDescent="0.25">
      <c r="A2333" s="26">
        <v>35247</v>
      </c>
      <c r="B2333" s="49">
        <f t="shared" si="37"/>
        <v>1996</v>
      </c>
      <c r="C2333" s="27" t="s">
        <v>35</v>
      </c>
      <c r="D2333" s="27" t="s">
        <v>29</v>
      </c>
      <c r="E2333" s="27">
        <v>354</v>
      </c>
    </row>
    <row r="2334" spans="1:5" x14ac:dyDescent="0.25">
      <c r="A2334" s="26">
        <v>35247</v>
      </c>
      <c r="B2334" s="49">
        <f t="shared" si="37"/>
        <v>1996</v>
      </c>
      <c r="C2334" s="27" t="s">
        <v>35</v>
      </c>
      <c r="D2334" s="27" t="s">
        <v>29</v>
      </c>
      <c r="E2334" s="27">
        <v>257</v>
      </c>
    </row>
    <row r="2335" spans="1:5" x14ac:dyDescent="0.25">
      <c r="A2335" s="26">
        <v>35247</v>
      </c>
      <c r="B2335" s="49">
        <f t="shared" si="37"/>
        <v>1996</v>
      </c>
      <c r="C2335" s="27" t="s">
        <v>34</v>
      </c>
      <c r="D2335" s="27" t="s">
        <v>29</v>
      </c>
      <c r="E2335" s="27">
        <v>315</v>
      </c>
    </row>
    <row r="2336" spans="1:5" x14ac:dyDescent="0.25">
      <c r="A2336" s="26">
        <v>35247</v>
      </c>
      <c r="B2336" s="49">
        <f t="shared" si="37"/>
        <v>1996</v>
      </c>
      <c r="C2336" s="27" t="s">
        <v>27</v>
      </c>
      <c r="D2336" s="27" t="s">
        <v>38</v>
      </c>
      <c r="E2336" s="27">
        <v>101</v>
      </c>
    </row>
    <row r="2337" spans="1:5" x14ac:dyDescent="0.25">
      <c r="A2337" s="26">
        <v>35247</v>
      </c>
      <c r="B2337" s="49">
        <f t="shared" si="37"/>
        <v>1996</v>
      </c>
      <c r="C2337" s="27" t="s">
        <v>32</v>
      </c>
      <c r="D2337" s="27" t="s">
        <v>38</v>
      </c>
      <c r="E2337" s="27">
        <v>1845</v>
      </c>
    </row>
    <row r="2338" spans="1:5" x14ac:dyDescent="0.25">
      <c r="A2338" s="26">
        <v>35247</v>
      </c>
      <c r="B2338" s="49">
        <f t="shared" si="37"/>
        <v>1996</v>
      </c>
      <c r="C2338" s="27" t="s">
        <v>39</v>
      </c>
      <c r="D2338" s="27" t="s">
        <v>38</v>
      </c>
      <c r="E2338" s="27">
        <v>1271</v>
      </c>
    </row>
    <row r="2339" spans="1:5" x14ac:dyDescent="0.25">
      <c r="A2339" s="26">
        <v>35247</v>
      </c>
      <c r="B2339" s="49">
        <f t="shared" si="37"/>
        <v>1996</v>
      </c>
      <c r="C2339" s="27" t="s">
        <v>35</v>
      </c>
      <c r="D2339" s="27" t="s">
        <v>38</v>
      </c>
      <c r="E2339" s="27">
        <v>45</v>
      </c>
    </row>
    <row r="2340" spans="1:5" x14ac:dyDescent="0.25">
      <c r="A2340" s="26">
        <v>35247</v>
      </c>
      <c r="B2340" s="49">
        <f t="shared" si="37"/>
        <v>1996</v>
      </c>
      <c r="C2340" s="27" t="s">
        <v>37</v>
      </c>
      <c r="D2340" s="27" t="s">
        <v>38</v>
      </c>
      <c r="E2340" s="27">
        <v>79</v>
      </c>
    </row>
    <row r="2341" spans="1:5" x14ac:dyDescent="0.25">
      <c r="A2341" s="26">
        <v>35247</v>
      </c>
      <c r="B2341" s="49">
        <f t="shared" si="37"/>
        <v>1996</v>
      </c>
      <c r="C2341" s="27" t="s">
        <v>35</v>
      </c>
      <c r="D2341" s="27" t="s">
        <v>38</v>
      </c>
      <c r="E2341" s="27">
        <v>68</v>
      </c>
    </row>
    <row r="2342" spans="1:5" x14ac:dyDescent="0.25">
      <c r="A2342" s="26">
        <v>35247</v>
      </c>
      <c r="B2342" s="49">
        <f t="shared" si="37"/>
        <v>1996</v>
      </c>
      <c r="C2342" s="27" t="s">
        <v>37</v>
      </c>
      <c r="D2342" s="27" t="s">
        <v>38</v>
      </c>
      <c r="E2342" s="27">
        <v>225</v>
      </c>
    </row>
    <row r="2343" spans="1:5" x14ac:dyDescent="0.25">
      <c r="A2343" s="26">
        <v>35247</v>
      </c>
      <c r="B2343" s="49">
        <f t="shared" si="37"/>
        <v>1996</v>
      </c>
      <c r="C2343" s="27" t="s">
        <v>27</v>
      </c>
      <c r="D2343" s="27" t="s">
        <v>38</v>
      </c>
      <c r="E2343" s="27">
        <v>88</v>
      </c>
    </row>
    <row r="2344" spans="1:5" x14ac:dyDescent="0.25">
      <c r="A2344" s="26">
        <v>35247</v>
      </c>
      <c r="B2344" s="49">
        <f t="shared" si="37"/>
        <v>1996</v>
      </c>
      <c r="C2344" s="27" t="s">
        <v>34</v>
      </c>
      <c r="D2344" s="27" t="s">
        <v>38</v>
      </c>
      <c r="E2344" s="27">
        <v>420</v>
      </c>
    </row>
    <row r="2345" spans="1:5" x14ac:dyDescent="0.25">
      <c r="A2345" s="26">
        <v>35247</v>
      </c>
      <c r="B2345" s="49">
        <f t="shared" si="37"/>
        <v>1996</v>
      </c>
      <c r="C2345" s="27" t="s">
        <v>34</v>
      </c>
      <c r="D2345" s="27" t="s">
        <v>38</v>
      </c>
      <c r="E2345" s="27">
        <v>434</v>
      </c>
    </row>
    <row r="2346" spans="1:5" x14ac:dyDescent="0.25">
      <c r="A2346" s="26">
        <v>35247</v>
      </c>
      <c r="B2346" s="49">
        <f t="shared" si="37"/>
        <v>1996</v>
      </c>
      <c r="C2346" s="27" t="s">
        <v>35</v>
      </c>
      <c r="D2346" s="27" t="s">
        <v>38</v>
      </c>
      <c r="E2346" s="27">
        <v>193</v>
      </c>
    </row>
    <row r="2347" spans="1:5" x14ac:dyDescent="0.25">
      <c r="A2347" s="26">
        <v>35247</v>
      </c>
      <c r="B2347" s="49">
        <f t="shared" si="37"/>
        <v>1996</v>
      </c>
      <c r="C2347" s="27" t="s">
        <v>32</v>
      </c>
      <c r="D2347" s="27" t="s">
        <v>38</v>
      </c>
      <c r="E2347" s="27">
        <v>175</v>
      </c>
    </row>
    <row r="2348" spans="1:5" x14ac:dyDescent="0.25">
      <c r="A2348" s="26">
        <v>35247</v>
      </c>
      <c r="B2348" s="49">
        <f t="shared" si="37"/>
        <v>1996</v>
      </c>
      <c r="C2348" s="27" t="s">
        <v>35</v>
      </c>
      <c r="D2348" s="27" t="s">
        <v>38</v>
      </c>
      <c r="E2348" s="27">
        <v>172</v>
      </c>
    </row>
    <row r="2349" spans="1:5" x14ac:dyDescent="0.25">
      <c r="A2349" s="26">
        <v>35247</v>
      </c>
      <c r="B2349" s="49">
        <f t="shared" si="37"/>
        <v>1996</v>
      </c>
      <c r="C2349" s="27" t="s">
        <v>27</v>
      </c>
      <c r="D2349" s="27" t="s">
        <v>38</v>
      </c>
      <c r="E2349" s="27">
        <v>239</v>
      </c>
    </row>
    <row r="2350" spans="1:5" x14ac:dyDescent="0.25">
      <c r="A2350" s="26">
        <v>35247</v>
      </c>
      <c r="B2350" s="49">
        <f t="shared" si="37"/>
        <v>1996</v>
      </c>
      <c r="C2350" s="27" t="s">
        <v>32</v>
      </c>
      <c r="D2350" s="27" t="s">
        <v>38</v>
      </c>
      <c r="E2350" s="27">
        <v>214</v>
      </c>
    </row>
    <row r="2351" spans="1:5" x14ac:dyDescent="0.25">
      <c r="A2351" s="26">
        <v>35247</v>
      </c>
      <c r="B2351" s="49">
        <f t="shared" si="37"/>
        <v>1996</v>
      </c>
      <c r="C2351" s="27" t="s">
        <v>34</v>
      </c>
      <c r="D2351" s="27" t="s">
        <v>38</v>
      </c>
      <c r="E2351" s="27">
        <v>270</v>
      </c>
    </row>
    <row r="2352" spans="1:5" x14ac:dyDescent="0.25">
      <c r="A2352" s="26">
        <v>35247</v>
      </c>
      <c r="B2352" s="49">
        <f t="shared" si="37"/>
        <v>1996</v>
      </c>
      <c r="C2352" s="27" t="s">
        <v>34</v>
      </c>
      <c r="D2352" s="27" t="s">
        <v>38</v>
      </c>
      <c r="E2352" s="27">
        <v>338</v>
      </c>
    </row>
    <row r="2353" spans="1:5" x14ac:dyDescent="0.25">
      <c r="A2353" s="26">
        <v>35247</v>
      </c>
      <c r="B2353" s="49">
        <f t="shared" si="37"/>
        <v>1996</v>
      </c>
      <c r="C2353" s="27" t="s">
        <v>37</v>
      </c>
      <c r="D2353" s="27" t="s">
        <v>38</v>
      </c>
      <c r="E2353" s="27">
        <v>124</v>
      </c>
    </row>
    <row r="2354" spans="1:5" x14ac:dyDescent="0.25">
      <c r="A2354" s="26">
        <v>35247</v>
      </c>
      <c r="B2354" s="49">
        <f t="shared" si="37"/>
        <v>1996</v>
      </c>
      <c r="C2354" s="27" t="s">
        <v>27</v>
      </c>
      <c r="D2354" s="27" t="s">
        <v>38</v>
      </c>
      <c r="E2354" s="27">
        <v>42</v>
      </c>
    </row>
    <row r="2355" spans="1:5" x14ac:dyDescent="0.25">
      <c r="A2355" s="26">
        <v>35247</v>
      </c>
      <c r="B2355" s="49">
        <f t="shared" si="37"/>
        <v>1996</v>
      </c>
      <c r="C2355" s="27" t="s">
        <v>37</v>
      </c>
      <c r="D2355" s="27" t="s">
        <v>38</v>
      </c>
      <c r="E2355" s="27">
        <v>140</v>
      </c>
    </row>
    <row r="2356" spans="1:5" x14ac:dyDescent="0.25">
      <c r="A2356" s="26">
        <v>35247</v>
      </c>
      <c r="B2356" s="49">
        <f t="shared" si="37"/>
        <v>1996</v>
      </c>
      <c r="C2356" s="27" t="s">
        <v>32</v>
      </c>
      <c r="D2356" s="27" t="s">
        <v>38</v>
      </c>
      <c r="E2356" s="27">
        <v>123</v>
      </c>
    </row>
    <row r="2357" spans="1:5" x14ac:dyDescent="0.25">
      <c r="A2357" s="26">
        <v>35247</v>
      </c>
      <c r="B2357" s="49">
        <f t="shared" si="37"/>
        <v>1996</v>
      </c>
      <c r="C2357" s="27" t="s">
        <v>39</v>
      </c>
      <c r="D2357" s="27" t="s">
        <v>38</v>
      </c>
      <c r="E2357" s="27">
        <v>792</v>
      </c>
    </row>
    <row r="2358" spans="1:5" x14ac:dyDescent="0.25">
      <c r="A2358" s="26">
        <v>35247</v>
      </c>
      <c r="B2358" s="49">
        <f t="shared" si="37"/>
        <v>1996</v>
      </c>
      <c r="C2358" s="27" t="s">
        <v>32</v>
      </c>
      <c r="D2358" s="27" t="s">
        <v>30</v>
      </c>
      <c r="E2358" s="27">
        <v>158</v>
      </c>
    </row>
    <row r="2359" spans="1:5" x14ac:dyDescent="0.25">
      <c r="A2359" s="26">
        <v>35247</v>
      </c>
      <c r="B2359" s="49">
        <f t="shared" si="37"/>
        <v>1996</v>
      </c>
      <c r="C2359" s="27" t="s">
        <v>32</v>
      </c>
      <c r="D2359" s="27" t="s">
        <v>30</v>
      </c>
      <c r="E2359" s="27">
        <v>184</v>
      </c>
    </row>
    <row r="2360" spans="1:5" x14ac:dyDescent="0.25">
      <c r="A2360" s="26">
        <v>35247</v>
      </c>
      <c r="B2360" s="49">
        <f t="shared" si="37"/>
        <v>1996</v>
      </c>
      <c r="C2360" s="27" t="s">
        <v>27</v>
      </c>
      <c r="D2360" s="27" t="s">
        <v>30</v>
      </c>
      <c r="E2360" s="27">
        <v>113</v>
      </c>
    </row>
    <row r="2361" spans="1:5" x14ac:dyDescent="0.25">
      <c r="A2361" s="26">
        <v>35247</v>
      </c>
      <c r="B2361" s="49">
        <f t="shared" si="37"/>
        <v>1996</v>
      </c>
      <c r="C2361" s="27" t="s">
        <v>32</v>
      </c>
      <c r="D2361" s="27" t="s">
        <v>30</v>
      </c>
      <c r="E2361" s="27">
        <v>140</v>
      </c>
    </row>
    <row r="2362" spans="1:5" x14ac:dyDescent="0.25">
      <c r="A2362" s="26">
        <v>35247</v>
      </c>
      <c r="B2362" s="49">
        <f t="shared" si="37"/>
        <v>1996</v>
      </c>
      <c r="C2362" s="27" t="s">
        <v>32</v>
      </c>
      <c r="D2362" s="27" t="s">
        <v>30</v>
      </c>
      <c r="E2362" s="27">
        <v>248</v>
      </c>
    </row>
    <row r="2363" spans="1:5" x14ac:dyDescent="0.25">
      <c r="A2363" s="26">
        <v>35247</v>
      </c>
      <c r="B2363" s="49">
        <f t="shared" si="37"/>
        <v>1996</v>
      </c>
      <c r="C2363" s="27" t="s">
        <v>32</v>
      </c>
      <c r="D2363" s="27" t="s">
        <v>30</v>
      </c>
      <c r="E2363" s="27">
        <v>206</v>
      </c>
    </row>
    <row r="2364" spans="1:5" x14ac:dyDescent="0.25">
      <c r="A2364" s="26">
        <v>35247</v>
      </c>
      <c r="B2364" s="49">
        <f t="shared" si="37"/>
        <v>1996</v>
      </c>
      <c r="C2364" s="27" t="s">
        <v>27</v>
      </c>
      <c r="D2364" s="27" t="s">
        <v>30</v>
      </c>
      <c r="E2364" s="27">
        <v>77</v>
      </c>
    </row>
    <row r="2365" spans="1:5" x14ac:dyDescent="0.25">
      <c r="A2365" s="26">
        <v>35247</v>
      </c>
      <c r="B2365" s="49">
        <f t="shared" si="37"/>
        <v>1996</v>
      </c>
      <c r="C2365" s="27" t="s">
        <v>32</v>
      </c>
      <c r="D2365" s="27" t="s">
        <v>30</v>
      </c>
      <c r="E2365" s="27">
        <v>79</v>
      </c>
    </row>
    <row r="2366" spans="1:5" x14ac:dyDescent="0.25">
      <c r="A2366" s="26">
        <v>35247</v>
      </c>
      <c r="B2366" s="49">
        <f t="shared" si="37"/>
        <v>1996</v>
      </c>
      <c r="C2366" s="27" t="s">
        <v>27</v>
      </c>
      <c r="D2366" s="27" t="s">
        <v>30</v>
      </c>
      <c r="E2366" s="27">
        <v>2058</v>
      </c>
    </row>
    <row r="2367" spans="1:5" x14ac:dyDescent="0.25">
      <c r="A2367" s="26">
        <v>35247</v>
      </c>
      <c r="B2367" s="49">
        <f t="shared" si="37"/>
        <v>1996</v>
      </c>
      <c r="C2367" s="27" t="s">
        <v>27</v>
      </c>
      <c r="D2367" s="27" t="s">
        <v>30</v>
      </c>
      <c r="E2367" s="27">
        <v>110</v>
      </c>
    </row>
    <row r="2368" spans="1:5" x14ac:dyDescent="0.25">
      <c r="A2368" s="26">
        <v>35247</v>
      </c>
      <c r="B2368" s="49">
        <f t="shared" si="37"/>
        <v>1996</v>
      </c>
      <c r="C2368" s="27" t="s">
        <v>27</v>
      </c>
      <c r="D2368" s="27" t="s">
        <v>30</v>
      </c>
      <c r="E2368" s="27">
        <v>2560</v>
      </c>
    </row>
    <row r="2369" spans="1:5" x14ac:dyDescent="0.25">
      <c r="A2369" s="26">
        <v>35247</v>
      </c>
      <c r="B2369" s="49">
        <f t="shared" si="37"/>
        <v>1996</v>
      </c>
      <c r="C2369" s="27" t="s">
        <v>27</v>
      </c>
      <c r="D2369" s="27" t="s">
        <v>30</v>
      </c>
      <c r="E2369" s="27">
        <v>27</v>
      </c>
    </row>
    <row r="2370" spans="1:5" x14ac:dyDescent="0.25">
      <c r="A2370" s="26">
        <v>35247</v>
      </c>
      <c r="B2370" s="49">
        <f t="shared" si="37"/>
        <v>1996</v>
      </c>
      <c r="C2370" s="27" t="s">
        <v>27</v>
      </c>
      <c r="D2370" s="27" t="s">
        <v>31</v>
      </c>
      <c r="E2370" s="27">
        <v>158</v>
      </c>
    </row>
    <row r="2371" spans="1:5" x14ac:dyDescent="0.25">
      <c r="A2371" s="26">
        <v>35247</v>
      </c>
      <c r="B2371" s="49">
        <f t="shared" ref="B2371:B2434" si="38">YEAR(A2371)</f>
        <v>1996</v>
      </c>
      <c r="C2371" s="27" t="s">
        <v>37</v>
      </c>
      <c r="D2371" s="27" t="s">
        <v>31</v>
      </c>
      <c r="E2371" s="27">
        <v>158</v>
      </c>
    </row>
    <row r="2372" spans="1:5" x14ac:dyDescent="0.25">
      <c r="A2372" s="26">
        <v>35247</v>
      </c>
      <c r="B2372" s="49">
        <f t="shared" si="38"/>
        <v>1996</v>
      </c>
      <c r="C2372" s="27" t="s">
        <v>34</v>
      </c>
      <c r="D2372" s="27" t="s">
        <v>31</v>
      </c>
      <c r="E2372" s="27">
        <v>158</v>
      </c>
    </row>
    <row r="2373" spans="1:5" x14ac:dyDescent="0.25">
      <c r="A2373" s="26">
        <v>35247</v>
      </c>
      <c r="B2373" s="49">
        <f t="shared" si="38"/>
        <v>1996</v>
      </c>
      <c r="C2373" s="27" t="s">
        <v>37</v>
      </c>
      <c r="D2373" s="27" t="s">
        <v>31</v>
      </c>
      <c r="E2373" s="27">
        <v>210</v>
      </c>
    </row>
    <row r="2374" spans="1:5" x14ac:dyDescent="0.25">
      <c r="A2374" s="26">
        <v>35247</v>
      </c>
      <c r="B2374" s="49">
        <f t="shared" si="38"/>
        <v>1996</v>
      </c>
      <c r="C2374" s="27" t="s">
        <v>35</v>
      </c>
      <c r="D2374" s="27" t="s">
        <v>31</v>
      </c>
      <c r="E2374" s="27">
        <v>42</v>
      </c>
    </row>
    <row r="2375" spans="1:5" x14ac:dyDescent="0.25">
      <c r="A2375" s="26">
        <v>35247</v>
      </c>
      <c r="B2375" s="49">
        <f t="shared" si="38"/>
        <v>1996</v>
      </c>
      <c r="C2375" s="27" t="s">
        <v>34</v>
      </c>
      <c r="D2375" s="27" t="s">
        <v>31</v>
      </c>
      <c r="E2375" s="27">
        <v>210</v>
      </c>
    </row>
    <row r="2376" spans="1:5" x14ac:dyDescent="0.25">
      <c r="A2376" s="26">
        <v>35247</v>
      </c>
      <c r="B2376" s="49">
        <f t="shared" si="38"/>
        <v>1996</v>
      </c>
      <c r="C2376" s="27" t="s">
        <v>27</v>
      </c>
      <c r="D2376" s="27" t="s">
        <v>31</v>
      </c>
      <c r="E2376" s="27">
        <v>140</v>
      </c>
    </row>
    <row r="2377" spans="1:5" x14ac:dyDescent="0.25">
      <c r="A2377" s="26">
        <v>35247</v>
      </c>
      <c r="B2377" s="49">
        <f t="shared" si="38"/>
        <v>1996</v>
      </c>
      <c r="C2377" s="27" t="s">
        <v>35</v>
      </c>
      <c r="D2377" s="27" t="s">
        <v>31</v>
      </c>
      <c r="E2377" s="27">
        <v>99</v>
      </c>
    </row>
    <row r="2378" spans="1:5" x14ac:dyDescent="0.25">
      <c r="A2378" s="26">
        <v>35247</v>
      </c>
      <c r="B2378" s="49">
        <f t="shared" si="38"/>
        <v>1996</v>
      </c>
      <c r="C2378" s="27" t="s">
        <v>35</v>
      </c>
      <c r="D2378" s="27" t="s">
        <v>31</v>
      </c>
      <c r="E2378" s="27">
        <v>124</v>
      </c>
    </row>
    <row r="2379" spans="1:5" x14ac:dyDescent="0.25">
      <c r="A2379" s="26">
        <v>35247</v>
      </c>
      <c r="B2379" s="49">
        <f t="shared" si="38"/>
        <v>1996</v>
      </c>
      <c r="C2379" s="27" t="s">
        <v>35</v>
      </c>
      <c r="D2379" s="27" t="s">
        <v>31</v>
      </c>
      <c r="E2379" s="27">
        <v>123</v>
      </c>
    </row>
    <row r="2380" spans="1:5" x14ac:dyDescent="0.25">
      <c r="A2380" s="26">
        <v>35247</v>
      </c>
      <c r="B2380" s="49">
        <f t="shared" si="38"/>
        <v>1996</v>
      </c>
      <c r="C2380" s="27" t="s">
        <v>37</v>
      </c>
      <c r="D2380" s="27" t="s">
        <v>31</v>
      </c>
      <c r="E2380" s="27">
        <v>113</v>
      </c>
    </row>
    <row r="2381" spans="1:5" x14ac:dyDescent="0.25">
      <c r="A2381" s="26">
        <v>35247</v>
      </c>
      <c r="B2381" s="49">
        <f t="shared" si="38"/>
        <v>1996</v>
      </c>
      <c r="C2381" s="27" t="s">
        <v>34</v>
      </c>
      <c r="D2381" s="27" t="s">
        <v>31</v>
      </c>
      <c r="E2381" s="27">
        <v>459</v>
      </c>
    </row>
    <row r="2382" spans="1:5" x14ac:dyDescent="0.25">
      <c r="A2382" s="26">
        <v>35247</v>
      </c>
      <c r="B2382" s="49">
        <f t="shared" si="38"/>
        <v>1996</v>
      </c>
      <c r="C2382" s="27" t="s">
        <v>27</v>
      </c>
      <c r="D2382" s="27" t="s">
        <v>31</v>
      </c>
      <c r="E2382" s="27">
        <v>637</v>
      </c>
    </row>
    <row r="2383" spans="1:5" x14ac:dyDescent="0.25">
      <c r="A2383" s="26">
        <v>35247</v>
      </c>
      <c r="B2383" s="49">
        <f t="shared" si="38"/>
        <v>1996</v>
      </c>
      <c r="C2383" s="27" t="s">
        <v>32</v>
      </c>
      <c r="D2383" s="27" t="s">
        <v>31</v>
      </c>
      <c r="E2383" s="27">
        <v>437</v>
      </c>
    </row>
    <row r="2384" spans="1:5" x14ac:dyDescent="0.25">
      <c r="A2384" s="26">
        <v>35247</v>
      </c>
      <c r="B2384" s="49">
        <f t="shared" si="38"/>
        <v>1996</v>
      </c>
      <c r="C2384" s="27" t="s">
        <v>37</v>
      </c>
      <c r="D2384" s="27" t="s">
        <v>31</v>
      </c>
      <c r="E2384" s="27">
        <v>540</v>
      </c>
    </row>
    <row r="2385" spans="1:5" x14ac:dyDescent="0.25">
      <c r="A2385" s="26">
        <v>35247</v>
      </c>
      <c r="B2385" s="49">
        <f t="shared" si="38"/>
        <v>1996</v>
      </c>
      <c r="C2385" s="27" t="s">
        <v>34</v>
      </c>
      <c r="D2385" s="27" t="s">
        <v>31</v>
      </c>
      <c r="E2385" s="27">
        <v>464</v>
      </c>
    </row>
    <row r="2386" spans="1:5" x14ac:dyDescent="0.25">
      <c r="A2386" s="26">
        <v>35247</v>
      </c>
      <c r="B2386" s="49">
        <f t="shared" si="38"/>
        <v>1996</v>
      </c>
      <c r="C2386" s="27" t="s">
        <v>39</v>
      </c>
      <c r="D2386" s="27" t="s">
        <v>31</v>
      </c>
      <c r="E2386" s="27">
        <v>560</v>
      </c>
    </row>
    <row r="2387" spans="1:5" x14ac:dyDescent="0.25">
      <c r="A2387" s="26">
        <v>35247</v>
      </c>
      <c r="B2387" s="49">
        <f t="shared" si="38"/>
        <v>1996</v>
      </c>
      <c r="C2387" s="27" t="s">
        <v>32</v>
      </c>
      <c r="D2387" s="27" t="s">
        <v>31</v>
      </c>
      <c r="E2387" s="27">
        <v>581</v>
      </c>
    </row>
    <row r="2388" spans="1:5" x14ac:dyDescent="0.25">
      <c r="A2388" s="26">
        <v>35247</v>
      </c>
      <c r="B2388" s="49">
        <f t="shared" si="38"/>
        <v>1996</v>
      </c>
      <c r="C2388" s="27" t="s">
        <v>32</v>
      </c>
      <c r="D2388" s="27" t="s">
        <v>31</v>
      </c>
      <c r="E2388" s="27">
        <v>697</v>
      </c>
    </row>
    <row r="2389" spans="1:5" x14ac:dyDescent="0.25">
      <c r="A2389" s="26">
        <v>35247</v>
      </c>
      <c r="B2389" s="49">
        <f t="shared" si="38"/>
        <v>1996</v>
      </c>
      <c r="C2389" s="27" t="s">
        <v>32</v>
      </c>
      <c r="D2389" s="27" t="s">
        <v>31</v>
      </c>
      <c r="E2389" s="27">
        <v>495</v>
      </c>
    </row>
    <row r="2390" spans="1:5" x14ac:dyDescent="0.25">
      <c r="A2390" s="26">
        <v>35247</v>
      </c>
      <c r="B2390" s="49">
        <f t="shared" si="38"/>
        <v>1996</v>
      </c>
      <c r="C2390" s="27" t="s">
        <v>39</v>
      </c>
      <c r="D2390" s="27" t="s">
        <v>31</v>
      </c>
      <c r="E2390" s="27">
        <v>371</v>
      </c>
    </row>
    <row r="2391" spans="1:5" x14ac:dyDescent="0.25">
      <c r="A2391" s="26">
        <v>35247</v>
      </c>
      <c r="B2391" s="49">
        <f t="shared" si="38"/>
        <v>1996</v>
      </c>
      <c r="C2391" s="27" t="s">
        <v>27</v>
      </c>
      <c r="D2391" s="27" t="s">
        <v>31</v>
      </c>
      <c r="E2391" s="27">
        <v>383</v>
      </c>
    </row>
    <row r="2392" spans="1:5" x14ac:dyDescent="0.25">
      <c r="A2392" s="26">
        <v>35247</v>
      </c>
      <c r="B2392" s="49">
        <f t="shared" si="38"/>
        <v>1996</v>
      </c>
      <c r="C2392" s="27" t="s">
        <v>32</v>
      </c>
      <c r="D2392" s="27" t="s">
        <v>33</v>
      </c>
      <c r="E2392" s="27">
        <v>1444</v>
      </c>
    </row>
    <row r="2393" spans="1:5" x14ac:dyDescent="0.25">
      <c r="A2393" s="26">
        <v>35247</v>
      </c>
      <c r="B2393" s="49">
        <f t="shared" si="38"/>
        <v>1996</v>
      </c>
      <c r="C2393" s="27" t="s">
        <v>35</v>
      </c>
      <c r="D2393" s="27" t="s">
        <v>33</v>
      </c>
      <c r="E2393" s="27">
        <v>102</v>
      </c>
    </row>
    <row r="2394" spans="1:5" x14ac:dyDescent="0.25">
      <c r="A2394" s="26">
        <v>35247</v>
      </c>
      <c r="B2394" s="49">
        <f t="shared" si="38"/>
        <v>1996</v>
      </c>
      <c r="C2394" s="27" t="s">
        <v>27</v>
      </c>
      <c r="D2394" s="27" t="s">
        <v>33</v>
      </c>
      <c r="E2394" s="27">
        <v>44</v>
      </c>
    </row>
    <row r="2395" spans="1:5" x14ac:dyDescent="0.25">
      <c r="A2395" s="26">
        <v>35247</v>
      </c>
      <c r="B2395" s="49">
        <f t="shared" si="38"/>
        <v>1996</v>
      </c>
      <c r="C2395" s="27" t="s">
        <v>27</v>
      </c>
      <c r="D2395" s="27" t="s">
        <v>33</v>
      </c>
      <c r="E2395" s="27">
        <v>46</v>
      </c>
    </row>
    <row r="2396" spans="1:5" x14ac:dyDescent="0.25">
      <c r="A2396" s="26">
        <v>35247</v>
      </c>
      <c r="B2396" s="49">
        <f t="shared" si="38"/>
        <v>1996</v>
      </c>
      <c r="C2396" s="27" t="s">
        <v>27</v>
      </c>
      <c r="D2396" s="27" t="s">
        <v>33</v>
      </c>
      <c r="E2396" s="27">
        <v>56</v>
      </c>
    </row>
    <row r="2397" spans="1:5" x14ac:dyDescent="0.25">
      <c r="A2397" s="26">
        <v>35247</v>
      </c>
      <c r="B2397" s="49">
        <f t="shared" si="38"/>
        <v>1996</v>
      </c>
      <c r="C2397" s="27" t="s">
        <v>34</v>
      </c>
      <c r="D2397" s="27" t="s">
        <v>33</v>
      </c>
      <c r="E2397" s="27">
        <v>63</v>
      </c>
    </row>
    <row r="2398" spans="1:5" x14ac:dyDescent="0.25">
      <c r="A2398" s="26">
        <v>35247</v>
      </c>
      <c r="B2398" s="49">
        <f t="shared" si="38"/>
        <v>1996</v>
      </c>
      <c r="C2398" s="27" t="s">
        <v>32</v>
      </c>
      <c r="D2398" s="27" t="s">
        <v>33</v>
      </c>
      <c r="E2398" s="27">
        <v>1928</v>
      </c>
    </row>
    <row r="2399" spans="1:5" x14ac:dyDescent="0.25">
      <c r="A2399" s="26">
        <v>35247</v>
      </c>
      <c r="B2399" s="49">
        <f t="shared" si="38"/>
        <v>1996</v>
      </c>
      <c r="C2399" s="27" t="s">
        <v>35</v>
      </c>
      <c r="D2399" s="27" t="s">
        <v>33</v>
      </c>
      <c r="E2399" s="27">
        <v>79</v>
      </c>
    </row>
    <row r="2400" spans="1:5" x14ac:dyDescent="0.25">
      <c r="A2400" s="26">
        <v>35247</v>
      </c>
      <c r="B2400" s="49">
        <f t="shared" si="38"/>
        <v>1996</v>
      </c>
      <c r="C2400" s="27" t="s">
        <v>34</v>
      </c>
      <c r="D2400" s="27" t="s">
        <v>33</v>
      </c>
      <c r="E2400" s="27">
        <v>1716</v>
      </c>
    </row>
    <row r="2401" spans="1:5" x14ac:dyDescent="0.25">
      <c r="A2401" s="26">
        <v>35247</v>
      </c>
      <c r="B2401" s="49">
        <f t="shared" si="38"/>
        <v>1996</v>
      </c>
      <c r="C2401" s="27" t="s">
        <v>35</v>
      </c>
      <c r="D2401" s="27" t="s">
        <v>33</v>
      </c>
      <c r="E2401" s="27">
        <v>108</v>
      </c>
    </row>
    <row r="2402" spans="1:5" x14ac:dyDescent="0.25">
      <c r="A2402" s="26">
        <v>35247</v>
      </c>
      <c r="B2402" s="49">
        <f t="shared" si="38"/>
        <v>1996</v>
      </c>
      <c r="C2402" s="27" t="s">
        <v>39</v>
      </c>
      <c r="D2402" s="27" t="s">
        <v>33</v>
      </c>
      <c r="E2402" s="27">
        <v>124</v>
      </c>
    </row>
    <row r="2403" spans="1:5" x14ac:dyDescent="0.25">
      <c r="A2403" s="26">
        <v>35247</v>
      </c>
      <c r="B2403" s="49">
        <f t="shared" si="38"/>
        <v>1996</v>
      </c>
      <c r="C2403" s="27" t="s">
        <v>35</v>
      </c>
      <c r="D2403" s="27" t="s">
        <v>33</v>
      </c>
      <c r="E2403" s="27">
        <v>135</v>
      </c>
    </row>
    <row r="2404" spans="1:5" x14ac:dyDescent="0.25">
      <c r="A2404" s="26">
        <v>35247</v>
      </c>
      <c r="B2404" s="49">
        <f t="shared" si="38"/>
        <v>1996</v>
      </c>
      <c r="C2404" s="27" t="s">
        <v>37</v>
      </c>
      <c r="D2404" s="27" t="s">
        <v>33</v>
      </c>
      <c r="E2404" s="27">
        <v>146</v>
      </c>
    </row>
    <row r="2405" spans="1:5" x14ac:dyDescent="0.25">
      <c r="A2405" s="26">
        <v>35247</v>
      </c>
      <c r="B2405" s="49">
        <f t="shared" si="38"/>
        <v>1996</v>
      </c>
      <c r="C2405" s="27" t="s">
        <v>37</v>
      </c>
      <c r="D2405" s="27" t="s">
        <v>33</v>
      </c>
      <c r="E2405" s="27">
        <v>175</v>
      </c>
    </row>
    <row r="2406" spans="1:5" x14ac:dyDescent="0.25">
      <c r="A2406" s="26">
        <v>35247</v>
      </c>
      <c r="B2406" s="49">
        <f t="shared" si="38"/>
        <v>1996</v>
      </c>
      <c r="C2406" s="27" t="s">
        <v>37</v>
      </c>
      <c r="D2406" s="27" t="s">
        <v>33</v>
      </c>
      <c r="E2406" s="27">
        <v>249</v>
      </c>
    </row>
    <row r="2407" spans="1:5" x14ac:dyDescent="0.25">
      <c r="A2407" s="26">
        <v>35247</v>
      </c>
      <c r="B2407" s="49">
        <f t="shared" si="38"/>
        <v>1996</v>
      </c>
      <c r="C2407" s="27" t="s">
        <v>34</v>
      </c>
      <c r="D2407" s="27" t="s">
        <v>33</v>
      </c>
      <c r="E2407" s="27">
        <v>298</v>
      </c>
    </row>
    <row r="2408" spans="1:5" x14ac:dyDescent="0.25">
      <c r="A2408" s="26">
        <v>35247</v>
      </c>
      <c r="B2408" s="49">
        <f t="shared" si="38"/>
        <v>1996</v>
      </c>
      <c r="C2408" s="27" t="s">
        <v>32</v>
      </c>
      <c r="D2408" s="27" t="s">
        <v>33</v>
      </c>
      <c r="E2408" s="27">
        <v>356</v>
      </c>
    </row>
    <row r="2409" spans="1:5" x14ac:dyDescent="0.25">
      <c r="A2409" s="26">
        <v>35247</v>
      </c>
      <c r="B2409" s="49">
        <f t="shared" si="38"/>
        <v>1996</v>
      </c>
      <c r="C2409" s="27" t="s">
        <v>39</v>
      </c>
      <c r="D2409" s="27" t="s">
        <v>33</v>
      </c>
      <c r="E2409" s="27">
        <v>476</v>
      </c>
    </row>
    <row r="2410" spans="1:5" x14ac:dyDescent="0.25">
      <c r="A2410" s="26">
        <v>35247</v>
      </c>
      <c r="B2410" s="49">
        <f t="shared" si="38"/>
        <v>1996</v>
      </c>
      <c r="C2410" s="27" t="s">
        <v>32</v>
      </c>
      <c r="D2410" s="27" t="s">
        <v>33</v>
      </c>
      <c r="E2410" s="27">
        <v>536</v>
      </c>
    </row>
    <row r="2411" spans="1:5" x14ac:dyDescent="0.25">
      <c r="A2411" s="26">
        <v>35247</v>
      </c>
      <c r="B2411" s="49">
        <f t="shared" si="38"/>
        <v>1996</v>
      </c>
      <c r="C2411" s="27" t="s">
        <v>27</v>
      </c>
      <c r="D2411" s="27" t="s">
        <v>33</v>
      </c>
      <c r="E2411" s="27">
        <v>590</v>
      </c>
    </row>
    <row r="2412" spans="1:5" x14ac:dyDescent="0.25">
      <c r="A2412" s="26">
        <v>35247</v>
      </c>
      <c r="B2412" s="49">
        <f t="shared" si="38"/>
        <v>1996</v>
      </c>
      <c r="C2412" s="27" t="s">
        <v>37</v>
      </c>
      <c r="D2412" s="27" t="s">
        <v>33</v>
      </c>
      <c r="E2412" s="27">
        <v>1258</v>
      </c>
    </row>
    <row r="2413" spans="1:5" x14ac:dyDescent="0.25">
      <c r="A2413" s="26">
        <v>35247</v>
      </c>
      <c r="B2413" s="49">
        <f t="shared" si="38"/>
        <v>1996</v>
      </c>
      <c r="C2413" s="27" t="s">
        <v>34</v>
      </c>
      <c r="D2413" s="27" t="s">
        <v>33</v>
      </c>
      <c r="E2413" s="27">
        <v>72</v>
      </c>
    </row>
    <row r="2414" spans="1:5" x14ac:dyDescent="0.25">
      <c r="A2414" s="26">
        <v>35247</v>
      </c>
      <c r="B2414" s="49">
        <f t="shared" si="38"/>
        <v>1996</v>
      </c>
      <c r="C2414" s="27" t="s">
        <v>39</v>
      </c>
      <c r="D2414" s="27" t="s">
        <v>36</v>
      </c>
      <c r="E2414" s="27">
        <v>1689</v>
      </c>
    </row>
    <row r="2415" spans="1:5" x14ac:dyDescent="0.25">
      <c r="A2415" s="26">
        <v>35247</v>
      </c>
      <c r="B2415" s="49">
        <f t="shared" si="38"/>
        <v>1996</v>
      </c>
      <c r="C2415" s="27" t="s">
        <v>37</v>
      </c>
      <c r="D2415" s="27" t="s">
        <v>36</v>
      </c>
      <c r="E2415" s="27">
        <v>1532</v>
      </c>
    </row>
    <row r="2416" spans="1:5" x14ac:dyDescent="0.25">
      <c r="A2416" s="26">
        <v>35247</v>
      </c>
      <c r="B2416" s="49">
        <f t="shared" si="38"/>
        <v>1996</v>
      </c>
      <c r="C2416" s="27" t="s">
        <v>37</v>
      </c>
      <c r="D2416" s="27" t="s">
        <v>36</v>
      </c>
      <c r="E2416" s="27">
        <v>1023</v>
      </c>
    </row>
    <row r="2417" spans="1:5" x14ac:dyDescent="0.25">
      <c r="A2417" s="26">
        <v>35247</v>
      </c>
      <c r="B2417" s="49">
        <f t="shared" si="38"/>
        <v>1996</v>
      </c>
      <c r="C2417" s="27" t="s">
        <v>37</v>
      </c>
      <c r="D2417" s="27" t="s">
        <v>36</v>
      </c>
      <c r="E2417" s="27">
        <v>351</v>
      </c>
    </row>
    <row r="2418" spans="1:5" x14ac:dyDescent="0.25">
      <c r="A2418" s="26">
        <v>35247</v>
      </c>
      <c r="B2418" s="49">
        <f t="shared" si="38"/>
        <v>1996</v>
      </c>
      <c r="C2418" s="27" t="s">
        <v>35</v>
      </c>
      <c r="D2418" s="27" t="s">
        <v>36</v>
      </c>
      <c r="E2418" s="27">
        <v>143</v>
      </c>
    </row>
    <row r="2419" spans="1:5" x14ac:dyDescent="0.25">
      <c r="A2419" s="26">
        <v>35247</v>
      </c>
      <c r="B2419" s="49">
        <f t="shared" si="38"/>
        <v>1996</v>
      </c>
      <c r="C2419" s="27" t="s">
        <v>39</v>
      </c>
      <c r="D2419" s="27" t="s">
        <v>36</v>
      </c>
      <c r="E2419" s="27">
        <v>782</v>
      </c>
    </row>
    <row r="2420" spans="1:5" x14ac:dyDescent="0.25">
      <c r="A2420" s="26">
        <v>35247</v>
      </c>
      <c r="B2420" s="49">
        <f t="shared" si="38"/>
        <v>1996</v>
      </c>
      <c r="C2420" s="27" t="s">
        <v>34</v>
      </c>
      <c r="D2420" s="27" t="s">
        <v>36</v>
      </c>
      <c r="E2420" s="27">
        <v>110</v>
      </c>
    </row>
    <row r="2421" spans="1:5" x14ac:dyDescent="0.25">
      <c r="A2421" s="26">
        <v>35247</v>
      </c>
      <c r="B2421" s="49">
        <f t="shared" si="38"/>
        <v>1996</v>
      </c>
      <c r="C2421" s="27" t="s">
        <v>32</v>
      </c>
      <c r="D2421" s="27" t="s">
        <v>36</v>
      </c>
      <c r="E2421" s="27">
        <v>714</v>
      </c>
    </row>
    <row r="2422" spans="1:5" x14ac:dyDescent="0.25">
      <c r="A2422" s="26">
        <v>35247</v>
      </c>
      <c r="B2422" s="49">
        <f t="shared" si="38"/>
        <v>1996</v>
      </c>
      <c r="C2422" s="27" t="s">
        <v>39</v>
      </c>
      <c r="D2422" s="27" t="s">
        <v>36</v>
      </c>
      <c r="E2422" s="27">
        <v>507</v>
      </c>
    </row>
    <row r="2423" spans="1:5" x14ac:dyDescent="0.25">
      <c r="A2423" s="26">
        <v>35247</v>
      </c>
      <c r="B2423" s="49">
        <f t="shared" si="38"/>
        <v>1996</v>
      </c>
      <c r="C2423" s="27" t="s">
        <v>34</v>
      </c>
      <c r="D2423" s="27" t="s">
        <v>36</v>
      </c>
      <c r="E2423" s="27">
        <v>248</v>
      </c>
    </row>
    <row r="2424" spans="1:5" x14ac:dyDescent="0.25">
      <c r="A2424" s="26">
        <v>35247</v>
      </c>
      <c r="B2424" s="49">
        <f t="shared" si="38"/>
        <v>1996</v>
      </c>
      <c r="C2424" s="27" t="s">
        <v>32</v>
      </c>
      <c r="D2424" s="27" t="s">
        <v>36</v>
      </c>
      <c r="E2424" s="27">
        <v>35</v>
      </c>
    </row>
    <row r="2425" spans="1:5" x14ac:dyDescent="0.25">
      <c r="A2425" s="26">
        <v>35247</v>
      </c>
      <c r="B2425" s="49">
        <f t="shared" si="38"/>
        <v>1996</v>
      </c>
      <c r="C2425" s="27" t="s">
        <v>35</v>
      </c>
      <c r="D2425" s="27" t="s">
        <v>36</v>
      </c>
      <c r="E2425" s="27">
        <v>39</v>
      </c>
    </row>
    <row r="2426" spans="1:5" x14ac:dyDescent="0.25">
      <c r="A2426" s="26">
        <v>35247</v>
      </c>
      <c r="B2426" s="49">
        <f t="shared" si="38"/>
        <v>1996</v>
      </c>
      <c r="C2426" s="27" t="s">
        <v>32</v>
      </c>
      <c r="D2426" s="27" t="s">
        <v>36</v>
      </c>
      <c r="E2426" s="27">
        <v>39</v>
      </c>
    </row>
    <row r="2427" spans="1:5" x14ac:dyDescent="0.25">
      <c r="A2427" s="26">
        <v>35247</v>
      </c>
      <c r="B2427" s="49">
        <f t="shared" si="38"/>
        <v>1996</v>
      </c>
      <c r="C2427" s="27" t="s">
        <v>27</v>
      </c>
      <c r="D2427" s="27" t="s">
        <v>36</v>
      </c>
      <c r="E2427" s="27">
        <v>39</v>
      </c>
    </row>
    <row r="2428" spans="1:5" x14ac:dyDescent="0.25">
      <c r="A2428" s="26">
        <v>35247</v>
      </c>
      <c r="B2428" s="49">
        <f t="shared" si="38"/>
        <v>1996</v>
      </c>
      <c r="C2428" s="27" t="s">
        <v>27</v>
      </c>
      <c r="D2428" s="27" t="s">
        <v>36</v>
      </c>
      <c r="E2428" s="27">
        <v>41</v>
      </c>
    </row>
    <row r="2429" spans="1:5" x14ac:dyDescent="0.25">
      <c r="A2429" s="26">
        <v>35247</v>
      </c>
      <c r="B2429" s="49">
        <f t="shared" si="38"/>
        <v>1996</v>
      </c>
      <c r="C2429" s="27" t="s">
        <v>32</v>
      </c>
      <c r="D2429" s="27" t="s">
        <v>36</v>
      </c>
      <c r="E2429" s="27">
        <v>42</v>
      </c>
    </row>
    <row r="2430" spans="1:5" x14ac:dyDescent="0.25">
      <c r="A2430" s="26">
        <v>35247</v>
      </c>
      <c r="B2430" s="49">
        <f t="shared" si="38"/>
        <v>1996</v>
      </c>
      <c r="C2430" s="27" t="s">
        <v>27</v>
      </c>
      <c r="D2430" s="27" t="s">
        <v>36</v>
      </c>
      <c r="E2430" s="27">
        <v>44</v>
      </c>
    </row>
    <row r="2431" spans="1:5" x14ac:dyDescent="0.25">
      <c r="A2431" s="26">
        <v>35247</v>
      </c>
      <c r="B2431" s="49">
        <f t="shared" si="38"/>
        <v>1996</v>
      </c>
      <c r="C2431" s="27" t="s">
        <v>27</v>
      </c>
      <c r="D2431" s="27" t="s">
        <v>36</v>
      </c>
      <c r="E2431" s="27">
        <v>56</v>
      </c>
    </row>
    <row r="2432" spans="1:5" x14ac:dyDescent="0.25">
      <c r="A2432" s="26">
        <v>35247</v>
      </c>
      <c r="B2432" s="49">
        <f t="shared" si="38"/>
        <v>1996</v>
      </c>
      <c r="C2432" s="27" t="s">
        <v>35</v>
      </c>
      <c r="D2432" s="27" t="s">
        <v>36</v>
      </c>
      <c r="E2432" s="27">
        <v>59</v>
      </c>
    </row>
    <row r="2433" spans="1:5" x14ac:dyDescent="0.25">
      <c r="A2433" s="26">
        <v>35247</v>
      </c>
      <c r="B2433" s="49">
        <f t="shared" si="38"/>
        <v>1996</v>
      </c>
      <c r="C2433" s="27" t="s">
        <v>34</v>
      </c>
      <c r="D2433" s="27" t="s">
        <v>36</v>
      </c>
      <c r="E2433" s="27">
        <v>114</v>
      </c>
    </row>
    <row r="2434" spans="1:5" x14ac:dyDescent="0.25">
      <c r="A2434" s="26">
        <v>35247</v>
      </c>
      <c r="B2434" s="49">
        <f t="shared" si="38"/>
        <v>1996</v>
      </c>
      <c r="C2434" s="27" t="s">
        <v>35</v>
      </c>
      <c r="D2434" s="27" t="s">
        <v>36</v>
      </c>
      <c r="E2434" s="27">
        <v>69</v>
      </c>
    </row>
    <row r="2435" spans="1:5" x14ac:dyDescent="0.25">
      <c r="A2435" s="26">
        <v>35247</v>
      </c>
      <c r="B2435" s="49">
        <f t="shared" ref="B2435:B2498" si="39">YEAR(A2435)</f>
        <v>1996</v>
      </c>
      <c r="C2435" s="27" t="s">
        <v>37</v>
      </c>
      <c r="D2435" s="27" t="s">
        <v>36</v>
      </c>
      <c r="E2435" s="27">
        <v>79</v>
      </c>
    </row>
    <row r="2436" spans="1:5" x14ac:dyDescent="0.25">
      <c r="A2436" s="26">
        <v>35247</v>
      </c>
      <c r="B2436" s="49">
        <f t="shared" si="39"/>
        <v>1996</v>
      </c>
      <c r="C2436" s="27" t="s">
        <v>37</v>
      </c>
      <c r="D2436" s="27" t="s">
        <v>36</v>
      </c>
      <c r="E2436" s="27">
        <v>83</v>
      </c>
    </row>
    <row r="2437" spans="1:5" x14ac:dyDescent="0.25">
      <c r="A2437" s="26">
        <v>35247</v>
      </c>
      <c r="B2437" s="49">
        <f t="shared" si="39"/>
        <v>1996</v>
      </c>
      <c r="C2437" s="27" t="s">
        <v>32</v>
      </c>
      <c r="D2437" s="27" t="s">
        <v>36</v>
      </c>
      <c r="E2437" s="27">
        <v>96</v>
      </c>
    </row>
    <row r="2438" spans="1:5" x14ac:dyDescent="0.25">
      <c r="A2438" s="26">
        <v>35247</v>
      </c>
      <c r="B2438" s="49">
        <f t="shared" si="39"/>
        <v>1996</v>
      </c>
      <c r="C2438" s="27" t="s">
        <v>35</v>
      </c>
      <c r="D2438" s="27" t="s">
        <v>36</v>
      </c>
      <c r="E2438" s="27">
        <v>101</v>
      </c>
    </row>
    <row r="2439" spans="1:5" x14ac:dyDescent="0.25">
      <c r="A2439" s="26">
        <v>35247</v>
      </c>
      <c r="B2439" s="49">
        <f t="shared" si="39"/>
        <v>1996</v>
      </c>
      <c r="C2439" s="27" t="s">
        <v>32</v>
      </c>
      <c r="D2439" s="27" t="s">
        <v>36</v>
      </c>
      <c r="E2439" s="27">
        <v>113</v>
      </c>
    </row>
    <row r="2440" spans="1:5" x14ac:dyDescent="0.25">
      <c r="A2440" s="26">
        <v>35247</v>
      </c>
      <c r="B2440" s="49">
        <f t="shared" si="39"/>
        <v>1996</v>
      </c>
      <c r="C2440" s="27" t="s">
        <v>34</v>
      </c>
      <c r="D2440" s="27" t="s">
        <v>36</v>
      </c>
      <c r="E2440" s="27">
        <v>135</v>
      </c>
    </row>
    <row r="2441" spans="1:5" x14ac:dyDescent="0.25">
      <c r="A2441" s="26">
        <v>35247</v>
      </c>
      <c r="B2441" s="49">
        <f t="shared" si="39"/>
        <v>1996</v>
      </c>
      <c r="C2441" s="27" t="s">
        <v>35</v>
      </c>
      <c r="D2441" s="27" t="s">
        <v>36</v>
      </c>
      <c r="E2441" s="27">
        <v>35</v>
      </c>
    </row>
    <row r="2442" spans="1:5" x14ac:dyDescent="0.25">
      <c r="A2442" s="26">
        <v>35247</v>
      </c>
      <c r="B2442" s="49">
        <f t="shared" si="39"/>
        <v>1996</v>
      </c>
      <c r="C2442" s="27" t="s">
        <v>27</v>
      </c>
      <c r="D2442" s="27" t="s">
        <v>36</v>
      </c>
      <c r="E2442" s="27">
        <v>11</v>
      </c>
    </row>
    <row r="2443" spans="1:5" x14ac:dyDescent="0.25">
      <c r="A2443" s="26">
        <v>35247</v>
      </c>
      <c r="B2443" s="49">
        <f t="shared" si="39"/>
        <v>1996</v>
      </c>
      <c r="C2443" s="27" t="s">
        <v>27</v>
      </c>
      <c r="D2443" s="27" t="s">
        <v>36</v>
      </c>
      <c r="E2443" s="27">
        <v>14</v>
      </c>
    </row>
    <row r="2444" spans="1:5" x14ac:dyDescent="0.25">
      <c r="A2444" s="26">
        <v>35247</v>
      </c>
      <c r="B2444" s="49">
        <f t="shared" si="39"/>
        <v>1996</v>
      </c>
      <c r="C2444" s="27" t="s">
        <v>34</v>
      </c>
      <c r="D2444" s="27" t="s">
        <v>36</v>
      </c>
      <c r="E2444" s="27">
        <v>18</v>
      </c>
    </row>
    <row r="2445" spans="1:5" x14ac:dyDescent="0.25">
      <c r="A2445" s="26">
        <v>35247</v>
      </c>
      <c r="B2445" s="49">
        <f t="shared" si="39"/>
        <v>1996</v>
      </c>
      <c r="C2445" s="27" t="s">
        <v>37</v>
      </c>
      <c r="D2445" s="27" t="s">
        <v>36</v>
      </c>
      <c r="E2445" s="27">
        <v>26</v>
      </c>
    </row>
    <row r="2446" spans="1:5" x14ac:dyDescent="0.25">
      <c r="A2446" s="26">
        <v>35247</v>
      </c>
      <c r="B2446" s="49">
        <f t="shared" si="39"/>
        <v>1996</v>
      </c>
      <c r="C2446" s="27" t="s">
        <v>34</v>
      </c>
      <c r="D2446" s="27" t="s">
        <v>36</v>
      </c>
      <c r="E2446" s="27">
        <v>28</v>
      </c>
    </row>
    <row r="2447" spans="1:5" x14ac:dyDescent="0.25">
      <c r="A2447" s="26">
        <v>35278</v>
      </c>
      <c r="B2447" s="49">
        <f t="shared" si="39"/>
        <v>1996</v>
      </c>
      <c r="C2447" s="27" t="s">
        <v>27</v>
      </c>
      <c r="D2447" s="27" t="s">
        <v>28</v>
      </c>
      <c r="E2447" s="27">
        <v>694</v>
      </c>
    </row>
    <row r="2448" spans="1:5" x14ac:dyDescent="0.25">
      <c r="A2448" s="26">
        <v>35278</v>
      </c>
      <c r="B2448" s="49">
        <f t="shared" si="39"/>
        <v>1996</v>
      </c>
      <c r="C2448" s="27" t="s">
        <v>39</v>
      </c>
      <c r="D2448" s="27" t="s">
        <v>28</v>
      </c>
      <c r="E2448" s="27">
        <v>248</v>
      </c>
    </row>
    <row r="2449" spans="1:5" x14ac:dyDescent="0.25">
      <c r="A2449" s="26">
        <v>35278</v>
      </c>
      <c r="B2449" s="49">
        <f t="shared" si="39"/>
        <v>1996</v>
      </c>
      <c r="C2449" s="27" t="s">
        <v>39</v>
      </c>
      <c r="D2449" s="27" t="s">
        <v>28</v>
      </c>
      <c r="E2449" s="27">
        <v>248</v>
      </c>
    </row>
    <row r="2450" spans="1:5" x14ac:dyDescent="0.25">
      <c r="A2450" s="26">
        <v>35278</v>
      </c>
      <c r="B2450" s="49">
        <f t="shared" si="39"/>
        <v>1996</v>
      </c>
      <c r="C2450" s="27" t="s">
        <v>32</v>
      </c>
      <c r="D2450" s="27" t="s">
        <v>28</v>
      </c>
      <c r="E2450" s="27">
        <v>248</v>
      </c>
    </row>
    <row r="2451" spans="1:5" x14ac:dyDescent="0.25">
      <c r="A2451" s="26">
        <v>35278</v>
      </c>
      <c r="B2451" s="49">
        <f t="shared" si="39"/>
        <v>1996</v>
      </c>
      <c r="C2451" s="27" t="s">
        <v>39</v>
      </c>
      <c r="D2451" s="27" t="s">
        <v>28</v>
      </c>
      <c r="E2451" s="27">
        <v>304</v>
      </c>
    </row>
    <row r="2452" spans="1:5" x14ac:dyDescent="0.25">
      <c r="A2452" s="26">
        <v>35278</v>
      </c>
      <c r="B2452" s="49">
        <f t="shared" si="39"/>
        <v>1996</v>
      </c>
      <c r="C2452" s="27" t="s">
        <v>34</v>
      </c>
      <c r="D2452" s="27" t="s">
        <v>28</v>
      </c>
      <c r="E2452" s="27">
        <v>371</v>
      </c>
    </row>
    <row r="2453" spans="1:5" x14ac:dyDescent="0.25">
      <c r="A2453" s="26">
        <v>35278</v>
      </c>
      <c r="B2453" s="49">
        <f t="shared" si="39"/>
        <v>1996</v>
      </c>
      <c r="C2453" s="27" t="s">
        <v>32</v>
      </c>
      <c r="D2453" s="27" t="s">
        <v>28</v>
      </c>
      <c r="E2453" s="27">
        <v>383</v>
      </c>
    </row>
    <row r="2454" spans="1:5" x14ac:dyDescent="0.25">
      <c r="A2454" s="26">
        <v>35278</v>
      </c>
      <c r="B2454" s="49">
        <f t="shared" si="39"/>
        <v>1996</v>
      </c>
      <c r="C2454" s="27" t="s">
        <v>35</v>
      </c>
      <c r="D2454" s="27" t="s">
        <v>28</v>
      </c>
      <c r="E2454" s="27">
        <v>385</v>
      </c>
    </row>
    <row r="2455" spans="1:5" x14ac:dyDescent="0.25">
      <c r="A2455" s="26">
        <v>35278</v>
      </c>
      <c r="B2455" s="49">
        <f t="shared" si="39"/>
        <v>1996</v>
      </c>
      <c r="C2455" s="27" t="s">
        <v>35</v>
      </c>
      <c r="D2455" s="27" t="s">
        <v>28</v>
      </c>
      <c r="E2455" s="27">
        <v>414</v>
      </c>
    </row>
    <row r="2456" spans="1:5" x14ac:dyDescent="0.25">
      <c r="A2456" s="26">
        <v>35278</v>
      </c>
      <c r="B2456" s="49">
        <f t="shared" si="39"/>
        <v>1996</v>
      </c>
      <c r="C2456" s="27" t="s">
        <v>39</v>
      </c>
      <c r="D2456" s="27" t="s">
        <v>28</v>
      </c>
      <c r="E2456" s="27">
        <v>441</v>
      </c>
    </row>
    <row r="2457" spans="1:5" x14ac:dyDescent="0.25">
      <c r="A2457" s="26">
        <v>35278</v>
      </c>
      <c r="B2457" s="49">
        <f t="shared" si="39"/>
        <v>1996</v>
      </c>
      <c r="C2457" s="27" t="s">
        <v>37</v>
      </c>
      <c r="D2457" s="27" t="s">
        <v>28</v>
      </c>
      <c r="E2457" s="27">
        <v>761</v>
      </c>
    </row>
    <row r="2458" spans="1:5" x14ac:dyDescent="0.25">
      <c r="A2458" s="26">
        <v>35278</v>
      </c>
      <c r="B2458" s="49">
        <f t="shared" si="39"/>
        <v>1996</v>
      </c>
      <c r="C2458" s="27" t="s">
        <v>27</v>
      </c>
      <c r="D2458" s="27" t="s">
        <v>28</v>
      </c>
      <c r="E2458" s="27">
        <v>912</v>
      </c>
    </row>
    <row r="2459" spans="1:5" x14ac:dyDescent="0.25">
      <c r="A2459" s="26">
        <v>35278</v>
      </c>
      <c r="B2459" s="49">
        <f t="shared" si="39"/>
        <v>1996</v>
      </c>
      <c r="C2459" s="27" t="s">
        <v>34</v>
      </c>
      <c r="D2459" s="27" t="s">
        <v>28</v>
      </c>
      <c r="E2459" s="27">
        <v>980</v>
      </c>
    </row>
    <row r="2460" spans="1:5" x14ac:dyDescent="0.25">
      <c r="A2460" s="26">
        <v>35278</v>
      </c>
      <c r="B2460" s="49">
        <f t="shared" si="39"/>
        <v>1996</v>
      </c>
      <c r="C2460" s="27" t="s">
        <v>37</v>
      </c>
      <c r="D2460" s="27" t="s">
        <v>28</v>
      </c>
      <c r="E2460" s="27">
        <v>1351</v>
      </c>
    </row>
    <row r="2461" spans="1:5" x14ac:dyDescent="0.25">
      <c r="A2461" s="26">
        <v>35278</v>
      </c>
      <c r="B2461" s="49">
        <f t="shared" si="39"/>
        <v>1996</v>
      </c>
      <c r="C2461" s="27" t="s">
        <v>27</v>
      </c>
      <c r="D2461" s="27" t="s">
        <v>28</v>
      </c>
      <c r="E2461" s="27">
        <v>1906</v>
      </c>
    </row>
    <row r="2462" spans="1:5" x14ac:dyDescent="0.25">
      <c r="A2462" s="26">
        <v>35278</v>
      </c>
      <c r="B2462" s="49">
        <f t="shared" si="39"/>
        <v>1996</v>
      </c>
      <c r="C2462" s="27" t="s">
        <v>32</v>
      </c>
      <c r="D2462" s="27" t="s">
        <v>28</v>
      </c>
      <c r="E2462" s="27">
        <v>2003</v>
      </c>
    </row>
    <row r="2463" spans="1:5" x14ac:dyDescent="0.25">
      <c r="A2463" s="26">
        <v>35278</v>
      </c>
      <c r="B2463" s="49">
        <f t="shared" si="39"/>
        <v>1996</v>
      </c>
      <c r="C2463" s="27" t="s">
        <v>27</v>
      </c>
      <c r="D2463" s="27" t="s">
        <v>28</v>
      </c>
      <c r="E2463" s="27">
        <v>494</v>
      </c>
    </row>
    <row r="2464" spans="1:5" x14ac:dyDescent="0.25">
      <c r="A2464" s="26">
        <v>35278</v>
      </c>
      <c r="B2464" s="49">
        <f t="shared" si="39"/>
        <v>1996</v>
      </c>
      <c r="C2464" s="27" t="s">
        <v>35</v>
      </c>
      <c r="D2464" s="27" t="s">
        <v>28</v>
      </c>
      <c r="E2464" s="27">
        <v>146</v>
      </c>
    </row>
    <row r="2465" spans="1:5" x14ac:dyDescent="0.25">
      <c r="A2465" s="26">
        <v>35278</v>
      </c>
      <c r="B2465" s="49">
        <f t="shared" si="39"/>
        <v>1996</v>
      </c>
      <c r="C2465" s="27" t="s">
        <v>37</v>
      </c>
      <c r="D2465" s="27" t="s">
        <v>28</v>
      </c>
      <c r="E2465" s="27">
        <v>146</v>
      </c>
    </row>
    <row r="2466" spans="1:5" x14ac:dyDescent="0.25">
      <c r="A2466" s="26">
        <v>35278</v>
      </c>
      <c r="B2466" s="49">
        <f t="shared" si="39"/>
        <v>1996</v>
      </c>
      <c r="C2466" s="27" t="s">
        <v>34</v>
      </c>
      <c r="D2466" s="27" t="s">
        <v>28</v>
      </c>
      <c r="E2466" s="27">
        <v>83</v>
      </c>
    </row>
    <row r="2467" spans="1:5" x14ac:dyDescent="0.25">
      <c r="A2467" s="26">
        <v>35278</v>
      </c>
      <c r="B2467" s="49">
        <f t="shared" si="39"/>
        <v>1996</v>
      </c>
      <c r="C2467" s="27" t="s">
        <v>35</v>
      </c>
      <c r="D2467" s="27" t="s">
        <v>28</v>
      </c>
      <c r="E2467" s="27">
        <v>83</v>
      </c>
    </row>
    <row r="2468" spans="1:5" x14ac:dyDescent="0.25">
      <c r="A2468" s="26">
        <v>35278</v>
      </c>
      <c r="B2468" s="49">
        <f t="shared" si="39"/>
        <v>1996</v>
      </c>
      <c r="C2468" s="27" t="s">
        <v>32</v>
      </c>
      <c r="D2468" s="27" t="s">
        <v>28</v>
      </c>
      <c r="E2468" s="27">
        <v>68</v>
      </c>
    </row>
    <row r="2469" spans="1:5" x14ac:dyDescent="0.25">
      <c r="A2469" s="26">
        <v>35278</v>
      </c>
      <c r="B2469" s="49">
        <f t="shared" si="39"/>
        <v>1996</v>
      </c>
      <c r="C2469" s="27" t="s">
        <v>37</v>
      </c>
      <c r="D2469" s="27" t="s">
        <v>28</v>
      </c>
      <c r="E2469" s="27">
        <v>225</v>
      </c>
    </row>
    <row r="2470" spans="1:5" x14ac:dyDescent="0.25">
      <c r="A2470" s="26">
        <v>35278</v>
      </c>
      <c r="B2470" s="49">
        <f t="shared" si="39"/>
        <v>1996</v>
      </c>
      <c r="C2470" s="27" t="s">
        <v>34</v>
      </c>
      <c r="D2470" s="27" t="s">
        <v>28</v>
      </c>
      <c r="E2470" s="27">
        <v>203</v>
      </c>
    </row>
    <row r="2471" spans="1:5" x14ac:dyDescent="0.25">
      <c r="A2471" s="26">
        <v>35278</v>
      </c>
      <c r="B2471" s="49">
        <f t="shared" si="39"/>
        <v>1996</v>
      </c>
      <c r="C2471" s="27" t="s">
        <v>35</v>
      </c>
      <c r="D2471" s="27" t="s">
        <v>29</v>
      </c>
      <c r="E2471" s="27">
        <v>448</v>
      </c>
    </row>
    <row r="2472" spans="1:5" x14ac:dyDescent="0.25">
      <c r="A2472" s="26">
        <v>35278</v>
      </c>
      <c r="B2472" s="49">
        <f t="shared" si="39"/>
        <v>1996</v>
      </c>
      <c r="C2472" s="27" t="s">
        <v>37</v>
      </c>
      <c r="D2472" s="27" t="s">
        <v>29</v>
      </c>
      <c r="E2472" s="27">
        <v>146</v>
      </c>
    </row>
    <row r="2473" spans="1:5" x14ac:dyDescent="0.25">
      <c r="A2473" s="26">
        <v>35278</v>
      </c>
      <c r="B2473" s="49">
        <f t="shared" si="39"/>
        <v>1996</v>
      </c>
      <c r="C2473" s="27" t="s">
        <v>35</v>
      </c>
      <c r="D2473" s="27" t="s">
        <v>29</v>
      </c>
      <c r="E2473" s="27">
        <v>322</v>
      </c>
    </row>
    <row r="2474" spans="1:5" x14ac:dyDescent="0.25">
      <c r="A2474" s="26">
        <v>35278</v>
      </c>
      <c r="B2474" s="49">
        <f t="shared" si="39"/>
        <v>1996</v>
      </c>
      <c r="C2474" s="27" t="s">
        <v>37</v>
      </c>
      <c r="D2474" s="27" t="s">
        <v>29</v>
      </c>
      <c r="E2474" s="27">
        <v>560</v>
      </c>
    </row>
    <row r="2475" spans="1:5" x14ac:dyDescent="0.25">
      <c r="A2475" s="26">
        <v>35278</v>
      </c>
      <c r="B2475" s="49">
        <f t="shared" si="39"/>
        <v>1996</v>
      </c>
      <c r="C2475" s="27" t="s">
        <v>37</v>
      </c>
      <c r="D2475" s="27" t="s">
        <v>29</v>
      </c>
      <c r="E2475" s="27">
        <v>131</v>
      </c>
    </row>
    <row r="2476" spans="1:5" x14ac:dyDescent="0.25">
      <c r="A2476" s="26">
        <v>35278</v>
      </c>
      <c r="B2476" s="49">
        <f t="shared" si="39"/>
        <v>1996</v>
      </c>
      <c r="C2476" s="27" t="s">
        <v>27</v>
      </c>
      <c r="D2476" s="27" t="s">
        <v>29</v>
      </c>
      <c r="E2476" s="27">
        <v>293</v>
      </c>
    </row>
    <row r="2477" spans="1:5" x14ac:dyDescent="0.25">
      <c r="A2477" s="26">
        <v>35278</v>
      </c>
      <c r="B2477" s="49">
        <f t="shared" si="39"/>
        <v>1996</v>
      </c>
      <c r="C2477" s="27" t="s">
        <v>32</v>
      </c>
      <c r="D2477" s="27" t="s">
        <v>29</v>
      </c>
      <c r="E2477" s="27">
        <v>114</v>
      </c>
    </row>
    <row r="2478" spans="1:5" x14ac:dyDescent="0.25">
      <c r="A2478" s="26">
        <v>35278</v>
      </c>
      <c r="B2478" s="49">
        <f t="shared" si="39"/>
        <v>1996</v>
      </c>
      <c r="C2478" s="27" t="s">
        <v>39</v>
      </c>
      <c r="D2478" s="27" t="s">
        <v>29</v>
      </c>
      <c r="E2478" s="27">
        <v>263</v>
      </c>
    </row>
    <row r="2479" spans="1:5" x14ac:dyDescent="0.25">
      <c r="A2479" s="26">
        <v>35278</v>
      </c>
      <c r="B2479" s="49">
        <f t="shared" si="39"/>
        <v>1996</v>
      </c>
      <c r="C2479" s="27" t="s">
        <v>32</v>
      </c>
      <c r="D2479" s="27" t="s">
        <v>29</v>
      </c>
      <c r="E2479" s="27">
        <v>263</v>
      </c>
    </row>
    <row r="2480" spans="1:5" x14ac:dyDescent="0.25">
      <c r="A2480" s="26">
        <v>35278</v>
      </c>
      <c r="B2480" s="49">
        <f t="shared" si="39"/>
        <v>1996</v>
      </c>
      <c r="C2480" s="27" t="s">
        <v>34</v>
      </c>
      <c r="D2480" s="27" t="s">
        <v>29</v>
      </c>
      <c r="E2480" s="27">
        <v>203</v>
      </c>
    </row>
    <row r="2481" spans="1:5" x14ac:dyDescent="0.25">
      <c r="A2481" s="26">
        <v>35278</v>
      </c>
      <c r="B2481" s="49">
        <f t="shared" si="39"/>
        <v>1996</v>
      </c>
      <c r="C2481" s="27" t="s">
        <v>27</v>
      </c>
      <c r="D2481" s="27" t="s">
        <v>29</v>
      </c>
      <c r="E2481" s="27">
        <v>1366</v>
      </c>
    </row>
    <row r="2482" spans="1:5" x14ac:dyDescent="0.25">
      <c r="A2482" s="26">
        <v>35278</v>
      </c>
      <c r="B2482" s="49">
        <f t="shared" si="39"/>
        <v>1996</v>
      </c>
      <c r="C2482" s="27" t="s">
        <v>27</v>
      </c>
      <c r="D2482" s="27" t="s">
        <v>29</v>
      </c>
      <c r="E2482" s="27">
        <v>200</v>
      </c>
    </row>
    <row r="2483" spans="1:5" x14ac:dyDescent="0.25">
      <c r="A2483" s="26">
        <v>35278</v>
      </c>
      <c r="B2483" s="49">
        <f t="shared" si="39"/>
        <v>1996</v>
      </c>
      <c r="C2483" s="27" t="s">
        <v>34</v>
      </c>
      <c r="D2483" s="27" t="s">
        <v>29</v>
      </c>
      <c r="E2483" s="27">
        <v>371</v>
      </c>
    </row>
    <row r="2484" spans="1:5" x14ac:dyDescent="0.25">
      <c r="A2484" s="26">
        <v>35278</v>
      </c>
      <c r="B2484" s="49">
        <f t="shared" si="39"/>
        <v>1996</v>
      </c>
      <c r="C2484" s="27" t="s">
        <v>32</v>
      </c>
      <c r="D2484" s="27" t="s">
        <v>29</v>
      </c>
      <c r="E2484" s="27">
        <v>124</v>
      </c>
    </row>
    <row r="2485" spans="1:5" x14ac:dyDescent="0.25">
      <c r="A2485" s="26">
        <v>35278</v>
      </c>
      <c r="B2485" s="49">
        <f t="shared" si="39"/>
        <v>1996</v>
      </c>
      <c r="C2485" s="27" t="s">
        <v>34</v>
      </c>
      <c r="D2485" s="27" t="s">
        <v>29</v>
      </c>
      <c r="E2485" s="27">
        <v>184</v>
      </c>
    </row>
    <row r="2486" spans="1:5" x14ac:dyDescent="0.25">
      <c r="A2486" s="26">
        <v>35278</v>
      </c>
      <c r="B2486" s="49">
        <f t="shared" si="39"/>
        <v>1996</v>
      </c>
      <c r="C2486" s="27" t="s">
        <v>35</v>
      </c>
      <c r="D2486" s="27" t="s">
        <v>29</v>
      </c>
      <c r="E2486" s="27">
        <v>342</v>
      </c>
    </row>
    <row r="2487" spans="1:5" x14ac:dyDescent="0.25">
      <c r="A2487" s="26">
        <v>35278</v>
      </c>
      <c r="B2487" s="49">
        <f t="shared" si="39"/>
        <v>1996</v>
      </c>
      <c r="C2487" s="27" t="s">
        <v>39</v>
      </c>
      <c r="D2487" s="27" t="s">
        <v>29</v>
      </c>
      <c r="E2487" s="27">
        <v>426</v>
      </c>
    </row>
    <row r="2488" spans="1:5" x14ac:dyDescent="0.25">
      <c r="A2488" s="26">
        <v>35278</v>
      </c>
      <c r="B2488" s="49">
        <f t="shared" si="39"/>
        <v>1996</v>
      </c>
      <c r="C2488" s="27" t="s">
        <v>39</v>
      </c>
      <c r="D2488" s="27" t="s">
        <v>29</v>
      </c>
      <c r="E2488" s="27">
        <v>248</v>
      </c>
    </row>
    <row r="2489" spans="1:5" x14ac:dyDescent="0.25">
      <c r="A2489" s="26">
        <v>35278</v>
      </c>
      <c r="B2489" s="49">
        <f t="shared" si="39"/>
        <v>1996</v>
      </c>
      <c r="C2489" s="27" t="s">
        <v>35</v>
      </c>
      <c r="D2489" s="27" t="s">
        <v>29</v>
      </c>
      <c r="E2489" s="27">
        <v>228</v>
      </c>
    </row>
    <row r="2490" spans="1:5" x14ac:dyDescent="0.25">
      <c r="A2490" s="26">
        <v>35278</v>
      </c>
      <c r="B2490" s="49">
        <f t="shared" si="39"/>
        <v>1996</v>
      </c>
      <c r="C2490" s="27" t="s">
        <v>39</v>
      </c>
      <c r="D2490" s="27" t="s">
        <v>29</v>
      </c>
      <c r="E2490" s="27">
        <v>140</v>
      </c>
    </row>
    <row r="2491" spans="1:5" x14ac:dyDescent="0.25">
      <c r="A2491" s="26">
        <v>35278</v>
      </c>
      <c r="B2491" s="49">
        <f t="shared" si="39"/>
        <v>1996</v>
      </c>
      <c r="C2491" s="27" t="s">
        <v>32</v>
      </c>
      <c r="D2491" s="27" t="s">
        <v>29</v>
      </c>
      <c r="E2491" s="27">
        <v>770</v>
      </c>
    </row>
    <row r="2492" spans="1:5" x14ac:dyDescent="0.25">
      <c r="A2492" s="26">
        <v>35278</v>
      </c>
      <c r="B2492" s="49">
        <f t="shared" si="39"/>
        <v>1996</v>
      </c>
      <c r="C2492" s="27" t="s">
        <v>37</v>
      </c>
      <c r="D2492" s="27" t="s">
        <v>29</v>
      </c>
      <c r="E2492" s="27">
        <v>836</v>
      </c>
    </row>
    <row r="2493" spans="1:5" x14ac:dyDescent="0.25">
      <c r="A2493" s="26">
        <v>35278</v>
      </c>
      <c r="B2493" s="49">
        <f t="shared" si="39"/>
        <v>1996</v>
      </c>
      <c r="C2493" s="27" t="s">
        <v>34</v>
      </c>
      <c r="D2493" s="27" t="s">
        <v>29</v>
      </c>
      <c r="E2493" s="27">
        <v>210</v>
      </c>
    </row>
    <row r="2494" spans="1:5" x14ac:dyDescent="0.25">
      <c r="A2494" s="26">
        <v>35278</v>
      </c>
      <c r="B2494" s="49">
        <f t="shared" si="39"/>
        <v>1996</v>
      </c>
      <c r="C2494" s="27" t="s">
        <v>27</v>
      </c>
      <c r="D2494" s="27" t="s">
        <v>29</v>
      </c>
      <c r="E2494" s="27">
        <v>680</v>
      </c>
    </row>
    <row r="2495" spans="1:5" x14ac:dyDescent="0.25">
      <c r="A2495" s="26">
        <v>35278</v>
      </c>
      <c r="B2495" s="49">
        <f t="shared" si="39"/>
        <v>1996</v>
      </c>
      <c r="C2495" s="27" t="s">
        <v>34</v>
      </c>
      <c r="D2495" s="27" t="s">
        <v>38</v>
      </c>
      <c r="E2495" s="27">
        <v>473</v>
      </c>
    </row>
    <row r="2496" spans="1:5" x14ac:dyDescent="0.25">
      <c r="A2496" s="26">
        <v>35278</v>
      </c>
      <c r="B2496" s="49">
        <f t="shared" si="39"/>
        <v>1996</v>
      </c>
      <c r="C2496" s="27" t="s">
        <v>39</v>
      </c>
      <c r="D2496" s="27" t="s">
        <v>38</v>
      </c>
      <c r="E2496" s="27">
        <v>1785</v>
      </c>
    </row>
    <row r="2497" spans="1:5" x14ac:dyDescent="0.25">
      <c r="A2497" s="26">
        <v>35278</v>
      </c>
      <c r="B2497" s="49">
        <f t="shared" si="39"/>
        <v>1996</v>
      </c>
      <c r="C2497" s="27" t="s">
        <v>27</v>
      </c>
      <c r="D2497" s="27" t="s">
        <v>38</v>
      </c>
      <c r="E2497" s="27">
        <v>46</v>
      </c>
    </row>
    <row r="2498" spans="1:5" x14ac:dyDescent="0.25">
      <c r="A2498" s="26">
        <v>35278</v>
      </c>
      <c r="B2498" s="49">
        <f t="shared" si="39"/>
        <v>1996</v>
      </c>
      <c r="C2498" s="27" t="s">
        <v>32</v>
      </c>
      <c r="D2498" s="27" t="s">
        <v>38</v>
      </c>
      <c r="E2498" s="27">
        <v>184</v>
      </c>
    </row>
    <row r="2499" spans="1:5" x14ac:dyDescent="0.25">
      <c r="A2499" s="26">
        <v>35278</v>
      </c>
      <c r="B2499" s="49">
        <f t="shared" ref="B2499:B2562" si="40">YEAR(A2499)</f>
        <v>1996</v>
      </c>
      <c r="C2499" s="27" t="s">
        <v>39</v>
      </c>
      <c r="D2499" s="27" t="s">
        <v>38</v>
      </c>
      <c r="E2499" s="27">
        <v>561</v>
      </c>
    </row>
    <row r="2500" spans="1:5" x14ac:dyDescent="0.25">
      <c r="A2500" s="26">
        <v>35278</v>
      </c>
      <c r="B2500" s="49">
        <f t="shared" si="40"/>
        <v>1996</v>
      </c>
      <c r="C2500" s="27" t="s">
        <v>37</v>
      </c>
      <c r="D2500" s="27" t="s">
        <v>38</v>
      </c>
      <c r="E2500" s="27">
        <v>61</v>
      </c>
    </row>
    <row r="2501" spans="1:5" x14ac:dyDescent="0.25">
      <c r="A2501" s="26">
        <v>35278</v>
      </c>
      <c r="B2501" s="49">
        <f t="shared" si="40"/>
        <v>1996</v>
      </c>
      <c r="C2501" s="27" t="s">
        <v>35</v>
      </c>
      <c r="D2501" s="27" t="s">
        <v>38</v>
      </c>
      <c r="E2501" s="27">
        <v>54</v>
      </c>
    </row>
    <row r="2502" spans="1:5" x14ac:dyDescent="0.25">
      <c r="A2502" s="26">
        <v>35278</v>
      </c>
      <c r="B2502" s="49">
        <f t="shared" si="40"/>
        <v>1996</v>
      </c>
      <c r="C2502" s="27" t="s">
        <v>34</v>
      </c>
      <c r="D2502" s="27" t="s">
        <v>38</v>
      </c>
      <c r="E2502" s="27">
        <v>722</v>
      </c>
    </row>
    <row r="2503" spans="1:5" x14ac:dyDescent="0.25">
      <c r="A2503" s="26">
        <v>35278</v>
      </c>
      <c r="B2503" s="49">
        <f t="shared" si="40"/>
        <v>1996</v>
      </c>
      <c r="C2503" s="27" t="s">
        <v>35</v>
      </c>
      <c r="D2503" s="27" t="s">
        <v>38</v>
      </c>
      <c r="E2503" s="27">
        <v>175</v>
      </c>
    </row>
    <row r="2504" spans="1:5" x14ac:dyDescent="0.25">
      <c r="A2504" s="26">
        <v>35278</v>
      </c>
      <c r="B2504" s="49">
        <f t="shared" si="40"/>
        <v>1996</v>
      </c>
      <c r="C2504" s="27" t="s">
        <v>35</v>
      </c>
      <c r="D2504" s="27" t="s">
        <v>38</v>
      </c>
      <c r="E2504" s="27">
        <v>56</v>
      </c>
    </row>
    <row r="2505" spans="1:5" x14ac:dyDescent="0.25">
      <c r="A2505" s="26">
        <v>35278</v>
      </c>
      <c r="B2505" s="49">
        <f t="shared" si="40"/>
        <v>1996</v>
      </c>
      <c r="C2505" s="27" t="s">
        <v>34</v>
      </c>
      <c r="D2505" s="27" t="s">
        <v>38</v>
      </c>
      <c r="E2505" s="27">
        <v>535</v>
      </c>
    </row>
    <row r="2506" spans="1:5" x14ac:dyDescent="0.25">
      <c r="A2506" s="26">
        <v>35278</v>
      </c>
      <c r="B2506" s="49">
        <f t="shared" si="40"/>
        <v>1996</v>
      </c>
      <c r="C2506" s="27" t="s">
        <v>32</v>
      </c>
      <c r="D2506" s="27" t="s">
        <v>38</v>
      </c>
      <c r="E2506" s="27">
        <v>175</v>
      </c>
    </row>
    <row r="2507" spans="1:5" x14ac:dyDescent="0.25">
      <c r="A2507" s="26">
        <v>35278</v>
      </c>
      <c r="B2507" s="49">
        <f t="shared" si="40"/>
        <v>1996</v>
      </c>
      <c r="C2507" s="27" t="s">
        <v>34</v>
      </c>
      <c r="D2507" s="27" t="s">
        <v>38</v>
      </c>
      <c r="E2507" s="27">
        <v>270</v>
      </c>
    </row>
    <row r="2508" spans="1:5" x14ac:dyDescent="0.25">
      <c r="A2508" s="26">
        <v>35278</v>
      </c>
      <c r="B2508" s="49">
        <f t="shared" si="40"/>
        <v>1996</v>
      </c>
      <c r="C2508" s="27" t="s">
        <v>27</v>
      </c>
      <c r="D2508" s="27" t="s">
        <v>38</v>
      </c>
      <c r="E2508" s="27">
        <v>101</v>
      </c>
    </row>
    <row r="2509" spans="1:5" x14ac:dyDescent="0.25">
      <c r="A2509" s="26">
        <v>35278</v>
      </c>
      <c r="B2509" s="49">
        <f t="shared" si="40"/>
        <v>1996</v>
      </c>
      <c r="C2509" s="27" t="s">
        <v>37</v>
      </c>
      <c r="D2509" s="27" t="s">
        <v>38</v>
      </c>
      <c r="E2509" s="27">
        <v>228</v>
      </c>
    </row>
    <row r="2510" spans="1:5" x14ac:dyDescent="0.25">
      <c r="A2510" s="26">
        <v>35278</v>
      </c>
      <c r="B2510" s="49">
        <f t="shared" si="40"/>
        <v>1996</v>
      </c>
      <c r="C2510" s="27" t="s">
        <v>27</v>
      </c>
      <c r="D2510" s="27" t="s">
        <v>38</v>
      </c>
      <c r="E2510" s="27">
        <v>70</v>
      </c>
    </row>
    <row r="2511" spans="1:5" x14ac:dyDescent="0.25">
      <c r="A2511" s="26">
        <v>35278</v>
      </c>
      <c r="B2511" s="49">
        <f t="shared" si="40"/>
        <v>1996</v>
      </c>
      <c r="C2511" s="27" t="s">
        <v>32</v>
      </c>
      <c r="D2511" s="27" t="s">
        <v>38</v>
      </c>
      <c r="E2511" s="27">
        <v>214</v>
      </c>
    </row>
    <row r="2512" spans="1:5" x14ac:dyDescent="0.25">
      <c r="A2512" s="26">
        <v>35278</v>
      </c>
      <c r="B2512" s="49">
        <f t="shared" si="40"/>
        <v>1996</v>
      </c>
      <c r="C2512" s="27" t="s">
        <v>27</v>
      </c>
      <c r="D2512" s="27" t="s">
        <v>38</v>
      </c>
      <c r="E2512" s="27">
        <v>392</v>
      </c>
    </row>
    <row r="2513" spans="1:5" x14ac:dyDescent="0.25">
      <c r="A2513" s="26">
        <v>35278</v>
      </c>
      <c r="B2513" s="49">
        <f t="shared" si="40"/>
        <v>1996</v>
      </c>
      <c r="C2513" s="27" t="s">
        <v>35</v>
      </c>
      <c r="D2513" s="27" t="s">
        <v>38</v>
      </c>
      <c r="E2513" s="27">
        <v>196</v>
      </c>
    </row>
    <row r="2514" spans="1:5" x14ac:dyDescent="0.25">
      <c r="A2514" s="26">
        <v>35278</v>
      </c>
      <c r="B2514" s="49">
        <f t="shared" si="40"/>
        <v>1996</v>
      </c>
      <c r="C2514" s="27" t="s">
        <v>39</v>
      </c>
      <c r="D2514" s="27" t="s">
        <v>38</v>
      </c>
      <c r="E2514" s="27">
        <v>158</v>
      </c>
    </row>
    <row r="2515" spans="1:5" x14ac:dyDescent="0.25">
      <c r="A2515" s="26">
        <v>35278</v>
      </c>
      <c r="B2515" s="49">
        <f t="shared" si="40"/>
        <v>1996</v>
      </c>
      <c r="C2515" s="27" t="s">
        <v>37</v>
      </c>
      <c r="D2515" s="27" t="s">
        <v>38</v>
      </c>
      <c r="E2515" s="27">
        <v>113</v>
      </c>
    </row>
    <row r="2516" spans="1:5" x14ac:dyDescent="0.25">
      <c r="A2516" s="26">
        <v>35278</v>
      </c>
      <c r="B2516" s="49">
        <f t="shared" si="40"/>
        <v>1996</v>
      </c>
      <c r="C2516" s="27" t="s">
        <v>37</v>
      </c>
      <c r="D2516" s="27" t="s">
        <v>38</v>
      </c>
      <c r="E2516" s="27">
        <v>203</v>
      </c>
    </row>
    <row r="2517" spans="1:5" x14ac:dyDescent="0.25">
      <c r="A2517" s="26">
        <v>35278</v>
      </c>
      <c r="B2517" s="49">
        <f t="shared" si="40"/>
        <v>1996</v>
      </c>
      <c r="C2517" s="27" t="s">
        <v>32</v>
      </c>
      <c r="D2517" s="27" t="s">
        <v>38</v>
      </c>
      <c r="E2517" s="27">
        <v>2210</v>
      </c>
    </row>
    <row r="2518" spans="1:5" x14ac:dyDescent="0.25">
      <c r="A2518" s="26">
        <v>35278</v>
      </c>
      <c r="B2518" s="49">
        <f t="shared" si="40"/>
        <v>1996</v>
      </c>
      <c r="C2518" s="27" t="s">
        <v>39</v>
      </c>
      <c r="D2518" s="27" t="s">
        <v>38</v>
      </c>
      <c r="E2518" s="27">
        <v>203</v>
      </c>
    </row>
    <row r="2519" spans="1:5" x14ac:dyDescent="0.25">
      <c r="A2519" s="26">
        <v>35278</v>
      </c>
      <c r="B2519" s="49">
        <f t="shared" si="40"/>
        <v>1996</v>
      </c>
      <c r="C2519" s="27" t="s">
        <v>32</v>
      </c>
      <c r="D2519" s="27" t="s">
        <v>30</v>
      </c>
      <c r="E2519" s="27">
        <v>131</v>
      </c>
    </row>
    <row r="2520" spans="1:5" x14ac:dyDescent="0.25">
      <c r="A2520" s="26">
        <v>35278</v>
      </c>
      <c r="B2520" s="49">
        <f t="shared" si="40"/>
        <v>1996</v>
      </c>
      <c r="C2520" s="27" t="s">
        <v>32</v>
      </c>
      <c r="D2520" s="27" t="s">
        <v>30</v>
      </c>
      <c r="E2520" s="27">
        <v>123</v>
      </c>
    </row>
    <row r="2521" spans="1:5" x14ac:dyDescent="0.25">
      <c r="A2521" s="26">
        <v>35278</v>
      </c>
      <c r="B2521" s="49">
        <f t="shared" si="40"/>
        <v>1996</v>
      </c>
      <c r="C2521" s="27" t="s">
        <v>27</v>
      </c>
      <c r="D2521" s="27" t="s">
        <v>30</v>
      </c>
      <c r="E2521" s="27">
        <v>124</v>
      </c>
    </row>
    <row r="2522" spans="1:5" x14ac:dyDescent="0.25">
      <c r="A2522" s="26">
        <v>35278</v>
      </c>
      <c r="B2522" s="49">
        <f t="shared" si="40"/>
        <v>1996</v>
      </c>
      <c r="C2522" s="27" t="s">
        <v>27</v>
      </c>
      <c r="D2522" s="27" t="s">
        <v>30</v>
      </c>
      <c r="E2522" s="27">
        <v>88</v>
      </c>
    </row>
    <row r="2523" spans="1:5" x14ac:dyDescent="0.25">
      <c r="A2523" s="26">
        <v>35278</v>
      </c>
      <c r="B2523" s="49">
        <f t="shared" si="40"/>
        <v>1996</v>
      </c>
      <c r="C2523" s="27" t="s">
        <v>27</v>
      </c>
      <c r="D2523" s="27" t="s">
        <v>30</v>
      </c>
      <c r="E2523" s="27">
        <v>94</v>
      </c>
    </row>
    <row r="2524" spans="1:5" x14ac:dyDescent="0.25">
      <c r="A2524" s="26">
        <v>35278</v>
      </c>
      <c r="B2524" s="49">
        <f t="shared" si="40"/>
        <v>1996</v>
      </c>
      <c r="C2524" s="27" t="s">
        <v>32</v>
      </c>
      <c r="D2524" s="27" t="s">
        <v>30</v>
      </c>
      <c r="E2524" s="27">
        <v>275</v>
      </c>
    </row>
    <row r="2525" spans="1:5" x14ac:dyDescent="0.25">
      <c r="A2525" s="26">
        <v>35278</v>
      </c>
      <c r="B2525" s="49">
        <f t="shared" si="40"/>
        <v>1996</v>
      </c>
      <c r="C2525" s="27" t="s">
        <v>32</v>
      </c>
      <c r="D2525" s="27" t="s">
        <v>30</v>
      </c>
      <c r="E2525" s="27">
        <v>193</v>
      </c>
    </row>
    <row r="2526" spans="1:5" x14ac:dyDescent="0.25">
      <c r="A2526" s="26">
        <v>35278</v>
      </c>
      <c r="B2526" s="49">
        <f t="shared" si="40"/>
        <v>1996</v>
      </c>
      <c r="C2526" s="27" t="s">
        <v>27</v>
      </c>
      <c r="D2526" s="27" t="s">
        <v>30</v>
      </c>
      <c r="E2526" s="27">
        <v>23</v>
      </c>
    </row>
    <row r="2527" spans="1:5" x14ac:dyDescent="0.25">
      <c r="A2527" s="26">
        <v>35278</v>
      </c>
      <c r="B2527" s="49">
        <f t="shared" si="40"/>
        <v>1996</v>
      </c>
      <c r="C2527" s="27" t="s">
        <v>32</v>
      </c>
      <c r="D2527" s="27" t="s">
        <v>30</v>
      </c>
      <c r="E2527" s="27">
        <v>68</v>
      </c>
    </row>
    <row r="2528" spans="1:5" x14ac:dyDescent="0.25">
      <c r="A2528" s="26">
        <v>35278</v>
      </c>
      <c r="B2528" s="49">
        <f t="shared" si="40"/>
        <v>1996</v>
      </c>
      <c r="C2528" s="27" t="s">
        <v>32</v>
      </c>
      <c r="D2528" s="27" t="s">
        <v>30</v>
      </c>
      <c r="E2528" s="27">
        <v>180</v>
      </c>
    </row>
    <row r="2529" spans="1:5" x14ac:dyDescent="0.25">
      <c r="A2529" s="26">
        <v>35278</v>
      </c>
      <c r="B2529" s="49">
        <f t="shared" si="40"/>
        <v>1996</v>
      </c>
      <c r="C2529" s="27" t="s">
        <v>27</v>
      </c>
      <c r="D2529" s="27" t="s">
        <v>30</v>
      </c>
      <c r="E2529" s="27">
        <v>2170</v>
      </c>
    </row>
    <row r="2530" spans="1:5" x14ac:dyDescent="0.25">
      <c r="A2530" s="26">
        <v>35278</v>
      </c>
      <c r="B2530" s="49">
        <f t="shared" si="40"/>
        <v>1996</v>
      </c>
      <c r="C2530" s="27" t="s">
        <v>27</v>
      </c>
      <c r="D2530" s="27" t="s">
        <v>30</v>
      </c>
      <c r="E2530" s="27">
        <v>3105</v>
      </c>
    </row>
    <row r="2531" spans="1:5" x14ac:dyDescent="0.25">
      <c r="A2531" s="26">
        <v>35278</v>
      </c>
      <c r="B2531" s="49">
        <f t="shared" si="40"/>
        <v>1996</v>
      </c>
      <c r="C2531" s="27" t="s">
        <v>34</v>
      </c>
      <c r="D2531" s="27" t="s">
        <v>31</v>
      </c>
      <c r="E2531" s="27">
        <v>338</v>
      </c>
    </row>
    <row r="2532" spans="1:5" x14ac:dyDescent="0.25">
      <c r="A2532" s="26">
        <v>35278</v>
      </c>
      <c r="B2532" s="49">
        <f t="shared" si="40"/>
        <v>1996</v>
      </c>
      <c r="C2532" s="27" t="s">
        <v>39</v>
      </c>
      <c r="D2532" s="27" t="s">
        <v>31</v>
      </c>
      <c r="E2532" s="27">
        <v>360</v>
      </c>
    </row>
    <row r="2533" spans="1:5" x14ac:dyDescent="0.25">
      <c r="A2533" s="26">
        <v>35278</v>
      </c>
      <c r="B2533" s="49">
        <f t="shared" si="40"/>
        <v>1996</v>
      </c>
      <c r="C2533" s="27" t="s">
        <v>27</v>
      </c>
      <c r="D2533" s="27" t="s">
        <v>31</v>
      </c>
      <c r="E2533" s="27">
        <v>416</v>
      </c>
    </row>
    <row r="2534" spans="1:5" x14ac:dyDescent="0.25">
      <c r="A2534" s="26">
        <v>35278</v>
      </c>
      <c r="B2534" s="49">
        <f t="shared" si="40"/>
        <v>1996</v>
      </c>
      <c r="C2534" s="27" t="s">
        <v>39</v>
      </c>
      <c r="D2534" s="27" t="s">
        <v>31</v>
      </c>
      <c r="E2534" s="27">
        <v>426</v>
      </c>
    </row>
    <row r="2535" spans="1:5" x14ac:dyDescent="0.25">
      <c r="A2535" s="26">
        <v>35278</v>
      </c>
      <c r="B2535" s="49">
        <f t="shared" si="40"/>
        <v>1996</v>
      </c>
      <c r="C2535" s="27" t="s">
        <v>32</v>
      </c>
      <c r="D2535" s="27" t="s">
        <v>31</v>
      </c>
      <c r="E2535" s="27">
        <v>404</v>
      </c>
    </row>
    <row r="2536" spans="1:5" x14ac:dyDescent="0.25">
      <c r="A2536" s="26">
        <v>35278</v>
      </c>
      <c r="B2536" s="49">
        <f t="shared" si="40"/>
        <v>1996</v>
      </c>
      <c r="C2536" s="27" t="s">
        <v>39</v>
      </c>
      <c r="D2536" s="27" t="s">
        <v>31</v>
      </c>
      <c r="E2536" s="27">
        <v>245</v>
      </c>
    </row>
    <row r="2537" spans="1:5" x14ac:dyDescent="0.25">
      <c r="A2537" s="26">
        <v>35278</v>
      </c>
      <c r="B2537" s="49">
        <f t="shared" si="40"/>
        <v>1996</v>
      </c>
      <c r="C2537" s="27" t="s">
        <v>34</v>
      </c>
      <c r="D2537" s="27" t="s">
        <v>31</v>
      </c>
      <c r="E2537" s="27">
        <v>158</v>
      </c>
    </row>
    <row r="2538" spans="1:5" x14ac:dyDescent="0.25">
      <c r="A2538" s="26">
        <v>35278</v>
      </c>
      <c r="B2538" s="49">
        <f t="shared" si="40"/>
        <v>1996</v>
      </c>
      <c r="C2538" s="27" t="s">
        <v>37</v>
      </c>
      <c r="D2538" s="27" t="s">
        <v>31</v>
      </c>
      <c r="E2538" s="27">
        <v>263</v>
      </c>
    </row>
    <row r="2539" spans="1:5" x14ac:dyDescent="0.25">
      <c r="A2539" s="26">
        <v>35278</v>
      </c>
      <c r="B2539" s="49">
        <f t="shared" si="40"/>
        <v>1996</v>
      </c>
      <c r="C2539" s="27" t="s">
        <v>34</v>
      </c>
      <c r="D2539" s="27" t="s">
        <v>31</v>
      </c>
      <c r="E2539" s="27">
        <v>131</v>
      </c>
    </row>
    <row r="2540" spans="1:5" x14ac:dyDescent="0.25">
      <c r="A2540" s="26">
        <v>35278</v>
      </c>
      <c r="B2540" s="49">
        <f t="shared" si="40"/>
        <v>1996</v>
      </c>
      <c r="C2540" s="27" t="s">
        <v>32</v>
      </c>
      <c r="D2540" s="27" t="s">
        <v>31</v>
      </c>
      <c r="E2540" s="27">
        <v>626</v>
      </c>
    </row>
    <row r="2541" spans="1:5" x14ac:dyDescent="0.25">
      <c r="A2541" s="26">
        <v>35278</v>
      </c>
      <c r="B2541" s="49">
        <f t="shared" si="40"/>
        <v>1996</v>
      </c>
      <c r="C2541" s="27" t="s">
        <v>27</v>
      </c>
      <c r="D2541" s="27" t="s">
        <v>31</v>
      </c>
      <c r="E2541" s="27">
        <v>595</v>
      </c>
    </row>
    <row r="2542" spans="1:5" x14ac:dyDescent="0.25">
      <c r="A2542" s="26">
        <v>35278</v>
      </c>
      <c r="B2542" s="49">
        <f t="shared" si="40"/>
        <v>1996</v>
      </c>
      <c r="C2542" s="27" t="s">
        <v>27</v>
      </c>
      <c r="D2542" s="27" t="s">
        <v>31</v>
      </c>
      <c r="E2542" s="27">
        <v>180</v>
      </c>
    </row>
    <row r="2543" spans="1:5" x14ac:dyDescent="0.25">
      <c r="A2543" s="26">
        <v>35278</v>
      </c>
      <c r="B2543" s="49">
        <f t="shared" si="40"/>
        <v>1996</v>
      </c>
      <c r="C2543" s="27" t="s">
        <v>37</v>
      </c>
      <c r="D2543" s="27" t="s">
        <v>31</v>
      </c>
      <c r="E2543" s="27">
        <v>135</v>
      </c>
    </row>
    <row r="2544" spans="1:5" x14ac:dyDescent="0.25">
      <c r="A2544" s="26">
        <v>35278</v>
      </c>
      <c r="B2544" s="49">
        <f t="shared" si="40"/>
        <v>1996</v>
      </c>
      <c r="C2544" s="27" t="s">
        <v>32</v>
      </c>
      <c r="D2544" s="27" t="s">
        <v>31</v>
      </c>
      <c r="E2544" s="27">
        <v>708</v>
      </c>
    </row>
    <row r="2545" spans="1:5" x14ac:dyDescent="0.25">
      <c r="A2545" s="26">
        <v>35278</v>
      </c>
      <c r="B2545" s="49">
        <f t="shared" si="40"/>
        <v>1996</v>
      </c>
      <c r="C2545" s="27" t="s">
        <v>32</v>
      </c>
      <c r="D2545" s="27" t="s">
        <v>31</v>
      </c>
      <c r="E2545" s="27">
        <v>527</v>
      </c>
    </row>
    <row r="2546" spans="1:5" x14ac:dyDescent="0.25">
      <c r="A2546" s="26">
        <v>35278</v>
      </c>
      <c r="B2546" s="49">
        <f t="shared" si="40"/>
        <v>1996</v>
      </c>
      <c r="C2546" s="27" t="s">
        <v>37</v>
      </c>
      <c r="D2546" s="27" t="s">
        <v>31</v>
      </c>
      <c r="E2546" s="27">
        <v>166</v>
      </c>
    </row>
    <row r="2547" spans="1:5" x14ac:dyDescent="0.25">
      <c r="A2547" s="26">
        <v>35278</v>
      </c>
      <c r="B2547" s="49">
        <f t="shared" si="40"/>
        <v>1996</v>
      </c>
      <c r="C2547" s="27" t="s">
        <v>37</v>
      </c>
      <c r="D2547" s="27" t="s">
        <v>31</v>
      </c>
      <c r="E2547" s="27">
        <v>470</v>
      </c>
    </row>
    <row r="2548" spans="1:5" x14ac:dyDescent="0.25">
      <c r="A2548" s="26">
        <v>35278</v>
      </c>
      <c r="B2548" s="49">
        <f t="shared" si="40"/>
        <v>1996</v>
      </c>
      <c r="C2548" s="27" t="s">
        <v>39</v>
      </c>
      <c r="D2548" s="27" t="s">
        <v>31</v>
      </c>
      <c r="E2548" s="27">
        <v>131</v>
      </c>
    </row>
    <row r="2549" spans="1:5" x14ac:dyDescent="0.25">
      <c r="A2549" s="26">
        <v>35278</v>
      </c>
      <c r="B2549" s="49">
        <f t="shared" si="40"/>
        <v>1996</v>
      </c>
      <c r="C2549" s="27" t="s">
        <v>34</v>
      </c>
      <c r="D2549" s="27" t="s">
        <v>31</v>
      </c>
      <c r="E2549" s="27">
        <v>459</v>
      </c>
    </row>
    <row r="2550" spans="1:5" x14ac:dyDescent="0.25">
      <c r="A2550" s="26">
        <v>35278</v>
      </c>
      <c r="B2550" s="49">
        <f t="shared" si="40"/>
        <v>1996</v>
      </c>
      <c r="C2550" s="27" t="s">
        <v>35</v>
      </c>
      <c r="D2550" s="27" t="s">
        <v>31</v>
      </c>
      <c r="E2550" s="27">
        <v>42</v>
      </c>
    </row>
    <row r="2551" spans="1:5" x14ac:dyDescent="0.25">
      <c r="A2551" s="26">
        <v>35278</v>
      </c>
      <c r="B2551" s="49">
        <f t="shared" si="40"/>
        <v>1996</v>
      </c>
      <c r="C2551" s="27" t="s">
        <v>27</v>
      </c>
      <c r="D2551" s="27" t="s">
        <v>31</v>
      </c>
      <c r="E2551" s="27">
        <v>88</v>
      </c>
    </row>
    <row r="2552" spans="1:5" x14ac:dyDescent="0.25">
      <c r="A2552" s="26">
        <v>35278</v>
      </c>
      <c r="B2552" s="49">
        <f t="shared" si="40"/>
        <v>1996</v>
      </c>
      <c r="C2552" s="27" t="s">
        <v>35</v>
      </c>
      <c r="D2552" s="27" t="s">
        <v>31</v>
      </c>
      <c r="E2552" s="27">
        <v>108</v>
      </c>
    </row>
    <row r="2553" spans="1:5" x14ac:dyDescent="0.25">
      <c r="A2553" s="26">
        <v>35278</v>
      </c>
      <c r="B2553" s="49">
        <f t="shared" si="40"/>
        <v>1996</v>
      </c>
      <c r="C2553" s="27" t="s">
        <v>35</v>
      </c>
      <c r="D2553" s="27" t="s">
        <v>31</v>
      </c>
      <c r="E2553" s="27">
        <v>113</v>
      </c>
    </row>
    <row r="2554" spans="1:5" x14ac:dyDescent="0.25">
      <c r="A2554" s="26">
        <v>35278</v>
      </c>
      <c r="B2554" s="49">
        <f t="shared" si="40"/>
        <v>1996</v>
      </c>
      <c r="C2554" s="27" t="s">
        <v>35</v>
      </c>
      <c r="D2554" s="27" t="s">
        <v>31</v>
      </c>
      <c r="E2554" s="27">
        <v>114</v>
      </c>
    </row>
    <row r="2555" spans="1:5" x14ac:dyDescent="0.25">
      <c r="A2555" s="26">
        <v>35278</v>
      </c>
      <c r="B2555" s="49">
        <f t="shared" si="40"/>
        <v>1996</v>
      </c>
      <c r="C2555" s="27" t="s">
        <v>34</v>
      </c>
      <c r="D2555" s="27" t="s">
        <v>33</v>
      </c>
      <c r="E2555" s="27">
        <v>56</v>
      </c>
    </row>
    <row r="2556" spans="1:5" x14ac:dyDescent="0.25">
      <c r="A2556" s="26">
        <v>35278</v>
      </c>
      <c r="B2556" s="49">
        <f t="shared" si="40"/>
        <v>1996</v>
      </c>
      <c r="C2556" s="27" t="s">
        <v>37</v>
      </c>
      <c r="D2556" s="27" t="s">
        <v>33</v>
      </c>
      <c r="E2556" s="27">
        <v>238</v>
      </c>
    </row>
    <row r="2557" spans="1:5" x14ac:dyDescent="0.25">
      <c r="A2557" s="26">
        <v>35278</v>
      </c>
      <c r="B2557" s="49">
        <f t="shared" si="40"/>
        <v>1996</v>
      </c>
      <c r="C2557" s="27" t="s">
        <v>27</v>
      </c>
      <c r="D2557" s="27" t="s">
        <v>33</v>
      </c>
      <c r="E2557" s="27">
        <v>44</v>
      </c>
    </row>
    <row r="2558" spans="1:5" x14ac:dyDescent="0.25">
      <c r="A2558" s="26">
        <v>35278</v>
      </c>
      <c r="B2558" s="49">
        <f t="shared" si="40"/>
        <v>1996</v>
      </c>
      <c r="C2558" s="27" t="s">
        <v>27</v>
      </c>
      <c r="D2558" s="27" t="s">
        <v>33</v>
      </c>
      <c r="E2558" s="27">
        <v>68</v>
      </c>
    </row>
    <row r="2559" spans="1:5" x14ac:dyDescent="0.25">
      <c r="A2559" s="26">
        <v>35278</v>
      </c>
      <c r="B2559" s="49">
        <f t="shared" si="40"/>
        <v>1996</v>
      </c>
      <c r="C2559" s="27" t="s">
        <v>35</v>
      </c>
      <c r="D2559" s="27" t="s">
        <v>33</v>
      </c>
      <c r="E2559" s="27">
        <v>70</v>
      </c>
    </row>
    <row r="2560" spans="1:5" x14ac:dyDescent="0.25">
      <c r="A2560" s="26">
        <v>35278</v>
      </c>
      <c r="B2560" s="49">
        <f t="shared" si="40"/>
        <v>1996</v>
      </c>
      <c r="C2560" s="27" t="s">
        <v>34</v>
      </c>
      <c r="D2560" s="27" t="s">
        <v>33</v>
      </c>
      <c r="E2560" s="27">
        <v>72</v>
      </c>
    </row>
    <row r="2561" spans="1:5" x14ac:dyDescent="0.25">
      <c r="A2561" s="26">
        <v>35278</v>
      </c>
      <c r="B2561" s="49">
        <f t="shared" si="40"/>
        <v>1996</v>
      </c>
      <c r="C2561" s="27" t="s">
        <v>39</v>
      </c>
      <c r="D2561" s="27" t="s">
        <v>33</v>
      </c>
      <c r="E2561" s="27">
        <v>90</v>
      </c>
    </row>
    <row r="2562" spans="1:5" x14ac:dyDescent="0.25">
      <c r="A2562" s="26">
        <v>35278</v>
      </c>
      <c r="B2562" s="49">
        <f t="shared" si="40"/>
        <v>1996</v>
      </c>
      <c r="C2562" s="27" t="s">
        <v>35</v>
      </c>
      <c r="D2562" s="27" t="s">
        <v>33</v>
      </c>
      <c r="E2562" s="27">
        <v>104</v>
      </c>
    </row>
    <row r="2563" spans="1:5" x14ac:dyDescent="0.25">
      <c r="A2563" s="26">
        <v>35278</v>
      </c>
      <c r="B2563" s="49">
        <f t="shared" ref="B2563:B2626" si="41">YEAR(A2563)</f>
        <v>1996</v>
      </c>
      <c r="C2563" s="27" t="s">
        <v>39</v>
      </c>
      <c r="D2563" s="27" t="s">
        <v>33</v>
      </c>
      <c r="E2563" s="27">
        <v>105</v>
      </c>
    </row>
    <row r="2564" spans="1:5" x14ac:dyDescent="0.25">
      <c r="A2564" s="26">
        <v>35278</v>
      </c>
      <c r="B2564" s="49">
        <f t="shared" si="41"/>
        <v>1996</v>
      </c>
      <c r="C2564" s="27" t="s">
        <v>27</v>
      </c>
      <c r="D2564" s="27" t="s">
        <v>33</v>
      </c>
      <c r="E2564" s="27">
        <v>105</v>
      </c>
    </row>
    <row r="2565" spans="1:5" x14ac:dyDescent="0.25">
      <c r="A2565" s="26">
        <v>35278</v>
      </c>
      <c r="B2565" s="49">
        <f t="shared" si="41"/>
        <v>1996</v>
      </c>
      <c r="C2565" s="27" t="s">
        <v>35</v>
      </c>
      <c r="D2565" s="27" t="s">
        <v>33</v>
      </c>
      <c r="E2565" s="27">
        <v>112</v>
      </c>
    </row>
    <row r="2566" spans="1:5" x14ac:dyDescent="0.25">
      <c r="A2566" s="26">
        <v>35278</v>
      </c>
      <c r="B2566" s="49">
        <f t="shared" si="41"/>
        <v>1996</v>
      </c>
      <c r="C2566" s="27" t="s">
        <v>37</v>
      </c>
      <c r="D2566" s="27" t="s">
        <v>33</v>
      </c>
      <c r="E2566" s="27">
        <v>124</v>
      </c>
    </row>
    <row r="2567" spans="1:5" x14ac:dyDescent="0.25">
      <c r="A2567" s="26">
        <v>35278</v>
      </c>
      <c r="B2567" s="49">
        <f t="shared" si="41"/>
        <v>1996</v>
      </c>
      <c r="C2567" s="27" t="s">
        <v>35</v>
      </c>
      <c r="D2567" s="27" t="s">
        <v>33</v>
      </c>
      <c r="E2567" s="27">
        <v>146</v>
      </c>
    </row>
    <row r="2568" spans="1:5" x14ac:dyDescent="0.25">
      <c r="A2568" s="26">
        <v>35278</v>
      </c>
      <c r="B2568" s="49">
        <f t="shared" si="41"/>
        <v>1996</v>
      </c>
      <c r="C2568" s="27" t="s">
        <v>39</v>
      </c>
      <c r="D2568" s="27" t="s">
        <v>33</v>
      </c>
      <c r="E2568" s="27">
        <v>221</v>
      </c>
    </row>
    <row r="2569" spans="1:5" x14ac:dyDescent="0.25">
      <c r="A2569" s="26">
        <v>35278</v>
      </c>
      <c r="B2569" s="49">
        <f t="shared" si="41"/>
        <v>1996</v>
      </c>
      <c r="C2569" s="27" t="s">
        <v>32</v>
      </c>
      <c r="D2569" s="27" t="s">
        <v>33</v>
      </c>
      <c r="E2569" s="27">
        <v>387</v>
      </c>
    </row>
    <row r="2570" spans="1:5" x14ac:dyDescent="0.25">
      <c r="A2570" s="26">
        <v>35278</v>
      </c>
      <c r="B2570" s="49">
        <f t="shared" si="41"/>
        <v>1996</v>
      </c>
      <c r="C2570" s="27" t="s">
        <v>37</v>
      </c>
      <c r="D2570" s="27" t="s">
        <v>33</v>
      </c>
      <c r="E2570" s="27">
        <v>228</v>
      </c>
    </row>
    <row r="2571" spans="1:5" x14ac:dyDescent="0.25">
      <c r="A2571" s="26">
        <v>35278</v>
      </c>
      <c r="B2571" s="49">
        <f t="shared" si="41"/>
        <v>1996</v>
      </c>
      <c r="C2571" s="27" t="s">
        <v>34</v>
      </c>
      <c r="D2571" s="27" t="s">
        <v>33</v>
      </c>
      <c r="E2571" s="27">
        <v>459</v>
      </c>
    </row>
    <row r="2572" spans="1:5" x14ac:dyDescent="0.25">
      <c r="A2572" s="26">
        <v>35278</v>
      </c>
      <c r="B2572" s="49">
        <f t="shared" si="41"/>
        <v>1996</v>
      </c>
      <c r="C2572" s="27" t="s">
        <v>32</v>
      </c>
      <c r="D2572" s="27" t="s">
        <v>33</v>
      </c>
      <c r="E2572" s="27">
        <v>480</v>
      </c>
    </row>
    <row r="2573" spans="1:5" x14ac:dyDescent="0.25">
      <c r="A2573" s="26">
        <v>35278</v>
      </c>
      <c r="B2573" s="49">
        <f t="shared" si="41"/>
        <v>1996</v>
      </c>
      <c r="C2573" s="27" t="s">
        <v>39</v>
      </c>
      <c r="D2573" s="27" t="s">
        <v>33</v>
      </c>
      <c r="E2573" s="27">
        <v>526</v>
      </c>
    </row>
    <row r="2574" spans="1:5" x14ac:dyDescent="0.25">
      <c r="A2574" s="26">
        <v>35278</v>
      </c>
      <c r="B2574" s="49">
        <f t="shared" si="41"/>
        <v>1996</v>
      </c>
      <c r="C2574" s="27" t="s">
        <v>27</v>
      </c>
      <c r="D2574" s="27" t="s">
        <v>33</v>
      </c>
      <c r="E2574" s="27">
        <v>531</v>
      </c>
    </row>
    <row r="2575" spans="1:5" x14ac:dyDescent="0.25">
      <c r="A2575" s="26">
        <v>35278</v>
      </c>
      <c r="B2575" s="49">
        <f t="shared" si="41"/>
        <v>1996</v>
      </c>
      <c r="C2575" s="27" t="s">
        <v>34</v>
      </c>
      <c r="D2575" s="27" t="s">
        <v>33</v>
      </c>
      <c r="E2575" s="27">
        <v>1291</v>
      </c>
    </row>
    <row r="2576" spans="1:5" x14ac:dyDescent="0.25">
      <c r="A2576" s="26">
        <v>35278</v>
      </c>
      <c r="B2576" s="49">
        <f t="shared" si="41"/>
        <v>1996</v>
      </c>
      <c r="C2576" s="27" t="s">
        <v>32</v>
      </c>
      <c r="D2576" s="27" t="s">
        <v>33</v>
      </c>
      <c r="E2576" s="27">
        <v>1476</v>
      </c>
    </row>
    <row r="2577" spans="1:5" x14ac:dyDescent="0.25">
      <c r="A2577" s="26">
        <v>35278</v>
      </c>
      <c r="B2577" s="49">
        <f t="shared" si="41"/>
        <v>1996</v>
      </c>
      <c r="C2577" s="27" t="s">
        <v>32</v>
      </c>
      <c r="D2577" s="27" t="s">
        <v>33</v>
      </c>
      <c r="E2577" s="27">
        <v>1658</v>
      </c>
    </row>
    <row r="2578" spans="1:5" x14ac:dyDescent="0.25">
      <c r="A2578" s="26">
        <v>35278</v>
      </c>
      <c r="B2578" s="49">
        <f t="shared" si="41"/>
        <v>1996</v>
      </c>
      <c r="C2578" s="27" t="s">
        <v>37</v>
      </c>
      <c r="D2578" s="27" t="s">
        <v>33</v>
      </c>
      <c r="E2578" s="27">
        <v>1873</v>
      </c>
    </row>
    <row r="2579" spans="1:5" x14ac:dyDescent="0.25">
      <c r="A2579" s="26">
        <v>35278</v>
      </c>
      <c r="B2579" s="49">
        <f t="shared" si="41"/>
        <v>1996</v>
      </c>
      <c r="C2579" s="27" t="s">
        <v>39</v>
      </c>
      <c r="D2579" s="27" t="s">
        <v>36</v>
      </c>
      <c r="E2579" s="27">
        <v>1863</v>
      </c>
    </row>
    <row r="2580" spans="1:5" x14ac:dyDescent="0.25">
      <c r="A2580" s="26">
        <v>35278</v>
      </c>
      <c r="B2580" s="49">
        <f t="shared" si="41"/>
        <v>1996</v>
      </c>
      <c r="C2580" s="27" t="s">
        <v>32</v>
      </c>
      <c r="D2580" s="27" t="s">
        <v>36</v>
      </c>
      <c r="E2580" s="27">
        <v>26</v>
      </c>
    </row>
    <row r="2581" spans="1:5" x14ac:dyDescent="0.25">
      <c r="A2581" s="26">
        <v>35278</v>
      </c>
      <c r="B2581" s="49">
        <f t="shared" si="41"/>
        <v>1996</v>
      </c>
      <c r="C2581" s="27" t="s">
        <v>27</v>
      </c>
      <c r="D2581" s="27" t="s">
        <v>36</v>
      </c>
      <c r="E2581" s="27">
        <v>7</v>
      </c>
    </row>
    <row r="2582" spans="1:5" x14ac:dyDescent="0.25">
      <c r="A2582" s="26">
        <v>35278</v>
      </c>
      <c r="B2582" s="49">
        <f t="shared" si="41"/>
        <v>1996</v>
      </c>
      <c r="C2582" s="27" t="s">
        <v>27</v>
      </c>
      <c r="D2582" s="27" t="s">
        <v>36</v>
      </c>
      <c r="E2582" s="27">
        <v>9</v>
      </c>
    </row>
    <row r="2583" spans="1:5" x14ac:dyDescent="0.25">
      <c r="A2583" s="26">
        <v>35278</v>
      </c>
      <c r="B2583" s="49">
        <f t="shared" si="41"/>
        <v>1996</v>
      </c>
      <c r="C2583" s="27" t="s">
        <v>37</v>
      </c>
      <c r="D2583" s="27" t="s">
        <v>36</v>
      </c>
      <c r="E2583" s="27">
        <v>26</v>
      </c>
    </row>
    <row r="2584" spans="1:5" x14ac:dyDescent="0.25">
      <c r="A2584" s="26">
        <v>35278</v>
      </c>
      <c r="B2584" s="49">
        <f t="shared" si="41"/>
        <v>1996</v>
      </c>
      <c r="C2584" s="27" t="s">
        <v>35</v>
      </c>
      <c r="D2584" s="27" t="s">
        <v>36</v>
      </c>
      <c r="E2584" s="27">
        <v>35</v>
      </c>
    </row>
    <row r="2585" spans="1:5" x14ac:dyDescent="0.25">
      <c r="A2585" s="26">
        <v>35278</v>
      </c>
      <c r="B2585" s="49">
        <f t="shared" si="41"/>
        <v>1996</v>
      </c>
      <c r="C2585" s="27" t="s">
        <v>27</v>
      </c>
      <c r="D2585" s="27" t="s">
        <v>36</v>
      </c>
      <c r="E2585" s="27">
        <v>35</v>
      </c>
    </row>
    <row r="2586" spans="1:5" x14ac:dyDescent="0.25">
      <c r="A2586" s="26">
        <v>35278</v>
      </c>
      <c r="B2586" s="49">
        <f t="shared" si="41"/>
        <v>1996</v>
      </c>
      <c r="C2586" s="27" t="s">
        <v>35</v>
      </c>
      <c r="D2586" s="27" t="s">
        <v>36</v>
      </c>
      <c r="E2586" s="27">
        <v>39</v>
      </c>
    </row>
    <row r="2587" spans="1:5" x14ac:dyDescent="0.25">
      <c r="A2587" s="26">
        <v>35278</v>
      </c>
      <c r="B2587" s="49">
        <f t="shared" si="41"/>
        <v>1996</v>
      </c>
      <c r="C2587" s="27" t="s">
        <v>32</v>
      </c>
      <c r="D2587" s="27" t="s">
        <v>36</v>
      </c>
      <c r="E2587" s="27">
        <v>39</v>
      </c>
    </row>
    <row r="2588" spans="1:5" x14ac:dyDescent="0.25">
      <c r="A2588" s="26">
        <v>35278</v>
      </c>
      <c r="B2588" s="49">
        <f t="shared" si="41"/>
        <v>1996</v>
      </c>
      <c r="C2588" s="27" t="s">
        <v>35</v>
      </c>
      <c r="D2588" s="27" t="s">
        <v>36</v>
      </c>
      <c r="E2588" s="27">
        <v>41</v>
      </c>
    </row>
    <row r="2589" spans="1:5" x14ac:dyDescent="0.25">
      <c r="A2589" s="26">
        <v>35278</v>
      </c>
      <c r="B2589" s="49">
        <f t="shared" si="41"/>
        <v>1996</v>
      </c>
      <c r="C2589" s="27" t="s">
        <v>27</v>
      </c>
      <c r="D2589" s="27" t="s">
        <v>36</v>
      </c>
      <c r="E2589" s="27">
        <v>41</v>
      </c>
    </row>
    <row r="2590" spans="1:5" x14ac:dyDescent="0.25">
      <c r="A2590" s="26">
        <v>35278</v>
      </c>
      <c r="B2590" s="49">
        <f t="shared" si="41"/>
        <v>1996</v>
      </c>
      <c r="C2590" s="27" t="s">
        <v>27</v>
      </c>
      <c r="D2590" s="27" t="s">
        <v>36</v>
      </c>
      <c r="E2590" s="27">
        <v>44</v>
      </c>
    </row>
    <row r="2591" spans="1:5" x14ac:dyDescent="0.25">
      <c r="A2591" s="26">
        <v>35278</v>
      </c>
      <c r="B2591" s="49">
        <f t="shared" si="41"/>
        <v>1996</v>
      </c>
      <c r="C2591" s="27" t="s">
        <v>32</v>
      </c>
      <c r="D2591" s="27" t="s">
        <v>36</v>
      </c>
      <c r="E2591" s="27">
        <v>46</v>
      </c>
    </row>
    <row r="2592" spans="1:5" x14ac:dyDescent="0.25">
      <c r="A2592" s="26">
        <v>35278</v>
      </c>
      <c r="B2592" s="49">
        <f t="shared" si="41"/>
        <v>1996</v>
      </c>
      <c r="C2592" s="27" t="s">
        <v>34</v>
      </c>
      <c r="D2592" s="27" t="s">
        <v>36</v>
      </c>
      <c r="E2592" s="27">
        <v>18</v>
      </c>
    </row>
    <row r="2593" spans="1:5" x14ac:dyDescent="0.25">
      <c r="A2593" s="26">
        <v>35278</v>
      </c>
      <c r="B2593" s="49">
        <f t="shared" si="41"/>
        <v>1996</v>
      </c>
      <c r="C2593" s="27" t="s">
        <v>35</v>
      </c>
      <c r="D2593" s="27" t="s">
        <v>36</v>
      </c>
      <c r="E2593" s="27">
        <v>69</v>
      </c>
    </row>
    <row r="2594" spans="1:5" x14ac:dyDescent="0.25">
      <c r="A2594" s="26">
        <v>35278</v>
      </c>
      <c r="B2594" s="49">
        <f t="shared" si="41"/>
        <v>1996</v>
      </c>
      <c r="C2594" s="27" t="s">
        <v>27</v>
      </c>
      <c r="D2594" s="27" t="s">
        <v>36</v>
      </c>
      <c r="E2594" s="27">
        <v>56</v>
      </c>
    </row>
    <row r="2595" spans="1:5" x14ac:dyDescent="0.25">
      <c r="A2595" s="26">
        <v>35278</v>
      </c>
      <c r="B2595" s="49">
        <f t="shared" si="41"/>
        <v>1996</v>
      </c>
      <c r="C2595" s="27" t="s">
        <v>34</v>
      </c>
      <c r="D2595" s="27" t="s">
        <v>36</v>
      </c>
      <c r="E2595" s="27">
        <v>248</v>
      </c>
    </row>
    <row r="2596" spans="1:5" x14ac:dyDescent="0.25">
      <c r="A2596" s="26">
        <v>35278</v>
      </c>
      <c r="B2596" s="49">
        <f t="shared" si="41"/>
        <v>1996</v>
      </c>
      <c r="C2596" s="27" t="s">
        <v>37</v>
      </c>
      <c r="D2596" s="27" t="s">
        <v>36</v>
      </c>
      <c r="E2596" s="27">
        <v>347</v>
      </c>
    </row>
    <row r="2597" spans="1:5" x14ac:dyDescent="0.25">
      <c r="A2597" s="26">
        <v>35278</v>
      </c>
      <c r="B2597" s="49">
        <f t="shared" si="41"/>
        <v>1996</v>
      </c>
      <c r="C2597" s="27" t="s">
        <v>39</v>
      </c>
      <c r="D2597" s="27" t="s">
        <v>36</v>
      </c>
      <c r="E2597" s="27">
        <v>627</v>
      </c>
    </row>
    <row r="2598" spans="1:5" x14ac:dyDescent="0.25">
      <c r="A2598" s="26">
        <v>35278</v>
      </c>
      <c r="B2598" s="49">
        <f t="shared" si="41"/>
        <v>1996</v>
      </c>
      <c r="C2598" s="27" t="s">
        <v>32</v>
      </c>
      <c r="D2598" s="27" t="s">
        <v>36</v>
      </c>
      <c r="E2598" s="27">
        <v>810</v>
      </c>
    </row>
    <row r="2599" spans="1:5" x14ac:dyDescent="0.25">
      <c r="A2599" s="26">
        <v>35278</v>
      </c>
      <c r="B2599" s="49">
        <f t="shared" si="41"/>
        <v>1996</v>
      </c>
      <c r="C2599" s="27" t="s">
        <v>37</v>
      </c>
      <c r="D2599" s="27" t="s">
        <v>36</v>
      </c>
      <c r="E2599" s="27">
        <v>954</v>
      </c>
    </row>
    <row r="2600" spans="1:5" x14ac:dyDescent="0.25">
      <c r="A2600" s="26">
        <v>35278</v>
      </c>
      <c r="B2600" s="49">
        <f t="shared" si="41"/>
        <v>1996</v>
      </c>
      <c r="C2600" s="27" t="s">
        <v>37</v>
      </c>
      <c r="D2600" s="27" t="s">
        <v>36</v>
      </c>
      <c r="E2600" s="27">
        <v>1560</v>
      </c>
    </row>
    <row r="2601" spans="1:5" x14ac:dyDescent="0.25">
      <c r="A2601" s="26">
        <v>35278</v>
      </c>
      <c r="B2601" s="49">
        <f t="shared" si="41"/>
        <v>1996</v>
      </c>
      <c r="C2601" s="27" t="s">
        <v>34</v>
      </c>
      <c r="D2601" s="27" t="s">
        <v>36</v>
      </c>
      <c r="E2601" s="27">
        <v>124</v>
      </c>
    </row>
    <row r="2602" spans="1:5" x14ac:dyDescent="0.25">
      <c r="A2602" s="26">
        <v>35278</v>
      </c>
      <c r="B2602" s="49">
        <f t="shared" si="41"/>
        <v>1996</v>
      </c>
      <c r="C2602" s="27" t="s">
        <v>39</v>
      </c>
      <c r="D2602" s="27" t="s">
        <v>36</v>
      </c>
      <c r="E2602" s="27">
        <v>898</v>
      </c>
    </row>
    <row r="2603" spans="1:5" x14ac:dyDescent="0.25">
      <c r="A2603" s="26">
        <v>35278</v>
      </c>
      <c r="B2603" s="49">
        <f t="shared" si="41"/>
        <v>1996</v>
      </c>
      <c r="C2603" s="27" t="s">
        <v>37</v>
      </c>
      <c r="D2603" s="27" t="s">
        <v>36</v>
      </c>
      <c r="E2603" s="27">
        <v>69</v>
      </c>
    </row>
    <row r="2604" spans="1:5" x14ac:dyDescent="0.25">
      <c r="A2604" s="26">
        <v>35278</v>
      </c>
      <c r="B2604" s="49">
        <f t="shared" si="41"/>
        <v>1996</v>
      </c>
      <c r="C2604" s="27" t="s">
        <v>39</v>
      </c>
      <c r="D2604" s="27" t="s">
        <v>36</v>
      </c>
      <c r="E2604" s="27">
        <v>77</v>
      </c>
    </row>
    <row r="2605" spans="1:5" x14ac:dyDescent="0.25">
      <c r="A2605" s="26">
        <v>35278</v>
      </c>
      <c r="B2605" s="49">
        <f t="shared" si="41"/>
        <v>1996</v>
      </c>
      <c r="C2605" s="27" t="s">
        <v>39</v>
      </c>
      <c r="D2605" s="27" t="s">
        <v>36</v>
      </c>
      <c r="E2605" s="27">
        <v>77</v>
      </c>
    </row>
    <row r="2606" spans="1:5" x14ac:dyDescent="0.25">
      <c r="A2606" s="26">
        <v>35278</v>
      </c>
      <c r="B2606" s="49">
        <f t="shared" si="41"/>
        <v>1996</v>
      </c>
      <c r="C2606" s="27" t="s">
        <v>32</v>
      </c>
      <c r="D2606" s="27" t="s">
        <v>36</v>
      </c>
      <c r="E2606" s="27">
        <v>83</v>
      </c>
    </row>
    <row r="2607" spans="1:5" x14ac:dyDescent="0.25">
      <c r="A2607" s="26">
        <v>35278</v>
      </c>
      <c r="B2607" s="49">
        <f t="shared" si="41"/>
        <v>1996</v>
      </c>
      <c r="C2607" s="27" t="s">
        <v>35</v>
      </c>
      <c r="D2607" s="27" t="s">
        <v>36</v>
      </c>
      <c r="E2607" s="27">
        <v>90</v>
      </c>
    </row>
    <row r="2608" spans="1:5" x14ac:dyDescent="0.25">
      <c r="A2608" s="26">
        <v>35278</v>
      </c>
      <c r="B2608" s="49">
        <f t="shared" si="41"/>
        <v>1996</v>
      </c>
      <c r="C2608" s="27" t="s">
        <v>34</v>
      </c>
      <c r="D2608" s="27" t="s">
        <v>36</v>
      </c>
      <c r="E2608" s="27">
        <v>96</v>
      </c>
    </row>
    <row r="2609" spans="1:5" x14ac:dyDescent="0.25">
      <c r="A2609" s="26">
        <v>35278</v>
      </c>
      <c r="B2609" s="49">
        <f t="shared" si="41"/>
        <v>1996</v>
      </c>
      <c r="C2609" s="27" t="s">
        <v>32</v>
      </c>
      <c r="D2609" s="27" t="s">
        <v>36</v>
      </c>
      <c r="E2609" s="27">
        <v>101</v>
      </c>
    </row>
    <row r="2610" spans="1:5" x14ac:dyDescent="0.25">
      <c r="A2610" s="26">
        <v>35278</v>
      </c>
      <c r="B2610" s="49">
        <f t="shared" si="41"/>
        <v>1996</v>
      </c>
      <c r="C2610" s="27" t="s">
        <v>34</v>
      </c>
      <c r="D2610" s="27" t="s">
        <v>36</v>
      </c>
      <c r="E2610" s="27">
        <v>105</v>
      </c>
    </row>
    <row r="2611" spans="1:5" x14ac:dyDescent="0.25">
      <c r="A2611" s="26">
        <v>35278</v>
      </c>
      <c r="B2611" s="49">
        <f t="shared" si="41"/>
        <v>1996</v>
      </c>
      <c r="C2611" s="27" t="s">
        <v>37</v>
      </c>
      <c r="D2611" s="27" t="s">
        <v>36</v>
      </c>
      <c r="E2611" s="27">
        <v>113</v>
      </c>
    </row>
    <row r="2612" spans="1:5" x14ac:dyDescent="0.25">
      <c r="A2612" s="26">
        <v>35278</v>
      </c>
      <c r="B2612" s="49">
        <f t="shared" si="41"/>
        <v>1996</v>
      </c>
      <c r="C2612" s="27" t="s">
        <v>35</v>
      </c>
      <c r="D2612" s="27" t="s">
        <v>36</v>
      </c>
      <c r="E2612" s="27">
        <v>138</v>
      </c>
    </row>
    <row r="2613" spans="1:5" x14ac:dyDescent="0.25">
      <c r="A2613" s="26">
        <v>35278</v>
      </c>
      <c r="B2613" s="49">
        <f t="shared" si="41"/>
        <v>1996</v>
      </c>
      <c r="C2613" s="27" t="s">
        <v>39</v>
      </c>
      <c r="D2613" s="27" t="s">
        <v>36</v>
      </c>
      <c r="E2613" s="27">
        <v>204</v>
      </c>
    </row>
    <row r="2614" spans="1:5" x14ac:dyDescent="0.25">
      <c r="A2614" s="26">
        <v>35309</v>
      </c>
      <c r="B2614" s="49">
        <f t="shared" si="41"/>
        <v>1996</v>
      </c>
      <c r="C2614" s="27" t="s">
        <v>37</v>
      </c>
      <c r="D2614" s="27" t="s">
        <v>28</v>
      </c>
      <c r="E2614" s="27">
        <v>293</v>
      </c>
    </row>
    <row r="2615" spans="1:5" x14ac:dyDescent="0.25">
      <c r="A2615" s="26">
        <v>35309</v>
      </c>
      <c r="B2615" s="49">
        <f t="shared" si="41"/>
        <v>1996</v>
      </c>
      <c r="C2615" s="27" t="s">
        <v>39</v>
      </c>
      <c r="D2615" s="27" t="s">
        <v>28</v>
      </c>
      <c r="E2615" s="27">
        <v>220</v>
      </c>
    </row>
    <row r="2616" spans="1:5" x14ac:dyDescent="0.25">
      <c r="A2616" s="26">
        <v>35309</v>
      </c>
      <c r="B2616" s="49">
        <f t="shared" si="41"/>
        <v>1996</v>
      </c>
      <c r="C2616" s="27" t="s">
        <v>32</v>
      </c>
      <c r="D2616" s="27" t="s">
        <v>28</v>
      </c>
      <c r="E2616" s="27">
        <v>220</v>
      </c>
    </row>
    <row r="2617" spans="1:5" x14ac:dyDescent="0.25">
      <c r="A2617" s="26">
        <v>35309</v>
      </c>
      <c r="B2617" s="49">
        <f t="shared" si="41"/>
        <v>1996</v>
      </c>
      <c r="C2617" s="27" t="s">
        <v>39</v>
      </c>
      <c r="D2617" s="27" t="s">
        <v>28</v>
      </c>
      <c r="E2617" s="27">
        <v>236</v>
      </c>
    </row>
    <row r="2618" spans="1:5" x14ac:dyDescent="0.25">
      <c r="A2618" s="26">
        <v>35309</v>
      </c>
      <c r="B2618" s="49">
        <f t="shared" si="41"/>
        <v>1996</v>
      </c>
      <c r="C2618" s="27" t="s">
        <v>39</v>
      </c>
      <c r="D2618" s="27" t="s">
        <v>28</v>
      </c>
      <c r="E2618" s="27">
        <v>360</v>
      </c>
    </row>
    <row r="2619" spans="1:5" x14ac:dyDescent="0.25">
      <c r="A2619" s="26">
        <v>35309</v>
      </c>
      <c r="B2619" s="49">
        <f t="shared" si="41"/>
        <v>1996</v>
      </c>
      <c r="C2619" s="27" t="s">
        <v>32</v>
      </c>
      <c r="D2619" s="27" t="s">
        <v>28</v>
      </c>
      <c r="E2619" s="27">
        <v>428</v>
      </c>
    </row>
    <row r="2620" spans="1:5" x14ac:dyDescent="0.25">
      <c r="A2620" s="26">
        <v>35309</v>
      </c>
      <c r="B2620" s="49">
        <f t="shared" si="41"/>
        <v>1996</v>
      </c>
      <c r="C2620" s="27" t="s">
        <v>39</v>
      </c>
      <c r="D2620" s="27" t="s">
        <v>28</v>
      </c>
      <c r="E2620" s="27">
        <v>400</v>
      </c>
    </row>
    <row r="2621" spans="1:5" x14ac:dyDescent="0.25">
      <c r="A2621" s="26">
        <v>35309</v>
      </c>
      <c r="B2621" s="49">
        <f t="shared" si="41"/>
        <v>1996</v>
      </c>
      <c r="C2621" s="27" t="s">
        <v>34</v>
      </c>
      <c r="D2621" s="27" t="s">
        <v>28</v>
      </c>
      <c r="E2621" s="27">
        <v>371</v>
      </c>
    </row>
    <row r="2622" spans="1:5" x14ac:dyDescent="0.25">
      <c r="A2622" s="26">
        <v>35309</v>
      </c>
      <c r="B2622" s="49">
        <f t="shared" si="41"/>
        <v>1996</v>
      </c>
      <c r="C2622" s="27" t="s">
        <v>35</v>
      </c>
      <c r="D2622" s="27" t="s">
        <v>28</v>
      </c>
      <c r="E2622" s="27">
        <v>344</v>
      </c>
    </row>
    <row r="2623" spans="1:5" x14ac:dyDescent="0.25">
      <c r="A2623" s="26">
        <v>35309</v>
      </c>
      <c r="B2623" s="49">
        <f t="shared" si="41"/>
        <v>1996</v>
      </c>
      <c r="C2623" s="27" t="s">
        <v>34</v>
      </c>
      <c r="D2623" s="27" t="s">
        <v>28</v>
      </c>
      <c r="E2623" s="27">
        <v>338</v>
      </c>
    </row>
    <row r="2624" spans="1:5" x14ac:dyDescent="0.25">
      <c r="A2624" s="26">
        <v>35309</v>
      </c>
      <c r="B2624" s="49">
        <f t="shared" si="41"/>
        <v>1996</v>
      </c>
      <c r="C2624" s="27" t="s">
        <v>35</v>
      </c>
      <c r="D2624" s="27" t="s">
        <v>28</v>
      </c>
      <c r="E2624" s="27">
        <v>160</v>
      </c>
    </row>
    <row r="2625" spans="1:5" x14ac:dyDescent="0.25">
      <c r="A2625" s="26">
        <v>35309</v>
      </c>
      <c r="B2625" s="49">
        <f t="shared" si="41"/>
        <v>1996</v>
      </c>
      <c r="C2625" s="27" t="s">
        <v>35</v>
      </c>
      <c r="D2625" s="27" t="s">
        <v>28</v>
      </c>
      <c r="E2625" s="27">
        <v>387</v>
      </c>
    </row>
    <row r="2626" spans="1:5" x14ac:dyDescent="0.25">
      <c r="A2626" s="26">
        <v>35309</v>
      </c>
      <c r="B2626" s="49">
        <f t="shared" si="41"/>
        <v>1996</v>
      </c>
      <c r="C2626" s="27" t="s">
        <v>32</v>
      </c>
      <c r="D2626" s="27" t="s">
        <v>28</v>
      </c>
      <c r="E2626" s="27">
        <v>68</v>
      </c>
    </row>
    <row r="2627" spans="1:5" x14ac:dyDescent="0.25">
      <c r="A2627" s="26">
        <v>35309</v>
      </c>
      <c r="B2627" s="49">
        <f t="shared" ref="B2627:B2690" si="42">YEAR(A2627)</f>
        <v>1996</v>
      </c>
      <c r="C2627" s="27" t="s">
        <v>34</v>
      </c>
      <c r="D2627" s="27" t="s">
        <v>28</v>
      </c>
      <c r="E2627" s="27">
        <v>83</v>
      </c>
    </row>
    <row r="2628" spans="1:5" x14ac:dyDescent="0.25">
      <c r="A2628" s="26">
        <v>35309</v>
      </c>
      <c r="B2628" s="49">
        <f t="shared" si="42"/>
        <v>1996</v>
      </c>
      <c r="C2628" s="27" t="s">
        <v>37</v>
      </c>
      <c r="D2628" s="27" t="s">
        <v>28</v>
      </c>
      <c r="E2628" s="27">
        <v>124</v>
      </c>
    </row>
    <row r="2629" spans="1:5" x14ac:dyDescent="0.25">
      <c r="A2629" s="26">
        <v>35309</v>
      </c>
      <c r="B2629" s="49">
        <f t="shared" si="42"/>
        <v>1996</v>
      </c>
      <c r="C2629" s="27" t="s">
        <v>35</v>
      </c>
      <c r="D2629" s="27" t="s">
        <v>28</v>
      </c>
      <c r="E2629" s="27">
        <v>124</v>
      </c>
    </row>
    <row r="2630" spans="1:5" x14ac:dyDescent="0.25">
      <c r="A2630" s="26">
        <v>35309</v>
      </c>
      <c r="B2630" s="49">
        <f t="shared" si="42"/>
        <v>1996</v>
      </c>
      <c r="C2630" s="27" t="s">
        <v>27</v>
      </c>
      <c r="D2630" s="27" t="s">
        <v>28</v>
      </c>
      <c r="E2630" s="27">
        <v>2211</v>
      </c>
    </row>
    <row r="2631" spans="1:5" x14ac:dyDescent="0.25">
      <c r="A2631" s="26">
        <v>35309</v>
      </c>
      <c r="B2631" s="49">
        <f t="shared" si="42"/>
        <v>1996</v>
      </c>
      <c r="C2631" s="27" t="s">
        <v>37</v>
      </c>
      <c r="D2631" s="27" t="s">
        <v>28</v>
      </c>
      <c r="E2631" s="27">
        <v>843</v>
      </c>
    </row>
    <row r="2632" spans="1:5" x14ac:dyDescent="0.25">
      <c r="A2632" s="26">
        <v>35309</v>
      </c>
      <c r="B2632" s="49">
        <f t="shared" si="42"/>
        <v>1996</v>
      </c>
      <c r="C2632" s="27" t="s">
        <v>27</v>
      </c>
      <c r="D2632" s="27" t="s">
        <v>28</v>
      </c>
      <c r="E2632" s="27">
        <v>587</v>
      </c>
    </row>
    <row r="2633" spans="1:5" x14ac:dyDescent="0.25">
      <c r="A2633" s="26">
        <v>35309</v>
      </c>
      <c r="B2633" s="49">
        <f t="shared" si="42"/>
        <v>1996</v>
      </c>
      <c r="C2633" s="27" t="s">
        <v>37</v>
      </c>
      <c r="D2633" s="27" t="s">
        <v>28</v>
      </c>
      <c r="E2633" s="27">
        <v>2096</v>
      </c>
    </row>
    <row r="2634" spans="1:5" x14ac:dyDescent="0.25">
      <c r="A2634" s="26">
        <v>35309</v>
      </c>
      <c r="B2634" s="49">
        <f t="shared" si="42"/>
        <v>1996</v>
      </c>
      <c r="C2634" s="27" t="s">
        <v>27</v>
      </c>
      <c r="D2634" s="27" t="s">
        <v>28</v>
      </c>
      <c r="E2634" s="27">
        <v>633</v>
      </c>
    </row>
    <row r="2635" spans="1:5" x14ac:dyDescent="0.25">
      <c r="A2635" s="26">
        <v>35309</v>
      </c>
      <c r="B2635" s="49">
        <f t="shared" si="42"/>
        <v>1996</v>
      </c>
      <c r="C2635" s="27" t="s">
        <v>34</v>
      </c>
      <c r="D2635" s="27" t="s">
        <v>28</v>
      </c>
      <c r="E2635" s="27">
        <v>948</v>
      </c>
    </row>
    <row r="2636" spans="1:5" x14ac:dyDescent="0.25">
      <c r="A2636" s="26">
        <v>35309</v>
      </c>
      <c r="B2636" s="49">
        <f t="shared" si="42"/>
        <v>1996</v>
      </c>
      <c r="C2636" s="27" t="s">
        <v>32</v>
      </c>
      <c r="D2636" s="27" t="s">
        <v>28</v>
      </c>
      <c r="E2636" s="27">
        <v>3148</v>
      </c>
    </row>
    <row r="2637" spans="1:5" x14ac:dyDescent="0.25">
      <c r="A2637" s="26">
        <v>35309</v>
      </c>
      <c r="B2637" s="49">
        <f t="shared" si="42"/>
        <v>1996</v>
      </c>
      <c r="C2637" s="27" t="s">
        <v>27</v>
      </c>
      <c r="D2637" s="27" t="s">
        <v>28</v>
      </c>
      <c r="E2637" s="27">
        <v>743</v>
      </c>
    </row>
    <row r="2638" spans="1:5" x14ac:dyDescent="0.25">
      <c r="A2638" s="26">
        <v>35309</v>
      </c>
      <c r="B2638" s="49">
        <f t="shared" si="42"/>
        <v>1996</v>
      </c>
      <c r="C2638" s="27" t="s">
        <v>32</v>
      </c>
      <c r="D2638" s="27" t="s">
        <v>29</v>
      </c>
      <c r="E2638" s="27">
        <v>135</v>
      </c>
    </row>
    <row r="2639" spans="1:5" x14ac:dyDescent="0.25">
      <c r="A2639" s="26">
        <v>35309</v>
      </c>
      <c r="B2639" s="49">
        <f t="shared" si="42"/>
        <v>1996</v>
      </c>
      <c r="C2639" s="27" t="s">
        <v>34</v>
      </c>
      <c r="D2639" s="27" t="s">
        <v>29</v>
      </c>
      <c r="E2639" s="27">
        <v>158</v>
      </c>
    </row>
    <row r="2640" spans="1:5" x14ac:dyDescent="0.25">
      <c r="A2640" s="26">
        <v>35309</v>
      </c>
      <c r="B2640" s="49">
        <f t="shared" si="42"/>
        <v>1996</v>
      </c>
      <c r="C2640" s="27" t="s">
        <v>32</v>
      </c>
      <c r="D2640" s="27" t="s">
        <v>29</v>
      </c>
      <c r="E2640" s="27">
        <v>88</v>
      </c>
    </row>
    <row r="2641" spans="1:5" x14ac:dyDescent="0.25">
      <c r="A2641" s="26">
        <v>35309</v>
      </c>
      <c r="B2641" s="49">
        <f t="shared" si="42"/>
        <v>1996</v>
      </c>
      <c r="C2641" s="27" t="s">
        <v>27</v>
      </c>
      <c r="D2641" s="27" t="s">
        <v>29</v>
      </c>
      <c r="E2641" s="27">
        <v>1842</v>
      </c>
    </row>
    <row r="2642" spans="1:5" x14ac:dyDescent="0.25">
      <c r="A2642" s="26">
        <v>35309</v>
      </c>
      <c r="B2642" s="49">
        <f t="shared" si="42"/>
        <v>1996</v>
      </c>
      <c r="C2642" s="27" t="s">
        <v>37</v>
      </c>
      <c r="D2642" s="27" t="s">
        <v>29</v>
      </c>
      <c r="E2642" s="27">
        <v>114</v>
      </c>
    </row>
    <row r="2643" spans="1:5" x14ac:dyDescent="0.25">
      <c r="A2643" s="26">
        <v>35309</v>
      </c>
      <c r="B2643" s="49">
        <f t="shared" si="42"/>
        <v>1996</v>
      </c>
      <c r="C2643" s="27" t="s">
        <v>37</v>
      </c>
      <c r="D2643" s="27" t="s">
        <v>29</v>
      </c>
      <c r="E2643" s="27">
        <v>631</v>
      </c>
    </row>
    <row r="2644" spans="1:5" x14ac:dyDescent="0.25">
      <c r="A2644" s="26">
        <v>35309</v>
      </c>
      <c r="B2644" s="49">
        <f t="shared" si="42"/>
        <v>1996</v>
      </c>
      <c r="C2644" s="27" t="s">
        <v>32</v>
      </c>
      <c r="D2644" s="27" t="s">
        <v>29</v>
      </c>
      <c r="E2644" s="27">
        <v>368</v>
      </c>
    </row>
    <row r="2645" spans="1:5" x14ac:dyDescent="0.25">
      <c r="A2645" s="26">
        <v>35309</v>
      </c>
      <c r="B2645" s="49">
        <f t="shared" si="42"/>
        <v>1996</v>
      </c>
      <c r="C2645" s="27" t="s">
        <v>35</v>
      </c>
      <c r="D2645" s="27" t="s">
        <v>29</v>
      </c>
      <c r="E2645" s="27">
        <v>343</v>
      </c>
    </row>
    <row r="2646" spans="1:5" x14ac:dyDescent="0.25">
      <c r="A2646" s="26">
        <v>35309</v>
      </c>
      <c r="B2646" s="49">
        <f t="shared" si="42"/>
        <v>1996</v>
      </c>
      <c r="C2646" s="27" t="s">
        <v>35</v>
      </c>
      <c r="D2646" s="27" t="s">
        <v>29</v>
      </c>
      <c r="E2646" s="27">
        <v>524</v>
      </c>
    </row>
    <row r="2647" spans="1:5" x14ac:dyDescent="0.25">
      <c r="A2647" s="26">
        <v>35309</v>
      </c>
      <c r="B2647" s="49">
        <f t="shared" si="42"/>
        <v>1996</v>
      </c>
      <c r="C2647" s="27" t="s">
        <v>39</v>
      </c>
      <c r="D2647" s="27" t="s">
        <v>29</v>
      </c>
      <c r="E2647" s="27">
        <v>492</v>
      </c>
    </row>
    <row r="2648" spans="1:5" x14ac:dyDescent="0.25">
      <c r="A2648" s="26">
        <v>35309</v>
      </c>
      <c r="B2648" s="49">
        <f t="shared" si="42"/>
        <v>1996</v>
      </c>
      <c r="C2648" s="27" t="s">
        <v>35</v>
      </c>
      <c r="D2648" s="27" t="s">
        <v>29</v>
      </c>
      <c r="E2648" s="27">
        <v>428</v>
      </c>
    </row>
    <row r="2649" spans="1:5" x14ac:dyDescent="0.25">
      <c r="A2649" s="26">
        <v>35309</v>
      </c>
      <c r="B2649" s="49">
        <f t="shared" si="42"/>
        <v>1996</v>
      </c>
      <c r="C2649" s="27" t="s">
        <v>34</v>
      </c>
      <c r="D2649" s="27" t="s">
        <v>29</v>
      </c>
      <c r="E2649" s="27">
        <v>426</v>
      </c>
    </row>
    <row r="2650" spans="1:5" x14ac:dyDescent="0.25">
      <c r="A2650" s="26">
        <v>35309</v>
      </c>
      <c r="B2650" s="49">
        <f t="shared" si="42"/>
        <v>1996</v>
      </c>
      <c r="C2650" s="27" t="s">
        <v>34</v>
      </c>
      <c r="D2650" s="27" t="s">
        <v>29</v>
      </c>
      <c r="E2650" s="27">
        <v>315</v>
      </c>
    </row>
    <row r="2651" spans="1:5" x14ac:dyDescent="0.25">
      <c r="A2651" s="26">
        <v>35309</v>
      </c>
      <c r="B2651" s="49">
        <f t="shared" si="42"/>
        <v>1996</v>
      </c>
      <c r="C2651" s="27" t="s">
        <v>37</v>
      </c>
      <c r="D2651" s="27" t="s">
        <v>29</v>
      </c>
      <c r="E2651" s="27">
        <v>844</v>
      </c>
    </row>
    <row r="2652" spans="1:5" x14ac:dyDescent="0.25">
      <c r="A2652" s="26">
        <v>35309</v>
      </c>
      <c r="B2652" s="49">
        <f t="shared" si="42"/>
        <v>1996</v>
      </c>
      <c r="C2652" s="27" t="s">
        <v>32</v>
      </c>
      <c r="D2652" s="27" t="s">
        <v>29</v>
      </c>
      <c r="E2652" s="27">
        <v>858</v>
      </c>
    </row>
    <row r="2653" spans="1:5" x14ac:dyDescent="0.25">
      <c r="A2653" s="26">
        <v>35309</v>
      </c>
      <c r="B2653" s="49">
        <f t="shared" si="42"/>
        <v>1996</v>
      </c>
      <c r="C2653" s="27" t="s">
        <v>39</v>
      </c>
      <c r="D2653" s="27" t="s">
        <v>29</v>
      </c>
      <c r="E2653" s="27">
        <v>210</v>
      </c>
    </row>
    <row r="2654" spans="1:5" x14ac:dyDescent="0.25">
      <c r="A2654" s="26">
        <v>35309</v>
      </c>
      <c r="B2654" s="49">
        <f t="shared" si="42"/>
        <v>1996</v>
      </c>
      <c r="C2654" s="27" t="s">
        <v>34</v>
      </c>
      <c r="D2654" s="27" t="s">
        <v>29</v>
      </c>
      <c r="E2654" s="27">
        <v>203</v>
      </c>
    </row>
    <row r="2655" spans="1:5" x14ac:dyDescent="0.25">
      <c r="A2655" s="26">
        <v>35309</v>
      </c>
      <c r="B2655" s="49">
        <f t="shared" si="42"/>
        <v>1996</v>
      </c>
      <c r="C2655" s="27" t="s">
        <v>27</v>
      </c>
      <c r="D2655" s="27" t="s">
        <v>29</v>
      </c>
      <c r="E2655" s="27">
        <v>315</v>
      </c>
    </row>
    <row r="2656" spans="1:5" x14ac:dyDescent="0.25">
      <c r="A2656" s="26">
        <v>35309</v>
      </c>
      <c r="B2656" s="49">
        <f t="shared" si="42"/>
        <v>1996</v>
      </c>
      <c r="C2656" s="27" t="s">
        <v>39</v>
      </c>
      <c r="D2656" s="27" t="s">
        <v>29</v>
      </c>
      <c r="E2656" s="27">
        <v>315</v>
      </c>
    </row>
    <row r="2657" spans="1:5" x14ac:dyDescent="0.25">
      <c r="A2657" s="26">
        <v>35309</v>
      </c>
      <c r="B2657" s="49">
        <f t="shared" si="42"/>
        <v>1996</v>
      </c>
      <c r="C2657" s="27" t="s">
        <v>39</v>
      </c>
      <c r="D2657" s="27" t="s">
        <v>29</v>
      </c>
      <c r="E2657" s="27">
        <v>298</v>
      </c>
    </row>
    <row r="2658" spans="1:5" x14ac:dyDescent="0.25">
      <c r="A2658" s="26">
        <v>35309</v>
      </c>
      <c r="B2658" s="49">
        <f t="shared" si="42"/>
        <v>1996</v>
      </c>
      <c r="C2658" s="27" t="s">
        <v>27</v>
      </c>
      <c r="D2658" s="27" t="s">
        <v>29</v>
      </c>
      <c r="E2658" s="27">
        <v>228</v>
      </c>
    </row>
    <row r="2659" spans="1:5" x14ac:dyDescent="0.25">
      <c r="A2659" s="26">
        <v>35309</v>
      </c>
      <c r="B2659" s="49">
        <f t="shared" si="42"/>
        <v>1996</v>
      </c>
      <c r="C2659" s="27" t="s">
        <v>37</v>
      </c>
      <c r="D2659" s="27" t="s">
        <v>29</v>
      </c>
      <c r="E2659" s="27">
        <v>180</v>
      </c>
    </row>
    <row r="2660" spans="1:5" x14ac:dyDescent="0.25">
      <c r="A2660" s="26">
        <v>35309</v>
      </c>
      <c r="B2660" s="49">
        <f t="shared" si="42"/>
        <v>1996</v>
      </c>
      <c r="C2660" s="27" t="s">
        <v>27</v>
      </c>
      <c r="D2660" s="27" t="s">
        <v>29</v>
      </c>
      <c r="E2660" s="27">
        <v>723</v>
      </c>
    </row>
    <row r="2661" spans="1:5" x14ac:dyDescent="0.25">
      <c r="A2661" s="26">
        <v>35309</v>
      </c>
      <c r="B2661" s="49">
        <f t="shared" si="42"/>
        <v>1996</v>
      </c>
      <c r="C2661" s="27" t="s">
        <v>35</v>
      </c>
      <c r="D2661" s="27" t="s">
        <v>29</v>
      </c>
      <c r="E2661" s="27">
        <v>254</v>
      </c>
    </row>
    <row r="2662" spans="1:5" x14ac:dyDescent="0.25">
      <c r="A2662" s="26">
        <v>35309</v>
      </c>
      <c r="B2662" s="49">
        <f t="shared" si="42"/>
        <v>1996</v>
      </c>
      <c r="C2662" s="27" t="s">
        <v>27</v>
      </c>
      <c r="D2662" s="27" t="s">
        <v>38</v>
      </c>
      <c r="E2662" s="27">
        <v>428</v>
      </c>
    </row>
    <row r="2663" spans="1:5" x14ac:dyDescent="0.25">
      <c r="A2663" s="26">
        <v>35309</v>
      </c>
      <c r="B2663" s="49">
        <f t="shared" si="42"/>
        <v>1996</v>
      </c>
      <c r="C2663" s="27" t="s">
        <v>39</v>
      </c>
      <c r="D2663" s="27" t="s">
        <v>38</v>
      </c>
      <c r="E2663" s="27">
        <v>203</v>
      </c>
    </row>
    <row r="2664" spans="1:5" x14ac:dyDescent="0.25">
      <c r="A2664" s="26">
        <v>35309</v>
      </c>
      <c r="B2664" s="49">
        <f t="shared" si="42"/>
        <v>1996</v>
      </c>
      <c r="C2664" s="27" t="s">
        <v>37</v>
      </c>
      <c r="D2664" s="27" t="s">
        <v>38</v>
      </c>
      <c r="E2664" s="27">
        <v>203</v>
      </c>
    </row>
    <row r="2665" spans="1:5" x14ac:dyDescent="0.25">
      <c r="A2665" s="26">
        <v>35309</v>
      </c>
      <c r="B2665" s="49">
        <f t="shared" si="42"/>
        <v>1996</v>
      </c>
      <c r="C2665" s="27" t="s">
        <v>34</v>
      </c>
      <c r="D2665" s="27" t="s">
        <v>38</v>
      </c>
      <c r="E2665" s="27">
        <v>420</v>
      </c>
    </row>
    <row r="2666" spans="1:5" x14ac:dyDescent="0.25">
      <c r="A2666" s="26">
        <v>35309</v>
      </c>
      <c r="B2666" s="49">
        <f t="shared" si="42"/>
        <v>1996</v>
      </c>
      <c r="C2666" s="27" t="s">
        <v>35</v>
      </c>
      <c r="D2666" s="27" t="s">
        <v>38</v>
      </c>
      <c r="E2666" s="27">
        <v>201</v>
      </c>
    </row>
    <row r="2667" spans="1:5" x14ac:dyDescent="0.25">
      <c r="A2667" s="26">
        <v>35309</v>
      </c>
      <c r="B2667" s="49">
        <f t="shared" si="42"/>
        <v>1996</v>
      </c>
      <c r="C2667" s="27" t="s">
        <v>27</v>
      </c>
      <c r="D2667" s="27" t="s">
        <v>38</v>
      </c>
      <c r="E2667" s="27">
        <v>46</v>
      </c>
    </row>
    <row r="2668" spans="1:5" x14ac:dyDescent="0.25">
      <c r="A2668" s="26">
        <v>35309</v>
      </c>
      <c r="B2668" s="49">
        <f t="shared" si="42"/>
        <v>1996</v>
      </c>
      <c r="C2668" s="27" t="s">
        <v>32</v>
      </c>
      <c r="D2668" s="27" t="s">
        <v>38</v>
      </c>
      <c r="E2668" s="27">
        <v>166</v>
      </c>
    </row>
    <row r="2669" spans="1:5" x14ac:dyDescent="0.25">
      <c r="A2669" s="26">
        <v>35309</v>
      </c>
      <c r="B2669" s="49">
        <f t="shared" si="42"/>
        <v>1996</v>
      </c>
      <c r="C2669" s="27" t="s">
        <v>37</v>
      </c>
      <c r="D2669" s="27" t="s">
        <v>38</v>
      </c>
      <c r="E2669" s="27">
        <v>70</v>
      </c>
    </row>
    <row r="2670" spans="1:5" x14ac:dyDescent="0.25">
      <c r="A2670" s="26">
        <v>35309</v>
      </c>
      <c r="B2670" s="49">
        <f t="shared" si="42"/>
        <v>1996</v>
      </c>
      <c r="C2670" s="27" t="s">
        <v>27</v>
      </c>
      <c r="D2670" s="27" t="s">
        <v>38</v>
      </c>
      <c r="E2670" s="27">
        <v>70</v>
      </c>
    </row>
    <row r="2671" spans="1:5" x14ac:dyDescent="0.25">
      <c r="A2671" s="26">
        <v>35309</v>
      </c>
      <c r="B2671" s="49">
        <f t="shared" si="42"/>
        <v>1996</v>
      </c>
      <c r="C2671" s="27" t="s">
        <v>35</v>
      </c>
      <c r="D2671" s="27" t="s">
        <v>38</v>
      </c>
      <c r="E2671" s="27">
        <v>79</v>
      </c>
    </row>
    <row r="2672" spans="1:5" x14ac:dyDescent="0.25">
      <c r="A2672" s="26">
        <v>35309</v>
      </c>
      <c r="B2672" s="49">
        <f t="shared" si="42"/>
        <v>1996</v>
      </c>
      <c r="C2672" s="27" t="s">
        <v>37</v>
      </c>
      <c r="D2672" s="27" t="s">
        <v>38</v>
      </c>
      <c r="E2672" s="27">
        <v>333</v>
      </c>
    </row>
    <row r="2673" spans="1:5" x14ac:dyDescent="0.25">
      <c r="A2673" s="26">
        <v>35309</v>
      </c>
      <c r="B2673" s="49">
        <f t="shared" si="42"/>
        <v>1996</v>
      </c>
      <c r="C2673" s="27" t="s">
        <v>27</v>
      </c>
      <c r="D2673" s="27" t="s">
        <v>38</v>
      </c>
      <c r="E2673" s="27">
        <v>90</v>
      </c>
    </row>
    <row r="2674" spans="1:5" x14ac:dyDescent="0.25">
      <c r="A2674" s="26">
        <v>35309</v>
      </c>
      <c r="B2674" s="49">
        <f t="shared" si="42"/>
        <v>1996</v>
      </c>
      <c r="C2674" s="27" t="s">
        <v>35</v>
      </c>
      <c r="D2674" s="27" t="s">
        <v>38</v>
      </c>
      <c r="E2674" s="27">
        <v>81</v>
      </c>
    </row>
    <row r="2675" spans="1:5" x14ac:dyDescent="0.25">
      <c r="A2675" s="26">
        <v>35309</v>
      </c>
      <c r="B2675" s="49">
        <f t="shared" si="42"/>
        <v>1996</v>
      </c>
      <c r="C2675" s="27" t="s">
        <v>37</v>
      </c>
      <c r="D2675" s="27" t="s">
        <v>38</v>
      </c>
      <c r="E2675" s="27">
        <v>113</v>
      </c>
    </row>
    <row r="2676" spans="1:5" x14ac:dyDescent="0.25">
      <c r="A2676" s="26">
        <v>35309</v>
      </c>
      <c r="B2676" s="49">
        <f t="shared" si="42"/>
        <v>1996</v>
      </c>
      <c r="C2676" s="27" t="s">
        <v>32</v>
      </c>
      <c r="D2676" s="27" t="s">
        <v>38</v>
      </c>
      <c r="E2676" s="27">
        <v>203</v>
      </c>
    </row>
    <row r="2677" spans="1:5" x14ac:dyDescent="0.25">
      <c r="A2677" s="26">
        <v>35309</v>
      </c>
      <c r="B2677" s="49">
        <f t="shared" si="42"/>
        <v>1996</v>
      </c>
      <c r="C2677" s="27" t="s">
        <v>34</v>
      </c>
      <c r="D2677" s="27" t="s">
        <v>38</v>
      </c>
      <c r="E2677" s="27">
        <v>338</v>
      </c>
    </row>
    <row r="2678" spans="1:5" x14ac:dyDescent="0.25">
      <c r="A2678" s="26">
        <v>35309</v>
      </c>
      <c r="B2678" s="49">
        <f t="shared" si="42"/>
        <v>1996</v>
      </c>
      <c r="C2678" s="27" t="s">
        <v>35</v>
      </c>
      <c r="D2678" s="27" t="s">
        <v>38</v>
      </c>
      <c r="E2678" s="27">
        <v>210</v>
      </c>
    </row>
    <row r="2679" spans="1:5" x14ac:dyDescent="0.25">
      <c r="A2679" s="26">
        <v>35309</v>
      </c>
      <c r="B2679" s="49">
        <f t="shared" si="42"/>
        <v>1996</v>
      </c>
      <c r="C2679" s="27" t="s">
        <v>34</v>
      </c>
      <c r="D2679" s="27" t="s">
        <v>38</v>
      </c>
      <c r="E2679" s="27">
        <v>921</v>
      </c>
    </row>
    <row r="2680" spans="1:5" x14ac:dyDescent="0.25">
      <c r="A2680" s="26">
        <v>35309</v>
      </c>
      <c r="B2680" s="49">
        <f t="shared" si="42"/>
        <v>1996</v>
      </c>
      <c r="C2680" s="27" t="s">
        <v>39</v>
      </c>
      <c r="D2680" s="27" t="s">
        <v>38</v>
      </c>
      <c r="E2680" s="27">
        <v>561</v>
      </c>
    </row>
    <row r="2681" spans="1:5" x14ac:dyDescent="0.25">
      <c r="A2681" s="26">
        <v>35309</v>
      </c>
      <c r="B2681" s="49">
        <f t="shared" si="42"/>
        <v>1996</v>
      </c>
      <c r="C2681" s="27" t="s">
        <v>32</v>
      </c>
      <c r="D2681" s="27" t="s">
        <v>38</v>
      </c>
      <c r="E2681" s="27">
        <v>1730</v>
      </c>
    </row>
    <row r="2682" spans="1:5" x14ac:dyDescent="0.25">
      <c r="A2682" s="26">
        <v>35309</v>
      </c>
      <c r="B2682" s="49">
        <f t="shared" si="42"/>
        <v>1996</v>
      </c>
      <c r="C2682" s="27" t="s">
        <v>39</v>
      </c>
      <c r="D2682" s="27" t="s">
        <v>38</v>
      </c>
      <c r="E2682" s="27">
        <v>140</v>
      </c>
    </row>
    <row r="2683" spans="1:5" x14ac:dyDescent="0.25">
      <c r="A2683" s="26">
        <v>35309</v>
      </c>
      <c r="B2683" s="49">
        <f t="shared" si="42"/>
        <v>1996</v>
      </c>
      <c r="C2683" s="27" t="s">
        <v>39</v>
      </c>
      <c r="D2683" s="27" t="s">
        <v>38</v>
      </c>
      <c r="E2683" s="27">
        <v>1463</v>
      </c>
    </row>
    <row r="2684" spans="1:5" x14ac:dyDescent="0.25">
      <c r="A2684" s="26">
        <v>35309</v>
      </c>
      <c r="B2684" s="49">
        <f t="shared" si="42"/>
        <v>1996</v>
      </c>
      <c r="C2684" s="27" t="s">
        <v>32</v>
      </c>
      <c r="D2684" s="27" t="s">
        <v>38</v>
      </c>
      <c r="E2684" s="27">
        <v>158</v>
      </c>
    </row>
    <row r="2685" spans="1:5" x14ac:dyDescent="0.25">
      <c r="A2685" s="26">
        <v>35309</v>
      </c>
      <c r="B2685" s="49">
        <f t="shared" si="42"/>
        <v>1996</v>
      </c>
      <c r="C2685" s="27" t="s">
        <v>34</v>
      </c>
      <c r="D2685" s="27" t="s">
        <v>38</v>
      </c>
      <c r="E2685" s="27">
        <v>560</v>
      </c>
    </row>
    <row r="2686" spans="1:5" x14ac:dyDescent="0.25">
      <c r="A2686" s="26">
        <v>35309</v>
      </c>
      <c r="B2686" s="49">
        <f t="shared" si="42"/>
        <v>1996</v>
      </c>
      <c r="C2686" s="27" t="s">
        <v>27</v>
      </c>
      <c r="D2686" s="27" t="s">
        <v>30</v>
      </c>
      <c r="E2686" s="27">
        <v>94</v>
      </c>
    </row>
    <row r="2687" spans="1:5" x14ac:dyDescent="0.25">
      <c r="A2687" s="26">
        <v>35309</v>
      </c>
      <c r="B2687" s="49">
        <f t="shared" si="42"/>
        <v>1996</v>
      </c>
      <c r="C2687" s="27" t="s">
        <v>32</v>
      </c>
      <c r="D2687" s="27" t="s">
        <v>30</v>
      </c>
      <c r="E2687" s="27">
        <v>114</v>
      </c>
    </row>
    <row r="2688" spans="1:5" x14ac:dyDescent="0.25">
      <c r="A2688" s="26">
        <v>35309</v>
      </c>
      <c r="B2688" s="49">
        <f t="shared" si="42"/>
        <v>1996</v>
      </c>
      <c r="C2688" s="27" t="s">
        <v>32</v>
      </c>
      <c r="D2688" s="27" t="s">
        <v>30</v>
      </c>
      <c r="E2688" s="27">
        <v>123</v>
      </c>
    </row>
    <row r="2689" spans="1:5" x14ac:dyDescent="0.25">
      <c r="A2689" s="26">
        <v>35309</v>
      </c>
      <c r="B2689" s="49">
        <f t="shared" si="42"/>
        <v>1996</v>
      </c>
      <c r="C2689" s="27" t="s">
        <v>27</v>
      </c>
      <c r="D2689" s="27" t="s">
        <v>30</v>
      </c>
      <c r="E2689" s="27">
        <v>124</v>
      </c>
    </row>
    <row r="2690" spans="1:5" x14ac:dyDescent="0.25">
      <c r="A2690" s="26">
        <v>35309</v>
      </c>
      <c r="B2690" s="49">
        <f t="shared" si="42"/>
        <v>1996</v>
      </c>
      <c r="C2690" s="27" t="s">
        <v>27</v>
      </c>
      <c r="D2690" s="27" t="s">
        <v>30</v>
      </c>
      <c r="E2690" s="27">
        <v>23</v>
      </c>
    </row>
    <row r="2691" spans="1:5" x14ac:dyDescent="0.25">
      <c r="A2691" s="26">
        <v>35309</v>
      </c>
      <c r="B2691" s="49">
        <f t="shared" ref="B2691:B2754" si="43">YEAR(A2691)</f>
        <v>1996</v>
      </c>
      <c r="C2691" s="27" t="s">
        <v>32</v>
      </c>
      <c r="D2691" s="27" t="s">
        <v>30</v>
      </c>
      <c r="E2691" s="27">
        <v>68</v>
      </c>
    </row>
    <row r="2692" spans="1:5" x14ac:dyDescent="0.25">
      <c r="A2692" s="26">
        <v>35309</v>
      </c>
      <c r="B2692" s="49">
        <f t="shared" si="43"/>
        <v>1996</v>
      </c>
      <c r="C2692" s="27" t="s">
        <v>27</v>
      </c>
      <c r="D2692" s="27" t="s">
        <v>30</v>
      </c>
      <c r="E2692" s="27">
        <v>88</v>
      </c>
    </row>
    <row r="2693" spans="1:5" x14ac:dyDescent="0.25">
      <c r="A2693" s="26">
        <v>35309</v>
      </c>
      <c r="B2693" s="49">
        <f t="shared" si="43"/>
        <v>1996</v>
      </c>
      <c r="C2693" s="27" t="s">
        <v>32</v>
      </c>
      <c r="D2693" s="27" t="s">
        <v>30</v>
      </c>
      <c r="E2693" s="27">
        <v>303</v>
      </c>
    </row>
    <row r="2694" spans="1:5" x14ac:dyDescent="0.25">
      <c r="A2694" s="26">
        <v>35309</v>
      </c>
      <c r="B2694" s="49">
        <f t="shared" si="43"/>
        <v>1996</v>
      </c>
      <c r="C2694" s="27" t="s">
        <v>27</v>
      </c>
      <c r="D2694" s="27" t="s">
        <v>30</v>
      </c>
      <c r="E2694" s="27">
        <v>1786</v>
      </c>
    </row>
    <row r="2695" spans="1:5" x14ac:dyDescent="0.25">
      <c r="A2695" s="26">
        <v>35309</v>
      </c>
      <c r="B2695" s="49">
        <f t="shared" si="43"/>
        <v>1996</v>
      </c>
      <c r="C2695" s="27" t="s">
        <v>27</v>
      </c>
      <c r="D2695" s="27" t="s">
        <v>30</v>
      </c>
      <c r="E2695" s="27">
        <v>1849</v>
      </c>
    </row>
    <row r="2696" spans="1:5" x14ac:dyDescent="0.25">
      <c r="A2696" s="26">
        <v>35309</v>
      </c>
      <c r="B2696" s="49">
        <f t="shared" si="43"/>
        <v>1996</v>
      </c>
      <c r="C2696" s="27" t="s">
        <v>32</v>
      </c>
      <c r="D2696" s="27" t="s">
        <v>30</v>
      </c>
      <c r="E2696" s="27">
        <v>206</v>
      </c>
    </row>
    <row r="2697" spans="1:5" x14ac:dyDescent="0.25">
      <c r="A2697" s="26">
        <v>35309</v>
      </c>
      <c r="B2697" s="49">
        <f t="shared" si="43"/>
        <v>1996</v>
      </c>
      <c r="C2697" s="27" t="s">
        <v>32</v>
      </c>
      <c r="D2697" s="27" t="s">
        <v>30</v>
      </c>
      <c r="E2697" s="27">
        <v>158</v>
      </c>
    </row>
    <row r="2698" spans="1:5" x14ac:dyDescent="0.25">
      <c r="A2698" s="26">
        <v>35309</v>
      </c>
      <c r="B2698" s="49">
        <f t="shared" si="43"/>
        <v>1996</v>
      </c>
      <c r="C2698" s="27" t="s">
        <v>34</v>
      </c>
      <c r="D2698" s="27" t="s">
        <v>31</v>
      </c>
      <c r="E2698" s="27">
        <v>158</v>
      </c>
    </row>
    <row r="2699" spans="1:5" x14ac:dyDescent="0.25">
      <c r="A2699" s="26">
        <v>35309</v>
      </c>
      <c r="B2699" s="49">
        <f t="shared" si="43"/>
        <v>1996</v>
      </c>
      <c r="C2699" s="27" t="s">
        <v>34</v>
      </c>
      <c r="D2699" s="27" t="s">
        <v>31</v>
      </c>
      <c r="E2699" s="27">
        <v>210</v>
      </c>
    </row>
    <row r="2700" spans="1:5" x14ac:dyDescent="0.25">
      <c r="A2700" s="26">
        <v>35309</v>
      </c>
      <c r="B2700" s="49">
        <f t="shared" si="43"/>
        <v>1996</v>
      </c>
      <c r="C2700" s="27" t="s">
        <v>39</v>
      </c>
      <c r="D2700" s="27" t="s">
        <v>31</v>
      </c>
      <c r="E2700" s="27">
        <v>158</v>
      </c>
    </row>
    <row r="2701" spans="1:5" x14ac:dyDescent="0.25">
      <c r="A2701" s="26">
        <v>35309</v>
      </c>
      <c r="B2701" s="49">
        <f t="shared" si="43"/>
        <v>1996</v>
      </c>
      <c r="C2701" s="27" t="s">
        <v>37</v>
      </c>
      <c r="D2701" s="27" t="s">
        <v>31</v>
      </c>
      <c r="E2701" s="27">
        <v>280</v>
      </c>
    </row>
    <row r="2702" spans="1:5" x14ac:dyDescent="0.25">
      <c r="A2702" s="26">
        <v>35309</v>
      </c>
      <c r="B2702" s="49">
        <f t="shared" si="43"/>
        <v>1996</v>
      </c>
      <c r="C2702" s="27" t="s">
        <v>37</v>
      </c>
      <c r="D2702" s="27" t="s">
        <v>31</v>
      </c>
      <c r="E2702" s="27">
        <v>124</v>
      </c>
    </row>
    <row r="2703" spans="1:5" x14ac:dyDescent="0.25">
      <c r="A2703" s="26">
        <v>35309</v>
      </c>
      <c r="B2703" s="49">
        <f t="shared" si="43"/>
        <v>1996</v>
      </c>
      <c r="C2703" s="27" t="s">
        <v>27</v>
      </c>
      <c r="D2703" s="27" t="s">
        <v>31</v>
      </c>
      <c r="E2703" s="27">
        <v>158</v>
      </c>
    </row>
    <row r="2704" spans="1:5" x14ac:dyDescent="0.25">
      <c r="A2704" s="26">
        <v>35309</v>
      </c>
      <c r="B2704" s="49">
        <f t="shared" si="43"/>
        <v>1996</v>
      </c>
      <c r="C2704" s="27" t="s">
        <v>35</v>
      </c>
      <c r="D2704" s="27" t="s">
        <v>31</v>
      </c>
      <c r="E2704" s="27">
        <v>144</v>
      </c>
    </row>
    <row r="2705" spans="1:5" x14ac:dyDescent="0.25">
      <c r="A2705" s="26">
        <v>35309</v>
      </c>
      <c r="B2705" s="49">
        <f t="shared" si="43"/>
        <v>1996</v>
      </c>
      <c r="C2705" s="27" t="s">
        <v>35</v>
      </c>
      <c r="D2705" s="27" t="s">
        <v>31</v>
      </c>
      <c r="E2705" s="27">
        <v>135</v>
      </c>
    </row>
    <row r="2706" spans="1:5" x14ac:dyDescent="0.25">
      <c r="A2706" s="26">
        <v>35309</v>
      </c>
      <c r="B2706" s="49">
        <f t="shared" si="43"/>
        <v>1996</v>
      </c>
      <c r="C2706" s="27" t="s">
        <v>37</v>
      </c>
      <c r="D2706" s="27" t="s">
        <v>31</v>
      </c>
      <c r="E2706" s="27">
        <v>149</v>
      </c>
    </row>
    <row r="2707" spans="1:5" x14ac:dyDescent="0.25">
      <c r="A2707" s="26">
        <v>35309</v>
      </c>
      <c r="B2707" s="49">
        <f t="shared" si="43"/>
        <v>1996</v>
      </c>
      <c r="C2707" s="27" t="s">
        <v>32</v>
      </c>
      <c r="D2707" s="27" t="s">
        <v>31</v>
      </c>
      <c r="E2707" s="27">
        <v>767</v>
      </c>
    </row>
    <row r="2708" spans="1:5" x14ac:dyDescent="0.25">
      <c r="A2708" s="26">
        <v>35309</v>
      </c>
      <c r="B2708" s="49">
        <f t="shared" si="43"/>
        <v>1996</v>
      </c>
      <c r="C2708" s="27" t="s">
        <v>39</v>
      </c>
      <c r="D2708" s="27" t="s">
        <v>31</v>
      </c>
      <c r="E2708" s="27">
        <v>761</v>
      </c>
    </row>
    <row r="2709" spans="1:5" x14ac:dyDescent="0.25">
      <c r="A2709" s="26">
        <v>35309</v>
      </c>
      <c r="B2709" s="49">
        <f t="shared" si="43"/>
        <v>1996</v>
      </c>
      <c r="C2709" s="27" t="s">
        <v>32</v>
      </c>
      <c r="D2709" s="27" t="s">
        <v>31</v>
      </c>
      <c r="E2709" s="27">
        <v>657</v>
      </c>
    </row>
    <row r="2710" spans="1:5" x14ac:dyDescent="0.25">
      <c r="A2710" s="26">
        <v>35309</v>
      </c>
      <c r="B2710" s="49">
        <f t="shared" si="43"/>
        <v>1996</v>
      </c>
      <c r="C2710" s="27" t="s">
        <v>32</v>
      </c>
      <c r="D2710" s="27" t="s">
        <v>31</v>
      </c>
      <c r="E2710" s="27">
        <v>561</v>
      </c>
    </row>
    <row r="2711" spans="1:5" x14ac:dyDescent="0.25">
      <c r="A2711" s="26">
        <v>35309</v>
      </c>
      <c r="B2711" s="49">
        <f t="shared" si="43"/>
        <v>1996</v>
      </c>
      <c r="C2711" s="27" t="s">
        <v>34</v>
      </c>
      <c r="D2711" s="27" t="s">
        <v>31</v>
      </c>
      <c r="E2711" s="27">
        <v>426</v>
      </c>
    </row>
    <row r="2712" spans="1:5" x14ac:dyDescent="0.25">
      <c r="A2712" s="26">
        <v>35309</v>
      </c>
      <c r="B2712" s="49">
        <f t="shared" si="43"/>
        <v>1996</v>
      </c>
      <c r="C2712" s="27" t="s">
        <v>27</v>
      </c>
      <c r="D2712" s="27" t="s">
        <v>31</v>
      </c>
      <c r="E2712" s="27">
        <v>415</v>
      </c>
    </row>
    <row r="2713" spans="1:5" x14ac:dyDescent="0.25">
      <c r="A2713" s="26">
        <v>35309</v>
      </c>
      <c r="B2713" s="49">
        <f t="shared" si="43"/>
        <v>1996</v>
      </c>
      <c r="C2713" s="27" t="s">
        <v>39</v>
      </c>
      <c r="D2713" s="27" t="s">
        <v>31</v>
      </c>
      <c r="E2713" s="27">
        <v>368</v>
      </c>
    </row>
    <row r="2714" spans="1:5" x14ac:dyDescent="0.25">
      <c r="A2714" s="26">
        <v>35309</v>
      </c>
      <c r="B2714" s="49">
        <f t="shared" si="43"/>
        <v>1996</v>
      </c>
      <c r="C2714" s="27" t="s">
        <v>34</v>
      </c>
      <c r="D2714" s="27" t="s">
        <v>31</v>
      </c>
      <c r="E2714" s="27">
        <v>529</v>
      </c>
    </row>
    <row r="2715" spans="1:5" x14ac:dyDescent="0.25">
      <c r="A2715" s="26">
        <v>35309</v>
      </c>
      <c r="B2715" s="49">
        <f t="shared" si="43"/>
        <v>1996</v>
      </c>
      <c r="C2715" s="27" t="s">
        <v>37</v>
      </c>
      <c r="D2715" s="27" t="s">
        <v>31</v>
      </c>
      <c r="E2715" s="27">
        <v>506</v>
      </c>
    </row>
    <row r="2716" spans="1:5" x14ac:dyDescent="0.25">
      <c r="A2716" s="26">
        <v>35309</v>
      </c>
      <c r="B2716" s="49">
        <f t="shared" si="43"/>
        <v>1996</v>
      </c>
      <c r="C2716" s="27" t="s">
        <v>27</v>
      </c>
      <c r="D2716" s="27" t="s">
        <v>31</v>
      </c>
      <c r="E2716" s="27">
        <v>502</v>
      </c>
    </row>
    <row r="2717" spans="1:5" x14ac:dyDescent="0.25">
      <c r="A2717" s="26">
        <v>35309</v>
      </c>
      <c r="B2717" s="49">
        <f t="shared" si="43"/>
        <v>1996</v>
      </c>
      <c r="C2717" s="27" t="s">
        <v>32</v>
      </c>
      <c r="D2717" s="27" t="s">
        <v>31</v>
      </c>
      <c r="E2717" s="27">
        <v>469</v>
      </c>
    </row>
    <row r="2718" spans="1:5" x14ac:dyDescent="0.25">
      <c r="A2718" s="26">
        <v>35309</v>
      </c>
      <c r="B2718" s="49">
        <f t="shared" si="43"/>
        <v>1996</v>
      </c>
      <c r="C2718" s="27" t="s">
        <v>39</v>
      </c>
      <c r="D2718" s="27" t="s">
        <v>31</v>
      </c>
      <c r="E2718" s="27">
        <v>428</v>
      </c>
    </row>
    <row r="2719" spans="1:5" x14ac:dyDescent="0.25">
      <c r="A2719" s="26">
        <v>35309</v>
      </c>
      <c r="B2719" s="49">
        <f t="shared" si="43"/>
        <v>1996</v>
      </c>
      <c r="C2719" s="27" t="s">
        <v>35</v>
      </c>
      <c r="D2719" s="27" t="s">
        <v>31</v>
      </c>
      <c r="E2719" s="27">
        <v>46</v>
      </c>
    </row>
    <row r="2720" spans="1:5" x14ac:dyDescent="0.25">
      <c r="A2720" s="26">
        <v>35309</v>
      </c>
      <c r="B2720" s="49">
        <f t="shared" si="43"/>
        <v>1996</v>
      </c>
      <c r="C2720" s="27" t="s">
        <v>35</v>
      </c>
      <c r="D2720" s="27" t="s">
        <v>31</v>
      </c>
      <c r="E2720" s="27">
        <v>105</v>
      </c>
    </row>
    <row r="2721" spans="1:5" x14ac:dyDescent="0.25">
      <c r="A2721" s="26">
        <v>35309</v>
      </c>
      <c r="B2721" s="49">
        <f t="shared" si="43"/>
        <v>1996</v>
      </c>
      <c r="C2721" s="27" t="s">
        <v>27</v>
      </c>
      <c r="D2721" s="27" t="s">
        <v>31</v>
      </c>
      <c r="E2721" s="27">
        <v>88</v>
      </c>
    </row>
    <row r="2722" spans="1:5" x14ac:dyDescent="0.25">
      <c r="A2722" s="26">
        <v>35309</v>
      </c>
      <c r="B2722" s="49">
        <f t="shared" si="43"/>
        <v>1996</v>
      </c>
      <c r="C2722" s="27" t="s">
        <v>39</v>
      </c>
      <c r="D2722" s="27" t="s">
        <v>33</v>
      </c>
      <c r="E2722" s="27">
        <v>186</v>
      </c>
    </row>
    <row r="2723" spans="1:5" x14ac:dyDescent="0.25">
      <c r="A2723" s="26">
        <v>35309</v>
      </c>
      <c r="B2723" s="49">
        <f t="shared" si="43"/>
        <v>1996</v>
      </c>
      <c r="C2723" s="27" t="s">
        <v>37</v>
      </c>
      <c r="D2723" s="27" t="s">
        <v>33</v>
      </c>
      <c r="E2723" s="27">
        <v>224</v>
      </c>
    </row>
    <row r="2724" spans="1:5" x14ac:dyDescent="0.25">
      <c r="A2724" s="26">
        <v>35309</v>
      </c>
      <c r="B2724" s="49">
        <f t="shared" si="43"/>
        <v>1996</v>
      </c>
      <c r="C2724" s="27" t="s">
        <v>35</v>
      </c>
      <c r="D2724" s="27" t="s">
        <v>33</v>
      </c>
      <c r="E2724" s="27">
        <v>225</v>
      </c>
    </row>
    <row r="2725" spans="1:5" x14ac:dyDescent="0.25">
      <c r="A2725" s="26">
        <v>35309</v>
      </c>
      <c r="B2725" s="49">
        <f t="shared" si="43"/>
        <v>1996</v>
      </c>
      <c r="C2725" s="27" t="s">
        <v>27</v>
      </c>
      <c r="D2725" s="27" t="s">
        <v>33</v>
      </c>
      <c r="E2725" s="27">
        <v>228</v>
      </c>
    </row>
    <row r="2726" spans="1:5" x14ac:dyDescent="0.25">
      <c r="A2726" s="26">
        <v>35309</v>
      </c>
      <c r="B2726" s="49">
        <f t="shared" si="43"/>
        <v>1996</v>
      </c>
      <c r="C2726" s="27" t="s">
        <v>37</v>
      </c>
      <c r="D2726" s="27" t="s">
        <v>33</v>
      </c>
      <c r="E2726" s="27">
        <v>254</v>
      </c>
    </row>
    <row r="2727" spans="1:5" x14ac:dyDescent="0.25">
      <c r="A2727" s="26">
        <v>35309</v>
      </c>
      <c r="B2727" s="49">
        <f t="shared" si="43"/>
        <v>1996</v>
      </c>
      <c r="C2727" s="27" t="s">
        <v>32</v>
      </c>
      <c r="D2727" s="27" t="s">
        <v>33</v>
      </c>
      <c r="E2727" s="27">
        <v>405</v>
      </c>
    </row>
    <row r="2728" spans="1:5" x14ac:dyDescent="0.25">
      <c r="A2728" s="26">
        <v>35309</v>
      </c>
      <c r="B2728" s="49">
        <f t="shared" si="43"/>
        <v>1996</v>
      </c>
      <c r="C2728" s="27" t="s">
        <v>27</v>
      </c>
      <c r="D2728" s="27" t="s">
        <v>33</v>
      </c>
      <c r="E2728" s="27">
        <v>455</v>
      </c>
    </row>
    <row r="2729" spans="1:5" x14ac:dyDescent="0.25">
      <c r="A2729" s="26">
        <v>35309</v>
      </c>
      <c r="B2729" s="49">
        <f t="shared" si="43"/>
        <v>1996</v>
      </c>
      <c r="C2729" s="27" t="s">
        <v>34</v>
      </c>
      <c r="D2729" s="27" t="s">
        <v>33</v>
      </c>
      <c r="E2729" s="27">
        <v>536</v>
      </c>
    </row>
    <row r="2730" spans="1:5" x14ac:dyDescent="0.25">
      <c r="A2730" s="26">
        <v>35309</v>
      </c>
      <c r="B2730" s="49">
        <f t="shared" si="43"/>
        <v>1996</v>
      </c>
      <c r="C2730" s="27" t="s">
        <v>32</v>
      </c>
      <c r="D2730" s="27" t="s">
        <v>33</v>
      </c>
      <c r="E2730" s="27">
        <v>644</v>
      </c>
    </row>
    <row r="2731" spans="1:5" x14ac:dyDescent="0.25">
      <c r="A2731" s="26">
        <v>35309</v>
      </c>
      <c r="B2731" s="49">
        <f t="shared" si="43"/>
        <v>1996</v>
      </c>
      <c r="C2731" s="27" t="s">
        <v>34</v>
      </c>
      <c r="D2731" s="27" t="s">
        <v>33</v>
      </c>
      <c r="E2731" s="27">
        <v>955</v>
      </c>
    </row>
    <row r="2732" spans="1:5" x14ac:dyDescent="0.25">
      <c r="A2732" s="26">
        <v>35309</v>
      </c>
      <c r="B2732" s="49">
        <f t="shared" si="43"/>
        <v>1996</v>
      </c>
      <c r="C2732" s="27" t="s">
        <v>32</v>
      </c>
      <c r="D2732" s="27" t="s">
        <v>33</v>
      </c>
      <c r="E2732" s="27">
        <v>1664</v>
      </c>
    </row>
    <row r="2733" spans="1:5" x14ac:dyDescent="0.25">
      <c r="A2733" s="26">
        <v>35309</v>
      </c>
      <c r="B2733" s="49">
        <f t="shared" si="43"/>
        <v>1996</v>
      </c>
      <c r="C2733" s="27" t="s">
        <v>32</v>
      </c>
      <c r="D2733" s="27" t="s">
        <v>33</v>
      </c>
      <c r="E2733" s="27">
        <v>1727</v>
      </c>
    </row>
    <row r="2734" spans="1:5" x14ac:dyDescent="0.25">
      <c r="A2734" s="26">
        <v>35309</v>
      </c>
      <c r="B2734" s="49">
        <f t="shared" si="43"/>
        <v>1996</v>
      </c>
      <c r="C2734" s="27" t="s">
        <v>39</v>
      </c>
      <c r="D2734" s="27" t="s">
        <v>33</v>
      </c>
      <c r="E2734" s="27">
        <v>124</v>
      </c>
    </row>
    <row r="2735" spans="1:5" x14ac:dyDescent="0.25">
      <c r="A2735" s="26">
        <v>35309</v>
      </c>
      <c r="B2735" s="49">
        <f t="shared" si="43"/>
        <v>1996</v>
      </c>
      <c r="C2735" s="27" t="s">
        <v>37</v>
      </c>
      <c r="D2735" s="27" t="s">
        <v>33</v>
      </c>
      <c r="E2735" s="27">
        <v>2687</v>
      </c>
    </row>
    <row r="2736" spans="1:5" x14ac:dyDescent="0.25">
      <c r="A2736" s="26">
        <v>35309</v>
      </c>
      <c r="B2736" s="49">
        <f t="shared" si="43"/>
        <v>1996</v>
      </c>
      <c r="C2736" s="27" t="s">
        <v>39</v>
      </c>
      <c r="D2736" s="27" t="s">
        <v>33</v>
      </c>
      <c r="E2736" s="27">
        <v>153</v>
      </c>
    </row>
    <row r="2737" spans="1:5" x14ac:dyDescent="0.25">
      <c r="A2737" s="26">
        <v>35309</v>
      </c>
      <c r="B2737" s="49">
        <f t="shared" si="43"/>
        <v>1996</v>
      </c>
      <c r="C2737" s="27" t="s">
        <v>35</v>
      </c>
      <c r="D2737" s="27" t="s">
        <v>33</v>
      </c>
      <c r="E2737" s="27">
        <v>140</v>
      </c>
    </row>
    <row r="2738" spans="1:5" x14ac:dyDescent="0.25">
      <c r="A2738" s="26">
        <v>35309</v>
      </c>
      <c r="B2738" s="49">
        <f t="shared" si="43"/>
        <v>1996</v>
      </c>
      <c r="C2738" s="27" t="s">
        <v>39</v>
      </c>
      <c r="D2738" s="27" t="s">
        <v>33</v>
      </c>
      <c r="E2738" s="27">
        <v>44</v>
      </c>
    </row>
    <row r="2739" spans="1:5" x14ac:dyDescent="0.25">
      <c r="A2739" s="26">
        <v>35309</v>
      </c>
      <c r="B2739" s="49">
        <f t="shared" si="43"/>
        <v>1996</v>
      </c>
      <c r="C2739" s="27" t="s">
        <v>27</v>
      </c>
      <c r="D2739" s="27" t="s">
        <v>33</v>
      </c>
      <c r="E2739" s="27">
        <v>44</v>
      </c>
    </row>
    <row r="2740" spans="1:5" x14ac:dyDescent="0.25">
      <c r="A2740" s="26">
        <v>35309</v>
      </c>
      <c r="B2740" s="49">
        <f t="shared" si="43"/>
        <v>1996</v>
      </c>
      <c r="C2740" s="27" t="s">
        <v>34</v>
      </c>
      <c r="D2740" s="27" t="s">
        <v>33</v>
      </c>
      <c r="E2740" s="27">
        <v>56</v>
      </c>
    </row>
    <row r="2741" spans="1:5" x14ac:dyDescent="0.25">
      <c r="A2741" s="26">
        <v>35309</v>
      </c>
      <c r="B2741" s="49">
        <f t="shared" si="43"/>
        <v>1996</v>
      </c>
      <c r="C2741" s="27" t="s">
        <v>27</v>
      </c>
      <c r="D2741" s="27" t="s">
        <v>33</v>
      </c>
      <c r="E2741" s="27">
        <v>68</v>
      </c>
    </row>
    <row r="2742" spans="1:5" x14ac:dyDescent="0.25">
      <c r="A2742" s="26">
        <v>35309</v>
      </c>
      <c r="B2742" s="49">
        <f t="shared" si="43"/>
        <v>1996</v>
      </c>
      <c r="C2742" s="27" t="s">
        <v>34</v>
      </c>
      <c r="D2742" s="27" t="s">
        <v>33</v>
      </c>
      <c r="E2742" s="27">
        <v>72</v>
      </c>
    </row>
    <row r="2743" spans="1:5" x14ac:dyDescent="0.25">
      <c r="A2743" s="26">
        <v>35309</v>
      </c>
      <c r="B2743" s="49">
        <f t="shared" si="43"/>
        <v>1996</v>
      </c>
      <c r="C2743" s="27" t="s">
        <v>35</v>
      </c>
      <c r="D2743" s="27" t="s">
        <v>33</v>
      </c>
      <c r="E2743" s="27">
        <v>79</v>
      </c>
    </row>
    <row r="2744" spans="1:5" x14ac:dyDescent="0.25">
      <c r="A2744" s="26">
        <v>35309</v>
      </c>
      <c r="B2744" s="49">
        <f t="shared" si="43"/>
        <v>1996</v>
      </c>
      <c r="C2744" s="27" t="s">
        <v>37</v>
      </c>
      <c r="D2744" s="27" t="s">
        <v>33</v>
      </c>
      <c r="E2744" s="27">
        <v>101</v>
      </c>
    </row>
    <row r="2745" spans="1:5" x14ac:dyDescent="0.25">
      <c r="A2745" s="26">
        <v>35309</v>
      </c>
      <c r="B2745" s="49">
        <f t="shared" si="43"/>
        <v>1996</v>
      </c>
      <c r="C2745" s="27" t="s">
        <v>35</v>
      </c>
      <c r="D2745" s="27" t="s">
        <v>33</v>
      </c>
      <c r="E2745" s="27">
        <v>123</v>
      </c>
    </row>
    <row r="2746" spans="1:5" x14ac:dyDescent="0.25">
      <c r="A2746" s="26">
        <v>35309</v>
      </c>
      <c r="B2746" s="49">
        <f t="shared" si="43"/>
        <v>1996</v>
      </c>
      <c r="C2746" s="27" t="s">
        <v>39</v>
      </c>
      <c r="D2746" s="27" t="s">
        <v>36</v>
      </c>
      <c r="E2746" s="27">
        <v>668</v>
      </c>
    </row>
    <row r="2747" spans="1:5" x14ac:dyDescent="0.25">
      <c r="A2747" s="26">
        <v>35309</v>
      </c>
      <c r="B2747" s="49">
        <f t="shared" si="43"/>
        <v>1996</v>
      </c>
      <c r="C2747" s="27" t="s">
        <v>32</v>
      </c>
      <c r="D2747" s="27" t="s">
        <v>36</v>
      </c>
      <c r="E2747" s="27">
        <v>716</v>
      </c>
    </row>
    <row r="2748" spans="1:5" x14ac:dyDescent="0.25">
      <c r="A2748" s="26">
        <v>35309</v>
      </c>
      <c r="B2748" s="49">
        <f t="shared" si="43"/>
        <v>1996</v>
      </c>
      <c r="C2748" s="27" t="s">
        <v>37</v>
      </c>
      <c r="D2748" s="27" t="s">
        <v>36</v>
      </c>
      <c r="E2748" s="27">
        <v>1185</v>
      </c>
    </row>
    <row r="2749" spans="1:5" x14ac:dyDescent="0.25">
      <c r="A2749" s="26">
        <v>35309</v>
      </c>
      <c r="B2749" s="49">
        <f t="shared" si="43"/>
        <v>1996</v>
      </c>
      <c r="C2749" s="27" t="s">
        <v>39</v>
      </c>
      <c r="D2749" s="27" t="s">
        <v>36</v>
      </c>
      <c r="E2749" s="27">
        <v>1237</v>
      </c>
    </row>
    <row r="2750" spans="1:5" x14ac:dyDescent="0.25">
      <c r="A2750" s="26">
        <v>35309</v>
      </c>
      <c r="B2750" s="49">
        <f t="shared" si="43"/>
        <v>1996</v>
      </c>
      <c r="C2750" s="27" t="s">
        <v>37</v>
      </c>
      <c r="D2750" s="27" t="s">
        <v>36</v>
      </c>
      <c r="E2750" s="27">
        <v>1496</v>
      </c>
    </row>
    <row r="2751" spans="1:5" x14ac:dyDescent="0.25">
      <c r="A2751" s="26">
        <v>35309</v>
      </c>
      <c r="B2751" s="49">
        <f t="shared" si="43"/>
        <v>1996</v>
      </c>
      <c r="C2751" s="27" t="s">
        <v>39</v>
      </c>
      <c r="D2751" s="27" t="s">
        <v>36</v>
      </c>
      <c r="E2751" s="27">
        <v>1849</v>
      </c>
    </row>
    <row r="2752" spans="1:5" x14ac:dyDescent="0.25">
      <c r="A2752" s="26">
        <v>35309</v>
      </c>
      <c r="B2752" s="49">
        <f t="shared" si="43"/>
        <v>1996</v>
      </c>
      <c r="C2752" s="27" t="s">
        <v>35</v>
      </c>
      <c r="D2752" s="27" t="s">
        <v>36</v>
      </c>
      <c r="E2752" s="27">
        <v>42</v>
      </c>
    </row>
    <row r="2753" spans="1:5" x14ac:dyDescent="0.25">
      <c r="A2753" s="26">
        <v>35309</v>
      </c>
      <c r="B2753" s="49">
        <f t="shared" si="43"/>
        <v>1996</v>
      </c>
      <c r="C2753" s="27" t="s">
        <v>27</v>
      </c>
      <c r="D2753" s="27" t="s">
        <v>36</v>
      </c>
      <c r="E2753" s="27">
        <v>41</v>
      </c>
    </row>
    <row r="2754" spans="1:5" x14ac:dyDescent="0.25">
      <c r="A2754" s="26">
        <v>35309</v>
      </c>
      <c r="B2754" s="49">
        <f t="shared" si="43"/>
        <v>1996</v>
      </c>
      <c r="C2754" s="27" t="s">
        <v>32</v>
      </c>
      <c r="D2754" s="27" t="s">
        <v>36</v>
      </c>
      <c r="E2754" s="27">
        <v>124</v>
      </c>
    </row>
    <row r="2755" spans="1:5" x14ac:dyDescent="0.25">
      <c r="A2755" s="26">
        <v>35309</v>
      </c>
      <c r="B2755" s="49">
        <f t="shared" ref="B2755:B2818" si="44">YEAR(A2755)</f>
        <v>1996</v>
      </c>
      <c r="C2755" s="27" t="s">
        <v>34</v>
      </c>
      <c r="D2755" s="27" t="s">
        <v>36</v>
      </c>
      <c r="E2755" s="27">
        <v>69</v>
      </c>
    </row>
    <row r="2756" spans="1:5" x14ac:dyDescent="0.25">
      <c r="A2756" s="26">
        <v>35309</v>
      </c>
      <c r="B2756" s="49">
        <f t="shared" si="44"/>
        <v>1996</v>
      </c>
      <c r="C2756" s="27" t="s">
        <v>39</v>
      </c>
      <c r="D2756" s="27" t="s">
        <v>36</v>
      </c>
      <c r="E2756" s="27">
        <v>77</v>
      </c>
    </row>
    <row r="2757" spans="1:5" x14ac:dyDescent="0.25">
      <c r="A2757" s="26">
        <v>35309</v>
      </c>
      <c r="B2757" s="49">
        <f t="shared" si="44"/>
        <v>1996</v>
      </c>
      <c r="C2757" s="27" t="s">
        <v>27</v>
      </c>
      <c r="D2757" s="27" t="s">
        <v>36</v>
      </c>
      <c r="E2757" s="27">
        <v>68</v>
      </c>
    </row>
    <row r="2758" spans="1:5" x14ac:dyDescent="0.25">
      <c r="A2758" s="26">
        <v>35309</v>
      </c>
      <c r="B2758" s="49">
        <f t="shared" si="44"/>
        <v>1996</v>
      </c>
      <c r="C2758" s="27" t="s">
        <v>34</v>
      </c>
      <c r="D2758" s="27" t="s">
        <v>36</v>
      </c>
      <c r="E2758" s="27">
        <v>79</v>
      </c>
    </row>
    <row r="2759" spans="1:5" x14ac:dyDescent="0.25">
      <c r="A2759" s="26">
        <v>35309</v>
      </c>
      <c r="B2759" s="49">
        <f t="shared" si="44"/>
        <v>1996</v>
      </c>
      <c r="C2759" s="27" t="s">
        <v>37</v>
      </c>
      <c r="D2759" s="27" t="s">
        <v>36</v>
      </c>
      <c r="E2759" s="27">
        <v>83</v>
      </c>
    </row>
    <row r="2760" spans="1:5" x14ac:dyDescent="0.25">
      <c r="A2760" s="26">
        <v>35309</v>
      </c>
      <c r="B2760" s="49">
        <f t="shared" si="44"/>
        <v>1996</v>
      </c>
      <c r="C2760" s="27" t="s">
        <v>35</v>
      </c>
      <c r="D2760" s="27" t="s">
        <v>36</v>
      </c>
      <c r="E2760" s="27">
        <v>96</v>
      </c>
    </row>
    <row r="2761" spans="1:5" x14ac:dyDescent="0.25">
      <c r="A2761" s="26">
        <v>35309</v>
      </c>
      <c r="B2761" s="49">
        <f t="shared" si="44"/>
        <v>1996</v>
      </c>
      <c r="C2761" s="27" t="s">
        <v>32</v>
      </c>
      <c r="D2761" s="27" t="s">
        <v>36</v>
      </c>
      <c r="E2761" s="27">
        <v>101</v>
      </c>
    </row>
    <row r="2762" spans="1:5" x14ac:dyDescent="0.25">
      <c r="A2762" s="26">
        <v>35309</v>
      </c>
      <c r="B2762" s="49">
        <f t="shared" si="44"/>
        <v>1996</v>
      </c>
      <c r="C2762" s="27" t="s">
        <v>34</v>
      </c>
      <c r="D2762" s="27" t="s">
        <v>36</v>
      </c>
      <c r="E2762" s="27">
        <v>113</v>
      </c>
    </row>
    <row r="2763" spans="1:5" x14ac:dyDescent="0.25">
      <c r="A2763" s="26">
        <v>35309</v>
      </c>
      <c r="B2763" s="49">
        <f t="shared" si="44"/>
        <v>1996</v>
      </c>
      <c r="C2763" s="27" t="s">
        <v>35</v>
      </c>
      <c r="D2763" s="27" t="s">
        <v>36</v>
      </c>
      <c r="E2763" s="27">
        <v>116</v>
      </c>
    </row>
    <row r="2764" spans="1:5" x14ac:dyDescent="0.25">
      <c r="A2764" s="26">
        <v>35309</v>
      </c>
      <c r="B2764" s="49">
        <f t="shared" si="44"/>
        <v>1996</v>
      </c>
      <c r="C2764" s="27" t="s">
        <v>35</v>
      </c>
      <c r="D2764" s="27" t="s">
        <v>36</v>
      </c>
      <c r="E2764" s="27">
        <v>63</v>
      </c>
    </row>
    <row r="2765" spans="1:5" x14ac:dyDescent="0.25">
      <c r="A2765" s="26">
        <v>35309</v>
      </c>
      <c r="B2765" s="49">
        <f t="shared" si="44"/>
        <v>1996</v>
      </c>
      <c r="C2765" s="27" t="s">
        <v>39</v>
      </c>
      <c r="D2765" s="27" t="s">
        <v>36</v>
      </c>
      <c r="E2765" s="27">
        <v>138</v>
      </c>
    </row>
    <row r="2766" spans="1:5" x14ac:dyDescent="0.25">
      <c r="A2766" s="26">
        <v>35309</v>
      </c>
      <c r="B2766" s="49">
        <f t="shared" si="44"/>
        <v>1996</v>
      </c>
      <c r="C2766" s="27" t="s">
        <v>35</v>
      </c>
      <c r="D2766" s="27" t="s">
        <v>36</v>
      </c>
      <c r="E2766" s="27">
        <v>146</v>
      </c>
    </row>
    <row r="2767" spans="1:5" x14ac:dyDescent="0.25">
      <c r="A2767" s="26">
        <v>35309</v>
      </c>
      <c r="B2767" s="49">
        <f t="shared" si="44"/>
        <v>1996</v>
      </c>
      <c r="C2767" s="27" t="s">
        <v>32</v>
      </c>
      <c r="D2767" s="27" t="s">
        <v>36</v>
      </c>
      <c r="E2767" s="27">
        <v>55</v>
      </c>
    </row>
    <row r="2768" spans="1:5" x14ac:dyDescent="0.25">
      <c r="A2768" s="26">
        <v>35309</v>
      </c>
      <c r="B2768" s="49">
        <f t="shared" si="44"/>
        <v>1996</v>
      </c>
      <c r="C2768" s="27" t="s">
        <v>27</v>
      </c>
      <c r="D2768" s="27" t="s">
        <v>36</v>
      </c>
      <c r="E2768" s="27">
        <v>50</v>
      </c>
    </row>
    <row r="2769" spans="1:5" x14ac:dyDescent="0.25">
      <c r="A2769" s="26">
        <v>35309</v>
      </c>
      <c r="B2769" s="49">
        <f t="shared" si="44"/>
        <v>1996</v>
      </c>
      <c r="C2769" s="27" t="s">
        <v>32</v>
      </c>
      <c r="D2769" s="27" t="s">
        <v>36</v>
      </c>
      <c r="E2769" s="27">
        <v>46</v>
      </c>
    </row>
    <row r="2770" spans="1:5" x14ac:dyDescent="0.25">
      <c r="A2770" s="26">
        <v>35309</v>
      </c>
      <c r="B2770" s="49">
        <f t="shared" si="44"/>
        <v>1996</v>
      </c>
      <c r="C2770" s="27" t="s">
        <v>37</v>
      </c>
      <c r="D2770" s="27" t="s">
        <v>36</v>
      </c>
      <c r="E2770" s="27">
        <v>44</v>
      </c>
    </row>
    <row r="2771" spans="1:5" x14ac:dyDescent="0.25">
      <c r="A2771" s="26">
        <v>35309</v>
      </c>
      <c r="B2771" s="49">
        <f t="shared" si="44"/>
        <v>1996</v>
      </c>
      <c r="C2771" s="27" t="s">
        <v>34</v>
      </c>
      <c r="D2771" s="27" t="s">
        <v>36</v>
      </c>
      <c r="E2771" s="27">
        <v>270</v>
      </c>
    </row>
    <row r="2772" spans="1:5" x14ac:dyDescent="0.25">
      <c r="A2772" s="26">
        <v>35309</v>
      </c>
      <c r="B2772" s="49">
        <f t="shared" si="44"/>
        <v>1996</v>
      </c>
      <c r="C2772" s="27" t="s">
        <v>37</v>
      </c>
      <c r="D2772" s="27" t="s">
        <v>36</v>
      </c>
      <c r="E2772" s="27">
        <v>396</v>
      </c>
    </row>
    <row r="2773" spans="1:5" x14ac:dyDescent="0.25">
      <c r="A2773" s="26">
        <v>35309</v>
      </c>
      <c r="B2773" s="49">
        <f t="shared" si="44"/>
        <v>1996</v>
      </c>
      <c r="C2773" s="27" t="s">
        <v>37</v>
      </c>
      <c r="D2773" s="27" t="s">
        <v>36</v>
      </c>
      <c r="E2773" s="27">
        <v>124</v>
      </c>
    </row>
    <row r="2774" spans="1:5" x14ac:dyDescent="0.25">
      <c r="A2774" s="26">
        <v>35309</v>
      </c>
      <c r="B2774" s="49">
        <f t="shared" si="44"/>
        <v>1996</v>
      </c>
      <c r="C2774" s="27" t="s">
        <v>27</v>
      </c>
      <c r="D2774" s="27" t="s">
        <v>36</v>
      </c>
      <c r="E2774" s="27">
        <v>35</v>
      </c>
    </row>
    <row r="2775" spans="1:5" x14ac:dyDescent="0.25">
      <c r="A2775" s="26">
        <v>35309</v>
      </c>
      <c r="B2775" s="49">
        <f t="shared" si="44"/>
        <v>1996</v>
      </c>
      <c r="C2775" s="27" t="s">
        <v>32</v>
      </c>
      <c r="D2775" s="27" t="s">
        <v>36</v>
      </c>
      <c r="E2775" s="27">
        <v>35</v>
      </c>
    </row>
    <row r="2776" spans="1:5" x14ac:dyDescent="0.25">
      <c r="A2776" s="26">
        <v>35309</v>
      </c>
      <c r="B2776" s="49">
        <f t="shared" si="44"/>
        <v>1996</v>
      </c>
      <c r="C2776" s="27" t="s">
        <v>35</v>
      </c>
      <c r="D2776" s="27" t="s">
        <v>36</v>
      </c>
      <c r="E2776" s="27">
        <v>35</v>
      </c>
    </row>
    <row r="2777" spans="1:5" x14ac:dyDescent="0.25">
      <c r="A2777" s="26">
        <v>35309</v>
      </c>
      <c r="B2777" s="49">
        <f t="shared" si="44"/>
        <v>1996</v>
      </c>
      <c r="C2777" s="27" t="s">
        <v>39</v>
      </c>
      <c r="D2777" s="27" t="s">
        <v>36</v>
      </c>
      <c r="E2777" s="27">
        <v>18</v>
      </c>
    </row>
    <row r="2778" spans="1:5" x14ac:dyDescent="0.25">
      <c r="A2778" s="26">
        <v>35309</v>
      </c>
      <c r="B2778" s="49">
        <f t="shared" si="44"/>
        <v>1996</v>
      </c>
      <c r="C2778" s="27" t="s">
        <v>27</v>
      </c>
      <c r="D2778" s="27" t="s">
        <v>36</v>
      </c>
      <c r="E2778" s="27">
        <v>14</v>
      </c>
    </row>
    <row r="2779" spans="1:5" x14ac:dyDescent="0.25">
      <c r="A2779" s="26">
        <v>35309</v>
      </c>
      <c r="B2779" s="49">
        <f t="shared" si="44"/>
        <v>1996</v>
      </c>
      <c r="C2779" s="27" t="s">
        <v>27</v>
      </c>
      <c r="D2779" s="27" t="s">
        <v>36</v>
      </c>
      <c r="E2779" s="27">
        <v>11</v>
      </c>
    </row>
    <row r="2780" spans="1:5" x14ac:dyDescent="0.25">
      <c r="A2780" s="26">
        <v>35339</v>
      </c>
      <c r="B2780" s="49">
        <f t="shared" si="44"/>
        <v>1996</v>
      </c>
      <c r="C2780" s="27" t="s">
        <v>27</v>
      </c>
      <c r="D2780" s="27" t="s">
        <v>28</v>
      </c>
      <c r="E2780" s="27">
        <v>66</v>
      </c>
    </row>
    <row r="2781" spans="1:5" x14ac:dyDescent="0.25">
      <c r="A2781" s="26">
        <v>35339</v>
      </c>
      <c r="B2781" s="49">
        <f t="shared" si="44"/>
        <v>1996</v>
      </c>
      <c r="C2781" s="27" t="s">
        <v>35</v>
      </c>
      <c r="D2781" s="27" t="s">
        <v>28</v>
      </c>
      <c r="E2781" s="27">
        <v>165</v>
      </c>
    </row>
    <row r="2782" spans="1:5" x14ac:dyDescent="0.25">
      <c r="A2782" s="26">
        <v>35339</v>
      </c>
      <c r="B2782" s="49">
        <f t="shared" si="44"/>
        <v>1996</v>
      </c>
      <c r="C2782" s="27" t="s">
        <v>27</v>
      </c>
      <c r="D2782" s="27" t="s">
        <v>28</v>
      </c>
      <c r="E2782" s="27">
        <v>508</v>
      </c>
    </row>
    <row r="2783" spans="1:5" x14ac:dyDescent="0.25">
      <c r="A2783" s="26">
        <v>35339</v>
      </c>
      <c r="B2783" s="49">
        <f t="shared" si="44"/>
        <v>1996</v>
      </c>
      <c r="C2783" s="27" t="s">
        <v>35</v>
      </c>
      <c r="D2783" s="27" t="s">
        <v>28</v>
      </c>
      <c r="E2783" s="27">
        <v>464</v>
      </c>
    </row>
    <row r="2784" spans="1:5" x14ac:dyDescent="0.25">
      <c r="A2784" s="26">
        <v>35339</v>
      </c>
      <c r="B2784" s="49">
        <f t="shared" si="44"/>
        <v>1996</v>
      </c>
      <c r="C2784" s="27" t="s">
        <v>32</v>
      </c>
      <c r="D2784" s="27" t="s">
        <v>28</v>
      </c>
      <c r="E2784" s="27">
        <v>450</v>
      </c>
    </row>
    <row r="2785" spans="1:5" x14ac:dyDescent="0.25">
      <c r="A2785" s="26">
        <v>35339</v>
      </c>
      <c r="B2785" s="49">
        <f t="shared" si="44"/>
        <v>1996</v>
      </c>
      <c r="C2785" s="27" t="s">
        <v>39</v>
      </c>
      <c r="D2785" s="27" t="s">
        <v>28</v>
      </c>
      <c r="E2785" s="27">
        <v>450</v>
      </c>
    </row>
    <row r="2786" spans="1:5" x14ac:dyDescent="0.25">
      <c r="A2786" s="26">
        <v>35339</v>
      </c>
      <c r="B2786" s="49">
        <f t="shared" si="44"/>
        <v>1996</v>
      </c>
      <c r="C2786" s="27" t="s">
        <v>34</v>
      </c>
      <c r="D2786" s="27" t="s">
        <v>28</v>
      </c>
      <c r="E2786" s="27">
        <v>426</v>
      </c>
    </row>
    <row r="2787" spans="1:5" x14ac:dyDescent="0.25">
      <c r="A2787" s="26">
        <v>35339</v>
      </c>
      <c r="B2787" s="49">
        <f t="shared" si="44"/>
        <v>1996</v>
      </c>
      <c r="C2787" s="27" t="s">
        <v>34</v>
      </c>
      <c r="D2787" s="27" t="s">
        <v>28</v>
      </c>
      <c r="E2787" s="27">
        <v>405</v>
      </c>
    </row>
    <row r="2788" spans="1:5" x14ac:dyDescent="0.25">
      <c r="A2788" s="26">
        <v>35339</v>
      </c>
      <c r="B2788" s="49">
        <f t="shared" si="44"/>
        <v>1996</v>
      </c>
      <c r="C2788" s="27" t="s">
        <v>35</v>
      </c>
      <c r="D2788" s="27" t="s">
        <v>28</v>
      </c>
      <c r="E2788" s="27">
        <v>176</v>
      </c>
    </row>
    <row r="2789" spans="1:5" x14ac:dyDescent="0.25">
      <c r="A2789" s="26">
        <v>35339</v>
      </c>
      <c r="B2789" s="49">
        <f t="shared" si="44"/>
        <v>1996</v>
      </c>
      <c r="C2789" s="27" t="s">
        <v>32</v>
      </c>
      <c r="D2789" s="27" t="s">
        <v>28</v>
      </c>
      <c r="E2789" s="27">
        <v>385</v>
      </c>
    </row>
    <row r="2790" spans="1:5" x14ac:dyDescent="0.25">
      <c r="A2790" s="26">
        <v>35339</v>
      </c>
      <c r="B2790" s="49">
        <f t="shared" si="44"/>
        <v>1996</v>
      </c>
      <c r="C2790" s="27" t="s">
        <v>39</v>
      </c>
      <c r="D2790" s="27" t="s">
        <v>28</v>
      </c>
      <c r="E2790" s="27">
        <v>371</v>
      </c>
    </row>
    <row r="2791" spans="1:5" x14ac:dyDescent="0.25">
      <c r="A2791" s="26">
        <v>35339</v>
      </c>
      <c r="B2791" s="49">
        <f t="shared" si="44"/>
        <v>1996</v>
      </c>
      <c r="C2791" s="27" t="s">
        <v>37</v>
      </c>
      <c r="D2791" s="27" t="s">
        <v>28</v>
      </c>
      <c r="E2791" s="27">
        <v>338</v>
      </c>
    </row>
    <row r="2792" spans="1:5" x14ac:dyDescent="0.25">
      <c r="A2792" s="26">
        <v>35339</v>
      </c>
      <c r="B2792" s="49">
        <f t="shared" si="44"/>
        <v>1996</v>
      </c>
      <c r="C2792" s="27" t="s">
        <v>32</v>
      </c>
      <c r="D2792" s="27" t="s">
        <v>28</v>
      </c>
      <c r="E2792" s="27">
        <v>2914</v>
      </c>
    </row>
    <row r="2793" spans="1:5" x14ac:dyDescent="0.25">
      <c r="A2793" s="26">
        <v>35339</v>
      </c>
      <c r="B2793" s="49">
        <f t="shared" si="44"/>
        <v>1996</v>
      </c>
      <c r="C2793" s="27" t="s">
        <v>39</v>
      </c>
      <c r="D2793" s="27" t="s">
        <v>28</v>
      </c>
      <c r="E2793" s="27">
        <v>521</v>
      </c>
    </row>
    <row r="2794" spans="1:5" x14ac:dyDescent="0.25">
      <c r="A2794" s="26">
        <v>35339</v>
      </c>
      <c r="B2794" s="49">
        <f t="shared" si="44"/>
        <v>1996</v>
      </c>
      <c r="C2794" s="27" t="s">
        <v>37</v>
      </c>
      <c r="D2794" s="27" t="s">
        <v>28</v>
      </c>
      <c r="E2794" s="27">
        <v>788</v>
      </c>
    </row>
    <row r="2795" spans="1:5" x14ac:dyDescent="0.25">
      <c r="A2795" s="26">
        <v>35339</v>
      </c>
      <c r="B2795" s="49">
        <f t="shared" si="44"/>
        <v>1996</v>
      </c>
      <c r="C2795" s="27" t="s">
        <v>34</v>
      </c>
      <c r="D2795" s="27" t="s">
        <v>28</v>
      </c>
      <c r="E2795" s="27">
        <v>989</v>
      </c>
    </row>
    <row r="2796" spans="1:5" x14ac:dyDescent="0.25">
      <c r="A2796" s="26">
        <v>35339</v>
      </c>
      <c r="B2796" s="49">
        <f t="shared" si="44"/>
        <v>1996</v>
      </c>
      <c r="C2796" s="27" t="s">
        <v>27</v>
      </c>
      <c r="D2796" s="27" t="s">
        <v>28</v>
      </c>
      <c r="E2796" s="27">
        <v>1566</v>
      </c>
    </row>
    <row r="2797" spans="1:5" x14ac:dyDescent="0.25">
      <c r="A2797" s="26">
        <v>35339</v>
      </c>
      <c r="B2797" s="49">
        <f t="shared" si="44"/>
        <v>1996</v>
      </c>
      <c r="C2797" s="27" t="s">
        <v>37</v>
      </c>
      <c r="D2797" s="27" t="s">
        <v>28</v>
      </c>
      <c r="E2797" s="27">
        <v>1826</v>
      </c>
    </row>
    <row r="2798" spans="1:5" x14ac:dyDescent="0.25">
      <c r="A2798" s="26">
        <v>35339</v>
      </c>
      <c r="B2798" s="49">
        <f t="shared" si="44"/>
        <v>1996</v>
      </c>
      <c r="C2798" s="27" t="s">
        <v>39</v>
      </c>
      <c r="D2798" s="27" t="s">
        <v>28</v>
      </c>
      <c r="E2798" s="27">
        <v>385</v>
      </c>
    </row>
    <row r="2799" spans="1:5" x14ac:dyDescent="0.25">
      <c r="A2799" s="26">
        <v>35339</v>
      </c>
      <c r="B2799" s="49">
        <f t="shared" si="44"/>
        <v>1996</v>
      </c>
      <c r="C2799" s="27" t="s">
        <v>35</v>
      </c>
      <c r="D2799" s="27" t="s">
        <v>28</v>
      </c>
      <c r="E2799" s="27">
        <v>124</v>
      </c>
    </row>
    <row r="2800" spans="1:5" x14ac:dyDescent="0.25">
      <c r="A2800" s="26">
        <v>35339</v>
      </c>
      <c r="B2800" s="49">
        <f t="shared" si="44"/>
        <v>1996</v>
      </c>
      <c r="C2800" s="27" t="s">
        <v>32</v>
      </c>
      <c r="D2800" s="27" t="s">
        <v>28</v>
      </c>
      <c r="E2800" s="27">
        <v>79</v>
      </c>
    </row>
    <row r="2801" spans="1:5" x14ac:dyDescent="0.25">
      <c r="A2801" s="26">
        <v>35339</v>
      </c>
      <c r="B2801" s="49">
        <f t="shared" si="44"/>
        <v>1996</v>
      </c>
      <c r="C2801" s="27" t="s">
        <v>34</v>
      </c>
      <c r="D2801" s="27" t="s">
        <v>28</v>
      </c>
      <c r="E2801" s="27">
        <v>83</v>
      </c>
    </row>
    <row r="2802" spans="1:5" x14ac:dyDescent="0.25">
      <c r="A2802" s="26">
        <v>35339</v>
      </c>
      <c r="B2802" s="49">
        <f t="shared" si="44"/>
        <v>1996</v>
      </c>
      <c r="C2802" s="27" t="s">
        <v>37</v>
      </c>
      <c r="D2802" s="27" t="s">
        <v>28</v>
      </c>
      <c r="E2802" s="27">
        <v>135</v>
      </c>
    </row>
    <row r="2803" spans="1:5" x14ac:dyDescent="0.25">
      <c r="A2803" s="26">
        <v>35339</v>
      </c>
      <c r="B2803" s="49">
        <f t="shared" si="44"/>
        <v>1996</v>
      </c>
      <c r="C2803" s="27" t="s">
        <v>27</v>
      </c>
      <c r="D2803" s="27" t="s">
        <v>28</v>
      </c>
      <c r="E2803" s="27">
        <v>45</v>
      </c>
    </row>
    <row r="2804" spans="1:5" x14ac:dyDescent="0.25">
      <c r="A2804" s="26">
        <v>35339</v>
      </c>
      <c r="B2804" s="49">
        <f t="shared" si="44"/>
        <v>1996</v>
      </c>
      <c r="C2804" s="27" t="s">
        <v>34</v>
      </c>
      <c r="D2804" s="27" t="s">
        <v>29</v>
      </c>
      <c r="E2804" s="27">
        <v>203</v>
      </c>
    </row>
    <row r="2805" spans="1:5" x14ac:dyDescent="0.25">
      <c r="A2805" s="26">
        <v>35339</v>
      </c>
      <c r="B2805" s="49">
        <f t="shared" si="44"/>
        <v>1996</v>
      </c>
      <c r="C2805" s="27" t="s">
        <v>35</v>
      </c>
      <c r="D2805" s="27" t="s">
        <v>29</v>
      </c>
      <c r="E2805" s="27">
        <v>184</v>
      </c>
    </row>
    <row r="2806" spans="1:5" x14ac:dyDescent="0.25">
      <c r="A2806" s="26">
        <v>35339</v>
      </c>
      <c r="B2806" s="49">
        <f t="shared" si="44"/>
        <v>1996</v>
      </c>
      <c r="C2806" s="27" t="s">
        <v>39</v>
      </c>
      <c r="D2806" s="27" t="s">
        <v>29</v>
      </c>
      <c r="E2806" s="27">
        <v>175</v>
      </c>
    </row>
    <row r="2807" spans="1:5" x14ac:dyDescent="0.25">
      <c r="A2807" s="26">
        <v>35339</v>
      </c>
      <c r="B2807" s="49">
        <f t="shared" si="44"/>
        <v>1996</v>
      </c>
      <c r="C2807" s="27" t="s">
        <v>37</v>
      </c>
      <c r="D2807" s="27" t="s">
        <v>29</v>
      </c>
      <c r="E2807" s="27">
        <v>169</v>
      </c>
    </row>
    <row r="2808" spans="1:5" x14ac:dyDescent="0.25">
      <c r="A2808" s="26">
        <v>35339</v>
      </c>
      <c r="B2808" s="49">
        <f t="shared" si="44"/>
        <v>1996</v>
      </c>
      <c r="C2808" s="27" t="s">
        <v>35</v>
      </c>
      <c r="D2808" s="27" t="s">
        <v>29</v>
      </c>
      <c r="E2808" s="27">
        <v>343</v>
      </c>
    </row>
    <row r="2809" spans="1:5" x14ac:dyDescent="0.25">
      <c r="A2809" s="26">
        <v>35339</v>
      </c>
      <c r="B2809" s="49">
        <f t="shared" si="44"/>
        <v>1996</v>
      </c>
      <c r="C2809" s="27" t="s">
        <v>34</v>
      </c>
      <c r="D2809" s="27" t="s">
        <v>29</v>
      </c>
      <c r="E2809" s="27">
        <v>315</v>
      </c>
    </row>
    <row r="2810" spans="1:5" x14ac:dyDescent="0.25">
      <c r="A2810" s="26">
        <v>35339</v>
      </c>
      <c r="B2810" s="49">
        <f t="shared" si="44"/>
        <v>1996</v>
      </c>
      <c r="C2810" s="27" t="s">
        <v>39</v>
      </c>
      <c r="D2810" s="27" t="s">
        <v>29</v>
      </c>
      <c r="E2810" s="27">
        <v>263</v>
      </c>
    </row>
    <row r="2811" spans="1:5" x14ac:dyDescent="0.25">
      <c r="A2811" s="26">
        <v>35339</v>
      </c>
      <c r="B2811" s="49">
        <f t="shared" si="44"/>
        <v>1996</v>
      </c>
      <c r="C2811" s="27" t="s">
        <v>35</v>
      </c>
      <c r="D2811" s="27" t="s">
        <v>29</v>
      </c>
      <c r="E2811" s="27">
        <v>257</v>
      </c>
    </row>
    <row r="2812" spans="1:5" x14ac:dyDescent="0.25">
      <c r="A2812" s="26">
        <v>35339</v>
      </c>
      <c r="B2812" s="49">
        <f t="shared" si="44"/>
        <v>1996</v>
      </c>
      <c r="C2812" s="27" t="s">
        <v>39</v>
      </c>
      <c r="D2812" s="27" t="s">
        <v>29</v>
      </c>
      <c r="E2812" s="27">
        <v>248</v>
      </c>
    </row>
    <row r="2813" spans="1:5" x14ac:dyDescent="0.25">
      <c r="A2813" s="26">
        <v>35339</v>
      </c>
      <c r="B2813" s="49">
        <f t="shared" si="44"/>
        <v>1996</v>
      </c>
      <c r="C2813" s="27" t="s">
        <v>32</v>
      </c>
      <c r="D2813" s="27" t="s">
        <v>29</v>
      </c>
      <c r="E2813" s="27">
        <v>96</v>
      </c>
    </row>
    <row r="2814" spans="1:5" x14ac:dyDescent="0.25">
      <c r="A2814" s="26">
        <v>35339</v>
      </c>
      <c r="B2814" s="49">
        <f t="shared" si="44"/>
        <v>1996</v>
      </c>
      <c r="C2814" s="27" t="s">
        <v>32</v>
      </c>
      <c r="D2814" s="27" t="s">
        <v>29</v>
      </c>
      <c r="E2814" s="27">
        <v>146</v>
      </c>
    </row>
    <row r="2815" spans="1:5" x14ac:dyDescent="0.25">
      <c r="A2815" s="26">
        <v>35339</v>
      </c>
      <c r="B2815" s="49">
        <f t="shared" si="44"/>
        <v>1996</v>
      </c>
      <c r="C2815" s="27" t="s">
        <v>37</v>
      </c>
      <c r="D2815" s="27" t="s">
        <v>29</v>
      </c>
      <c r="E2815" s="27">
        <v>131</v>
      </c>
    </row>
    <row r="2816" spans="1:5" x14ac:dyDescent="0.25">
      <c r="A2816" s="26">
        <v>35339</v>
      </c>
      <c r="B2816" s="49">
        <f t="shared" si="44"/>
        <v>1996</v>
      </c>
      <c r="C2816" s="27" t="s">
        <v>27</v>
      </c>
      <c r="D2816" s="27" t="s">
        <v>29</v>
      </c>
      <c r="E2816" s="27">
        <v>1221</v>
      </c>
    </row>
    <row r="2817" spans="1:5" x14ac:dyDescent="0.25">
      <c r="A2817" s="26">
        <v>35339</v>
      </c>
      <c r="B2817" s="49">
        <f t="shared" si="44"/>
        <v>1996</v>
      </c>
      <c r="C2817" s="27" t="s">
        <v>34</v>
      </c>
      <c r="D2817" s="27" t="s">
        <v>29</v>
      </c>
      <c r="E2817" s="27">
        <v>459</v>
      </c>
    </row>
    <row r="2818" spans="1:5" x14ac:dyDescent="0.25">
      <c r="A2818" s="26">
        <v>35339</v>
      </c>
      <c r="B2818" s="49">
        <f t="shared" si="44"/>
        <v>1996</v>
      </c>
      <c r="C2818" s="27" t="s">
        <v>27</v>
      </c>
      <c r="D2818" s="27" t="s">
        <v>29</v>
      </c>
      <c r="E2818" s="27">
        <v>417</v>
      </c>
    </row>
    <row r="2819" spans="1:5" x14ac:dyDescent="0.25">
      <c r="A2819" s="26">
        <v>35339</v>
      </c>
      <c r="B2819" s="49">
        <f t="shared" ref="B2819:B2882" si="45">YEAR(A2819)</f>
        <v>1996</v>
      </c>
      <c r="C2819" s="27" t="s">
        <v>32</v>
      </c>
      <c r="D2819" s="27" t="s">
        <v>29</v>
      </c>
      <c r="E2819" s="27">
        <v>394</v>
      </c>
    </row>
    <row r="2820" spans="1:5" x14ac:dyDescent="0.25">
      <c r="A2820" s="26">
        <v>35339</v>
      </c>
      <c r="B2820" s="49">
        <f t="shared" si="45"/>
        <v>1996</v>
      </c>
      <c r="C2820" s="27" t="s">
        <v>32</v>
      </c>
      <c r="D2820" s="27" t="s">
        <v>29</v>
      </c>
      <c r="E2820" s="27">
        <v>918</v>
      </c>
    </row>
    <row r="2821" spans="1:5" x14ac:dyDescent="0.25">
      <c r="A2821" s="26">
        <v>35339</v>
      </c>
      <c r="B2821" s="49">
        <f t="shared" si="45"/>
        <v>1996</v>
      </c>
      <c r="C2821" s="27" t="s">
        <v>37</v>
      </c>
      <c r="D2821" s="27" t="s">
        <v>29</v>
      </c>
      <c r="E2821" s="27">
        <v>907</v>
      </c>
    </row>
    <row r="2822" spans="1:5" x14ac:dyDescent="0.25">
      <c r="A2822" s="26">
        <v>35339</v>
      </c>
      <c r="B2822" s="49">
        <f t="shared" si="45"/>
        <v>1996</v>
      </c>
      <c r="C2822" s="27" t="s">
        <v>39</v>
      </c>
      <c r="D2822" s="27" t="s">
        <v>29</v>
      </c>
      <c r="E2822" s="27">
        <v>688</v>
      </c>
    </row>
    <row r="2823" spans="1:5" x14ac:dyDescent="0.25">
      <c r="A2823" s="26">
        <v>35339</v>
      </c>
      <c r="B2823" s="49">
        <f t="shared" si="45"/>
        <v>1996</v>
      </c>
      <c r="C2823" s="27" t="s">
        <v>37</v>
      </c>
      <c r="D2823" s="27" t="s">
        <v>29</v>
      </c>
      <c r="E2823" s="27">
        <v>637</v>
      </c>
    </row>
    <row r="2824" spans="1:5" x14ac:dyDescent="0.25">
      <c r="A2824" s="26">
        <v>35339</v>
      </c>
      <c r="B2824" s="49">
        <f t="shared" si="45"/>
        <v>1996</v>
      </c>
      <c r="C2824" s="27" t="s">
        <v>35</v>
      </c>
      <c r="D2824" s="27" t="s">
        <v>29</v>
      </c>
      <c r="E2824" s="27">
        <v>535</v>
      </c>
    </row>
    <row r="2825" spans="1:5" x14ac:dyDescent="0.25">
      <c r="A2825" s="26">
        <v>35339</v>
      </c>
      <c r="B2825" s="49">
        <f t="shared" si="45"/>
        <v>1996</v>
      </c>
      <c r="C2825" s="27" t="s">
        <v>34</v>
      </c>
      <c r="D2825" s="27" t="s">
        <v>29</v>
      </c>
      <c r="E2825" s="27">
        <v>525</v>
      </c>
    </row>
    <row r="2826" spans="1:5" x14ac:dyDescent="0.25">
      <c r="A2826" s="26">
        <v>35339</v>
      </c>
      <c r="B2826" s="49">
        <f t="shared" si="45"/>
        <v>1996</v>
      </c>
      <c r="C2826" s="27" t="s">
        <v>27</v>
      </c>
      <c r="D2826" s="27" t="s">
        <v>29</v>
      </c>
      <c r="E2826" s="27">
        <v>42</v>
      </c>
    </row>
    <row r="2827" spans="1:5" x14ac:dyDescent="0.25">
      <c r="A2827" s="26">
        <v>35339</v>
      </c>
      <c r="B2827" s="49">
        <f t="shared" si="45"/>
        <v>1996</v>
      </c>
      <c r="C2827" s="27" t="s">
        <v>27</v>
      </c>
      <c r="D2827" s="27" t="s">
        <v>29</v>
      </c>
      <c r="E2827" s="27">
        <v>54</v>
      </c>
    </row>
    <row r="2828" spans="1:5" x14ac:dyDescent="0.25">
      <c r="A2828" s="26">
        <v>35339</v>
      </c>
      <c r="B2828" s="49">
        <f t="shared" si="45"/>
        <v>1996</v>
      </c>
      <c r="C2828" s="27" t="s">
        <v>32</v>
      </c>
      <c r="D2828" s="27" t="s">
        <v>38</v>
      </c>
      <c r="E2828" s="27">
        <v>175</v>
      </c>
    </row>
    <row r="2829" spans="1:5" x14ac:dyDescent="0.25">
      <c r="A2829" s="26">
        <v>35339</v>
      </c>
      <c r="B2829" s="49">
        <f t="shared" si="45"/>
        <v>1996</v>
      </c>
      <c r="C2829" s="27" t="s">
        <v>39</v>
      </c>
      <c r="D2829" s="27" t="s">
        <v>38</v>
      </c>
      <c r="E2829" s="27">
        <v>158</v>
      </c>
    </row>
    <row r="2830" spans="1:5" x14ac:dyDescent="0.25">
      <c r="A2830" s="26">
        <v>35339</v>
      </c>
      <c r="B2830" s="49">
        <f t="shared" si="45"/>
        <v>1996</v>
      </c>
      <c r="C2830" s="27" t="s">
        <v>37</v>
      </c>
      <c r="D2830" s="27" t="s">
        <v>38</v>
      </c>
      <c r="E2830" s="27">
        <v>124</v>
      </c>
    </row>
    <row r="2831" spans="1:5" x14ac:dyDescent="0.25">
      <c r="A2831" s="26">
        <v>35339</v>
      </c>
      <c r="B2831" s="49">
        <f t="shared" si="45"/>
        <v>1996</v>
      </c>
      <c r="C2831" s="27" t="s">
        <v>35</v>
      </c>
      <c r="D2831" s="27" t="s">
        <v>38</v>
      </c>
      <c r="E2831" s="27">
        <v>131</v>
      </c>
    </row>
    <row r="2832" spans="1:5" x14ac:dyDescent="0.25">
      <c r="A2832" s="26">
        <v>35339</v>
      </c>
      <c r="B2832" s="49">
        <f t="shared" si="45"/>
        <v>1996</v>
      </c>
      <c r="C2832" s="27" t="s">
        <v>39</v>
      </c>
      <c r="D2832" s="27" t="s">
        <v>38</v>
      </c>
      <c r="E2832" s="27">
        <v>1238</v>
      </c>
    </row>
    <row r="2833" spans="1:5" x14ac:dyDescent="0.25">
      <c r="A2833" s="26">
        <v>35339</v>
      </c>
      <c r="B2833" s="49">
        <f t="shared" si="45"/>
        <v>1996</v>
      </c>
      <c r="C2833" s="27" t="s">
        <v>34</v>
      </c>
      <c r="D2833" s="27" t="s">
        <v>38</v>
      </c>
      <c r="E2833" s="27">
        <v>1019</v>
      </c>
    </row>
    <row r="2834" spans="1:5" x14ac:dyDescent="0.25">
      <c r="A2834" s="26">
        <v>35339</v>
      </c>
      <c r="B2834" s="49">
        <f t="shared" si="45"/>
        <v>1996</v>
      </c>
      <c r="C2834" s="27" t="s">
        <v>35</v>
      </c>
      <c r="D2834" s="27" t="s">
        <v>38</v>
      </c>
      <c r="E2834" s="27">
        <v>189</v>
      </c>
    </row>
    <row r="2835" spans="1:5" x14ac:dyDescent="0.25">
      <c r="A2835" s="26">
        <v>35339</v>
      </c>
      <c r="B2835" s="49">
        <f t="shared" si="45"/>
        <v>1996</v>
      </c>
      <c r="C2835" s="27" t="s">
        <v>37</v>
      </c>
      <c r="D2835" s="27" t="s">
        <v>38</v>
      </c>
      <c r="E2835" s="27">
        <v>225</v>
      </c>
    </row>
    <row r="2836" spans="1:5" x14ac:dyDescent="0.25">
      <c r="A2836" s="26">
        <v>35339</v>
      </c>
      <c r="B2836" s="49">
        <f t="shared" si="45"/>
        <v>1996</v>
      </c>
      <c r="C2836" s="27" t="s">
        <v>37</v>
      </c>
      <c r="D2836" s="27" t="s">
        <v>38</v>
      </c>
      <c r="E2836" s="27">
        <v>228</v>
      </c>
    </row>
    <row r="2837" spans="1:5" x14ac:dyDescent="0.25">
      <c r="A2837" s="26">
        <v>35339</v>
      </c>
      <c r="B2837" s="49">
        <f t="shared" si="45"/>
        <v>1996</v>
      </c>
      <c r="C2837" s="27" t="s">
        <v>32</v>
      </c>
      <c r="D2837" s="27" t="s">
        <v>38</v>
      </c>
      <c r="E2837" s="27">
        <v>88</v>
      </c>
    </row>
    <row r="2838" spans="1:5" x14ac:dyDescent="0.25">
      <c r="A2838" s="26">
        <v>35339</v>
      </c>
      <c r="B2838" s="49">
        <f t="shared" si="45"/>
        <v>1996</v>
      </c>
      <c r="C2838" s="27" t="s">
        <v>32</v>
      </c>
      <c r="D2838" s="27" t="s">
        <v>38</v>
      </c>
      <c r="E2838" s="27">
        <v>191</v>
      </c>
    </row>
    <row r="2839" spans="1:5" x14ac:dyDescent="0.25">
      <c r="A2839" s="26">
        <v>35339</v>
      </c>
      <c r="B2839" s="49">
        <f t="shared" si="45"/>
        <v>1996</v>
      </c>
      <c r="C2839" s="27" t="s">
        <v>34</v>
      </c>
      <c r="D2839" s="27" t="s">
        <v>38</v>
      </c>
      <c r="E2839" s="27">
        <v>713</v>
      </c>
    </row>
    <row r="2840" spans="1:5" x14ac:dyDescent="0.25">
      <c r="A2840" s="26">
        <v>35339</v>
      </c>
      <c r="B2840" s="49">
        <f t="shared" si="45"/>
        <v>1996</v>
      </c>
      <c r="C2840" s="27" t="s">
        <v>27</v>
      </c>
      <c r="D2840" s="27" t="s">
        <v>38</v>
      </c>
      <c r="E2840" s="27">
        <v>68</v>
      </c>
    </row>
    <row r="2841" spans="1:5" x14ac:dyDescent="0.25">
      <c r="A2841" s="26">
        <v>35339</v>
      </c>
      <c r="B2841" s="49">
        <f t="shared" si="45"/>
        <v>1996</v>
      </c>
      <c r="C2841" s="27" t="s">
        <v>39</v>
      </c>
      <c r="D2841" s="27" t="s">
        <v>38</v>
      </c>
      <c r="E2841" s="27">
        <v>612</v>
      </c>
    </row>
    <row r="2842" spans="1:5" x14ac:dyDescent="0.25">
      <c r="A2842" s="26">
        <v>35339</v>
      </c>
      <c r="B2842" s="49">
        <f t="shared" si="45"/>
        <v>1996</v>
      </c>
      <c r="C2842" s="27" t="s">
        <v>27</v>
      </c>
      <c r="D2842" s="27" t="s">
        <v>38</v>
      </c>
      <c r="E2842" s="27">
        <v>464</v>
      </c>
    </row>
    <row r="2843" spans="1:5" x14ac:dyDescent="0.25">
      <c r="A2843" s="26">
        <v>35339</v>
      </c>
      <c r="B2843" s="49">
        <f t="shared" si="45"/>
        <v>1996</v>
      </c>
      <c r="C2843" s="27" t="s">
        <v>34</v>
      </c>
      <c r="D2843" s="27" t="s">
        <v>38</v>
      </c>
      <c r="E2843" s="27">
        <v>456</v>
      </c>
    </row>
    <row r="2844" spans="1:5" x14ac:dyDescent="0.25">
      <c r="A2844" s="26">
        <v>35339</v>
      </c>
      <c r="B2844" s="49">
        <f t="shared" si="45"/>
        <v>1996</v>
      </c>
      <c r="C2844" s="27" t="s">
        <v>32</v>
      </c>
      <c r="D2844" s="27" t="s">
        <v>38</v>
      </c>
      <c r="E2844" s="27">
        <v>1536</v>
      </c>
    </row>
    <row r="2845" spans="1:5" x14ac:dyDescent="0.25">
      <c r="A2845" s="26">
        <v>35339</v>
      </c>
      <c r="B2845" s="49">
        <f t="shared" si="45"/>
        <v>1996</v>
      </c>
      <c r="C2845" s="27" t="s">
        <v>39</v>
      </c>
      <c r="D2845" s="27" t="s">
        <v>38</v>
      </c>
      <c r="E2845" s="27">
        <v>180</v>
      </c>
    </row>
    <row r="2846" spans="1:5" x14ac:dyDescent="0.25">
      <c r="A2846" s="26">
        <v>35339</v>
      </c>
      <c r="B2846" s="49">
        <f t="shared" si="45"/>
        <v>1996</v>
      </c>
      <c r="C2846" s="27" t="s">
        <v>34</v>
      </c>
      <c r="D2846" s="27" t="s">
        <v>38</v>
      </c>
      <c r="E2846" s="27">
        <v>405</v>
      </c>
    </row>
    <row r="2847" spans="1:5" x14ac:dyDescent="0.25">
      <c r="A2847" s="26">
        <v>35339</v>
      </c>
      <c r="B2847" s="49">
        <f t="shared" si="45"/>
        <v>1996</v>
      </c>
      <c r="C2847" s="27" t="s">
        <v>35</v>
      </c>
      <c r="D2847" s="27" t="s">
        <v>38</v>
      </c>
      <c r="E2847" s="27">
        <v>50</v>
      </c>
    </row>
    <row r="2848" spans="1:5" x14ac:dyDescent="0.25">
      <c r="A2848" s="26">
        <v>35339</v>
      </c>
      <c r="B2848" s="49">
        <f t="shared" si="45"/>
        <v>1996</v>
      </c>
      <c r="C2848" s="27" t="s">
        <v>27</v>
      </c>
      <c r="D2848" s="27" t="s">
        <v>38</v>
      </c>
      <c r="E2848" s="27">
        <v>46</v>
      </c>
    </row>
    <row r="2849" spans="1:5" x14ac:dyDescent="0.25">
      <c r="A2849" s="26">
        <v>35339</v>
      </c>
      <c r="B2849" s="49">
        <f t="shared" si="45"/>
        <v>1996</v>
      </c>
      <c r="C2849" s="27" t="s">
        <v>27</v>
      </c>
      <c r="D2849" s="27" t="s">
        <v>38</v>
      </c>
      <c r="E2849" s="27">
        <v>44</v>
      </c>
    </row>
    <row r="2850" spans="1:5" x14ac:dyDescent="0.25">
      <c r="A2850" s="26">
        <v>35339</v>
      </c>
      <c r="B2850" s="49">
        <f t="shared" si="45"/>
        <v>1996</v>
      </c>
      <c r="C2850" s="27" t="s">
        <v>35</v>
      </c>
      <c r="D2850" s="27" t="s">
        <v>38</v>
      </c>
      <c r="E2850" s="27">
        <v>34</v>
      </c>
    </row>
    <row r="2851" spans="1:5" x14ac:dyDescent="0.25">
      <c r="A2851" s="26">
        <v>35339</v>
      </c>
      <c r="B2851" s="49">
        <f t="shared" si="45"/>
        <v>1996</v>
      </c>
      <c r="C2851" s="27" t="s">
        <v>37</v>
      </c>
      <c r="D2851" s="27" t="s">
        <v>38</v>
      </c>
      <c r="E2851" s="27">
        <v>61</v>
      </c>
    </row>
    <row r="2852" spans="1:5" x14ac:dyDescent="0.25">
      <c r="A2852" s="26">
        <v>35339</v>
      </c>
      <c r="B2852" s="49">
        <f t="shared" si="45"/>
        <v>1996</v>
      </c>
      <c r="C2852" s="27" t="s">
        <v>32</v>
      </c>
      <c r="D2852" s="27" t="s">
        <v>30</v>
      </c>
      <c r="E2852" s="27">
        <v>193</v>
      </c>
    </row>
    <row r="2853" spans="1:5" x14ac:dyDescent="0.25">
      <c r="A2853" s="26">
        <v>35339</v>
      </c>
      <c r="B2853" s="49">
        <f t="shared" si="45"/>
        <v>1996</v>
      </c>
      <c r="C2853" s="27" t="s">
        <v>27</v>
      </c>
      <c r="D2853" s="27" t="s">
        <v>30</v>
      </c>
      <c r="E2853" s="27">
        <v>1337</v>
      </c>
    </row>
    <row r="2854" spans="1:5" x14ac:dyDescent="0.25">
      <c r="A2854" s="26">
        <v>35339</v>
      </c>
      <c r="B2854" s="49">
        <f t="shared" si="45"/>
        <v>1996</v>
      </c>
      <c r="C2854" s="27" t="s">
        <v>27</v>
      </c>
      <c r="D2854" s="27" t="s">
        <v>30</v>
      </c>
      <c r="E2854" s="27">
        <v>1518</v>
      </c>
    </row>
    <row r="2855" spans="1:5" x14ac:dyDescent="0.25">
      <c r="A2855" s="26">
        <v>35339</v>
      </c>
      <c r="B2855" s="49">
        <f t="shared" si="45"/>
        <v>1996</v>
      </c>
      <c r="C2855" s="27" t="s">
        <v>32</v>
      </c>
      <c r="D2855" s="27" t="s">
        <v>30</v>
      </c>
      <c r="E2855" s="27">
        <v>330</v>
      </c>
    </row>
    <row r="2856" spans="1:5" x14ac:dyDescent="0.25">
      <c r="A2856" s="26">
        <v>35339</v>
      </c>
      <c r="B2856" s="49">
        <f t="shared" si="45"/>
        <v>1996</v>
      </c>
      <c r="C2856" s="27" t="s">
        <v>27</v>
      </c>
      <c r="D2856" s="27" t="s">
        <v>30</v>
      </c>
      <c r="E2856" s="27">
        <v>68</v>
      </c>
    </row>
    <row r="2857" spans="1:5" x14ac:dyDescent="0.25">
      <c r="A2857" s="26">
        <v>35339</v>
      </c>
      <c r="B2857" s="49">
        <f t="shared" si="45"/>
        <v>1996</v>
      </c>
      <c r="C2857" s="27" t="s">
        <v>27</v>
      </c>
      <c r="D2857" s="27" t="s">
        <v>30</v>
      </c>
      <c r="E2857" s="27">
        <v>99</v>
      </c>
    </row>
    <row r="2858" spans="1:5" x14ac:dyDescent="0.25">
      <c r="A2858" s="26">
        <v>35339</v>
      </c>
      <c r="B2858" s="49">
        <f t="shared" si="45"/>
        <v>1996</v>
      </c>
      <c r="C2858" s="27" t="s">
        <v>27</v>
      </c>
      <c r="D2858" s="27" t="s">
        <v>30</v>
      </c>
      <c r="E2858" s="27">
        <v>88</v>
      </c>
    </row>
    <row r="2859" spans="1:5" x14ac:dyDescent="0.25">
      <c r="A2859" s="26">
        <v>35339</v>
      </c>
      <c r="B2859" s="49">
        <f t="shared" si="45"/>
        <v>1996</v>
      </c>
      <c r="C2859" s="27" t="s">
        <v>32</v>
      </c>
      <c r="D2859" s="27" t="s">
        <v>30</v>
      </c>
      <c r="E2859" s="27">
        <v>158</v>
      </c>
    </row>
    <row r="2860" spans="1:5" x14ac:dyDescent="0.25">
      <c r="A2860" s="26">
        <v>35339</v>
      </c>
      <c r="B2860" s="49">
        <f t="shared" si="45"/>
        <v>1996</v>
      </c>
      <c r="C2860" s="27" t="s">
        <v>32</v>
      </c>
      <c r="D2860" s="27" t="s">
        <v>30</v>
      </c>
      <c r="E2860" s="27">
        <v>140</v>
      </c>
    </row>
    <row r="2861" spans="1:5" x14ac:dyDescent="0.25">
      <c r="A2861" s="26">
        <v>35339</v>
      </c>
      <c r="B2861" s="49">
        <f t="shared" si="45"/>
        <v>1996</v>
      </c>
      <c r="C2861" s="27" t="s">
        <v>32</v>
      </c>
      <c r="D2861" s="27" t="s">
        <v>30</v>
      </c>
      <c r="E2861" s="27">
        <v>61</v>
      </c>
    </row>
    <row r="2862" spans="1:5" x14ac:dyDescent="0.25">
      <c r="A2862" s="26">
        <v>35339</v>
      </c>
      <c r="B2862" s="49">
        <f t="shared" si="45"/>
        <v>1996</v>
      </c>
      <c r="C2862" s="27" t="s">
        <v>32</v>
      </c>
      <c r="D2862" s="27" t="s">
        <v>30</v>
      </c>
      <c r="E2862" s="27">
        <v>56</v>
      </c>
    </row>
    <row r="2863" spans="1:5" x14ac:dyDescent="0.25">
      <c r="A2863" s="26">
        <v>35339</v>
      </c>
      <c r="B2863" s="49">
        <f t="shared" si="45"/>
        <v>1996</v>
      </c>
      <c r="C2863" s="27" t="s">
        <v>27</v>
      </c>
      <c r="D2863" s="27" t="s">
        <v>30</v>
      </c>
      <c r="E2863" s="27">
        <v>18</v>
      </c>
    </row>
    <row r="2864" spans="1:5" x14ac:dyDescent="0.25">
      <c r="A2864" s="26">
        <v>35339</v>
      </c>
      <c r="B2864" s="49">
        <f t="shared" si="45"/>
        <v>1996</v>
      </c>
      <c r="C2864" s="27" t="s">
        <v>39</v>
      </c>
      <c r="D2864" s="27" t="s">
        <v>31</v>
      </c>
      <c r="E2864" s="27">
        <v>473</v>
      </c>
    </row>
    <row r="2865" spans="1:5" x14ac:dyDescent="0.25">
      <c r="A2865" s="26">
        <v>35339</v>
      </c>
      <c r="B2865" s="49">
        <f t="shared" si="45"/>
        <v>1996</v>
      </c>
      <c r="C2865" s="27" t="s">
        <v>27</v>
      </c>
      <c r="D2865" s="27" t="s">
        <v>31</v>
      </c>
      <c r="E2865" s="27">
        <v>88</v>
      </c>
    </row>
    <row r="2866" spans="1:5" x14ac:dyDescent="0.25">
      <c r="A2866" s="26">
        <v>35339</v>
      </c>
      <c r="B2866" s="49">
        <f t="shared" si="45"/>
        <v>1996</v>
      </c>
      <c r="C2866" s="27" t="s">
        <v>35</v>
      </c>
      <c r="D2866" s="27" t="s">
        <v>31</v>
      </c>
      <c r="E2866" s="27">
        <v>79</v>
      </c>
    </row>
    <row r="2867" spans="1:5" x14ac:dyDescent="0.25">
      <c r="A2867" s="26">
        <v>35339</v>
      </c>
      <c r="B2867" s="49">
        <f t="shared" si="45"/>
        <v>1996</v>
      </c>
      <c r="C2867" s="27" t="s">
        <v>34</v>
      </c>
      <c r="D2867" s="27" t="s">
        <v>31</v>
      </c>
      <c r="E2867" s="27">
        <v>184</v>
      </c>
    </row>
    <row r="2868" spans="1:5" x14ac:dyDescent="0.25">
      <c r="A2868" s="26">
        <v>35339</v>
      </c>
      <c r="B2868" s="49">
        <f t="shared" si="45"/>
        <v>1996</v>
      </c>
      <c r="C2868" s="27" t="s">
        <v>39</v>
      </c>
      <c r="D2868" s="27" t="s">
        <v>31</v>
      </c>
      <c r="E2868" s="27">
        <v>245</v>
      </c>
    </row>
    <row r="2869" spans="1:5" x14ac:dyDescent="0.25">
      <c r="A2869" s="26">
        <v>35339</v>
      </c>
      <c r="B2869" s="49">
        <f t="shared" si="45"/>
        <v>1996</v>
      </c>
      <c r="C2869" s="27" t="s">
        <v>37</v>
      </c>
      <c r="D2869" s="27" t="s">
        <v>31</v>
      </c>
      <c r="E2869" s="27">
        <v>582</v>
      </c>
    </row>
    <row r="2870" spans="1:5" x14ac:dyDescent="0.25">
      <c r="A2870" s="26">
        <v>35339</v>
      </c>
      <c r="B2870" s="49">
        <f t="shared" si="45"/>
        <v>1996</v>
      </c>
      <c r="C2870" s="27" t="s">
        <v>27</v>
      </c>
      <c r="D2870" s="27" t="s">
        <v>31</v>
      </c>
      <c r="E2870" s="27">
        <v>306</v>
      </c>
    </row>
    <row r="2871" spans="1:5" x14ac:dyDescent="0.25">
      <c r="A2871" s="26">
        <v>35339</v>
      </c>
      <c r="B2871" s="49">
        <f t="shared" si="45"/>
        <v>1996</v>
      </c>
      <c r="C2871" s="27" t="s">
        <v>37</v>
      </c>
      <c r="D2871" s="27" t="s">
        <v>31</v>
      </c>
      <c r="E2871" s="27">
        <v>149</v>
      </c>
    </row>
    <row r="2872" spans="1:5" x14ac:dyDescent="0.25">
      <c r="A2872" s="26">
        <v>35339</v>
      </c>
      <c r="B2872" s="49">
        <f t="shared" si="45"/>
        <v>1996</v>
      </c>
      <c r="C2872" s="27" t="s">
        <v>37</v>
      </c>
      <c r="D2872" s="27" t="s">
        <v>31</v>
      </c>
      <c r="E2872" s="27">
        <v>146</v>
      </c>
    </row>
    <row r="2873" spans="1:5" x14ac:dyDescent="0.25">
      <c r="A2873" s="26">
        <v>35339</v>
      </c>
      <c r="B2873" s="49">
        <f t="shared" si="45"/>
        <v>1996</v>
      </c>
      <c r="C2873" s="27" t="s">
        <v>27</v>
      </c>
      <c r="D2873" s="27" t="s">
        <v>31</v>
      </c>
      <c r="E2873" s="27">
        <v>158</v>
      </c>
    </row>
    <row r="2874" spans="1:5" x14ac:dyDescent="0.25">
      <c r="A2874" s="26">
        <v>35339</v>
      </c>
      <c r="B2874" s="49">
        <f t="shared" si="45"/>
        <v>1996</v>
      </c>
      <c r="C2874" s="27" t="s">
        <v>32</v>
      </c>
      <c r="D2874" s="27" t="s">
        <v>31</v>
      </c>
      <c r="E2874" s="27">
        <v>333</v>
      </c>
    </row>
    <row r="2875" spans="1:5" x14ac:dyDescent="0.25">
      <c r="A2875" s="26">
        <v>35339</v>
      </c>
      <c r="B2875" s="49">
        <f t="shared" si="45"/>
        <v>1996</v>
      </c>
      <c r="C2875" s="27" t="s">
        <v>35</v>
      </c>
      <c r="D2875" s="27" t="s">
        <v>31</v>
      </c>
      <c r="E2875" s="27">
        <v>144</v>
      </c>
    </row>
    <row r="2876" spans="1:5" x14ac:dyDescent="0.25">
      <c r="A2876" s="26">
        <v>35339</v>
      </c>
      <c r="B2876" s="49">
        <f t="shared" si="45"/>
        <v>1996</v>
      </c>
      <c r="C2876" s="27" t="s">
        <v>32</v>
      </c>
      <c r="D2876" s="27" t="s">
        <v>31</v>
      </c>
      <c r="E2876" s="27">
        <v>338</v>
      </c>
    </row>
    <row r="2877" spans="1:5" x14ac:dyDescent="0.25">
      <c r="A2877" s="26">
        <v>35339</v>
      </c>
      <c r="B2877" s="49">
        <f t="shared" si="45"/>
        <v>1996</v>
      </c>
      <c r="C2877" s="27" t="s">
        <v>35</v>
      </c>
      <c r="D2877" s="27" t="s">
        <v>31</v>
      </c>
      <c r="E2877" s="27">
        <v>113</v>
      </c>
    </row>
    <row r="2878" spans="1:5" x14ac:dyDescent="0.25">
      <c r="A2878" s="26">
        <v>35339</v>
      </c>
      <c r="B2878" s="49">
        <f t="shared" si="45"/>
        <v>1996</v>
      </c>
      <c r="C2878" s="27" t="s">
        <v>34</v>
      </c>
      <c r="D2878" s="27" t="s">
        <v>31</v>
      </c>
      <c r="E2878" s="27">
        <v>426</v>
      </c>
    </row>
    <row r="2879" spans="1:5" x14ac:dyDescent="0.25">
      <c r="A2879" s="26">
        <v>35339</v>
      </c>
      <c r="B2879" s="49">
        <f t="shared" si="45"/>
        <v>1996</v>
      </c>
      <c r="C2879" s="27" t="s">
        <v>37</v>
      </c>
      <c r="D2879" s="27" t="s">
        <v>31</v>
      </c>
      <c r="E2879" s="27">
        <v>368</v>
      </c>
    </row>
    <row r="2880" spans="1:5" x14ac:dyDescent="0.25">
      <c r="A2880" s="26">
        <v>35339</v>
      </c>
      <c r="B2880" s="49">
        <f t="shared" si="45"/>
        <v>1996</v>
      </c>
      <c r="C2880" s="27" t="s">
        <v>39</v>
      </c>
      <c r="D2880" s="27" t="s">
        <v>31</v>
      </c>
      <c r="E2880" s="27">
        <v>263</v>
      </c>
    </row>
    <row r="2881" spans="1:5" x14ac:dyDescent="0.25">
      <c r="A2881" s="26">
        <v>35339</v>
      </c>
      <c r="B2881" s="49">
        <f t="shared" si="45"/>
        <v>1996</v>
      </c>
      <c r="C2881" s="27" t="s">
        <v>34</v>
      </c>
      <c r="D2881" s="27" t="s">
        <v>31</v>
      </c>
      <c r="E2881" s="27">
        <v>263</v>
      </c>
    </row>
    <row r="2882" spans="1:5" x14ac:dyDescent="0.25">
      <c r="A2882" s="26">
        <v>35339</v>
      </c>
      <c r="B2882" s="49">
        <f t="shared" si="45"/>
        <v>1996</v>
      </c>
      <c r="C2882" s="27" t="s">
        <v>27</v>
      </c>
      <c r="D2882" s="27" t="s">
        <v>31</v>
      </c>
      <c r="E2882" s="27">
        <v>259</v>
      </c>
    </row>
    <row r="2883" spans="1:5" x14ac:dyDescent="0.25">
      <c r="A2883" s="26">
        <v>35339</v>
      </c>
      <c r="B2883" s="49">
        <f t="shared" ref="B2883:B2946" si="46">YEAR(A2883)</f>
        <v>1996</v>
      </c>
      <c r="C2883" s="27" t="s">
        <v>39</v>
      </c>
      <c r="D2883" s="27" t="s">
        <v>31</v>
      </c>
      <c r="E2883" s="27">
        <v>985</v>
      </c>
    </row>
    <row r="2884" spans="1:5" x14ac:dyDescent="0.25">
      <c r="A2884" s="26">
        <v>35339</v>
      </c>
      <c r="B2884" s="49">
        <f t="shared" si="46"/>
        <v>1996</v>
      </c>
      <c r="C2884" s="27" t="s">
        <v>32</v>
      </c>
      <c r="D2884" s="27" t="s">
        <v>31</v>
      </c>
      <c r="E2884" s="27">
        <v>769</v>
      </c>
    </row>
    <row r="2885" spans="1:5" x14ac:dyDescent="0.25">
      <c r="A2885" s="26">
        <v>35339</v>
      </c>
      <c r="B2885" s="49">
        <f t="shared" si="46"/>
        <v>1996</v>
      </c>
      <c r="C2885" s="27" t="s">
        <v>34</v>
      </c>
      <c r="D2885" s="27" t="s">
        <v>31</v>
      </c>
      <c r="E2885" s="27">
        <v>727</v>
      </c>
    </row>
    <row r="2886" spans="1:5" x14ac:dyDescent="0.25">
      <c r="A2886" s="26">
        <v>35339</v>
      </c>
      <c r="B2886" s="49">
        <f t="shared" si="46"/>
        <v>1996</v>
      </c>
      <c r="C2886" s="27" t="s">
        <v>32</v>
      </c>
      <c r="D2886" s="27" t="s">
        <v>31</v>
      </c>
      <c r="E2886" s="27">
        <v>1005</v>
      </c>
    </row>
    <row r="2887" spans="1:5" x14ac:dyDescent="0.25">
      <c r="A2887" s="26">
        <v>35339</v>
      </c>
      <c r="B2887" s="49">
        <f t="shared" si="46"/>
        <v>1996</v>
      </c>
      <c r="C2887" s="27" t="s">
        <v>35</v>
      </c>
      <c r="D2887" s="27" t="s">
        <v>31</v>
      </c>
      <c r="E2887" s="27">
        <v>39</v>
      </c>
    </row>
    <row r="2888" spans="1:5" x14ac:dyDescent="0.25">
      <c r="A2888" s="26">
        <v>35339</v>
      </c>
      <c r="B2888" s="49">
        <f t="shared" si="46"/>
        <v>1996</v>
      </c>
      <c r="C2888" s="27" t="s">
        <v>34</v>
      </c>
      <c r="D2888" s="27" t="s">
        <v>33</v>
      </c>
      <c r="E2888" s="27">
        <v>731</v>
      </c>
    </row>
    <row r="2889" spans="1:5" x14ac:dyDescent="0.25">
      <c r="A2889" s="26">
        <v>35339</v>
      </c>
      <c r="B2889" s="49">
        <f t="shared" si="46"/>
        <v>1996</v>
      </c>
      <c r="C2889" s="27" t="s">
        <v>34</v>
      </c>
      <c r="D2889" s="27" t="s">
        <v>33</v>
      </c>
      <c r="E2889" s="27">
        <v>81</v>
      </c>
    </row>
    <row r="2890" spans="1:5" x14ac:dyDescent="0.25">
      <c r="A2890" s="26">
        <v>35339</v>
      </c>
      <c r="B2890" s="49">
        <f t="shared" si="46"/>
        <v>1996</v>
      </c>
      <c r="C2890" s="27" t="s">
        <v>37</v>
      </c>
      <c r="D2890" s="27" t="s">
        <v>33</v>
      </c>
      <c r="E2890" s="27">
        <v>90</v>
      </c>
    </row>
    <row r="2891" spans="1:5" x14ac:dyDescent="0.25">
      <c r="A2891" s="26">
        <v>35339</v>
      </c>
      <c r="B2891" s="49">
        <f t="shared" si="46"/>
        <v>1996</v>
      </c>
      <c r="C2891" s="27" t="s">
        <v>34</v>
      </c>
      <c r="D2891" s="27" t="s">
        <v>33</v>
      </c>
      <c r="E2891" s="27">
        <v>104</v>
      </c>
    </row>
    <row r="2892" spans="1:5" x14ac:dyDescent="0.25">
      <c r="A2892" s="26">
        <v>35339</v>
      </c>
      <c r="B2892" s="49">
        <f t="shared" si="46"/>
        <v>1996</v>
      </c>
      <c r="C2892" s="27" t="s">
        <v>35</v>
      </c>
      <c r="D2892" s="27" t="s">
        <v>33</v>
      </c>
      <c r="E2892" s="27">
        <v>123</v>
      </c>
    </row>
    <row r="2893" spans="1:5" x14ac:dyDescent="0.25">
      <c r="A2893" s="26">
        <v>35339</v>
      </c>
      <c r="B2893" s="49">
        <f t="shared" si="46"/>
        <v>1996</v>
      </c>
      <c r="C2893" s="27" t="s">
        <v>37</v>
      </c>
      <c r="D2893" s="27" t="s">
        <v>33</v>
      </c>
      <c r="E2893" s="27">
        <v>123</v>
      </c>
    </row>
    <row r="2894" spans="1:5" x14ac:dyDescent="0.25">
      <c r="A2894" s="26">
        <v>35339</v>
      </c>
      <c r="B2894" s="49">
        <f t="shared" si="46"/>
        <v>1996</v>
      </c>
      <c r="C2894" s="27" t="s">
        <v>35</v>
      </c>
      <c r="D2894" s="27" t="s">
        <v>33</v>
      </c>
      <c r="E2894" s="27">
        <v>158</v>
      </c>
    </row>
    <row r="2895" spans="1:5" x14ac:dyDescent="0.25">
      <c r="A2895" s="26">
        <v>35339</v>
      </c>
      <c r="B2895" s="49">
        <f t="shared" si="46"/>
        <v>1996</v>
      </c>
      <c r="C2895" s="27" t="s">
        <v>39</v>
      </c>
      <c r="D2895" s="27" t="s">
        <v>33</v>
      </c>
      <c r="E2895" s="27">
        <v>158</v>
      </c>
    </row>
    <row r="2896" spans="1:5" x14ac:dyDescent="0.25">
      <c r="A2896" s="26">
        <v>35339</v>
      </c>
      <c r="B2896" s="49">
        <f t="shared" si="46"/>
        <v>1996</v>
      </c>
      <c r="C2896" s="27" t="s">
        <v>35</v>
      </c>
      <c r="D2896" s="27" t="s">
        <v>33</v>
      </c>
      <c r="E2896" s="27">
        <v>185</v>
      </c>
    </row>
    <row r="2897" spans="1:5" x14ac:dyDescent="0.25">
      <c r="A2897" s="26">
        <v>35339</v>
      </c>
      <c r="B2897" s="49">
        <f t="shared" si="46"/>
        <v>1996</v>
      </c>
      <c r="C2897" s="27" t="s">
        <v>27</v>
      </c>
      <c r="D2897" s="27" t="s">
        <v>33</v>
      </c>
      <c r="E2897" s="27">
        <v>193</v>
      </c>
    </row>
    <row r="2898" spans="1:5" x14ac:dyDescent="0.25">
      <c r="A2898" s="26">
        <v>35339</v>
      </c>
      <c r="B2898" s="49">
        <f t="shared" si="46"/>
        <v>1996</v>
      </c>
      <c r="C2898" s="27" t="s">
        <v>39</v>
      </c>
      <c r="D2898" s="27" t="s">
        <v>33</v>
      </c>
      <c r="E2898" s="27">
        <v>221</v>
      </c>
    </row>
    <row r="2899" spans="1:5" x14ac:dyDescent="0.25">
      <c r="A2899" s="26">
        <v>35339</v>
      </c>
      <c r="B2899" s="49">
        <f t="shared" si="46"/>
        <v>1996</v>
      </c>
      <c r="C2899" s="27" t="s">
        <v>39</v>
      </c>
      <c r="D2899" s="27" t="s">
        <v>33</v>
      </c>
      <c r="E2899" s="27">
        <v>248</v>
      </c>
    </row>
    <row r="2900" spans="1:5" x14ac:dyDescent="0.25">
      <c r="A2900" s="26">
        <v>35339</v>
      </c>
      <c r="B2900" s="49">
        <f t="shared" si="46"/>
        <v>1996</v>
      </c>
      <c r="C2900" s="27" t="s">
        <v>37</v>
      </c>
      <c r="D2900" s="27" t="s">
        <v>33</v>
      </c>
      <c r="E2900" s="27">
        <v>354</v>
      </c>
    </row>
    <row r="2901" spans="1:5" x14ac:dyDescent="0.25">
      <c r="A2901" s="26">
        <v>35339</v>
      </c>
      <c r="B2901" s="49">
        <f t="shared" si="46"/>
        <v>1996</v>
      </c>
      <c r="C2901" s="27" t="s">
        <v>32</v>
      </c>
      <c r="D2901" s="27" t="s">
        <v>33</v>
      </c>
      <c r="E2901" s="27">
        <v>426</v>
      </c>
    </row>
    <row r="2902" spans="1:5" x14ac:dyDescent="0.25">
      <c r="A2902" s="26">
        <v>35339</v>
      </c>
      <c r="B2902" s="49">
        <f t="shared" si="46"/>
        <v>1996</v>
      </c>
      <c r="C2902" s="27" t="s">
        <v>34</v>
      </c>
      <c r="D2902" s="27" t="s">
        <v>33</v>
      </c>
      <c r="E2902" s="27">
        <v>765</v>
      </c>
    </row>
    <row r="2903" spans="1:5" x14ac:dyDescent="0.25">
      <c r="A2903" s="26">
        <v>35339</v>
      </c>
      <c r="B2903" s="49">
        <f t="shared" si="46"/>
        <v>1996</v>
      </c>
      <c r="C2903" s="27" t="s">
        <v>32</v>
      </c>
      <c r="D2903" s="27" t="s">
        <v>33</v>
      </c>
      <c r="E2903" s="27">
        <v>1189</v>
      </c>
    </row>
    <row r="2904" spans="1:5" x14ac:dyDescent="0.25">
      <c r="A2904" s="26">
        <v>35339</v>
      </c>
      <c r="B2904" s="49">
        <f t="shared" si="46"/>
        <v>1996</v>
      </c>
      <c r="C2904" s="27" t="s">
        <v>32</v>
      </c>
      <c r="D2904" s="27" t="s">
        <v>33</v>
      </c>
      <c r="E2904" s="27">
        <v>1327</v>
      </c>
    </row>
    <row r="2905" spans="1:5" x14ac:dyDescent="0.25">
      <c r="A2905" s="26">
        <v>35339</v>
      </c>
      <c r="B2905" s="49">
        <f t="shared" si="46"/>
        <v>1996</v>
      </c>
      <c r="C2905" s="27" t="s">
        <v>37</v>
      </c>
      <c r="D2905" s="27" t="s">
        <v>33</v>
      </c>
      <c r="E2905" s="27">
        <v>3392</v>
      </c>
    </row>
    <row r="2906" spans="1:5" x14ac:dyDescent="0.25">
      <c r="A2906" s="26">
        <v>35339</v>
      </c>
      <c r="B2906" s="49">
        <f t="shared" si="46"/>
        <v>1996</v>
      </c>
      <c r="C2906" s="27" t="s">
        <v>32</v>
      </c>
      <c r="D2906" s="27" t="s">
        <v>33</v>
      </c>
      <c r="E2906" s="27">
        <v>387</v>
      </c>
    </row>
    <row r="2907" spans="1:5" x14ac:dyDescent="0.25">
      <c r="A2907" s="26">
        <v>35339</v>
      </c>
      <c r="B2907" s="49">
        <f t="shared" si="46"/>
        <v>1996</v>
      </c>
      <c r="C2907" s="27" t="s">
        <v>27</v>
      </c>
      <c r="D2907" s="27" t="s">
        <v>33</v>
      </c>
      <c r="E2907" s="27">
        <v>34</v>
      </c>
    </row>
    <row r="2908" spans="1:5" x14ac:dyDescent="0.25">
      <c r="A2908" s="26">
        <v>35339</v>
      </c>
      <c r="B2908" s="49">
        <f t="shared" si="46"/>
        <v>1996</v>
      </c>
      <c r="C2908" s="27" t="s">
        <v>27</v>
      </c>
      <c r="D2908" s="27" t="s">
        <v>33</v>
      </c>
      <c r="E2908" s="27">
        <v>26</v>
      </c>
    </row>
    <row r="2909" spans="1:5" x14ac:dyDescent="0.25">
      <c r="A2909" s="26">
        <v>35339</v>
      </c>
      <c r="B2909" s="49">
        <f t="shared" si="46"/>
        <v>1996</v>
      </c>
      <c r="C2909" s="27" t="s">
        <v>27</v>
      </c>
      <c r="D2909" s="27" t="s">
        <v>33</v>
      </c>
      <c r="E2909" s="27">
        <v>36</v>
      </c>
    </row>
    <row r="2910" spans="1:5" x14ac:dyDescent="0.25">
      <c r="A2910" s="26">
        <v>35339</v>
      </c>
      <c r="B2910" s="49">
        <f t="shared" si="46"/>
        <v>1996</v>
      </c>
      <c r="C2910" s="27" t="s">
        <v>35</v>
      </c>
      <c r="D2910" s="27" t="s">
        <v>33</v>
      </c>
      <c r="E2910" s="27">
        <v>61</v>
      </c>
    </row>
    <row r="2911" spans="1:5" x14ac:dyDescent="0.25">
      <c r="A2911" s="26">
        <v>35339</v>
      </c>
      <c r="B2911" s="49">
        <f t="shared" si="46"/>
        <v>1996</v>
      </c>
      <c r="C2911" s="27" t="s">
        <v>39</v>
      </c>
      <c r="D2911" s="27" t="s">
        <v>33</v>
      </c>
      <c r="E2911" s="27">
        <v>44</v>
      </c>
    </row>
    <row r="2912" spans="1:5" x14ac:dyDescent="0.25">
      <c r="A2912" s="26">
        <v>35339</v>
      </c>
      <c r="B2912" s="49">
        <f t="shared" si="46"/>
        <v>1996</v>
      </c>
      <c r="C2912" s="27" t="s">
        <v>34</v>
      </c>
      <c r="D2912" s="27" t="s">
        <v>36</v>
      </c>
      <c r="E2912" s="27">
        <v>124</v>
      </c>
    </row>
    <row r="2913" spans="1:5" x14ac:dyDescent="0.25">
      <c r="A2913" s="26">
        <v>35339</v>
      </c>
      <c r="B2913" s="49">
        <f t="shared" si="46"/>
        <v>1996</v>
      </c>
      <c r="C2913" s="27" t="s">
        <v>35</v>
      </c>
      <c r="D2913" s="27" t="s">
        <v>36</v>
      </c>
      <c r="E2913" s="27">
        <v>138</v>
      </c>
    </row>
    <row r="2914" spans="1:5" x14ac:dyDescent="0.25">
      <c r="A2914" s="26">
        <v>35339</v>
      </c>
      <c r="B2914" s="49">
        <f t="shared" si="46"/>
        <v>1996</v>
      </c>
      <c r="C2914" s="27" t="s">
        <v>35</v>
      </c>
      <c r="D2914" s="27" t="s">
        <v>36</v>
      </c>
      <c r="E2914" s="27">
        <v>146</v>
      </c>
    </row>
    <row r="2915" spans="1:5" x14ac:dyDescent="0.25">
      <c r="A2915" s="26">
        <v>35339</v>
      </c>
      <c r="B2915" s="49">
        <f t="shared" si="46"/>
        <v>1996</v>
      </c>
      <c r="C2915" s="27" t="s">
        <v>34</v>
      </c>
      <c r="D2915" s="27" t="s">
        <v>36</v>
      </c>
      <c r="E2915" s="27">
        <v>248</v>
      </c>
    </row>
    <row r="2916" spans="1:5" x14ac:dyDescent="0.25">
      <c r="A2916" s="26">
        <v>35339</v>
      </c>
      <c r="B2916" s="49">
        <f t="shared" si="46"/>
        <v>1996</v>
      </c>
      <c r="C2916" s="27" t="s">
        <v>32</v>
      </c>
      <c r="D2916" s="27" t="s">
        <v>36</v>
      </c>
      <c r="E2916" s="27">
        <v>110</v>
      </c>
    </row>
    <row r="2917" spans="1:5" x14ac:dyDescent="0.25">
      <c r="A2917" s="26">
        <v>35339</v>
      </c>
      <c r="B2917" s="49">
        <f t="shared" si="46"/>
        <v>1996</v>
      </c>
      <c r="C2917" s="27" t="s">
        <v>39</v>
      </c>
      <c r="D2917" s="27" t="s">
        <v>36</v>
      </c>
      <c r="E2917" s="27">
        <v>72</v>
      </c>
    </row>
    <row r="2918" spans="1:5" x14ac:dyDescent="0.25">
      <c r="A2918" s="26">
        <v>35339</v>
      </c>
      <c r="B2918" s="49">
        <f t="shared" si="46"/>
        <v>1996</v>
      </c>
      <c r="C2918" s="27" t="s">
        <v>34</v>
      </c>
      <c r="D2918" s="27" t="s">
        <v>36</v>
      </c>
      <c r="E2918" s="27">
        <v>70</v>
      </c>
    </row>
    <row r="2919" spans="1:5" x14ac:dyDescent="0.25">
      <c r="A2919" s="26">
        <v>35339</v>
      </c>
      <c r="B2919" s="49">
        <f t="shared" si="46"/>
        <v>1996</v>
      </c>
      <c r="C2919" s="27" t="s">
        <v>35</v>
      </c>
      <c r="D2919" s="27" t="s">
        <v>36</v>
      </c>
      <c r="E2919" s="27">
        <v>96</v>
      </c>
    </row>
    <row r="2920" spans="1:5" x14ac:dyDescent="0.25">
      <c r="A2920" s="26">
        <v>35339</v>
      </c>
      <c r="B2920" s="49">
        <f t="shared" si="46"/>
        <v>1996</v>
      </c>
      <c r="C2920" s="27" t="s">
        <v>37</v>
      </c>
      <c r="D2920" s="27" t="s">
        <v>36</v>
      </c>
      <c r="E2920" s="27">
        <v>96</v>
      </c>
    </row>
    <row r="2921" spans="1:5" x14ac:dyDescent="0.25">
      <c r="A2921" s="26">
        <v>35339</v>
      </c>
      <c r="B2921" s="49">
        <f t="shared" si="46"/>
        <v>1996</v>
      </c>
      <c r="C2921" s="27" t="s">
        <v>39</v>
      </c>
      <c r="D2921" s="27" t="s">
        <v>36</v>
      </c>
      <c r="E2921" s="27">
        <v>90</v>
      </c>
    </row>
    <row r="2922" spans="1:5" x14ac:dyDescent="0.25">
      <c r="A2922" s="26">
        <v>35339</v>
      </c>
      <c r="B2922" s="49">
        <f t="shared" si="46"/>
        <v>1996</v>
      </c>
      <c r="C2922" s="27" t="s">
        <v>32</v>
      </c>
      <c r="D2922" s="27" t="s">
        <v>36</v>
      </c>
      <c r="E2922" s="27">
        <v>79</v>
      </c>
    </row>
    <row r="2923" spans="1:5" x14ac:dyDescent="0.25">
      <c r="A2923" s="26">
        <v>35339</v>
      </c>
      <c r="B2923" s="49">
        <f t="shared" si="46"/>
        <v>1996</v>
      </c>
      <c r="C2923" s="27" t="s">
        <v>37</v>
      </c>
      <c r="D2923" s="27" t="s">
        <v>36</v>
      </c>
      <c r="E2923" s="27">
        <v>77</v>
      </c>
    </row>
    <row r="2924" spans="1:5" x14ac:dyDescent="0.25">
      <c r="A2924" s="26">
        <v>35339</v>
      </c>
      <c r="B2924" s="49">
        <f t="shared" si="46"/>
        <v>1996</v>
      </c>
      <c r="C2924" s="27" t="s">
        <v>39</v>
      </c>
      <c r="D2924" s="27" t="s">
        <v>36</v>
      </c>
      <c r="E2924" s="27">
        <v>77</v>
      </c>
    </row>
    <row r="2925" spans="1:5" x14ac:dyDescent="0.25">
      <c r="A2925" s="26">
        <v>35339</v>
      </c>
      <c r="B2925" s="49">
        <f t="shared" si="46"/>
        <v>1996</v>
      </c>
      <c r="C2925" s="27" t="s">
        <v>34</v>
      </c>
      <c r="D2925" s="27" t="s">
        <v>36</v>
      </c>
      <c r="E2925" s="27">
        <v>83</v>
      </c>
    </row>
    <row r="2926" spans="1:5" x14ac:dyDescent="0.25">
      <c r="A2926" s="26">
        <v>35339</v>
      </c>
      <c r="B2926" s="49">
        <f t="shared" si="46"/>
        <v>1996</v>
      </c>
      <c r="C2926" s="27" t="s">
        <v>39</v>
      </c>
      <c r="D2926" s="27" t="s">
        <v>36</v>
      </c>
      <c r="E2926" s="27">
        <v>1489</v>
      </c>
    </row>
    <row r="2927" spans="1:5" x14ac:dyDescent="0.25">
      <c r="A2927" s="26">
        <v>35339</v>
      </c>
      <c r="B2927" s="49">
        <f t="shared" si="46"/>
        <v>1996</v>
      </c>
      <c r="C2927" s="27" t="s">
        <v>39</v>
      </c>
      <c r="D2927" s="27" t="s">
        <v>36</v>
      </c>
      <c r="E2927" s="27">
        <v>817</v>
      </c>
    </row>
    <row r="2928" spans="1:5" x14ac:dyDescent="0.25">
      <c r="A2928" s="26">
        <v>35339</v>
      </c>
      <c r="B2928" s="49">
        <f t="shared" si="46"/>
        <v>1996</v>
      </c>
      <c r="C2928" s="27" t="s">
        <v>32</v>
      </c>
      <c r="D2928" s="27" t="s">
        <v>36</v>
      </c>
      <c r="E2928" s="27">
        <v>797</v>
      </c>
    </row>
    <row r="2929" spans="1:5" x14ac:dyDescent="0.25">
      <c r="A2929" s="26">
        <v>35339</v>
      </c>
      <c r="B2929" s="49">
        <f t="shared" si="46"/>
        <v>1996</v>
      </c>
      <c r="C2929" s="27" t="s">
        <v>37</v>
      </c>
      <c r="D2929" s="27" t="s">
        <v>36</v>
      </c>
      <c r="E2929" s="27">
        <v>360</v>
      </c>
    </row>
    <row r="2930" spans="1:5" x14ac:dyDescent="0.25">
      <c r="A2930" s="26">
        <v>35339</v>
      </c>
      <c r="B2930" s="49">
        <f t="shared" si="46"/>
        <v>1996</v>
      </c>
      <c r="C2930" s="27" t="s">
        <v>37</v>
      </c>
      <c r="D2930" s="27" t="s">
        <v>36</v>
      </c>
      <c r="E2930" s="27">
        <v>2759</v>
      </c>
    </row>
    <row r="2931" spans="1:5" x14ac:dyDescent="0.25">
      <c r="A2931" s="26">
        <v>35339</v>
      </c>
      <c r="B2931" s="49">
        <f t="shared" si="46"/>
        <v>1996</v>
      </c>
      <c r="C2931" s="27" t="s">
        <v>27</v>
      </c>
      <c r="D2931" s="27" t="s">
        <v>36</v>
      </c>
      <c r="E2931" s="27">
        <v>9</v>
      </c>
    </row>
    <row r="2932" spans="1:5" x14ac:dyDescent="0.25">
      <c r="A2932" s="26">
        <v>35339</v>
      </c>
      <c r="B2932" s="49">
        <f t="shared" si="46"/>
        <v>1996</v>
      </c>
      <c r="C2932" s="27" t="s">
        <v>27</v>
      </c>
      <c r="D2932" s="27" t="s">
        <v>36</v>
      </c>
      <c r="E2932" s="27">
        <v>44</v>
      </c>
    </row>
    <row r="2933" spans="1:5" x14ac:dyDescent="0.25">
      <c r="A2933" s="26">
        <v>35339</v>
      </c>
      <c r="B2933" s="49">
        <f t="shared" si="46"/>
        <v>1996</v>
      </c>
      <c r="C2933" s="27" t="s">
        <v>35</v>
      </c>
      <c r="D2933" s="27" t="s">
        <v>36</v>
      </c>
      <c r="E2933" s="27">
        <v>42</v>
      </c>
    </row>
    <row r="2934" spans="1:5" x14ac:dyDescent="0.25">
      <c r="A2934" s="26">
        <v>35339</v>
      </c>
      <c r="B2934" s="49">
        <f t="shared" si="46"/>
        <v>1996</v>
      </c>
      <c r="C2934" s="27" t="s">
        <v>35</v>
      </c>
      <c r="D2934" s="27" t="s">
        <v>36</v>
      </c>
      <c r="E2934" s="27">
        <v>50</v>
      </c>
    </row>
    <row r="2935" spans="1:5" x14ac:dyDescent="0.25">
      <c r="A2935" s="26">
        <v>35339</v>
      </c>
      <c r="B2935" s="49">
        <f t="shared" si="46"/>
        <v>1996</v>
      </c>
      <c r="C2935" s="27" t="s">
        <v>37</v>
      </c>
      <c r="D2935" s="27" t="s">
        <v>36</v>
      </c>
      <c r="E2935" s="27">
        <v>53</v>
      </c>
    </row>
    <row r="2936" spans="1:5" x14ac:dyDescent="0.25">
      <c r="A2936" s="26">
        <v>35339</v>
      </c>
      <c r="B2936" s="49">
        <f t="shared" si="46"/>
        <v>1996</v>
      </c>
      <c r="C2936" s="27" t="s">
        <v>37</v>
      </c>
      <c r="D2936" s="27" t="s">
        <v>36</v>
      </c>
      <c r="E2936" s="27">
        <v>45</v>
      </c>
    </row>
    <row r="2937" spans="1:5" x14ac:dyDescent="0.25">
      <c r="A2937" s="26">
        <v>35339</v>
      </c>
      <c r="B2937" s="49">
        <f t="shared" si="46"/>
        <v>1996</v>
      </c>
      <c r="C2937" s="27" t="s">
        <v>27</v>
      </c>
      <c r="D2937" s="27" t="s">
        <v>36</v>
      </c>
      <c r="E2937" s="27">
        <v>56</v>
      </c>
    </row>
    <row r="2938" spans="1:5" x14ac:dyDescent="0.25">
      <c r="A2938" s="26">
        <v>35339</v>
      </c>
      <c r="B2938" s="49">
        <f t="shared" si="46"/>
        <v>1996</v>
      </c>
      <c r="C2938" s="27" t="s">
        <v>27</v>
      </c>
      <c r="D2938" s="27" t="s">
        <v>36</v>
      </c>
      <c r="E2938" s="27">
        <v>26</v>
      </c>
    </row>
    <row r="2939" spans="1:5" x14ac:dyDescent="0.25">
      <c r="A2939" s="26">
        <v>35339</v>
      </c>
      <c r="B2939" s="49">
        <f t="shared" si="46"/>
        <v>1996</v>
      </c>
      <c r="C2939" s="27" t="s">
        <v>32</v>
      </c>
      <c r="D2939" s="27" t="s">
        <v>36</v>
      </c>
      <c r="E2939" s="27">
        <v>26</v>
      </c>
    </row>
    <row r="2940" spans="1:5" x14ac:dyDescent="0.25">
      <c r="A2940" s="26">
        <v>35339</v>
      </c>
      <c r="B2940" s="49">
        <f t="shared" si="46"/>
        <v>1996</v>
      </c>
      <c r="C2940" s="27" t="s">
        <v>32</v>
      </c>
      <c r="D2940" s="27" t="s">
        <v>36</v>
      </c>
      <c r="E2940" s="27">
        <v>25</v>
      </c>
    </row>
    <row r="2941" spans="1:5" x14ac:dyDescent="0.25">
      <c r="A2941" s="26">
        <v>35339</v>
      </c>
      <c r="B2941" s="49">
        <f t="shared" si="46"/>
        <v>1996</v>
      </c>
      <c r="C2941" s="27" t="s">
        <v>32</v>
      </c>
      <c r="D2941" s="27" t="s">
        <v>36</v>
      </c>
      <c r="E2941" s="27">
        <v>44</v>
      </c>
    </row>
    <row r="2942" spans="1:5" x14ac:dyDescent="0.25">
      <c r="A2942" s="26">
        <v>35339</v>
      </c>
      <c r="B2942" s="49">
        <f t="shared" si="46"/>
        <v>1996</v>
      </c>
      <c r="C2942" s="27" t="s">
        <v>27</v>
      </c>
      <c r="D2942" s="27" t="s">
        <v>36</v>
      </c>
      <c r="E2942" s="27">
        <v>28</v>
      </c>
    </row>
    <row r="2943" spans="1:5" x14ac:dyDescent="0.25">
      <c r="A2943" s="26">
        <v>35339</v>
      </c>
      <c r="B2943" s="49">
        <f t="shared" si="46"/>
        <v>1996</v>
      </c>
      <c r="C2943" s="27" t="s">
        <v>27</v>
      </c>
      <c r="D2943" s="27" t="s">
        <v>36</v>
      </c>
      <c r="E2943" s="27">
        <v>7</v>
      </c>
    </row>
    <row r="2944" spans="1:5" x14ac:dyDescent="0.25">
      <c r="A2944" s="26">
        <v>35339</v>
      </c>
      <c r="B2944" s="49">
        <f t="shared" si="46"/>
        <v>1996</v>
      </c>
      <c r="C2944" s="27" t="s">
        <v>35</v>
      </c>
      <c r="D2944" s="27" t="s">
        <v>36</v>
      </c>
      <c r="E2944" s="27">
        <v>26</v>
      </c>
    </row>
    <row r="2945" spans="1:5" x14ac:dyDescent="0.25">
      <c r="A2945" s="26">
        <v>35370</v>
      </c>
      <c r="B2945" s="49">
        <f t="shared" si="46"/>
        <v>1996</v>
      </c>
      <c r="C2945" s="27" t="s">
        <v>35</v>
      </c>
      <c r="D2945" s="27" t="s">
        <v>28</v>
      </c>
      <c r="E2945" s="27">
        <v>308</v>
      </c>
    </row>
    <row r="2946" spans="1:5" x14ac:dyDescent="0.25">
      <c r="A2946" s="26">
        <v>35370</v>
      </c>
      <c r="B2946" s="49">
        <f t="shared" si="46"/>
        <v>1996</v>
      </c>
      <c r="C2946" s="27" t="s">
        <v>39</v>
      </c>
      <c r="D2946" s="27" t="s">
        <v>28</v>
      </c>
      <c r="E2946" s="27">
        <v>431</v>
      </c>
    </row>
    <row r="2947" spans="1:5" x14ac:dyDescent="0.25">
      <c r="A2947" s="26">
        <v>35370</v>
      </c>
      <c r="B2947" s="49">
        <f t="shared" ref="B2947:B3010" si="47">YEAR(A2947)</f>
        <v>1996</v>
      </c>
      <c r="C2947" s="27" t="s">
        <v>34</v>
      </c>
      <c r="D2947" s="27" t="s">
        <v>28</v>
      </c>
      <c r="E2947" s="27">
        <v>405</v>
      </c>
    </row>
    <row r="2948" spans="1:5" x14ac:dyDescent="0.25">
      <c r="A2948" s="26">
        <v>35370</v>
      </c>
      <c r="B2948" s="49">
        <f t="shared" si="47"/>
        <v>1996</v>
      </c>
      <c r="C2948" s="27" t="s">
        <v>34</v>
      </c>
      <c r="D2948" s="27" t="s">
        <v>28</v>
      </c>
      <c r="E2948" s="27">
        <v>371</v>
      </c>
    </row>
    <row r="2949" spans="1:5" x14ac:dyDescent="0.25">
      <c r="A2949" s="26">
        <v>35370</v>
      </c>
      <c r="B2949" s="49">
        <f t="shared" si="47"/>
        <v>1996</v>
      </c>
      <c r="C2949" s="27" t="s">
        <v>40</v>
      </c>
      <c r="D2949" s="27" t="s">
        <v>28</v>
      </c>
      <c r="E2949" s="27">
        <v>358</v>
      </c>
    </row>
    <row r="2950" spans="1:5" x14ac:dyDescent="0.25">
      <c r="A2950" s="26">
        <v>35370</v>
      </c>
      <c r="B2950" s="49">
        <f t="shared" si="47"/>
        <v>1996</v>
      </c>
      <c r="C2950" s="27" t="s">
        <v>39</v>
      </c>
      <c r="D2950" s="27" t="s">
        <v>28</v>
      </c>
      <c r="E2950" s="27">
        <v>338</v>
      </c>
    </row>
    <row r="2951" spans="1:5" x14ac:dyDescent="0.25">
      <c r="A2951" s="26">
        <v>35370</v>
      </c>
      <c r="B2951" s="49">
        <f t="shared" si="47"/>
        <v>1996</v>
      </c>
      <c r="C2951" s="27" t="s">
        <v>40</v>
      </c>
      <c r="D2951" s="27" t="s">
        <v>28</v>
      </c>
      <c r="E2951" s="27">
        <v>338</v>
      </c>
    </row>
    <row r="2952" spans="1:5" x14ac:dyDescent="0.25">
      <c r="A2952" s="26">
        <v>35370</v>
      </c>
      <c r="B2952" s="49">
        <f t="shared" si="47"/>
        <v>1996</v>
      </c>
      <c r="C2952" s="27" t="s">
        <v>27</v>
      </c>
      <c r="D2952" s="27" t="s">
        <v>28</v>
      </c>
      <c r="E2952" s="27">
        <v>54</v>
      </c>
    </row>
    <row r="2953" spans="1:5" x14ac:dyDescent="0.25">
      <c r="A2953" s="26">
        <v>35370</v>
      </c>
      <c r="B2953" s="49">
        <f t="shared" si="47"/>
        <v>1996</v>
      </c>
      <c r="C2953" s="27" t="s">
        <v>27</v>
      </c>
      <c r="D2953" s="27" t="s">
        <v>28</v>
      </c>
      <c r="E2953" s="27">
        <v>94</v>
      </c>
    </row>
    <row r="2954" spans="1:5" x14ac:dyDescent="0.25">
      <c r="A2954" s="26">
        <v>35370</v>
      </c>
      <c r="B2954" s="49">
        <f t="shared" si="47"/>
        <v>1996</v>
      </c>
      <c r="C2954" s="27" t="s">
        <v>37</v>
      </c>
      <c r="D2954" s="27" t="s">
        <v>28</v>
      </c>
      <c r="E2954" s="27">
        <v>158</v>
      </c>
    </row>
    <row r="2955" spans="1:5" x14ac:dyDescent="0.25">
      <c r="A2955" s="26">
        <v>35370</v>
      </c>
      <c r="B2955" s="49">
        <f t="shared" si="47"/>
        <v>1996</v>
      </c>
      <c r="C2955" s="27" t="s">
        <v>39</v>
      </c>
      <c r="D2955" s="27" t="s">
        <v>28</v>
      </c>
      <c r="E2955" s="27">
        <v>225</v>
      </c>
    </row>
    <row r="2956" spans="1:5" x14ac:dyDescent="0.25">
      <c r="A2956" s="26">
        <v>35370</v>
      </c>
      <c r="B2956" s="49">
        <f t="shared" si="47"/>
        <v>1996</v>
      </c>
      <c r="C2956" s="27" t="s">
        <v>32</v>
      </c>
      <c r="D2956" s="27" t="s">
        <v>28</v>
      </c>
      <c r="E2956" s="27">
        <v>330</v>
      </c>
    </row>
    <row r="2957" spans="1:5" x14ac:dyDescent="0.25">
      <c r="A2957" s="26">
        <v>35370</v>
      </c>
      <c r="B2957" s="49">
        <f t="shared" si="47"/>
        <v>1996</v>
      </c>
      <c r="C2957" s="27" t="s">
        <v>32</v>
      </c>
      <c r="D2957" s="27" t="s">
        <v>28</v>
      </c>
      <c r="E2957" s="27">
        <v>248</v>
      </c>
    </row>
    <row r="2958" spans="1:5" x14ac:dyDescent="0.25">
      <c r="A2958" s="26">
        <v>35370</v>
      </c>
      <c r="B2958" s="49">
        <f t="shared" si="47"/>
        <v>1996</v>
      </c>
      <c r="C2958" s="27" t="s">
        <v>32</v>
      </c>
      <c r="D2958" s="27" t="s">
        <v>28</v>
      </c>
      <c r="E2958" s="27">
        <v>90</v>
      </c>
    </row>
    <row r="2959" spans="1:5" x14ac:dyDescent="0.25">
      <c r="A2959" s="26">
        <v>35370</v>
      </c>
      <c r="B2959" s="49">
        <f t="shared" si="47"/>
        <v>1996</v>
      </c>
      <c r="C2959" s="27" t="s">
        <v>34</v>
      </c>
      <c r="D2959" s="27" t="s">
        <v>28</v>
      </c>
      <c r="E2959" s="27">
        <v>83</v>
      </c>
    </row>
    <row r="2960" spans="1:5" x14ac:dyDescent="0.25">
      <c r="A2960" s="26">
        <v>35370</v>
      </c>
      <c r="B2960" s="49">
        <f t="shared" si="47"/>
        <v>1996</v>
      </c>
      <c r="C2960" s="27" t="s">
        <v>35</v>
      </c>
      <c r="D2960" s="27" t="s">
        <v>28</v>
      </c>
      <c r="E2960" s="27">
        <v>289</v>
      </c>
    </row>
    <row r="2961" spans="1:5" x14ac:dyDescent="0.25">
      <c r="A2961" s="26">
        <v>35370</v>
      </c>
      <c r="B2961" s="49">
        <f t="shared" si="47"/>
        <v>1996</v>
      </c>
      <c r="C2961" s="27" t="s">
        <v>37</v>
      </c>
      <c r="D2961" s="27" t="s">
        <v>28</v>
      </c>
      <c r="E2961" s="27">
        <v>411</v>
      </c>
    </row>
    <row r="2962" spans="1:5" x14ac:dyDescent="0.25">
      <c r="A2962" s="26">
        <v>35370</v>
      </c>
      <c r="B2962" s="49">
        <f t="shared" si="47"/>
        <v>1996</v>
      </c>
      <c r="C2962" s="27" t="s">
        <v>35</v>
      </c>
      <c r="D2962" s="27" t="s">
        <v>28</v>
      </c>
      <c r="E2962" s="27">
        <v>146</v>
      </c>
    </row>
    <row r="2963" spans="1:5" x14ac:dyDescent="0.25">
      <c r="A2963" s="26">
        <v>35370</v>
      </c>
      <c r="B2963" s="49">
        <f t="shared" si="47"/>
        <v>1996</v>
      </c>
      <c r="C2963" s="27" t="s">
        <v>34</v>
      </c>
      <c r="D2963" s="27" t="s">
        <v>28</v>
      </c>
      <c r="E2963" s="27">
        <v>897</v>
      </c>
    </row>
    <row r="2964" spans="1:5" x14ac:dyDescent="0.25">
      <c r="A2964" s="26">
        <v>35370</v>
      </c>
      <c r="B2964" s="49">
        <f t="shared" si="47"/>
        <v>1996</v>
      </c>
      <c r="C2964" s="27" t="s">
        <v>32</v>
      </c>
      <c r="D2964" s="27" t="s">
        <v>28</v>
      </c>
      <c r="E2964" s="27">
        <v>2455</v>
      </c>
    </row>
    <row r="2965" spans="1:5" x14ac:dyDescent="0.25">
      <c r="A2965" s="26">
        <v>35370</v>
      </c>
      <c r="B2965" s="49">
        <f t="shared" si="47"/>
        <v>1996</v>
      </c>
      <c r="C2965" s="27" t="s">
        <v>27</v>
      </c>
      <c r="D2965" s="27" t="s">
        <v>28</v>
      </c>
      <c r="E2965" s="27">
        <v>1684</v>
      </c>
    </row>
    <row r="2966" spans="1:5" x14ac:dyDescent="0.25">
      <c r="A2966" s="26">
        <v>35370</v>
      </c>
      <c r="B2966" s="49">
        <f t="shared" si="47"/>
        <v>1996</v>
      </c>
      <c r="C2966" s="27" t="s">
        <v>37</v>
      </c>
      <c r="D2966" s="27" t="s">
        <v>28</v>
      </c>
      <c r="E2966" s="27">
        <v>1079</v>
      </c>
    </row>
    <row r="2967" spans="1:5" x14ac:dyDescent="0.25">
      <c r="A2967" s="26">
        <v>35370</v>
      </c>
      <c r="B2967" s="49">
        <f t="shared" si="47"/>
        <v>1996</v>
      </c>
      <c r="C2967" s="27" t="s">
        <v>37</v>
      </c>
      <c r="D2967" s="27" t="s">
        <v>28</v>
      </c>
      <c r="E2967" s="27">
        <v>1025</v>
      </c>
    </row>
    <row r="2968" spans="1:5" x14ac:dyDescent="0.25">
      <c r="A2968" s="26">
        <v>35370</v>
      </c>
      <c r="B2968" s="49">
        <f t="shared" si="47"/>
        <v>1996</v>
      </c>
      <c r="C2968" s="27" t="s">
        <v>27</v>
      </c>
      <c r="D2968" s="27" t="s">
        <v>28</v>
      </c>
      <c r="E2968" s="27">
        <v>761</v>
      </c>
    </row>
    <row r="2969" spans="1:5" x14ac:dyDescent="0.25">
      <c r="A2969" s="26">
        <v>35370</v>
      </c>
      <c r="B2969" s="49">
        <f t="shared" si="47"/>
        <v>1996</v>
      </c>
      <c r="C2969" s="27" t="s">
        <v>35</v>
      </c>
      <c r="D2969" s="27" t="s">
        <v>28</v>
      </c>
      <c r="E2969" s="27">
        <v>610</v>
      </c>
    </row>
    <row r="2970" spans="1:5" x14ac:dyDescent="0.25">
      <c r="A2970" s="26">
        <v>35370</v>
      </c>
      <c r="B2970" s="49">
        <f t="shared" si="47"/>
        <v>1996</v>
      </c>
      <c r="C2970" s="27" t="s">
        <v>39</v>
      </c>
      <c r="D2970" s="27" t="s">
        <v>28</v>
      </c>
      <c r="E2970" s="27">
        <v>681</v>
      </c>
    </row>
    <row r="2971" spans="1:5" x14ac:dyDescent="0.25">
      <c r="A2971" s="26">
        <v>35370</v>
      </c>
      <c r="B2971" s="49">
        <f t="shared" si="47"/>
        <v>1996</v>
      </c>
      <c r="C2971" s="27" t="s">
        <v>37</v>
      </c>
      <c r="D2971" s="27" t="s">
        <v>29</v>
      </c>
      <c r="E2971" s="27">
        <v>123</v>
      </c>
    </row>
    <row r="2972" spans="1:5" x14ac:dyDescent="0.25">
      <c r="A2972" s="26">
        <v>35370</v>
      </c>
      <c r="B2972" s="49">
        <f t="shared" si="47"/>
        <v>1996</v>
      </c>
      <c r="C2972" s="27" t="s">
        <v>32</v>
      </c>
      <c r="D2972" s="27" t="s">
        <v>29</v>
      </c>
      <c r="E2972" s="27">
        <v>146</v>
      </c>
    </row>
    <row r="2973" spans="1:5" x14ac:dyDescent="0.25">
      <c r="A2973" s="26">
        <v>35370</v>
      </c>
      <c r="B2973" s="49">
        <f t="shared" si="47"/>
        <v>1996</v>
      </c>
      <c r="C2973" s="27" t="s">
        <v>37</v>
      </c>
      <c r="D2973" s="27" t="s">
        <v>29</v>
      </c>
      <c r="E2973" s="27">
        <v>180</v>
      </c>
    </row>
    <row r="2974" spans="1:5" x14ac:dyDescent="0.25">
      <c r="A2974" s="26">
        <v>35370</v>
      </c>
      <c r="B2974" s="49">
        <f t="shared" si="47"/>
        <v>1996</v>
      </c>
      <c r="C2974" s="27" t="s">
        <v>27</v>
      </c>
      <c r="D2974" s="27" t="s">
        <v>29</v>
      </c>
      <c r="E2974" s="27">
        <v>68</v>
      </c>
    </row>
    <row r="2975" spans="1:5" x14ac:dyDescent="0.25">
      <c r="A2975" s="26">
        <v>35370</v>
      </c>
      <c r="B2975" s="49">
        <f t="shared" si="47"/>
        <v>1996</v>
      </c>
      <c r="C2975" s="27" t="s">
        <v>32</v>
      </c>
      <c r="D2975" s="27" t="s">
        <v>29</v>
      </c>
      <c r="E2975" s="27">
        <v>79</v>
      </c>
    </row>
    <row r="2976" spans="1:5" x14ac:dyDescent="0.25">
      <c r="A2976" s="26">
        <v>35370</v>
      </c>
      <c r="B2976" s="49">
        <f t="shared" si="47"/>
        <v>1996</v>
      </c>
      <c r="C2976" s="27" t="s">
        <v>35</v>
      </c>
      <c r="D2976" s="27" t="s">
        <v>29</v>
      </c>
      <c r="E2976" s="27">
        <v>375</v>
      </c>
    </row>
    <row r="2977" spans="1:5" x14ac:dyDescent="0.25">
      <c r="A2977" s="26">
        <v>35370</v>
      </c>
      <c r="B2977" s="49">
        <f t="shared" si="47"/>
        <v>1996</v>
      </c>
      <c r="C2977" s="27" t="s">
        <v>34</v>
      </c>
      <c r="D2977" s="27" t="s">
        <v>29</v>
      </c>
      <c r="E2977" s="27">
        <v>557</v>
      </c>
    </row>
    <row r="2978" spans="1:5" x14ac:dyDescent="0.25">
      <c r="A2978" s="26">
        <v>35370</v>
      </c>
      <c r="B2978" s="49">
        <f t="shared" si="47"/>
        <v>1996</v>
      </c>
      <c r="C2978" s="27" t="s">
        <v>32</v>
      </c>
      <c r="D2978" s="27" t="s">
        <v>29</v>
      </c>
      <c r="E2978" s="27">
        <v>816</v>
      </c>
    </row>
    <row r="2979" spans="1:5" x14ac:dyDescent="0.25">
      <c r="A2979" s="26">
        <v>35370</v>
      </c>
      <c r="B2979" s="49">
        <f t="shared" si="47"/>
        <v>1996</v>
      </c>
      <c r="C2979" s="27" t="s">
        <v>32</v>
      </c>
      <c r="D2979" s="27" t="s">
        <v>29</v>
      </c>
      <c r="E2979" s="27">
        <v>333</v>
      </c>
    </row>
    <row r="2980" spans="1:5" x14ac:dyDescent="0.25">
      <c r="A2980" s="26">
        <v>35370</v>
      </c>
      <c r="B2980" s="49">
        <f t="shared" si="47"/>
        <v>1996</v>
      </c>
      <c r="C2980" s="27" t="s">
        <v>34</v>
      </c>
      <c r="D2980" s="27" t="s">
        <v>29</v>
      </c>
      <c r="E2980" s="27">
        <v>368</v>
      </c>
    </row>
    <row r="2981" spans="1:5" x14ac:dyDescent="0.25">
      <c r="A2981" s="26">
        <v>35370</v>
      </c>
      <c r="B2981" s="49">
        <f t="shared" si="47"/>
        <v>1996</v>
      </c>
      <c r="C2981" s="27" t="s">
        <v>27</v>
      </c>
      <c r="D2981" s="27" t="s">
        <v>29</v>
      </c>
      <c r="E2981" s="27">
        <v>1113</v>
      </c>
    </row>
    <row r="2982" spans="1:5" x14ac:dyDescent="0.25">
      <c r="A2982" s="26">
        <v>35370</v>
      </c>
      <c r="B2982" s="49">
        <f t="shared" si="47"/>
        <v>1996</v>
      </c>
      <c r="C2982" s="27" t="s">
        <v>37</v>
      </c>
      <c r="D2982" s="27" t="s">
        <v>29</v>
      </c>
      <c r="E2982" s="27">
        <v>675</v>
      </c>
    </row>
    <row r="2983" spans="1:5" x14ac:dyDescent="0.25">
      <c r="A2983" s="26">
        <v>35370</v>
      </c>
      <c r="B2983" s="49">
        <f t="shared" si="47"/>
        <v>1996</v>
      </c>
      <c r="C2983" s="27" t="s">
        <v>39</v>
      </c>
      <c r="D2983" s="27" t="s">
        <v>29</v>
      </c>
      <c r="E2983" s="27">
        <v>826</v>
      </c>
    </row>
    <row r="2984" spans="1:5" x14ac:dyDescent="0.25">
      <c r="A2984" s="26">
        <v>35370</v>
      </c>
      <c r="B2984" s="49">
        <f t="shared" si="47"/>
        <v>1996</v>
      </c>
      <c r="C2984" s="27" t="s">
        <v>39</v>
      </c>
      <c r="D2984" s="27" t="s">
        <v>29</v>
      </c>
      <c r="E2984" s="27">
        <v>385</v>
      </c>
    </row>
    <row r="2985" spans="1:5" x14ac:dyDescent="0.25">
      <c r="A2985" s="26">
        <v>35370</v>
      </c>
      <c r="B2985" s="49">
        <f t="shared" si="47"/>
        <v>1996</v>
      </c>
      <c r="C2985" s="27" t="s">
        <v>35</v>
      </c>
      <c r="D2985" s="27" t="s">
        <v>29</v>
      </c>
      <c r="E2985" s="27">
        <v>428</v>
      </c>
    </row>
    <row r="2986" spans="1:5" x14ac:dyDescent="0.25">
      <c r="A2986" s="26">
        <v>35370</v>
      </c>
      <c r="B2986" s="49">
        <f t="shared" si="47"/>
        <v>1996</v>
      </c>
      <c r="C2986" s="27" t="s">
        <v>27</v>
      </c>
      <c r="D2986" s="27" t="s">
        <v>29</v>
      </c>
      <c r="E2986" s="27">
        <v>467</v>
      </c>
    </row>
    <row r="2987" spans="1:5" x14ac:dyDescent="0.25">
      <c r="A2987" s="26">
        <v>35370</v>
      </c>
      <c r="B2987" s="49">
        <f t="shared" si="47"/>
        <v>1996</v>
      </c>
      <c r="C2987" s="27" t="s">
        <v>37</v>
      </c>
      <c r="D2987" s="27" t="s">
        <v>29</v>
      </c>
      <c r="E2987" s="27">
        <v>581</v>
      </c>
    </row>
    <row r="2988" spans="1:5" x14ac:dyDescent="0.25">
      <c r="A2988" s="26">
        <v>35370</v>
      </c>
      <c r="B2988" s="49">
        <f t="shared" si="47"/>
        <v>1996</v>
      </c>
      <c r="C2988" s="27" t="s">
        <v>35</v>
      </c>
      <c r="D2988" s="27" t="s">
        <v>29</v>
      </c>
      <c r="E2988" s="27">
        <v>491</v>
      </c>
    </row>
    <row r="2989" spans="1:5" x14ac:dyDescent="0.25">
      <c r="A2989" s="26">
        <v>35370</v>
      </c>
      <c r="B2989" s="49">
        <f t="shared" si="47"/>
        <v>1996</v>
      </c>
      <c r="C2989" s="27" t="s">
        <v>34</v>
      </c>
      <c r="D2989" s="27" t="s">
        <v>29</v>
      </c>
      <c r="E2989" s="27">
        <v>525</v>
      </c>
    </row>
    <row r="2990" spans="1:5" x14ac:dyDescent="0.25">
      <c r="A2990" s="26">
        <v>35370</v>
      </c>
      <c r="B2990" s="49">
        <f t="shared" si="47"/>
        <v>1996</v>
      </c>
      <c r="C2990" s="27" t="s">
        <v>34</v>
      </c>
      <c r="D2990" s="27" t="s">
        <v>29</v>
      </c>
      <c r="E2990" s="27">
        <v>203</v>
      </c>
    </row>
    <row r="2991" spans="1:5" x14ac:dyDescent="0.25">
      <c r="A2991" s="26">
        <v>35370</v>
      </c>
      <c r="B2991" s="49">
        <f t="shared" si="47"/>
        <v>1996</v>
      </c>
      <c r="C2991" s="27" t="s">
        <v>39</v>
      </c>
      <c r="D2991" s="27" t="s">
        <v>29</v>
      </c>
      <c r="E2991" s="27">
        <v>225</v>
      </c>
    </row>
    <row r="2992" spans="1:5" x14ac:dyDescent="0.25">
      <c r="A2992" s="26">
        <v>35370</v>
      </c>
      <c r="B2992" s="49">
        <f t="shared" si="47"/>
        <v>1996</v>
      </c>
      <c r="C2992" s="27" t="s">
        <v>27</v>
      </c>
      <c r="D2992" s="27" t="s">
        <v>29</v>
      </c>
      <c r="E2992" s="27">
        <v>53</v>
      </c>
    </row>
    <row r="2993" spans="1:5" x14ac:dyDescent="0.25">
      <c r="A2993" s="26">
        <v>35370</v>
      </c>
      <c r="B2993" s="49">
        <f t="shared" si="47"/>
        <v>1996</v>
      </c>
      <c r="C2993" s="27" t="s">
        <v>40</v>
      </c>
      <c r="D2993" s="27" t="s">
        <v>29</v>
      </c>
      <c r="E2993" s="27">
        <v>270</v>
      </c>
    </row>
    <row r="2994" spans="1:5" x14ac:dyDescent="0.25">
      <c r="A2994" s="26">
        <v>35370</v>
      </c>
      <c r="B2994" s="49">
        <f t="shared" si="47"/>
        <v>1996</v>
      </c>
      <c r="C2994" s="27" t="s">
        <v>39</v>
      </c>
      <c r="D2994" s="27" t="s">
        <v>29</v>
      </c>
      <c r="E2994" s="27">
        <v>263</v>
      </c>
    </row>
    <row r="2995" spans="1:5" x14ac:dyDescent="0.25">
      <c r="A2995" s="26">
        <v>35370</v>
      </c>
      <c r="B2995" s="49">
        <f t="shared" si="47"/>
        <v>1996</v>
      </c>
      <c r="C2995" s="27" t="s">
        <v>40</v>
      </c>
      <c r="D2995" s="27" t="s">
        <v>29</v>
      </c>
      <c r="E2995" s="27">
        <v>263</v>
      </c>
    </row>
    <row r="2996" spans="1:5" x14ac:dyDescent="0.25">
      <c r="A2996" s="26">
        <v>35370</v>
      </c>
      <c r="B2996" s="49">
        <f t="shared" si="47"/>
        <v>1996</v>
      </c>
      <c r="C2996" s="27" t="s">
        <v>35</v>
      </c>
      <c r="D2996" s="27" t="s">
        <v>29</v>
      </c>
      <c r="E2996" s="27">
        <v>236</v>
      </c>
    </row>
    <row r="2997" spans="1:5" x14ac:dyDescent="0.25">
      <c r="A2997" s="26">
        <v>35370</v>
      </c>
      <c r="B2997" s="49">
        <f t="shared" si="47"/>
        <v>1996</v>
      </c>
      <c r="C2997" s="27" t="s">
        <v>32</v>
      </c>
      <c r="D2997" s="27" t="s">
        <v>38</v>
      </c>
      <c r="E2997" s="27">
        <v>1550</v>
      </c>
    </row>
    <row r="2998" spans="1:5" x14ac:dyDescent="0.25">
      <c r="A2998" s="26">
        <v>35370</v>
      </c>
      <c r="B2998" s="49">
        <f t="shared" si="47"/>
        <v>1996</v>
      </c>
      <c r="C2998" s="27" t="s">
        <v>39</v>
      </c>
      <c r="D2998" s="27" t="s">
        <v>38</v>
      </c>
      <c r="E2998" s="27">
        <v>663</v>
      </c>
    </row>
    <row r="2999" spans="1:5" x14ac:dyDescent="0.25">
      <c r="A2999" s="26">
        <v>35370</v>
      </c>
      <c r="B2999" s="49">
        <f t="shared" si="47"/>
        <v>1996</v>
      </c>
      <c r="C2999" s="27" t="s">
        <v>34</v>
      </c>
      <c r="D2999" s="27" t="s">
        <v>38</v>
      </c>
      <c r="E2999" s="27">
        <v>764</v>
      </c>
    </row>
    <row r="3000" spans="1:5" x14ac:dyDescent="0.25">
      <c r="A3000" s="26">
        <v>35370</v>
      </c>
      <c r="B3000" s="49">
        <f t="shared" si="47"/>
        <v>1996</v>
      </c>
      <c r="C3000" s="27" t="s">
        <v>39</v>
      </c>
      <c r="D3000" s="27" t="s">
        <v>38</v>
      </c>
      <c r="E3000" s="27">
        <v>1177</v>
      </c>
    </row>
    <row r="3001" spans="1:5" x14ac:dyDescent="0.25">
      <c r="A3001" s="26">
        <v>35370</v>
      </c>
      <c r="B3001" s="49">
        <f t="shared" si="47"/>
        <v>1996</v>
      </c>
      <c r="C3001" s="27" t="s">
        <v>27</v>
      </c>
      <c r="D3001" s="27" t="s">
        <v>38</v>
      </c>
      <c r="E3001" s="27">
        <v>707</v>
      </c>
    </row>
    <row r="3002" spans="1:5" x14ac:dyDescent="0.25">
      <c r="A3002" s="26">
        <v>35370</v>
      </c>
      <c r="B3002" s="49">
        <f t="shared" si="47"/>
        <v>1996</v>
      </c>
      <c r="C3002" s="27" t="s">
        <v>32</v>
      </c>
      <c r="D3002" s="27" t="s">
        <v>38</v>
      </c>
      <c r="E3002" s="27">
        <v>70</v>
      </c>
    </row>
    <row r="3003" spans="1:5" x14ac:dyDescent="0.25">
      <c r="A3003" s="26">
        <v>35370</v>
      </c>
      <c r="B3003" s="49">
        <f t="shared" si="47"/>
        <v>1996</v>
      </c>
      <c r="C3003" s="27" t="s">
        <v>39</v>
      </c>
      <c r="D3003" s="27" t="s">
        <v>38</v>
      </c>
      <c r="E3003" s="27">
        <v>203</v>
      </c>
    </row>
    <row r="3004" spans="1:5" x14ac:dyDescent="0.25">
      <c r="A3004" s="26">
        <v>35370</v>
      </c>
      <c r="B3004" s="49">
        <f t="shared" si="47"/>
        <v>1996</v>
      </c>
      <c r="C3004" s="27" t="s">
        <v>35</v>
      </c>
      <c r="D3004" s="27" t="s">
        <v>38</v>
      </c>
      <c r="E3004" s="27">
        <v>193</v>
      </c>
    </row>
    <row r="3005" spans="1:5" x14ac:dyDescent="0.25">
      <c r="A3005" s="26">
        <v>35370</v>
      </c>
      <c r="B3005" s="49">
        <f t="shared" si="47"/>
        <v>1996</v>
      </c>
      <c r="C3005" s="27" t="s">
        <v>32</v>
      </c>
      <c r="D3005" s="27" t="s">
        <v>38</v>
      </c>
      <c r="E3005" s="27">
        <v>210</v>
      </c>
    </row>
    <row r="3006" spans="1:5" x14ac:dyDescent="0.25">
      <c r="A3006" s="26">
        <v>35370</v>
      </c>
      <c r="B3006" s="49">
        <f t="shared" si="47"/>
        <v>1996</v>
      </c>
      <c r="C3006" s="27" t="s">
        <v>40</v>
      </c>
      <c r="D3006" s="27" t="s">
        <v>38</v>
      </c>
      <c r="E3006" s="27">
        <v>228</v>
      </c>
    </row>
    <row r="3007" spans="1:5" x14ac:dyDescent="0.25">
      <c r="A3007" s="26">
        <v>35370</v>
      </c>
      <c r="B3007" s="49">
        <f t="shared" si="47"/>
        <v>1996</v>
      </c>
      <c r="C3007" s="27" t="s">
        <v>39</v>
      </c>
      <c r="D3007" s="27" t="s">
        <v>38</v>
      </c>
      <c r="E3007" s="27">
        <v>140</v>
      </c>
    </row>
    <row r="3008" spans="1:5" x14ac:dyDescent="0.25">
      <c r="A3008" s="26">
        <v>35370</v>
      </c>
      <c r="B3008" s="49">
        <f t="shared" si="47"/>
        <v>1996</v>
      </c>
      <c r="C3008" s="27" t="s">
        <v>37</v>
      </c>
      <c r="D3008" s="27" t="s">
        <v>38</v>
      </c>
      <c r="E3008" s="27">
        <v>124</v>
      </c>
    </row>
    <row r="3009" spans="1:5" x14ac:dyDescent="0.25">
      <c r="A3009" s="26">
        <v>35370</v>
      </c>
      <c r="B3009" s="49">
        <f t="shared" si="47"/>
        <v>1996</v>
      </c>
      <c r="C3009" s="27" t="s">
        <v>27</v>
      </c>
      <c r="D3009" s="27" t="s">
        <v>38</v>
      </c>
      <c r="E3009" s="27">
        <v>113</v>
      </c>
    </row>
    <row r="3010" spans="1:5" x14ac:dyDescent="0.25">
      <c r="A3010" s="26">
        <v>35370</v>
      </c>
      <c r="B3010" s="49">
        <f t="shared" si="47"/>
        <v>1996</v>
      </c>
      <c r="C3010" s="27" t="s">
        <v>37</v>
      </c>
      <c r="D3010" s="27" t="s">
        <v>38</v>
      </c>
      <c r="E3010" s="27">
        <v>248</v>
      </c>
    </row>
    <row r="3011" spans="1:5" x14ac:dyDescent="0.25">
      <c r="A3011" s="26">
        <v>35370</v>
      </c>
      <c r="B3011" s="49">
        <f t="shared" ref="B3011:B3074" si="48">YEAR(A3011)</f>
        <v>1996</v>
      </c>
      <c r="C3011" s="27" t="s">
        <v>37</v>
      </c>
      <c r="D3011" s="27" t="s">
        <v>38</v>
      </c>
      <c r="E3011" s="27">
        <v>280</v>
      </c>
    </row>
    <row r="3012" spans="1:5" x14ac:dyDescent="0.25">
      <c r="A3012" s="26">
        <v>35370</v>
      </c>
      <c r="B3012" s="49">
        <f t="shared" si="48"/>
        <v>1996</v>
      </c>
      <c r="C3012" s="27" t="s">
        <v>27</v>
      </c>
      <c r="D3012" s="27" t="s">
        <v>38</v>
      </c>
      <c r="E3012" s="27">
        <v>35</v>
      </c>
    </row>
    <row r="3013" spans="1:5" x14ac:dyDescent="0.25">
      <c r="A3013" s="26">
        <v>35370</v>
      </c>
      <c r="B3013" s="49">
        <f t="shared" si="48"/>
        <v>1996</v>
      </c>
      <c r="C3013" s="27" t="s">
        <v>35</v>
      </c>
      <c r="D3013" s="27" t="s">
        <v>38</v>
      </c>
      <c r="E3013" s="27">
        <v>77</v>
      </c>
    </row>
    <row r="3014" spans="1:5" x14ac:dyDescent="0.25">
      <c r="A3014" s="26">
        <v>35370</v>
      </c>
      <c r="B3014" s="49">
        <f t="shared" si="48"/>
        <v>1996</v>
      </c>
      <c r="C3014" s="27" t="s">
        <v>34</v>
      </c>
      <c r="D3014" s="27" t="s">
        <v>38</v>
      </c>
      <c r="E3014" s="27">
        <v>473</v>
      </c>
    </row>
    <row r="3015" spans="1:5" x14ac:dyDescent="0.25">
      <c r="A3015" s="26">
        <v>35370</v>
      </c>
      <c r="B3015" s="49">
        <f t="shared" si="48"/>
        <v>1996</v>
      </c>
      <c r="C3015" s="27" t="s">
        <v>32</v>
      </c>
      <c r="D3015" s="27" t="s">
        <v>38</v>
      </c>
      <c r="E3015" s="27">
        <v>304</v>
      </c>
    </row>
    <row r="3016" spans="1:5" x14ac:dyDescent="0.25">
      <c r="A3016" s="26">
        <v>35370</v>
      </c>
      <c r="B3016" s="49">
        <f t="shared" si="48"/>
        <v>1996</v>
      </c>
      <c r="C3016" s="27" t="s">
        <v>40</v>
      </c>
      <c r="D3016" s="27" t="s">
        <v>38</v>
      </c>
      <c r="E3016" s="27">
        <v>338</v>
      </c>
    </row>
    <row r="3017" spans="1:5" x14ac:dyDescent="0.25">
      <c r="A3017" s="26">
        <v>35370</v>
      </c>
      <c r="B3017" s="49">
        <f t="shared" si="48"/>
        <v>1996</v>
      </c>
      <c r="C3017" s="27" t="s">
        <v>34</v>
      </c>
      <c r="D3017" s="27" t="s">
        <v>38</v>
      </c>
      <c r="E3017" s="27">
        <v>338</v>
      </c>
    </row>
    <row r="3018" spans="1:5" x14ac:dyDescent="0.25">
      <c r="A3018" s="26">
        <v>35370</v>
      </c>
      <c r="B3018" s="49">
        <f t="shared" si="48"/>
        <v>1996</v>
      </c>
      <c r="C3018" s="27" t="s">
        <v>34</v>
      </c>
      <c r="D3018" s="27" t="s">
        <v>38</v>
      </c>
      <c r="E3018" s="27">
        <v>371</v>
      </c>
    </row>
    <row r="3019" spans="1:5" x14ac:dyDescent="0.25">
      <c r="A3019" s="26">
        <v>35370</v>
      </c>
      <c r="B3019" s="49">
        <f t="shared" si="48"/>
        <v>1996</v>
      </c>
      <c r="C3019" s="27" t="s">
        <v>37</v>
      </c>
      <c r="D3019" s="27" t="s">
        <v>38</v>
      </c>
      <c r="E3019" s="27">
        <v>53</v>
      </c>
    </row>
    <row r="3020" spans="1:5" x14ac:dyDescent="0.25">
      <c r="A3020" s="26">
        <v>35370</v>
      </c>
      <c r="B3020" s="49">
        <f t="shared" si="48"/>
        <v>1996</v>
      </c>
      <c r="C3020" s="27" t="s">
        <v>27</v>
      </c>
      <c r="D3020" s="27" t="s">
        <v>38</v>
      </c>
      <c r="E3020" s="27">
        <v>42</v>
      </c>
    </row>
    <row r="3021" spans="1:5" x14ac:dyDescent="0.25">
      <c r="A3021" s="26">
        <v>35370</v>
      </c>
      <c r="B3021" s="49">
        <f t="shared" si="48"/>
        <v>1996</v>
      </c>
      <c r="C3021" s="27" t="s">
        <v>35</v>
      </c>
      <c r="D3021" s="27" t="s">
        <v>38</v>
      </c>
      <c r="E3021" s="27">
        <v>221</v>
      </c>
    </row>
    <row r="3022" spans="1:5" x14ac:dyDescent="0.25">
      <c r="A3022" s="26">
        <v>35370</v>
      </c>
      <c r="B3022" s="49">
        <f t="shared" si="48"/>
        <v>1996</v>
      </c>
      <c r="C3022" s="27" t="s">
        <v>35</v>
      </c>
      <c r="D3022" s="27" t="s">
        <v>38</v>
      </c>
      <c r="E3022" s="27">
        <v>79</v>
      </c>
    </row>
    <row r="3023" spans="1:5" x14ac:dyDescent="0.25">
      <c r="A3023" s="26">
        <v>35370</v>
      </c>
      <c r="B3023" s="49">
        <f t="shared" si="48"/>
        <v>1996</v>
      </c>
      <c r="C3023" s="27" t="s">
        <v>32</v>
      </c>
      <c r="D3023" s="27" t="s">
        <v>30</v>
      </c>
      <c r="E3023" s="27">
        <v>68</v>
      </c>
    </row>
    <row r="3024" spans="1:5" x14ac:dyDescent="0.25">
      <c r="A3024" s="26">
        <v>35370</v>
      </c>
      <c r="B3024" s="49">
        <f t="shared" si="48"/>
        <v>1996</v>
      </c>
      <c r="C3024" s="27" t="s">
        <v>27</v>
      </c>
      <c r="D3024" s="27" t="s">
        <v>30</v>
      </c>
      <c r="E3024" s="27">
        <v>999</v>
      </c>
    </row>
    <row r="3025" spans="1:5" x14ac:dyDescent="0.25">
      <c r="A3025" s="26">
        <v>35370</v>
      </c>
      <c r="B3025" s="49">
        <f t="shared" si="48"/>
        <v>1996</v>
      </c>
      <c r="C3025" s="27" t="s">
        <v>27</v>
      </c>
      <c r="D3025" s="27" t="s">
        <v>30</v>
      </c>
      <c r="E3025" s="27">
        <v>90</v>
      </c>
    </row>
    <row r="3026" spans="1:5" x14ac:dyDescent="0.25">
      <c r="A3026" s="26">
        <v>35370</v>
      </c>
      <c r="B3026" s="49">
        <f t="shared" si="48"/>
        <v>1996</v>
      </c>
      <c r="C3026" s="27" t="s">
        <v>27</v>
      </c>
      <c r="D3026" s="27" t="s">
        <v>30</v>
      </c>
      <c r="E3026" s="27">
        <v>95</v>
      </c>
    </row>
    <row r="3027" spans="1:5" x14ac:dyDescent="0.25">
      <c r="A3027" s="26">
        <v>35370</v>
      </c>
      <c r="B3027" s="49">
        <f t="shared" si="48"/>
        <v>1996</v>
      </c>
      <c r="C3027" s="27" t="s">
        <v>32</v>
      </c>
      <c r="D3027" s="27" t="s">
        <v>30</v>
      </c>
      <c r="E3027" s="27">
        <v>140</v>
      </c>
    </row>
    <row r="3028" spans="1:5" x14ac:dyDescent="0.25">
      <c r="A3028" s="26">
        <v>35370</v>
      </c>
      <c r="B3028" s="49">
        <f t="shared" si="48"/>
        <v>1996</v>
      </c>
      <c r="C3028" s="27" t="s">
        <v>27</v>
      </c>
      <c r="D3028" s="27" t="s">
        <v>30</v>
      </c>
      <c r="E3028" s="27">
        <v>99</v>
      </c>
    </row>
    <row r="3029" spans="1:5" x14ac:dyDescent="0.25">
      <c r="A3029" s="26">
        <v>35370</v>
      </c>
      <c r="B3029" s="49">
        <f t="shared" si="48"/>
        <v>1996</v>
      </c>
      <c r="C3029" s="27" t="s">
        <v>32</v>
      </c>
      <c r="D3029" s="27" t="s">
        <v>30</v>
      </c>
      <c r="E3029" s="27">
        <v>88</v>
      </c>
    </row>
    <row r="3030" spans="1:5" x14ac:dyDescent="0.25">
      <c r="A3030" s="26">
        <v>35370</v>
      </c>
      <c r="B3030" s="49">
        <f t="shared" si="48"/>
        <v>1996</v>
      </c>
      <c r="C3030" s="27" t="s">
        <v>32</v>
      </c>
      <c r="D3030" s="27" t="s">
        <v>30</v>
      </c>
      <c r="E3030" s="27">
        <v>261</v>
      </c>
    </row>
    <row r="3031" spans="1:5" x14ac:dyDescent="0.25">
      <c r="A3031" s="26">
        <v>35370</v>
      </c>
      <c r="B3031" s="49">
        <f t="shared" si="48"/>
        <v>1996</v>
      </c>
      <c r="C3031" s="27" t="s">
        <v>32</v>
      </c>
      <c r="D3031" s="27" t="s">
        <v>30</v>
      </c>
      <c r="E3031" s="27">
        <v>303</v>
      </c>
    </row>
    <row r="3032" spans="1:5" x14ac:dyDescent="0.25">
      <c r="A3032" s="26">
        <v>35370</v>
      </c>
      <c r="B3032" s="49">
        <f t="shared" si="48"/>
        <v>1996</v>
      </c>
      <c r="C3032" s="27" t="s">
        <v>27</v>
      </c>
      <c r="D3032" s="27" t="s">
        <v>30</v>
      </c>
      <c r="E3032" s="27">
        <v>1889</v>
      </c>
    </row>
    <row r="3033" spans="1:5" x14ac:dyDescent="0.25">
      <c r="A3033" s="26">
        <v>35370</v>
      </c>
      <c r="B3033" s="49">
        <f t="shared" si="48"/>
        <v>1996</v>
      </c>
      <c r="C3033" s="27" t="s">
        <v>27</v>
      </c>
      <c r="D3033" s="27" t="s">
        <v>30</v>
      </c>
      <c r="E3033" s="27">
        <v>18</v>
      </c>
    </row>
    <row r="3034" spans="1:5" x14ac:dyDescent="0.25">
      <c r="A3034" s="26">
        <v>35370</v>
      </c>
      <c r="B3034" s="49">
        <f t="shared" si="48"/>
        <v>1996</v>
      </c>
      <c r="C3034" s="27" t="s">
        <v>32</v>
      </c>
      <c r="D3034" s="27" t="s">
        <v>30</v>
      </c>
      <c r="E3034" s="27">
        <v>180</v>
      </c>
    </row>
    <row r="3035" spans="1:5" x14ac:dyDescent="0.25">
      <c r="A3035" s="26">
        <v>35370</v>
      </c>
      <c r="B3035" s="49">
        <f t="shared" si="48"/>
        <v>1996</v>
      </c>
      <c r="C3035" s="27" t="s">
        <v>32</v>
      </c>
      <c r="D3035" s="27" t="s">
        <v>31</v>
      </c>
      <c r="E3035" s="27">
        <v>403</v>
      </c>
    </row>
    <row r="3036" spans="1:5" x14ac:dyDescent="0.25">
      <c r="A3036" s="26">
        <v>35370</v>
      </c>
      <c r="B3036" s="49">
        <f t="shared" si="48"/>
        <v>1996</v>
      </c>
      <c r="C3036" s="27" t="s">
        <v>34</v>
      </c>
      <c r="D3036" s="27" t="s">
        <v>31</v>
      </c>
      <c r="E3036" s="27">
        <v>210</v>
      </c>
    </row>
    <row r="3037" spans="1:5" x14ac:dyDescent="0.25">
      <c r="A3037" s="26">
        <v>35370</v>
      </c>
      <c r="B3037" s="49">
        <f t="shared" si="48"/>
        <v>1996</v>
      </c>
      <c r="C3037" s="27" t="s">
        <v>40</v>
      </c>
      <c r="D3037" s="27" t="s">
        <v>31</v>
      </c>
      <c r="E3037" s="27">
        <v>105</v>
      </c>
    </row>
    <row r="3038" spans="1:5" x14ac:dyDescent="0.25">
      <c r="A3038" s="26">
        <v>35370</v>
      </c>
      <c r="B3038" s="49">
        <f t="shared" si="48"/>
        <v>1996</v>
      </c>
      <c r="C3038" s="27" t="s">
        <v>35</v>
      </c>
      <c r="D3038" s="27" t="s">
        <v>31</v>
      </c>
      <c r="E3038" s="27">
        <v>96</v>
      </c>
    </row>
    <row r="3039" spans="1:5" x14ac:dyDescent="0.25">
      <c r="A3039" s="26">
        <v>35370</v>
      </c>
      <c r="B3039" s="49">
        <f t="shared" si="48"/>
        <v>1996</v>
      </c>
      <c r="C3039" s="27" t="s">
        <v>39</v>
      </c>
      <c r="D3039" s="27" t="s">
        <v>31</v>
      </c>
      <c r="E3039" s="27">
        <v>394</v>
      </c>
    </row>
    <row r="3040" spans="1:5" x14ac:dyDescent="0.25">
      <c r="A3040" s="26">
        <v>35370</v>
      </c>
      <c r="B3040" s="49">
        <f t="shared" si="48"/>
        <v>1996</v>
      </c>
      <c r="C3040" s="27" t="s">
        <v>39</v>
      </c>
      <c r="D3040" s="27" t="s">
        <v>31</v>
      </c>
      <c r="E3040" s="27">
        <v>210</v>
      </c>
    </row>
    <row r="3041" spans="1:5" x14ac:dyDescent="0.25">
      <c r="A3041" s="26">
        <v>35370</v>
      </c>
      <c r="B3041" s="49">
        <f t="shared" si="48"/>
        <v>1996</v>
      </c>
      <c r="C3041" s="27" t="s">
        <v>40</v>
      </c>
      <c r="D3041" s="27" t="s">
        <v>31</v>
      </c>
      <c r="E3041" s="27">
        <v>293</v>
      </c>
    </row>
    <row r="3042" spans="1:5" x14ac:dyDescent="0.25">
      <c r="A3042" s="26">
        <v>35370</v>
      </c>
      <c r="B3042" s="49">
        <f t="shared" si="48"/>
        <v>1996</v>
      </c>
      <c r="C3042" s="27" t="s">
        <v>37</v>
      </c>
      <c r="D3042" s="27" t="s">
        <v>31</v>
      </c>
      <c r="E3042" s="27">
        <v>124</v>
      </c>
    </row>
    <row r="3043" spans="1:5" x14ac:dyDescent="0.25">
      <c r="A3043" s="26">
        <v>35370</v>
      </c>
      <c r="B3043" s="49">
        <f t="shared" si="48"/>
        <v>1996</v>
      </c>
      <c r="C3043" s="27" t="s">
        <v>27</v>
      </c>
      <c r="D3043" s="27" t="s">
        <v>31</v>
      </c>
      <c r="E3043" s="27">
        <v>360</v>
      </c>
    </row>
    <row r="3044" spans="1:5" x14ac:dyDescent="0.25">
      <c r="A3044" s="26">
        <v>35370</v>
      </c>
      <c r="B3044" s="49">
        <f t="shared" si="48"/>
        <v>1996</v>
      </c>
      <c r="C3044" s="27" t="s">
        <v>35</v>
      </c>
      <c r="D3044" s="27" t="s">
        <v>31</v>
      </c>
      <c r="E3044" s="27">
        <v>198</v>
      </c>
    </row>
    <row r="3045" spans="1:5" x14ac:dyDescent="0.25">
      <c r="A3045" s="26">
        <v>35370</v>
      </c>
      <c r="B3045" s="49">
        <f t="shared" si="48"/>
        <v>1996</v>
      </c>
      <c r="C3045" s="27" t="s">
        <v>27</v>
      </c>
      <c r="D3045" s="27" t="s">
        <v>31</v>
      </c>
      <c r="E3045" s="27">
        <v>359</v>
      </c>
    </row>
    <row r="3046" spans="1:5" x14ac:dyDescent="0.25">
      <c r="A3046" s="26">
        <v>35370</v>
      </c>
      <c r="B3046" s="49">
        <f t="shared" si="48"/>
        <v>1996</v>
      </c>
      <c r="C3046" s="27" t="s">
        <v>35</v>
      </c>
      <c r="D3046" s="27" t="s">
        <v>31</v>
      </c>
      <c r="E3046" s="27">
        <v>146</v>
      </c>
    </row>
    <row r="3047" spans="1:5" x14ac:dyDescent="0.25">
      <c r="A3047" s="26">
        <v>35370</v>
      </c>
      <c r="B3047" s="49">
        <f t="shared" si="48"/>
        <v>1996</v>
      </c>
      <c r="C3047" s="27" t="s">
        <v>34</v>
      </c>
      <c r="D3047" s="27" t="s">
        <v>31</v>
      </c>
      <c r="E3047" s="27">
        <v>184</v>
      </c>
    </row>
    <row r="3048" spans="1:5" x14ac:dyDescent="0.25">
      <c r="A3048" s="26">
        <v>35370</v>
      </c>
      <c r="B3048" s="49">
        <f t="shared" si="48"/>
        <v>1996</v>
      </c>
      <c r="C3048" s="27" t="s">
        <v>37</v>
      </c>
      <c r="D3048" s="27" t="s">
        <v>31</v>
      </c>
      <c r="E3048" s="27">
        <v>184</v>
      </c>
    </row>
    <row r="3049" spans="1:5" x14ac:dyDescent="0.25">
      <c r="A3049" s="26">
        <v>35370</v>
      </c>
      <c r="B3049" s="49">
        <f t="shared" si="48"/>
        <v>1996</v>
      </c>
      <c r="C3049" s="27" t="s">
        <v>27</v>
      </c>
      <c r="D3049" s="27" t="s">
        <v>31</v>
      </c>
      <c r="E3049" s="27">
        <v>180</v>
      </c>
    </row>
    <row r="3050" spans="1:5" x14ac:dyDescent="0.25">
      <c r="A3050" s="26">
        <v>35370</v>
      </c>
      <c r="B3050" s="49">
        <f t="shared" si="48"/>
        <v>1996</v>
      </c>
      <c r="C3050" s="27" t="s">
        <v>37</v>
      </c>
      <c r="D3050" s="27" t="s">
        <v>31</v>
      </c>
      <c r="E3050" s="27">
        <v>333</v>
      </c>
    </row>
    <row r="3051" spans="1:5" x14ac:dyDescent="0.25">
      <c r="A3051" s="26">
        <v>35370</v>
      </c>
      <c r="B3051" s="49">
        <f t="shared" si="48"/>
        <v>1996</v>
      </c>
      <c r="C3051" s="27" t="s">
        <v>39</v>
      </c>
      <c r="D3051" s="27" t="s">
        <v>31</v>
      </c>
      <c r="E3051" s="27">
        <v>715</v>
      </c>
    </row>
    <row r="3052" spans="1:5" x14ac:dyDescent="0.25">
      <c r="A3052" s="26">
        <v>35370</v>
      </c>
      <c r="B3052" s="49">
        <f t="shared" si="48"/>
        <v>1996</v>
      </c>
      <c r="C3052" s="27" t="s">
        <v>34</v>
      </c>
      <c r="D3052" s="27" t="s">
        <v>31</v>
      </c>
      <c r="E3052" s="27">
        <v>768</v>
      </c>
    </row>
    <row r="3053" spans="1:5" x14ac:dyDescent="0.25">
      <c r="A3053" s="26">
        <v>35370</v>
      </c>
      <c r="B3053" s="49">
        <f t="shared" si="48"/>
        <v>1996</v>
      </c>
      <c r="C3053" s="27" t="s">
        <v>39</v>
      </c>
      <c r="D3053" s="27" t="s">
        <v>31</v>
      </c>
      <c r="E3053" s="27">
        <v>954</v>
      </c>
    </row>
    <row r="3054" spans="1:5" x14ac:dyDescent="0.25">
      <c r="A3054" s="26">
        <v>35370</v>
      </c>
      <c r="B3054" s="49">
        <f t="shared" si="48"/>
        <v>1996</v>
      </c>
      <c r="C3054" s="27" t="s">
        <v>32</v>
      </c>
      <c r="D3054" s="27" t="s">
        <v>31</v>
      </c>
      <c r="E3054" s="27">
        <v>1054</v>
      </c>
    </row>
    <row r="3055" spans="1:5" x14ac:dyDescent="0.25">
      <c r="A3055" s="26">
        <v>35370</v>
      </c>
      <c r="B3055" s="49">
        <f t="shared" si="48"/>
        <v>1996</v>
      </c>
      <c r="C3055" s="27" t="s">
        <v>35</v>
      </c>
      <c r="D3055" s="27" t="s">
        <v>31</v>
      </c>
      <c r="E3055" s="27">
        <v>39</v>
      </c>
    </row>
    <row r="3056" spans="1:5" x14ac:dyDescent="0.25">
      <c r="A3056" s="26">
        <v>35370</v>
      </c>
      <c r="B3056" s="49">
        <f t="shared" si="48"/>
        <v>1996</v>
      </c>
      <c r="C3056" s="27" t="s">
        <v>37</v>
      </c>
      <c r="D3056" s="27" t="s">
        <v>31</v>
      </c>
      <c r="E3056" s="27">
        <v>585</v>
      </c>
    </row>
    <row r="3057" spans="1:5" x14ac:dyDescent="0.25">
      <c r="A3057" s="26">
        <v>35370</v>
      </c>
      <c r="B3057" s="49">
        <f t="shared" si="48"/>
        <v>1996</v>
      </c>
      <c r="C3057" s="27" t="s">
        <v>27</v>
      </c>
      <c r="D3057" s="27" t="s">
        <v>31</v>
      </c>
      <c r="E3057" s="27">
        <v>88</v>
      </c>
    </row>
    <row r="3058" spans="1:5" x14ac:dyDescent="0.25">
      <c r="A3058" s="26">
        <v>35370</v>
      </c>
      <c r="B3058" s="49">
        <f t="shared" si="48"/>
        <v>1996</v>
      </c>
      <c r="C3058" s="27" t="s">
        <v>34</v>
      </c>
      <c r="D3058" s="27" t="s">
        <v>31</v>
      </c>
      <c r="E3058" s="27">
        <v>459</v>
      </c>
    </row>
    <row r="3059" spans="1:5" x14ac:dyDescent="0.25">
      <c r="A3059" s="26">
        <v>35370</v>
      </c>
      <c r="B3059" s="49">
        <f t="shared" si="48"/>
        <v>1996</v>
      </c>
      <c r="C3059" s="27" t="s">
        <v>32</v>
      </c>
      <c r="D3059" s="27" t="s">
        <v>31</v>
      </c>
      <c r="E3059" s="27">
        <v>609</v>
      </c>
    </row>
    <row r="3060" spans="1:5" x14ac:dyDescent="0.25">
      <c r="A3060" s="26">
        <v>35370</v>
      </c>
      <c r="B3060" s="49">
        <f t="shared" si="48"/>
        <v>1996</v>
      </c>
      <c r="C3060" s="27" t="s">
        <v>32</v>
      </c>
      <c r="D3060" s="27" t="s">
        <v>31</v>
      </c>
      <c r="E3060" s="27">
        <v>470</v>
      </c>
    </row>
    <row r="3061" spans="1:5" x14ac:dyDescent="0.25">
      <c r="A3061" s="26">
        <v>35370</v>
      </c>
      <c r="B3061" s="49">
        <f t="shared" si="48"/>
        <v>1996</v>
      </c>
      <c r="C3061" s="27" t="s">
        <v>35</v>
      </c>
      <c r="D3061" s="27" t="s">
        <v>33</v>
      </c>
      <c r="E3061" s="27">
        <v>302</v>
      </c>
    </row>
    <row r="3062" spans="1:5" x14ac:dyDescent="0.25">
      <c r="A3062" s="26">
        <v>35370</v>
      </c>
      <c r="B3062" s="49">
        <f t="shared" si="48"/>
        <v>1996</v>
      </c>
      <c r="C3062" s="27" t="s">
        <v>39</v>
      </c>
      <c r="D3062" s="27" t="s">
        <v>33</v>
      </c>
      <c r="E3062" s="27">
        <v>291</v>
      </c>
    </row>
    <row r="3063" spans="1:5" x14ac:dyDescent="0.25">
      <c r="A3063" s="26">
        <v>35370</v>
      </c>
      <c r="B3063" s="49">
        <f t="shared" si="48"/>
        <v>1996</v>
      </c>
      <c r="C3063" s="27" t="s">
        <v>40</v>
      </c>
      <c r="D3063" s="27" t="s">
        <v>33</v>
      </c>
      <c r="E3063" s="27">
        <v>288</v>
      </c>
    </row>
    <row r="3064" spans="1:5" x14ac:dyDescent="0.25">
      <c r="A3064" s="26">
        <v>35370</v>
      </c>
      <c r="B3064" s="49">
        <f t="shared" si="48"/>
        <v>1996</v>
      </c>
      <c r="C3064" s="27" t="s">
        <v>37</v>
      </c>
      <c r="D3064" s="27" t="s">
        <v>33</v>
      </c>
      <c r="E3064" s="27">
        <v>2112</v>
      </c>
    </row>
    <row r="3065" spans="1:5" x14ac:dyDescent="0.25">
      <c r="A3065" s="26">
        <v>35370</v>
      </c>
      <c r="B3065" s="49">
        <f t="shared" si="48"/>
        <v>1996</v>
      </c>
      <c r="C3065" s="27" t="s">
        <v>37</v>
      </c>
      <c r="D3065" s="27" t="s">
        <v>33</v>
      </c>
      <c r="E3065" s="27">
        <v>553</v>
      </c>
    </row>
    <row r="3066" spans="1:5" x14ac:dyDescent="0.25">
      <c r="A3066" s="26">
        <v>35370</v>
      </c>
      <c r="B3066" s="49">
        <f t="shared" si="48"/>
        <v>1996</v>
      </c>
      <c r="C3066" s="27" t="s">
        <v>32</v>
      </c>
      <c r="D3066" s="27" t="s">
        <v>33</v>
      </c>
      <c r="E3066" s="27">
        <v>441</v>
      </c>
    </row>
    <row r="3067" spans="1:5" x14ac:dyDescent="0.25">
      <c r="A3067" s="26">
        <v>35370</v>
      </c>
      <c r="B3067" s="49">
        <f t="shared" si="48"/>
        <v>1996</v>
      </c>
      <c r="C3067" s="27" t="s">
        <v>39</v>
      </c>
      <c r="D3067" s="27" t="s">
        <v>33</v>
      </c>
      <c r="E3067" s="27">
        <v>304</v>
      </c>
    </row>
    <row r="3068" spans="1:5" x14ac:dyDescent="0.25">
      <c r="A3068" s="26">
        <v>35370</v>
      </c>
      <c r="B3068" s="49">
        <f t="shared" si="48"/>
        <v>1996</v>
      </c>
      <c r="C3068" s="27" t="s">
        <v>32</v>
      </c>
      <c r="D3068" s="27" t="s">
        <v>33</v>
      </c>
      <c r="E3068" s="27">
        <v>568</v>
      </c>
    </row>
    <row r="3069" spans="1:5" x14ac:dyDescent="0.25">
      <c r="A3069" s="26">
        <v>35370</v>
      </c>
      <c r="B3069" s="49">
        <f t="shared" si="48"/>
        <v>1996</v>
      </c>
      <c r="C3069" s="27" t="s">
        <v>34</v>
      </c>
      <c r="D3069" s="27" t="s">
        <v>33</v>
      </c>
      <c r="E3069" s="27">
        <v>399</v>
      </c>
    </row>
    <row r="3070" spans="1:5" x14ac:dyDescent="0.25">
      <c r="A3070" s="26">
        <v>35370</v>
      </c>
      <c r="B3070" s="49">
        <f t="shared" si="48"/>
        <v>1996</v>
      </c>
      <c r="C3070" s="27" t="s">
        <v>32</v>
      </c>
      <c r="D3070" s="27" t="s">
        <v>33</v>
      </c>
      <c r="E3070" s="27">
        <v>1358</v>
      </c>
    </row>
    <row r="3071" spans="1:5" x14ac:dyDescent="0.25">
      <c r="A3071" s="26">
        <v>35370</v>
      </c>
      <c r="B3071" s="49">
        <f t="shared" si="48"/>
        <v>1996</v>
      </c>
      <c r="C3071" s="27" t="s">
        <v>32</v>
      </c>
      <c r="D3071" s="27" t="s">
        <v>33</v>
      </c>
      <c r="E3071" s="27">
        <v>1744</v>
      </c>
    </row>
    <row r="3072" spans="1:5" x14ac:dyDescent="0.25">
      <c r="A3072" s="26">
        <v>35370</v>
      </c>
      <c r="B3072" s="49">
        <f t="shared" si="48"/>
        <v>1996</v>
      </c>
      <c r="C3072" s="27" t="s">
        <v>34</v>
      </c>
      <c r="D3072" s="27" t="s">
        <v>33</v>
      </c>
      <c r="E3072" s="27">
        <v>667</v>
      </c>
    </row>
    <row r="3073" spans="1:5" x14ac:dyDescent="0.25">
      <c r="A3073" s="26">
        <v>35370</v>
      </c>
      <c r="B3073" s="49">
        <f t="shared" si="48"/>
        <v>1996</v>
      </c>
      <c r="C3073" s="27" t="s">
        <v>27</v>
      </c>
      <c r="D3073" s="27" t="s">
        <v>33</v>
      </c>
      <c r="E3073" s="27">
        <v>319</v>
      </c>
    </row>
    <row r="3074" spans="1:5" x14ac:dyDescent="0.25">
      <c r="A3074" s="26">
        <v>35370</v>
      </c>
      <c r="B3074" s="49">
        <f t="shared" si="48"/>
        <v>1996</v>
      </c>
      <c r="C3074" s="27" t="s">
        <v>39</v>
      </c>
      <c r="D3074" s="27" t="s">
        <v>33</v>
      </c>
      <c r="E3074" s="27">
        <v>96</v>
      </c>
    </row>
    <row r="3075" spans="1:5" x14ac:dyDescent="0.25">
      <c r="A3075" s="26">
        <v>35370</v>
      </c>
      <c r="B3075" s="49">
        <f t="shared" ref="B3075:B3138" si="49">YEAR(A3075)</f>
        <v>1996</v>
      </c>
      <c r="C3075" s="27" t="s">
        <v>37</v>
      </c>
      <c r="D3075" s="27" t="s">
        <v>33</v>
      </c>
      <c r="E3075" s="27">
        <v>114</v>
      </c>
    </row>
    <row r="3076" spans="1:5" x14ac:dyDescent="0.25">
      <c r="A3076" s="26">
        <v>35370</v>
      </c>
      <c r="B3076" s="49">
        <f t="shared" si="49"/>
        <v>1996</v>
      </c>
      <c r="C3076" s="27" t="s">
        <v>27</v>
      </c>
      <c r="D3076" s="27" t="s">
        <v>33</v>
      </c>
      <c r="E3076" s="27">
        <v>56</v>
      </c>
    </row>
    <row r="3077" spans="1:5" x14ac:dyDescent="0.25">
      <c r="A3077" s="26">
        <v>35370</v>
      </c>
      <c r="B3077" s="49">
        <f t="shared" si="49"/>
        <v>1996</v>
      </c>
      <c r="C3077" s="27" t="s">
        <v>35</v>
      </c>
      <c r="D3077" s="27" t="s">
        <v>33</v>
      </c>
      <c r="E3077" s="27">
        <v>137</v>
      </c>
    </row>
    <row r="3078" spans="1:5" x14ac:dyDescent="0.25">
      <c r="A3078" s="26">
        <v>35370</v>
      </c>
      <c r="B3078" s="49">
        <f t="shared" si="49"/>
        <v>1996</v>
      </c>
      <c r="C3078" s="27" t="s">
        <v>27</v>
      </c>
      <c r="D3078" s="27" t="s">
        <v>33</v>
      </c>
      <c r="E3078" s="27">
        <v>45</v>
      </c>
    </row>
    <row r="3079" spans="1:5" x14ac:dyDescent="0.25">
      <c r="A3079" s="26">
        <v>35370</v>
      </c>
      <c r="B3079" s="49">
        <f t="shared" si="49"/>
        <v>1996</v>
      </c>
      <c r="C3079" s="27" t="s">
        <v>34</v>
      </c>
      <c r="D3079" s="27" t="s">
        <v>33</v>
      </c>
      <c r="E3079" s="27">
        <v>104</v>
      </c>
    </row>
    <row r="3080" spans="1:5" x14ac:dyDescent="0.25">
      <c r="A3080" s="26">
        <v>35370</v>
      </c>
      <c r="B3080" s="49">
        <f t="shared" si="49"/>
        <v>1996</v>
      </c>
      <c r="C3080" s="27" t="s">
        <v>34</v>
      </c>
      <c r="D3080" s="27" t="s">
        <v>33</v>
      </c>
      <c r="E3080" s="27">
        <v>95</v>
      </c>
    </row>
    <row r="3081" spans="1:5" x14ac:dyDescent="0.25">
      <c r="A3081" s="26">
        <v>35370</v>
      </c>
      <c r="B3081" s="49">
        <f t="shared" si="49"/>
        <v>1996</v>
      </c>
      <c r="C3081" s="27" t="s">
        <v>35</v>
      </c>
      <c r="D3081" s="27" t="s">
        <v>33</v>
      </c>
      <c r="E3081" s="27">
        <v>70</v>
      </c>
    </row>
    <row r="3082" spans="1:5" x14ac:dyDescent="0.25">
      <c r="A3082" s="26">
        <v>35370</v>
      </c>
      <c r="B3082" s="49">
        <f t="shared" si="49"/>
        <v>1996</v>
      </c>
      <c r="C3082" s="27" t="s">
        <v>27</v>
      </c>
      <c r="D3082" s="27" t="s">
        <v>33</v>
      </c>
      <c r="E3082" s="27">
        <v>35</v>
      </c>
    </row>
    <row r="3083" spans="1:5" x14ac:dyDescent="0.25">
      <c r="A3083" s="26">
        <v>35370</v>
      </c>
      <c r="B3083" s="49">
        <f t="shared" si="49"/>
        <v>1996</v>
      </c>
      <c r="C3083" s="27" t="s">
        <v>37</v>
      </c>
      <c r="D3083" s="27" t="s">
        <v>33</v>
      </c>
      <c r="E3083" s="27">
        <v>101</v>
      </c>
    </row>
    <row r="3084" spans="1:5" x14ac:dyDescent="0.25">
      <c r="A3084" s="26">
        <v>35370</v>
      </c>
      <c r="B3084" s="49">
        <f t="shared" si="49"/>
        <v>1996</v>
      </c>
      <c r="C3084" s="27" t="s">
        <v>35</v>
      </c>
      <c r="D3084" s="27" t="s">
        <v>33</v>
      </c>
      <c r="E3084" s="27">
        <v>236</v>
      </c>
    </row>
    <row r="3085" spans="1:5" x14ac:dyDescent="0.25">
      <c r="A3085" s="26">
        <v>35370</v>
      </c>
      <c r="B3085" s="49">
        <f t="shared" si="49"/>
        <v>1996</v>
      </c>
      <c r="C3085" s="27" t="s">
        <v>39</v>
      </c>
      <c r="D3085" s="27" t="s">
        <v>33</v>
      </c>
      <c r="E3085" s="27">
        <v>203</v>
      </c>
    </row>
    <row r="3086" spans="1:5" x14ac:dyDescent="0.25">
      <c r="A3086" s="26">
        <v>35370</v>
      </c>
      <c r="B3086" s="49">
        <f t="shared" si="49"/>
        <v>1996</v>
      </c>
      <c r="C3086" s="27" t="s">
        <v>40</v>
      </c>
      <c r="D3086" s="27" t="s">
        <v>33</v>
      </c>
      <c r="E3086" s="27">
        <v>186</v>
      </c>
    </row>
    <row r="3087" spans="1:5" x14ac:dyDescent="0.25">
      <c r="A3087" s="26">
        <v>35370</v>
      </c>
      <c r="B3087" s="49">
        <f t="shared" si="49"/>
        <v>1996</v>
      </c>
      <c r="C3087" s="27" t="s">
        <v>32</v>
      </c>
      <c r="D3087" s="27" t="s">
        <v>36</v>
      </c>
      <c r="E3087" s="27">
        <v>35</v>
      </c>
    </row>
    <row r="3088" spans="1:5" x14ac:dyDescent="0.25">
      <c r="A3088" s="26">
        <v>35370</v>
      </c>
      <c r="B3088" s="49">
        <f t="shared" si="49"/>
        <v>1996</v>
      </c>
      <c r="C3088" s="27" t="s">
        <v>37</v>
      </c>
      <c r="D3088" s="27" t="s">
        <v>36</v>
      </c>
      <c r="E3088" s="27">
        <v>18</v>
      </c>
    </row>
    <row r="3089" spans="1:5" x14ac:dyDescent="0.25">
      <c r="A3089" s="26">
        <v>35370</v>
      </c>
      <c r="B3089" s="49">
        <f t="shared" si="49"/>
        <v>1996</v>
      </c>
      <c r="C3089" s="27" t="s">
        <v>37</v>
      </c>
      <c r="D3089" s="27" t="s">
        <v>36</v>
      </c>
      <c r="E3089" s="27">
        <v>1379</v>
      </c>
    </row>
    <row r="3090" spans="1:5" x14ac:dyDescent="0.25">
      <c r="A3090" s="26">
        <v>35370</v>
      </c>
      <c r="B3090" s="49">
        <f t="shared" si="49"/>
        <v>1996</v>
      </c>
      <c r="C3090" s="27" t="s">
        <v>27</v>
      </c>
      <c r="D3090" s="27" t="s">
        <v>36</v>
      </c>
      <c r="E3090" s="27">
        <v>18</v>
      </c>
    </row>
    <row r="3091" spans="1:5" x14ac:dyDescent="0.25">
      <c r="A3091" s="26">
        <v>35370</v>
      </c>
      <c r="B3091" s="49">
        <f t="shared" si="49"/>
        <v>1996</v>
      </c>
      <c r="C3091" s="27" t="s">
        <v>32</v>
      </c>
      <c r="D3091" s="27" t="s">
        <v>36</v>
      </c>
      <c r="E3091" s="27">
        <v>26</v>
      </c>
    </row>
    <row r="3092" spans="1:5" x14ac:dyDescent="0.25">
      <c r="A3092" s="26">
        <v>35370</v>
      </c>
      <c r="B3092" s="49">
        <f t="shared" si="49"/>
        <v>1996</v>
      </c>
      <c r="C3092" s="27" t="s">
        <v>27</v>
      </c>
      <c r="D3092" s="27" t="s">
        <v>36</v>
      </c>
      <c r="E3092" s="27">
        <v>35</v>
      </c>
    </row>
    <row r="3093" spans="1:5" x14ac:dyDescent="0.25">
      <c r="A3093" s="26">
        <v>35370</v>
      </c>
      <c r="B3093" s="49">
        <f t="shared" si="49"/>
        <v>1996</v>
      </c>
      <c r="C3093" s="27" t="s">
        <v>35</v>
      </c>
      <c r="D3093" s="27" t="s">
        <v>36</v>
      </c>
      <c r="E3093" s="27">
        <v>35</v>
      </c>
    </row>
    <row r="3094" spans="1:5" x14ac:dyDescent="0.25">
      <c r="A3094" s="26">
        <v>35370</v>
      </c>
      <c r="B3094" s="49">
        <f t="shared" si="49"/>
        <v>1996</v>
      </c>
      <c r="C3094" s="27" t="s">
        <v>27</v>
      </c>
      <c r="D3094" s="27" t="s">
        <v>36</v>
      </c>
      <c r="E3094" s="27">
        <v>41</v>
      </c>
    </row>
    <row r="3095" spans="1:5" x14ac:dyDescent="0.25">
      <c r="A3095" s="26">
        <v>35370</v>
      </c>
      <c r="B3095" s="49">
        <f t="shared" si="49"/>
        <v>1996</v>
      </c>
      <c r="C3095" s="27" t="s">
        <v>39</v>
      </c>
      <c r="D3095" s="27" t="s">
        <v>36</v>
      </c>
      <c r="E3095" s="27">
        <v>1327</v>
      </c>
    </row>
    <row r="3096" spans="1:5" x14ac:dyDescent="0.25">
      <c r="A3096" s="26">
        <v>35370</v>
      </c>
      <c r="B3096" s="49">
        <f t="shared" si="49"/>
        <v>1996</v>
      </c>
      <c r="C3096" s="27" t="s">
        <v>27</v>
      </c>
      <c r="D3096" s="27" t="s">
        <v>36</v>
      </c>
      <c r="E3096" s="27">
        <v>7</v>
      </c>
    </row>
    <row r="3097" spans="1:5" x14ac:dyDescent="0.25">
      <c r="A3097" s="26">
        <v>35370</v>
      </c>
      <c r="B3097" s="49">
        <f t="shared" si="49"/>
        <v>1996</v>
      </c>
      <c r="C3097" s="27" t="s">
        <v>40</v>
      </c>
      <c r="D3097" s="27" t="s">
        <v>36</v>
      </c>
      <c r="E3097" s="27">
        <v>154</v>
      </c>
    </row>
    <row r="3098" spans="1:5" x14ac:dyDescent="0.25">
      <c r="A3098" s="26">
        <v>35370</v>
      </c>
      <c r="B3098" s="49">
        <f t="shared" si="49"/>
        <v>1996</v>
      </c>
      <c r="C3098" s="27" t="s">
        <v>39</v>
      </c>
      <c r="D3098" s="27" t="s">
        <v>36</v>
      </c>
      <c r="E3098" s="27">
        <v>99</v>
      </c>
    </row>
    <row r="3099" spans="1:5" x14ac:dyDescent="0.25">
      <c r="A3099" s="26">
        <v>35370</v>
      </c>
      <c r="B3099" s="49">
        <f t="shared" si="49"/>
        <v>1996</v>
      </c>
      <c r="C3099" s="27" t="s">
        <v>40</v>
      </c>
      <c r="D3099" s="27" t="s">
        <v>36</v>
      </c>
      <c r="E3099" s="27">
        <v>116</v>
      </c>
    </row>
    <row r="3100" spans="1:5" x14ac:dyDescent="0.25">
      <c r="A3100" s="26">
        <v>35370</v>
      </c>
      <c r="B3100" s="49">
        <f t="shared" si="49"/>
        <v>1996</v>
      </c>
      <c r="C3100" s="27" t="s">
        <v>32</v>
      </c>
      <c r="D3100" s="27" t="s">
        <v>36</v>
      </c>
      <c r="E3100" s="27">
        <v>124</v>
      </c>
    </row>
    <row r="3101" spans="1:5" x14ac:dyDescent="0.25">
      <c r="A3101" s="26">
        <v>35370</v>
      </c>
      <c r="B3101" s="49">
        <f t="shared" si="49"/>
        <v>1996</v>
      </c>
      <c r="C3101" s="27" t="s">
        <v>37</v>
      </c>
      <c r="D3101" s="27" t="s">
        <v>36</v>
      </c>
      <c r="E3101" s="27">
        <v>133</v>
      </c>
    </row>
    <row r="3102" spans="1:5" x14ac:dyDescent="0.25">
      <c r="A3102" s="26">
        <v>35370</v>
      </c>
      <c r="B3102" s="49">
        <f t="shared" si="49"/>
        <v>1996</v>
      </c>
      <c r="C3102" s="27" t="s">
        <v>39</v>
      </c>
      <c r="D3102" s="27" t="s">
        <v>36</v>
      </c>
      <c r="E3102" s="27">
        <v>135</v>
      </c>
    </row>
    <row r="3103" spans="1:5" x14ac:dyDescent="0.25">
      <c r="A3103" s="26">
        <v>35370</v>
      </c>
      <c r="B3103" s="49">
        <f t="shared" si="49"/>
        <v>1996</v>
      </c>
      <c r="C3103" s="27" t="s">
        <v>37</v>
      </c>
      <c r="D3103" s="27" t="s">
        <v>36</v>
      </c>
      <c r="E3103" s="27">
        <v>347</v>
      </c>
    </row>
    <row r="3104" spans="1:5" x14ac:dyDescent="0.25">
      <c r="A3104" s="26">
        <v>35370</v>
      </c>
      <c r="B3104" s="49">
        <f t="shared" si="49"/>
        <v>1996</v>
      </c>
      <c r="C3104" s="27" t="s">
        <v>34</v>
      </c>
      <c r="D3104" s="27" t="s">
        <v>36</v>
      </c>
      <c r="E3104" s="27">
        <v>135</v>
      </c>
    </row>
    <row r="3105" spans="1:5" x14ac:dyDescent="0.25">
      <c r="A3105" s="26">
        <v>35370</v>
      </c>
      <c r="B3105" s="49">
        <f t="shared" si="49"/>
        <v>1996</v>
      </c>
      <c r="C3105" s="27" t="s">
        <v>32</v>
      </c>
      <c r="D3105" s="27" t="s">
        <v>36</v>
      </c>
      <c r="E3105" s="27">
        <v>90</v>
      </c>
    </row>
    <row r="3106" spans="1:5" x14ac:dyDescent="0.25">
      <c r="A3106" s="26">
        <v>35370</v>
      </c>
      <c r="B3106" s="49">
        <f t="shared" si="49"/>
        <v>1996</v>
      </c>
      <c r="C3106" s="27" t="s">
        <v>35</v>
      </c>
      <c r="D3106" s="27" t="s">
        <v>36</v>
      </c>
      <c r="E3106" s="27">
        <v>179</v>
      </c>
    </row>
    <row r="3107" spans="1:5" x14ac:dyDescent="0.25">
      <c r="A3107" s="26">
        <v>35370</v>
      </c>
      <c r="B3107" s="49">
        <f t="shared" si="49"/>
        <v>1996</v>
      </c>
      <c r="C3107" s="27" t="s">
        <v>35</v>
      </c>
      <c r="D3107" s="27" t="s">
        <v>36</v>
      </c>
      <c r="E3107" s="27">
        <v>191</v>
      </c>
    </row>
    <row r="3108" spans="1:5" x14ac:dyDescent="0.25">
      <c r="A3108" s="26">
        <v>35370</v>
      </c>
      <c r="B3108" s="49">
        <f t="shared" si="49"/>
        <v>1996</v>
      </c>
      <c r="C3108" s="27" t="s">
        <v>35</v>
      </c>
      <c r="D3108" s="27" t="s">
        <v>36</v>
      </c>
      <c r="E3108" s="27">
        <v>46</v>
      </c>
    </row>
    <row r="3109" spans="1:5" x14ac:dyDescent="0.25">
      <c r="A3109" s="26">
        <v>35370</v>
      </c>
      <c r="B3109" s="49">
        <f t="shared" si="49"/>
        <v>1996</v>
      </c>
      <c r="C3109" s="27" t="s">
        <v>35</v>
      </c>
      <c r="D3109" s="27" t="s">
        <v>36</v>
      </c>
      <c r="E3109" s="27">
        <v>226</v>
      </c>
    </row>
    <row r="3110" spans="1:5" x14ac:dyDescent="0.25">
      <c r="A3110" s="26">
        <v>35370</v>
      </c>
      <c r="B3110" s="49">
        <f t="shared" si="49"/>
        <v>1996</v>
      </c>
      <c r="C3110" s="27" t="s">
        <v>40</v>
      </c>
      <c r="D3110" s="27" t="s">
        <v>36</v>
      </c>
      <c r="E3110" s="27">
        <v>830</v>
      </c>
    </row>
    <row r="3111" spans="1:5" x14ac:dyDescent="0.25">
      <c r="A3111" s="26">
        <v>35370</v>
      </c>
      <c r="B3111" s="49">
        <f t="shared" si="49"/>
        <v>1996</v>
      </c>
      <c r="C3111" s="27" t="s">
        <v>35</v>
      </c>
      <c r="D3111" s="27" t="s">
        <v>36</v>
      </c>
      <c r="E3111" s="27">
        <v>54</v>
      </c>
    </row>
    <row r="3112" spans="1:5" x14ac:dyDescent="0.25">
      <c r="A3112" s="26">
        <v>35370</v>
      </c>
      <c r="B3112" s="49">
        <f t="shared" si="49"/>
        <v>1996</v>
      </c>
      <c r="C3112" s="27" t="s">
        <v>34</v>
      </c>
      <c r="D3112" s="27" t="s">
        <v>36</v>
      </c>
      <c r="E3112" s="27">
        <v>225</v>
      </c>
    </row>
    <row r="3113" spans="1:5" x14ac:dyDescent="0.25">
      <c r="A3113" s="26">
        <v>35370</v>
      </c>
      <c r="B3113" s="49">
        <f t="shared" si="49"/>
        <v>1996</v>
      </c>
      <c r="C3113" s="27" t="s">
        <v>32</v>
      </c>
      <c r="D3113" s="27" t="s">
        <v>36</v>
      </c>
      <c r="E3113" s="27">
        <v>677</v>
      </c>
    </row>
    <row r="3114" spans="1:5" x14ac:dyDescent="0.25">
      <c r="A3114" s="26">
        <v>35370</v>
      </c>
      <c r="B3114" s="49">
        <f t="shared" si="49"/>
        <v>1996</v>
      </c>
      <c r="C3114" s="27" t="s">
        <v>37</v>
      </c>
      <c r="D3114" s="27" t="s">
        <v>36</v>
      </c>
      <c r="E3114" s="27">
        <v>56</v>
      </c>
    </row>
    <row r="3115" spans="1:5" x14ac:dyDescent="0.25">
      <c r="A3115" s="26">
        <v>35370</v>
      </c>
      <c r="B3115" s="49">
        <f t="shared" si="49"/>
        <v>1996</v>
      </c>
      <c r="C3115" s="27" t="s">
        <v>32</v>
      </c>
      <c r="D3115" s="27" t="s">
        <v>36</v>
      </c>
      <c r="E3115" s="27">
        <v>66</v>
      </c>
    </row>
    <row r="3116" spans="1:5" x14ac:dyDescent="0.25">
      <c r="A3116" s="26">
        <v>35370</v>
      </c>
      <c r="B3116" s="49">
        <f t="shared" si="49"/>
        <v>1996</v>
      </c>
      <c r="C3116" s="27" t="s">
        <v>27</v>
      </c>
      <c r="D3116" s="27" t="s">
        <v>36</v>
      </c>
      <c r="E3116" s="27">
        <v>68</v>
      </c>
    </row>
    <row r="3117" spans="1:5" x14ac:dyDescent="0.25">
      <c r="A3117" s="26">
        <v>35370</v>
      </c>
      <c r="B3117" s="49">
        <f t="shared" si="49"/>
        <v>1996</v>
      </c>
      <c r="C3117" s="27" t="s">
        <v>37</v>
      </c>
      <c r="D3117" s="27" t="s">
        <v>36</v>
      </c>
      <c r="E3117" s="27">
        <v>96</v>
      </c>
    </row>
    <row r="3118" spans="1:5" x14ac:dyDescent="0.25">
      <c r="A3118" s="26">
        <v>35370</v>
      </c>
      <c r="B3118" s="49">
        <f t="shared" si="49"/>
        <v>1996</v>
      </c>
      <c r="C3118" s="27" t="s">
        <v>27</v>
      </c>
      <c r="D3118" s="27" t="s">
        <v>36</v>
      </c>
      <c r="E3118" s="27">
        <v>72</v>
      </c>
    </row>
    <row r="3119" spans="1:5" x14ac:dyDescent="0.25">
      <c r="A3119" s="26">
        <v>35370</v>
      </c>
      <c r="B3119" s="49">
        <f t="shared" si="49"/>
        <v>1996</v>
      </c>
      <c r="C3119" s="27" t="s">
        <v>34</v>
      </c>
      <c r="D3119" s="27" t="s">
        <v>36</v>
      </c>
      <c r="E3119" s="27">
        <v>79</v>
      </c>
    </row>
    <row r="3120" spans="1:5" x14ac:dyDescent="0.25">
      <c r="A3120" s="26">
        <v>35370</v>
      </c>
      <c r="B3120" s="49">
        <f t="shared" si="49"/>
        <v>1996</v>
      </c>
      <c r="C3120" s="27" t="s">
        <v>34</v>
      </c>
      <c r="D3120" s="27" t="s">
        <v>36</v>
      </c>
      <c r="E3120" s="27">
        <v>83</v>
      </c>
    </row>
    <row r="3121" spans="1:5" x14ac:dyDescent="0.25">
      <c r="A3121" s="26">
        <v>35370</v>
      </c>
      <c r="B3121" s="49">
        <f t="shared" si="49"/>
        <v>1996</v>
      </c>
      <c r="C3121" s="27" t="s">
        <v>39</v>
      </c>
      <c r="D3121" s="27" t="s">
        <v>36</v>
      </c>
      <c r="E3121" s="27">
        <v>90</v>
      </c>
    </row>
    <row r="3122" spans="1:5" x14ac:dyDescent="0.25">
      <c r="A3122" s="26">
        <v>35370</v>
      </c>
      <c r="B3122" s="49">
        <f t="shared" si="49"/>
        <v>1996</v>
      </c>
      <c r="C3122" s="27" t="s">
        <v>39</v>
      </c>
      <c r="D3122" s="27" t="s">
        <v>36</v>
      </c>
      <c r="E3122" s="27">
        <v>867</v>
      </c>
    </row>
    <row r="3123" spans="1:5" x14ac:dyDescent="0.25">
      <c r="A3123" s="26">
        <v>35400</v>
      </c>
      <c r="B3123" s="49">
        <f t="shared" si="49"/>
        <v>1996</v>
      </c>
      <c r="C3123" s="27" t="s">
        <v>27</v>
      </c>
      <c r="D3123" s="27" t="s">
        <v>28</v>
      </c>
      <c r="E3123" s="27">
        <v>83</v>
      </c>
    </row>
    <row r="3124" spans="1:5" x14ac:dyDescent="0.25">
      <c r="A3124" s="26">
        <v>35400</v>
      </c>
      <c r="B3124" s="49">
        <f t="shared" si="49"/>
        <v>1996</v>
      </c>
      <c r="C3124" s="27" t="s">
        <v>40</v>
      </c>
      <c r="D3124" s="27" t="s">
        <v>28</v>
      </c>
      <c r="E3124" s="27">
        <v>360</v>
      </c>
    </row>
    <row r="3125" spans="1:5" x14ac:dyDescent="0.25">
      <c r="A3125" s="26">
        <v>35400</v>
      </c>
      <c r="B3125" s="49">
        <f t="shared" si="49"/>
        <v>1996</v>
      </c>
      <c r="C3125" s="27" t="s">
        <v>37</v>
      </c>
      <c r="D3125" s="27" t="s">
        <v>28</v>
      </c>
      <c r="E3125" s="27">
        <v>338</v>
      </c>
    </row>
    <row r="3126" spans="1:5" x14ac:dyDescent="0.25">
      <c r="A3126" s="26">
        <v>35400</v>
      </c>
      <c r="B3126" s="49">
        <f t="shared" si="49"/>
        <v>1996</v>
      </c>
      <c r="C3126" s="27" t="s">
        <v>27</v>
      </c>
      <c r="D3126" s="27" t="s">
        <v>28</v>
      </c>
      <c r="E3126" s="27">
        <v>99</v>
      </c>
    </row>
    <row r="3127" spans="1:5" x14ac:dyDescent="0.25">
      <c r="A3127" s="26">
        <v>35400</v>
      </c>
      <c r="B3127" s="49">
        <f t="shared" si="49"/>
        <v>1996</v>
      </c>
      <c r="C3127" s="27" t="s">
        <v>35</v>
      </c>
      <c r="D3127" s="27" t="s">
        <v>28</v>
      </c>
      <c r="E3127" s="27">
        <v>314</v>
      </c>
    </row>
    <row r="3128" spans="1:5" x14ac:dyDescent="0.25">
      <c r="A3128" s="26">
        <v>35400</v>
      </c>
      <c r="B3128" s="49">
        <f t="shared" si="49"/>
        <v>1996</v>
      </c>
      <c r="C3128" s="27" t="s">
        <v>32</v>
      </c>
      <c r="D3128" s="27" t="s">
        <v>28</v>
      </c>
      <c r="E3128" s="27">
        <v>113</v>
      </c>
    </row>
    <row r="3129" spans="1:5" x14ac:dyDescent="0.25">
      <c r="A3129" s="26">
        <v>35400</v>
      </c>
      <c r="B3129" s="49">
        <f t="shared" si="49"/>
        <v>1996</v>
      </c>
      <c r="C3129" s="27" t="s">
        <v>27</v>
      </c>
      <c r="D3129" s="27" t="s">
        <v>28</v>
      </c>
      <c r="E3129" s="27">
        <v>1863</v>
      </c>
    </row>
    <row r="3130" spans="1:5" x14ac:dyDescent="0.25">
      <c r="A3130" s="26">
        <v>35400</v>
      </c>
      <c r="B3130" s="49">
        <f t="shared" si="49"/>
        <v>1996</v>
      </c>
      <c r="C3130" s="27" t="s">
        <v>37</v>
      </c>
      <c r="D3130" s="27" t="s">
        <v>28</v>
      </c>
      <c r="E3130" s="27">
        <v>180</v>
      </c>
    </row>
    <row r="3131" spans="1:5" x14ac:dyDescent="0.25">
      <c r="A3131" s="26">
        <v>35400</v>
      </c>
      <c r="B3131" s="49">
        <f t="shared" si="49"/>
        <v>1996</v>
      </c>
      <c r="C3131" s="27" t="s">
        <v>35</v>
      </c>
      <c r="D3131" s="27" t="s">
        <v>28</v>
      </c>
      <c r="E3131" s="27">
        <v>214</v>
      </c>
    </row>
    <row r="3132" spans="1:5" x14ac:dyDescent="0.25">
      <c r="A3132" s="26">
        <v>35400</v>
      </c>
      <c r="B3132" s="49">
        <f t="shared" si="49"/>
        <v>1996</v>
      </c>
      <c r="C3132" s="27" t="s">
        <v>32</v>
      </c>
      <c r="D3132" s="27" t="s">
        <v>28</v>
      </c>
      <c r="E3132" s="27">
        <v>225</v>
      </c>
    </row>
    <row r="3133" spans="1:5" x14ac:dyDescent="0.25">
      <c r="A3133" s="26">
        <v>35400</v>
      </c>
      <c r="B3133" s="49">
        <f t="shared" si="49"/>
        <v>1996</v>
      </c>
      <c r="C3133" s="27" t="s">
        <v>39</v>
      </c>
      <c r="D3133" s="27" t="s">
        <v>28</v>
      </c>
      <c r="E3133" s="27">
        <v>158</v>
      </c>
    </row>
    <row r="3134" spans="1:5" x14ac:dyDescent="0.25">
      <c r="A3134" s="26">
        <v>35400</v>
      </c>
      <c r="B3134" s="49">
        <f t="shared" si="49"/>
        <v>1996</v>
      </c>
      <c r="C3134" s="27" t="s">
        <v>34</v>
      </c>
      <c r="D3134" s="27" t="s">
        <v>28</v>
      </c>
      <c r="E3134" s="27">
        <v>124</v>
      </c>
    </row>
    <row r="3135" spans="1:5" x14ac:dyDescent="0.25">
      <c r="A3135" s="26">
        <v>35400</v>
      </c>
      <c r="B3135" s="49">
        <f t="shared" si="49"/>
        <v>1996</v>
      </c>
      <c r="C3135" s="27" t="s">
        <v>39</v>
      </c>
      <c r="D3135" s="27" t="s">
        <v>28</v>
      </c>
      <c r="E3135" s="27">
        <v>138</v>
      </c>
    </row>
    <row r="3136" spans="1:5" x14ac:dyDescent="0.25">
      <c r="A3136" s="26">
        <v>35400</v>
      </c>
      <c r="B3136" s="49">
        <f t="shared" si="49"/>
        <v>1996</v>
      </c>
      <c r="C3136" s="27" t="s">
        <v>34</v>
      </c>
      <c r="D3136" s="27" t="s">
        <v>28</v>
      </c>
      <c r="E3136" s="27">
        <v>531</v>
      </c>
    </row>
    <row r="3137" spans="1:5" x14ac:dyDescent="0.25">
      <c r="A3137" s="26">
        <v>35400</v>
      </c>
      <c r="B3137" s="49">
        <f t="shared" si="49"/>
        <v>1996</v>
      </c>
      <c r="C3137" s="27" t="s">
        <v>32</v>
      </c>
      <c r="D3137" s="27" t="s">
        <v>28</v>
      </c>
      <c r="E3137" s="27">
        <v>523</v>
      </c>
    </row>
    <row r="3138" spans="1:5" x14ac:dyDescent="0.25">
      <c r="A3138" s="26">
        <v>35400</v>
      </c>
      <c r="B3138" s="49">
        <f t="shared" si="49"/>
        <v>1996</v>
      </c>
      <c r="C3138" s="27" t="s">
        <v>39</v>
      </c>
      <c r="D3138" s="27" t="s">
        <v>28</v>
      </c>
      <c r="E3138" s="27">
        <v>623</v>
      </c>
    </row>
    <row r="3139" spans="1:5" x14ac:dyDescent="0.25">
      <c r="A3139" s="26">
        <v>35400</v>
      </c>
      <c r="B3139" s="49">
        <f t="shared" ref="B3139:B3202" si="50">YEAR(A3139)</f>
        <v>1996</v>
      </c>
      <c r="C3139" s="27" t="s">
        <v>37</v>
      </c>
      <c r="D3139" s="27" t="s">
        <v>28</v>
      </c>
      <c r="E3139" s="27">
        <v>694</v>
      </c>
    </row>
    <row r="3140" spans="1:5" x14ac:dyDescent="0.25">
      <c r="A3140" s="26">
        <v>35400</v>
      </c>
      <c r="B3140" s="49">
        <f t="shared" si="50"/>
        <v>1996</v>
      </c>
      <c r="C3140" s="27" t="s">
        <v>32</v>
      </c>
      <c r="D3140" s="27" t="s">
        <v>28</v>
      </c>
      <c r="E3140" s="27">
        <v>3873</v>
      </c>
    </row>
    <row r="3141" spans="1:5" x14ac:dyDescent="0.25">
      <c r="A3141" s="26">
        <v>35400</v>
      </c>
      <c r="B3141" s="49">
        <f t="shared" si="50"/>
        <v>1996</v>
      </c>
      <c r="C3141" s="27" t="s">
        <v>40</v>
      </c>
      <c r="D3141" s="27" t="s">
        <v>28</v>
      </c>
      <c r="E3141" s="27">
        <v>413</v>
      </c>
    </row>
    <row r="3142" spans="1:5" x14ac:dyDescent="0.25">
      <c r="A3142" s="26">
        <v>35400</v>
      </c>
      <c r="B3142" s="49">
        <f t="shared" si="50"/>
        <v>1996</v>
      </c>
      <c r="C3142" s="27" t="s">
        <v>35</v>
      </c>
      <c r="D3142" s="27" t="s">
        <v>28</v>
      </c>
      <c r="E3142" s="27">
        <v>854</v>
      </c>
    </row>
    <row r="3143" spans="1:5" x14ac:dyDescent="0.25">
      <c r="A3143" s="26">
        <v>35400</v>
      </c>
      <c r="B3143" s="49">
        <f t="shared" si="50"/>
        <v>1996</v>
      </c>
      <c r="C3143" s="27" t="s">
        <v>27</v>
      </c>
      <c r="D3143" s="27" t="s">
        <v>28</v>
      </c>
      <c r="E3143" s="27">
        <v>957</v>
      </c>
    </row>
    <row r="3144" spans="1:5" x14ac:dyDescent="0.25">
      <c r="A3144" s="26">
        <v>35400</v>
      </c>
      <c r="B3144" s="49">
        <f t="shared" si="50"/>
        <v>1996</v>
      </c>
      <c r="C3144" s="27" t="s">
        <v>34</v>
      </c>
      <c r="D3144" s="27" t="s">
        <v>28</v>
      </c>
      <c r="E3144" s="27">
        <v>1051</v>
      </c>
    </row>
    <row r="3145" spans="1:5" x14ac:dyDescent="0.25">
      <c r="A3145" s="26">
        <v>35400</v>
      </c>
      <c r="B3145" s="49">
        <f t="shared" si="50"/>
        <v>1996</v>
      </c>
      <c r="C3145" s="27" t="s">
        <v>34</v>
      </c>
      <c r="D3145" s="27" t="s">
        <v>28</v>
      </c>
      <c r="E3145" s="27">
        <v>405</v>
      </c>
    </row>
    <row r="3146" spans="1:5" x14ac:dyDescent="0.25">
      <c r="A3146" s="26">
        <v>35400</v>
      </c>
      <c r="B3146" s="49">
        <f t="shared" si="50"/>
        <v>1996</v>
      </c>
      <c r="C3146" s="27" t="s">
        <v>37</v>
      </c>
      <c r="D3146" s="27" t="s">
        <v>28</v>
      </c>
      <c r="E3146" s="27">
        <v>1118</v>
      </c>
    </row>
    <row r="3147" spans="1:5" x14ac:dyDescent="0.25">
      <c r="A3147" s="26">
        <v>35400</v>
      </c>
      <c r="B3147" s="49">
        <f t="shared" si="50"/>
        <v>1996</v>
      </c>
      <c r="C3147" s="27" t="s">
        <v>39</v>
      </c>
      <c r="D3147" s="27" t="s">
        <v>28</v>
      </c>
      <c r="E3147" s="27">
        <v>1319</v>
      </c>
    </row>
    <row r="3148" spans="1:5" x14ac:dyDescent="0.25">
      <c r="A3148" s="26">
        <v>35400</v>
      </c>
      <c r="B3148" s="49">
        <f t="shared" si="50"/>
        <v>1996</v>
      </c>
      <c r="C3148" s="27" t="s">
        <v>35</v>
      </c>
      <c r="D3148" s="27" t="s">
        <v>28</v>
      </c>
      <c r="E3148" s="27">
        <v>385</v>
      </c>
    </row>
    <row r="3149" spans="1:5" x14ac:dyDescent="0.25">
      <c r="A3149" s="26">
        <v>35400</v>
      </c>
      <c r="B3149" s="49">
        <f t="shared" si="50"/>
        <v>1996</v>
      </c>
      <c r="C3149" s="27" t="s">
        <v>39</v>
      </c>
      <c r="D3149" s="27" t="s">
        <v>29</v>
      </c>
      <c r="E3149" s="27">
        <v>508</v>
      </c>
    </row>
    <row r="3150" spans="1:5" x14ac:dyDescent="0.25">
      <c r="A3150" s="26">
        <v>35400</v>
      </c>
      <c r="B3150" s="49">
        <f t="shared" si="50"/>
        <v>1996</v>
      </c>
      <c r="C3150" s="27" t="s">
        <v>34</v>
      </c>
      <c r="D3150" s="27" t="s">
        <v>29</v>
      </c>
      <c r="E3150" s="27">
        <v>158</v>
      </c>
    </row>
    <row r="3151" spans="1:5" x14ac:dyDescent="0.25">
      <c r="A3151" s="26">
        <v>35400</v>
      </c>
      <c r="B3151" s="49">
        <f t="shared" si="50"/>
        <v>1996</v>
      </c>
      <c r="C3151" s="27" t="s">
        <v>34</v>
      </c>
      <c r="D3151" s="27" t="s">
        <v>29</v>
      </c>
      <c r="E3151" s="27">
        <v>341</v>
      </c>
    </row>
    <row r="3152" spans="1:5" x14ac:dyDescent="0.25">
      <c r="A3152" s="26">
        <v>35400</v>
      </c>
      <c r="B3152" s="49">
        <f t="shared" si="50"/>
        <v>1996</v>
      </c>
      <c r="C3152" s="27" t="s">
        <v>27</v>
      </c>
      <c r="D3152" s="27" t="s">
        <v>29</v>
      </c>
      <c r="E3152" s="27">
        <v>1408</v>
      </c>
    </row>
    <row r="3153" spans="1:5" x14ac:dyDescent="0.25">
      <c r="A3153" s="26">
        <v>35400</v>
      </c>
      <c r="B3153" s="49">
        <f t="shared" si="50"/>
        <v>1996</v>
      </c>
      <c r="C3153" s="27" t="s">
        <v>34</v>
      </c>
      <c r="D3153" s="27" t="s">
        <v>29</v>
      </c>
      <c r="E3153" s="27">
        <v>203</v>
      </c>
    </row>
    <row r="3154" spans="1:5" x14ac:dyDescent="0.25">
      <c r="A3154" s="26">
        <v>35400</v>
      </c>
      <c r="B3154" s="49">
        <f t="shared" si="50"/>
        <v>1996</v>
      </c>
      <c r="C3154" s="27" t="s">
        <v>37</v>
      </c>
      <c r="D3154" s="27" t="s">
        <v>29</v>
      </c>
      <c r="E3154" s="27">
        <v>533</v>
      </c>
    </row>
    <row r="3155" spans="1:5" x14ac:dyDescent="0.25">
      <c r="A3155" s="26">
        <v>35400</v>
      </c>
      <c r="B3155" s="49">
        <f t="shared" si="50"/>
        <v>1996</v>
      </c>
      <c r="C3155" s="27" t="s">
        <v>39</v>
      </c>
      <c r="D3155" s="27" t="s">
        <v>29</v>
      </c>
      <c r="E3155" s="27">
        <v>622</v>
      </c>
    </row>
    <row r="3156" spans="1:5" x14ac:dyDescent="0.25">
      <c r="A3156" s="26">
        <v>35400</v>
      </c>
      <c r="B3156" s="49">
        <f t="shared" si="50"/>
        <v>1996</v>
      </c>
      <c r="C3156" s="27" t="s">
        <v>35</v>
      </c>
      <c r="D3156" s="27" t="s">
        <v>29</v>
      </c>
      <c r="E3156" s="27">
        <v>645</v>
      </c>
    </row>
    <row r="3157" spans="1:5" x14ac:dyDescent="0.25">
      <c r="A3157" s="26">
        <v>35400</v>
      </c>
      <c r="B3157" s="49">
        <f t="shared" si="50"/>
        <v>1996</v>
      </c>
      <c r="C3157" s="27" t="s">
        <v>27</v>
      </c>
      <c r="D3157" s="27" t="s">
        <v>29</v>
      </c>
      <c r="E3157" s="27">
        <v>740</v>
      </c>
    </row>
    <row r="3158" spans="1:5" x14ac:dyDescent="0.25">
      <c r="A3158" s="26">
        <v>35400</v>
      </c>
      <c r="B3158" s="49">
        <f t="shared" si="50"/>
        <v>1996</v>
      </c>
      <c r="C3158" s="27" t="s">
        <v>39</v>
      </c>
      <c r="D3158" s="27" t="s">
        <v>29</v>
      </c>
      <c r="E3158" s="27">
        <v>289</v>
      </c>
    </row>
    <row r="3159" spans="1:5" x14ac:dyDescent="0.25">
      <c r="A3159" s="26">
        <v>35400</v>
      </c>
      <c r="B3159" s="49">
        <f t="shared" si="50"/>
        <v>1996</v>
      </c>
      <c r="C3159" s="27" t="s">
        <v>37</v>
      </c>
      <c r="D3159" s="27" t="s">
        <v>29</v>
      </c>
      <c r="E3159" s="27">
        <v>180</v>
      </c>
    </row>
    <row r="3160" spans="1:5" x14ac:dyDescent="0.25">
      <c r="A3160" s="26">
        <v>35400</v>
      </c>
      <c r="B3160" s="49">
        <f t="shared" si="50"/>
        <v>1996</v>
      </c>
      <c r="C3160" s="27" t="s">
        <v>32</v>
      </c>
      <c r="D3160" s="27" t="s">
        <v>29</v>
      </c>
      <c r="E3160" s="27">
        <v>333</v>
      </c>
    </row>
    <row r="3161" spans="1:5" x14ac:dyDescent="0.25">
      <c r="A3161" s="26">
        <v>35400</v>
      </c>
      <c r="B3161" s="49">
        <f t="shared" si="50"/>
        <v>1996</v>
      </c>
      <c r="C3161" s="27" t="s">
        <v>35</v>
      </c>
      <c r="D3161" s="27" t="s">
        <v>29</v>
      </c>
      <c r="E3161" s="27">
        <v>364</v>
      </c>
    </row>
    <row r="3162" spans="1:5" x14ac:dyDescent="0.25">
      <c r="A3162" s="26">
        <v>35400</v>
      </c>
      <c r="B3162" s="49">
        <f t="shared" si="50"/>
        <v>1996</v>
      </c>
      <c r="C3162" s="27" t="s">
        <v>37</v>
      </c>
      <c r="D3162" s="27" t="s">
        <v>29</v>
      </c>
      <c r="E3162" s="27">
        <v>808</v>
      </c>
    </row>
    <row r="3163" spans="1:5" x14ac:dyDescent="0.25">
      <c r="A3163" s="26">
        <v>35400</v>
      </c>
      <c r="B3163" s="49">
        <f t="shared" si="50"/>
        <v>1996</v>
      </c>
      <c r="C3163" s="27" t="s">
        <v>39</v>
      </c>
      <c r="D3163" s="27" t="s">
        <v>29</v>
      </c>
      <c r="E3163" s="27">
        <v>293</v>
      </c>
    </row>
    <row r="3164" spans="1:5" x14ac:dyDescent="0.25">
      <c r="A3164" s="26">
        <v>35400</v>
      </c>
      <c r="B3164" s="49">
        <f t="shared" si="50"/>
        <v>1996</v>
      </c>
      <c r="C3164" s="27" t="s">
        <v>35</v>
      </c>
      <c r="D3164" s="27" t="s">
        <v>29</v>
      </c>
      <c r="E3164" s="27">
        <v>298</v>
      </c>
    </row>
    <row r="3165" spans="1:5" x14ac:dyDescent="0.25">
      <c r="A3165" s="26">
        <v>35400</v>
      </c>
      <c r="B3165" s="49">
        <f t="shared" si="50"/>
        <v>1996</v>
      </c>
      <c r="C3165" s="27" t="s">
        <v>32</v>
      </c>
      <c r="D3165" s="27" t="s">
        <v>29</v>
      </c>
      <c r="E3165" s="27">
        <v>995</v>
      </c>
    </row>
    <row r="3166" spans="1:5" x14ac:dyDescent="0.25">
      <c r="A3166" s="26">
        <v>35400</v>
      </c>
      <c r="B3166" s="49">
        <f t="shared" si="50"/>
        <v>1996</v>
      </c>
      <c r="C3166" s="27" t="s">
        <v>34</v>
      </c>
      <c r="D3166" s="27" t="s">
        <v>29</v>
      </c>
      <c r="E3166" s="27">
        <v>304</v>
      </c>
    </row>
    <row r="3167" spans="1:5" x14ac:dyDescent="0.25">
      <c r="A3167" s="26">
        <v>35400</v>
      </c>
      <c r="B3167" s="49">
        <f t="shared" si="50"/>
        <v>1996</v>
      </c>
      <c r="C3167" s="27" t="s">
        <v>40</v>
      </c>
      <c r="D3167" s="27" t="s">
        <v>29</v>
      </c>
      <c r="E3167" s="27">
        <v>263</v>
      </c>
    </row>
    <row r="3168" spans="1:5" x14ac:dyDescent="0.25">
      <c r="A3168" s="26">
        <v>35400</v>
      </c>
      <c r="B3168" s="49">
        <f t="shared" si="50"/>
        <v>1996</v>
      </c>
      <c r="C3168" s="27" t="s">
        <v>40</v>
      </c>
      <c r="D3168" s="27" t="s">
        <v>29</v>
      </c>
      <c r="E3168" s="27">
        <v>180</v>
      </c>
    </row>
    <row r="3169" spans="1:5" x14ac:dyDescent="0.25">
      <c r="A3169" s="26">
        <v>35400</v>
      </c>
      <c r="B3169" s="49">
        <f t="shared" si="50"/>
        <v>1996</v>
      </c>
      <c r="C3169" s="27" t="s">
        <v>37</v>
      </c>
      <c r="D3169" s="27" t="s">
        <v>29</v>
      </c>
      <c r="E3169" s="27">
        <v>131</v>
      </c>
    </row>
    <row r="3170" spans="1:5" x14ac:dyDescent="0.25">
      <c r="A3170" s="26">
        <v>35400</v>
      </c>
      <c r="B3170" s="49">
        <f t="shared" si="50"/>
        <v>1996</v>
      </c>
      <c r="C3170" s="27" t="s">
        <v>27</v>
      </c>
      <c r="D3170" s="27" t="s">
        <v>29</v>
      </c>
      <c r="E3170" s="27">
        <v>60</v>
      </c>
    </row>
    <row r="3171" spans="1:5" x14ac:dyDescent="0.25">
      <c r="A3171" s="26">
        <v>35400</v>
      </c>
      <c r="B3171" s="49">
        <f t="shared" si="50"/>
        <v>1996</v>
      </c>
      <c r="C3171" s="27" t="s">
        <v>32</v>
      </c>
      <c r="D3171" s="27" t="s">
        <v>29</v>
      </c>
      <c r="E3171" s="27">
        <v>70</v>
      </c>
    </row>
    <row r="3172" spans="1:5" x14ac:dyDescent="0.25">
      <c r="A3172" s="26">
        <v>35400</v>
      </c>
      <c r="B3172" s="49">
        <f t="shared" si="50"/>
        <v>1996</v>
      </c>
      <c r="C3172" s="27" t="s">
        <v>27</v>
      </c>
      <c r="D3172" s="27" t="s">
        <v>29</v>
      </c>
      <c r="E3172" s="27">
        <v>68</v>
      </c>
    </row>
    <row r="3173" spans="1:5" x14ac:dyDescent="0.25">
      <c r="A3173" s="26">
        <v>35400</v>
      </c>
      <c r="B3173" s="49">
        <f t="shared" si="50"/>
        <v>1996</v>
      </c>
      <c r="C3173" s="27" t="s">
        <v>35</v>
      </c>
      <c r="D3173" s="27" t="s">
        <v>29</v>
      </c>
      <c r="E3173" s="27">
        <v>612</v>
      </c>
    </row>
    <row r="3174" spans="1:5" x14ac:dyDescent="0.25">
      <c r="A3174" s="26">
        <v>35400</v>
      </c>
      <c r="B3174" s="49">
        <f t="shared" si="50"/>
        <v>1996</v>
      </c>
      <c r="C3174" s="27" t="s">
        <v>32</v>
      </c>
      <c r="D3174" s="27" t="s">
        <v>29</v>
      </c>
      <c r="E3174" s="27">
        <v>158</v>
      </c>
    </row>
    <row r="3175" spans="1:5" x14ac:dyDescent="0.25">
      <c r="A3175" s="26">
        <v>35400</v>
      </c>
      <c r="B3175" s="49">
        <f t="shared" si="50"/>
        <v>1996</v>
      </c>
      <c r="C3175" s="27" t="s">
        <v>34</v>
      </c>
      <c r="D3175" s="27" t="s">
        <v>38</v>
      </c>
      <c r="E3175" s="27">
        <v>663</v>
      </c>
    </row>
    <row r="3176" spans="1:5" x14ac:dyDescent="0.25">
      <c r="A3176" s="26">
        <v>35400</v>
      </c>
      <c r="B3176" s="49">
        <f t="shared" si="50"/>
        <v>1996</v>
      </c>
      <c r="C3176" s="27" t="s">
        <v>39</v>
      </c>
      <c r="D3176" s="27" t="s">
        <v>38</v>
      </c>
      <c r="E3176" s="27">
        <v>792</v>
      </c>
    </row>
    <row r="3177" spans="1:5" x14ac:dyDescent="0.25">
      <c r="A3177" s="26">
        <v>35400</v>
      </c>
      <c r="B3177" s="49">
        <f t="shared" si="50"/>
        <v>1996</v>
      </c>
      <c r="C3177" s="27" t="s">
        <v>39</v>
      </c>
      <c r="D3177" s="27" t="s">
        <v>38</v>
      </c>
      <c r="E3177" s="27">
        <v>1177</v>
      </c>
    </row>
    <row r="3178" spans="1:5" x14ac:dyDescent="0.25">
      <c r="A3178" s="26">
        <v>35400</v>
      </c>
      <c r="B3178" s="49">
        <f t="shared" si="50"/>
        <v>1996</v>
      </c>
      <c r="C3178" s="27" t="s">
        <v>32</v>
      </c>
      <c r="D3178" s="27" t="s">
        <v>38</v>
      </c>
      <c r="E3178" s="27">
        <v>2131</v>
      </c>
    </row>
    <row r="3179" spans="1:5" x14ac:dyDescent="0.25">
      <c r="A3179" s="26">
        <v>35400</v>
      </c>
      <c r="B3179" s="49">
        <f t="shared" si="50"/>
        <v>1996</v>
      </c>
      <c r="C3179" s="27" t="s">
        <v>37</v>
      </c>
      <c r="D3179" s="27" t="s">
        <v>38</v>
      </c>
      <c r="E3179" s="27">
        <v>263</v>
      </c>
    </row>
    <row r="3180" spans="1:5" x14ac:dyDescent="0.25">
      <c r="A3180" s="26">
        <v>35400</v>
      </c>
      <c r="B3180" s="49">
        <f t="shared" si="50"/>
        <v>1996</v>
      </c>
      <c r="C3180" s="27" t="s">
        <v>40</v>
      </c>
      <c r="D3180" s="27" t="s">
        <v>38</v>
      </c>
      <c r="E3180" s="27">
        <v>383</v>
      </c>
    </row>
    <row r="3181" spans="1:5" x14ac:dyDescent="0.25">
      <c r="A3181" s="26">
        <v>35400</v>
      </c>
      <c r="B3181" s="49">
        <f t="shared" si="50"/>
        <v>1996</v>
      </c>
      <c r="C3181" s="27" t="s">
        <v>27</v>
      </c>
      <c r="D3181" s="27" t="s">
        <v>38</v>
      </c>
      <c r="E3181" s="27">
        <v>35</v>
      </c>
    </row>
    <row r="3182" spans="1:5" x14ac:dyDescent="0.25">
      <c r="A3182" s="26">
        <v>35400</v>
      </c>
      <c r="B3182" s="49">
        <f t="shared" si="50"/>
        <v>1996</v>
      </c>
      <c r="C3182" s="27" t="s">
        <v>37</v>
      </c>
      <c r="D3182" s="27" t="s">
        <v>38</v>
      </c>
      <c r="E3182" s="27">
        <v>338</v>
      </c>
    </row>
    <row r="3183" spans="1:5" x14ac:dyDescent="0.25">
      <c r="A3183" s="26">
        <v>35400</v>
      </c>
      <c r="B3183" s="49">
        <f t="shared" si="50"/>
        <v>1996</v>
      </c>
      <c r="C3183" s="27" t="s">
        <v>27</v>
      </c>
      <c r="D3183" s="27" t="s">
        <v>38</v>
      </c>
      <c r="E3183" s="27">
        <v>46</v>
      </c>
    </row>
    <row r="3184" spans="1:5" x14ac:dyDescent="0.25">
      <c r="A3184" s="26">
        <v>35400</v>
      </c>
      <c r="B3184" s="49">
        <f t="shared" si="50"/>
        <v>1996</v>
      </c>
      <c r="C3184" s="27" t="s">
        <v>37</v>
      </c>
      <c r="D3184" s="27" t="s">
        <v>38</v>
      </c>
      <c r="E3184" s="27">
        <v>61</v>
      </c>
    </row>
    <row r="3185" spans="1:5" x14ac:dyDescent="0.25">
      <c r="A3185" s="26">
        <v>35400</v>
      </c>
      <c r="B3185" s="49">
        <f t="shared" si="50"/>
        <v>1996</v>
      </c>
      <c r="C3185" s="27" t="s">
        <v>35</v>
      </c>
      <c r="D3185" s="27" t="s">
        <v>38</v>
      </c>
      <c r="E3185" s="27">
        <v>273</v>
      </c>
    </row>
    <row r="3186" spans="1:5" x14ac:dyDescent="0.25">
      <c r="A3186" s="26">
        <v>35400</v>
      </c>
      <c r="B3186" s="49">
        <f t="shared" si="50"/>
        <v>1996</v>
      </c>
      <c r="C3186" s="27" t="s">
        <v>34</v>
      </c>
      <c r="D3186" s="27" t="s">
        <v>38</v>
      </c>
      <c r="E3186" s="27">
        <v>405</v>
      </c>
    </row>
    <row r="3187" spans="1:5" x14ac:dyDescent="0.25">
      <c r="A3187" s="26">
        <v>35400</v>
      </c>
      <c r="B3187" s="49">
        <f t="shared" si="50"/>
        <v>1996</v>
      </c>
      <c r="C3187" s="27" t="s">
        <v>35</v>
      </c>
      <c r="D3187" s="27" t="s">
        <v>38</v>
      </c>
      <c r="E3187" s="27">
        <v>101</v>
      </c>
    </row>
    <row r="3188" spans="1:5" x14ac:dyDescent="0.25">
      <c r="A3188" s="26">
        <v>35400</v>
      </c>
      <c r="B3188" s="49">
        <f t="shared" si="50"/>
        <v>1996</v>
      </c>
      <c r="C3188" s="27" t="s">
        <v>32</v>
      </c>
      <c r="D3188" s="27" t="s">
        <v>38</v>
      </c>
      <c r="E3188" s="27">
        <v>280</v>
      </c>
    </row>
    <row r="3189" spans="1:5" x14ac:dyDescent="0.25">
      <c r="A3189" s="26">
        <v>35400</v>
      </c>
      <c r="B3189" s="49">
        <f t="shared" si="50"/>
        <v>1996</v>
      </c>
      <c r="C3189" s="27" t="s">
        <v>35</v>
      </c>
      <c r="D3189" s="27" t="s">
        <v>38</v>
      </c>
      <c r="E3189" s="27">
        <v>105</v>
      </c>
    </row>
    <row r="3190" spans="1:5" x14ac:dyDescent="0.25">
      <c r="A3190" s="26">
        <v>35400</v>
      </c>
      <c r="B3190" s="49">
        <f t="shared" si="50"/>
        <v>1996</v>
      </c>
      <c r="C3190" s="27" t="s">
        <v>32</v>
      </c>
      <c r="D3190" s="27" t="s">
        <v>38</v>
      </c>
      <c r="E3190" s="27">
        <v>114</v>
      </c>
    </row>
    <row r="3191" spans="1:5" x14ac:dyDescent="0.25">
      <c r="A3191" s="26">
        <v>35400</v>
      </c>
      <c r="B3191" s="49">
        <f t="shared" si="50"/>
        <v>1996</v>
      </c>
      <c r="C3191" s="27" t="s">
        <v>40</v>
      </c>
      <c r="D3191" s="27" t="s">
        <v>38</v>
      </c>
      <c r="E3191" s="27">
        <v>228</v>
      </c>
    </row>
    <row r="3192" spans="1:5" x14ac:dyDescent="0.25">
      <c r="A3192" s="26">
        <v>35400</v>
      </c>
      <c r="B3192" s="49">
        <f t="shared" si="50"/>
        <v>1996</v>
      </c>
      <c r="C3192" s="27" t="s">
        <v>27</v>
      </c>
      <c r="D3192" s="27" t="s">
        <v>38</v>
      </c>
      <c r="E3192" s="27">
        <v>124</v>
      </c>
    </row>
    <row r="3193" spans="1:5" x14ac:dyDescent="0.25">
      <c r="A3193" s="26">
        <v>35400</v>
      </c>
      <c r="B3193" s="49">
        <f t="shared" si="50"/>
        <v>1996</v>
      </c>
      <c r="C3193" s="27" t="s">
        <v>39</v>
      </c>
      <c r="D3193" s="27" t="s">
        <v>38</v>
      </c>
      <c r="E3193" s="27">
        <v>180</v>
      </c>
    </row>
    <row r="3194" spans="1:5" x14ac:dyDescent="0.25">
      <c r="A3194" s="26">
        <v>35400</v>
      </c>
      <c r="B3194" s="49">
        <f t="shared" si="50"/>
        <v>1996</v>
      </c>
      <c r="C3194" s="27" t="s">
        <v>39</v>
      </c>
      <c r="D3194" s="27" t="s">
        <v>38</v>
      </c>
      <c r="E3194" s="27">
        <v>158</v>
      </c>
    </row>
    <row r="3195" spans="1:5" x14ac:dyDescent="0.25">
      <c r="A3195" s="26">
        <v>35400</v>
      </c>
      <c r="B3195" s="49">
        <f t="shared" si="50"/>
        <v>1996</v>
      </c>
      <c r="C3195" s="27" t="s">
        <v>37</v>
      </c>
      <c r="D3195" s="27" t="s">
        <v>38</v>
      </c>
      <c r="E3195" s="27">
        <v>158</v>
      </c>
    </row>
    <row r="3196" spans="1:5" x14ac:dyDescent="0.25">
      <c r="A3196" s="26">
        <v>35400</v>
      </c>
      <c r="B3196" s="49">
        <f t="shared" si="50"/>
        <v>1996</v>
      </c>
      <c r="C3196" s="27" t="s">
        <v>35</v>
      </c>
      <c r="D3196" s="27" t="s">
        <v>38</v>
      </c>
      <c r="E3196" s="27">
        <v>86</v>
      </c>
    </row>
    <row r="3197" spans="1:5" x14ac:dyDescent="0.25">
      <c r="A3197" s="26">
        <v>35400</v>
      </c>
      <c r="B3197" s="49">
        <f t="shared" si="50"/>
        <v>1996</v>
      </c>
      <c r="C3197" s="27" t="s">
        <v>34</v>
      </c>
      <c r="D3197" s="27" t="s">
        <v>38</v>
      </c>
      <c r="E3197" s="27">
        <v>473</v>
      </c>
    </row>
    <row r="3198" spans="1:5" x14ac:dyDescent="0.25">
      <c r="A3198" s="26">
        <v>35400</v>
      </c>
      <c r="B3198" s="49">
        <f t="shared" si="50"/>
        <v>1996</v>
      </c>
      <c r="C3198" s="27" t="s">
        <v>27</v>
      </c>
      <c r="D3198" s="27" t="s">
        <v>38</v>
      </c>
      <c r="E3198" s="27">
        <v>450</v>
      </c>
    </row>
    <row r="3199" spans="1:5" x14ac:dyDescent="0.25">
      <c r="A3199" s="26">
        <v>35400</v>
      </c>
      <c r="B3199" s="49">
        <f t="shared" si="50"/>
        <v>1996</v>
      </c>
      <c r="C3199" s="27" t="s">
        <v>34</v>
      </c>
      <c r="D3199" s="27" t="s">
        <v>38</v>
      </c>
      <c r="E3199" s="27">
        <v>459</v>
      </c>
    </row>
    <row r="3200" spans="1:5" x14ac:dyDescent="0.25">
      <c r="A3200" s="26">
        <v>35400</v>
      </c>
      <c r="B3200" s="49">
        <f t="shared" si="50"/>
        <v>1996</v>
      </c>
      <c r="C3200" s="27" t="s">
        <v>32</v>
      </c>
      <c r="D3200" s="27" t="s">
        <v>38</v>
      </c>
      <c r="E3200" s="27">
        <v>459</v>
      </c>
    </row>
    <row r="3201" spans="1:5" x14ac:dyDescent="0.25">
      <c r="A3201" s="26">
        <v>35400</v>
      </c>
      <c r="B3201" s="49">
        <f t="shared" si="50"/>
        <v>1996</v>
      </c>
      <c r="C3201" s="27" t="s">
        <v>32</v>
      </c>
      <c r="D3201" s="27" t="s">
        <v>30</v>
      </c>
      <c r="E3201" s="27">
        <v>330</v>
      </c>
    </row>
    <row r="3202" spans="1:5" x14ac:dyDescent="0.25">
      <c r="A3202" s="26">
        <v>35400</v>
      </c>
      <c r="B3202" s="49">
        <f t="shared" si="50"/>
        <v>1996</v>
      </c>
      <c r="C3202" s="27" t="s">
        <v>32</v>
      </c>
      <c r="D3202" s="27" t="s">
        <v>30</v>
      </c>
      <c r="E3202" s="27">
        <v>330</v>
      </c>
    </row>
    <row r="3203" spans="1:5" x14ac:dyDescent="0.25">
      <c r="A3203" s="26">
        <v>35400</v>
      </c>
      <c r="B3203" s="49">
        <f t="shared" ref="B3203:B3266" si="51">YEAR(A3203)</f>
        <v>1996</v>
      </c>
      <c r="C3203" s="27" t="s">
        <v>27</v>
      </c>
      <c r="D3203" s="27" t="s">
        <v>30</v>
      </c>
      <c r="E3203" s="27">
        <v>55</v>
      </c>
    </row>
    <row r="3204" spans="1:5" x14ac:dyDescent="0.25">
      <c r="A3204" s="26">
        <v>35400</v>
      </c>
      <c r="B3204" s="49">
        <f t="shared" si="51"/>
        <v>1996</v>
      </c>
      <c r="C3204" s="27" t="s">
        <v>32</v>
      </c>
      <c r="D3204" s="27" t="s">
        <v>30</v>
      </c>
      <c r="E3204" s="27">
        <v>123</v>
      </c>
    </row>
    <row r="3205" spans="1:5" x14ac:dyDescent="0.25">
      <c r="A3205" s="26">
        <v>35400</v>
      </c>
      <c r="B3205" s="49">
        <f t="shared" si="51"/>
        <v>1996</v>
      </c>
      <c r="C3205" s="27" t="s">
        <v>27</v>
      </c>
      <c r="D3205" s="27" t="s">
        <v>30</v>
      </c>
      <c r="E3205" s="27">
        <v>124</v>
      </c>
    </row>
    <row r="3206" spans="1:5" x14ac:dyDescent="0.25">
      <c r="A3206" s="26">
        <v>35400</v>
      </c>
      <c r="B3206" s="49">
        <f t="shared" si="51"/>
        <v>1996</v>
      </c>
      <c r="C3206" s="27" t="s">
        <v>27</v>
      </c>
      <c r="D3206" s="27" t="s">
        <v>30</v>
      </c>
      <c r="E3206" s="27">
        <v>105</v>
      </c>
    </row>
    <row r="3207" spans="1:5" x14ac:dyDescent="0.25">
      <c r="A3207" s="26">
        <v>35400</v>
      </c>
      <c r="B3207" s="49">
        <f t="shared" si="51"/>
        <v>1996</v>
      </c>
      <c r="C3207" s="27" t="s">
        <v>32</v>
      </c>
      <c r="D3207" s="27" t="s">
        <v>30</v>
      </c>
      <c r="E3207" s="27">
        <v>175</v>
      </c>
    </row>
    <row r="3208" spans="1:5" x14ac:dyDescent="0.25">
      <c r="A3208" s="26">
        <v>35400</v>
      </c>
      <c r="B3208" s="49">
        <f t="shared" si="51"/>
        <v>1996</v>
      </c>
      <c r="C3208" s="27" t="s">
        <v>32</v>
      </c>
      <c r="D3208" s="27" t="s">
        <v>30</v>
      </c>
      <c r="E3208" s="27">
        <v>158</v>
      </c>
    </row>
    <row r="3209" spans="1:5" x14ac:dyDescent="0.25">
      <c r="A3209" s="26">
        <v>35400</v>
      </c>
      <c r="B3209" s="49">
        <f t="shared" si="51"/>
        <v>1996</v>
      </c>
      <c r="C3209" s="27" t="s">
        <v>32</v>
      </c>
      <c r="D3209" s="27" t="s">
        <v>30</v>
      </c>
      <c r="E3209" s="27">
        <v>79</v>
      </c>
    </row>
    <row r="3210" spans="1:5" x14ac:dyDescent="0.25">
      <c r="A3210" s="26">
        <v>35400</v>
      </c>
      <c r="B3210" s="49">
        <f t="shared" si="51"/>
        <v>1996</v>
      </c>
      <c r="C3210" s="27" t="s">
        <v>27</v>
      </c>
      <c r="D3210" s="27" t="s">
        <v>30</v>
      </c>
      <c r="E3210" s="27">
        <v>799</v>
      </c>
    </row>
    <row r="3211" spans="1:5" x14ac:dyDescent="0.25">
      <c r="A3211" s="26">
        <v>35400</v>
      </c>
      <c r="B3211" s="49">
        <f t="shared" si="51"/>
        <v>1996</v>
      </c>
      <c r="C3211" s="27" t="s">
        <v>27</v>
      </c>
      <c r="D3211" s="27" t="s">
        <v>30</v>
      </c>
      <c r="E3211" s="27">
        <v>2160</v>
      </c>
    </row>
    <row r="3212" spans="1:5" x14ac:dyDescent="0.25">
      <c r="A3212" s="26">
        <v>35400</v>
      </c>
      <c r="B3212" s="49">
        <f t="shared" si="51"/>
        <v>1996</v>
      </c>
      <c r="C3212" s="27" t="s">
        <v>27</v>
      </c>
      <c r="D3212" s="27" t="s">
        <v>30</v>
      </c>
      <c r="E3212" s="27">
        <v>27</v>
      </c>
    </row>
    <row r="3213" spans="1:5" x14ac:dyDescent="0.25">
      <c r="A3213" s="26">
        <v>35400</v>
      </c>
      <c r="B3213" s="49">
        <f t="shared" si="51"/>
        <v>1996</v>
      </c>
      <c r="C3213" s="27" t="s">
        <v>35</v>
      </c>
      <c r="D3213" s="27" t="s">
        <v>31</v>
      </c>
      <c r="E3213" s="27">
        <v>96</v>
      </c>
    </row>
    <row r="3214" spans="1:5" x14ac:dyDescent="0.25">
      <c r="A3214" s="26">
        <v>35400</v>
      </c>
      <c r="B3214" s="49">
        <f t="shared" si="51"/>
        <v>1996</v>
      </c>
      <c r="C3214" s="27" t="s">
        <v>27</v>
      </c>
      <c r="D3214" s="27" t="s">
        <v>31</v>
      </c>
      <c r="E3214" s="27">
        <v>158</v>
      </c>
    </row>
    <row r="3215" spans="1:5" x14ac:dyDescent="0.25">
      <c r="A3215" s="26">
        <v>35400</v>
      </c>
      <c r="B3215" s="49">
        <f t="shared" si="51"/>
        <v>1996</v>
      </c>
      <c r="C3215" s="27" t="s">
        <v>32</v>
      </c>
      <c r="D3215" s="27" t="s">
        <v>31</v>
      </c>
      <c r="E3215" s="27">
        <v>627</v>
      </c>
    </row>
    <row r="3216" spans="1:5" x14ac:dyDescent="0.25">
      <c r="A3216" s="26">
        <v>35400</v>
      </c>
      <c r="B3216" s="49">
        <f t="shared" si="51"/>
        <v>1996</v>
      </c>
      <c r="C3216" s="27" t="s">
        <v>37</v>
      </c>
      <c r="D3216" s="27" t="s">
        <v>31</v>
      </c>
      <c r="E3216" s="27">
        <v>514</v>
      </c>
    </row>
    <row r="3217" spans="1:5" x14ac:dyDescent="0.25">
      <c r="A3217" s="26">
        <v>35400</v>
      </c>
      <c r="B3217" s="49">
        <f t="shared" si="51"/>
        <v>1996</v>
      </c>
      <c r="C3217" s="27" t="s">
        <v>37</v>
      </c>
      <c r="D3217" s="27" t="s">
        <v>31</v>
      </c>
      <c r="E3217" s="27">
        <v>146</v>
      </c>
    </row>
    <row r="3218" spans="1:5" x14ac:dyDescent="0.25">
      <c r="A3218" s="26">
        <v>35400</v>
      </c>
      <c r="B3218" s="49">
        <f t="shared" si="51"/>
        <v>1996</v>
      </c>
      <c r="C3218" s="27" t="s">
        <v>37</v>
      </c>
      <c r="D3218" s="27" t="s">
        <v>31</v>
      </c>
      <c r="E3218" s="27">
        <v>131</v>
      </c>
    </row>
    <row r="3219" spans="1:5" x14ac:dyDescent="0.25">
      <c r="A3219" s="26">
        <v>35400</v>
      </c>
      <c r="B3219" s="49">
        <f t="shared" si="51"/>
        <v>1996</v>
      </c>
      <c r="C3219" s="27" t="s">
        <v>39</v>
      </c>
      <c r="D3219" s="27" t="s">
        <v>31</v>
      </c>
      <c r="E3219" s="27">
        <v>263</v>
      </c>
    </row>
    <row r="3220" spans="1:5" x14ac:dyDescent="0.25">
      <c r="A3220" s="26">
        <v>35400</v>
      </c>
      <c r="B3220" s="49">
        <f t="shared" si="51"/>
        <v>1996</v>
      </c>
      <c r="C3220" s="27" t="s">
        <v>40</v>
      </c>
      <c r="D3220" s="27" t="s">
        <v>31</v>
      </c>
      <c r="E3220" s="27">
        <v>248</v>
      </c>
    </row>
    <row r="3221" spans="1:5" x14ac:dyDescent="0.25">
      <c r="A3221" s="26">
        <v>35400</v>
      </c>
      <c r="B3221" s="49">
        <f t="shared" si="51"/>
        <v>1996</v>
      </c>
      <c r="C3221" s="27" t="s">
        <v>32</v>
      </c>
      <c r="D3221" s="27" t="s">
        <v>31</v>
      </c>
      <c r="E3221" s="27">
        <v>645</v>
      </c>
    </row>
    <row r="3222" spans="1:5" x14ac:dyDescent="0.25">
      <c r="A3222" s="26">
        <v>35400</v>
      </c>
      <c r="B3222" s="49">
        <f t="shared" si="51"/>
        <v>1996</v>
      </c>
      <c r="C3222" s="27" t="s">
        <v>35</v>
      </c>
      <c r="D3222" s="27" t="s">
        <v>31</v>
      </c>
      <c r="E3222" s="27">
        <v>214</v>
      </c>
    </row>
    <row r="3223" spans="1:5" x14ac:dyDescent="0.25">
      <c r="A3223" s="26">
        <v>35400</v>
      </c>
      <c r="B3223" s="49">
        <f t="shared" si="51"/>
        <v>1996</v>
      </c>
      <c r="C3223" s="27" t="s">
        <v>27</v>
      </c>
      <c r="D3223" s="27" t="s">
        <v>31</v>
      </c>
      <c r="E3223" s="27">
        <v>105</v>
      </c>
    </row>
    <row r="3224" spans="1:5" x14ac:dyDescent="0.25">
      <c r="A3224" s="26">
        <v>35400</v>
      </c>
      <c r="B3224" s="49">
        <f t="shared" si="51"/>
        <v>1996</v>
      </c>
      <c r="C3224" s="27" t="s">
        <v>39</v>
      </c>
      <c r="D3224" s="27" t="s">
        <v>31</v>
      </c>
      <c r="E3224" s="27">
        <v>368</v>
      </c>
    </row>
    <row r="3225" spans="1:5" x14ac:dyDescent="0.25">
      <c r="A3225" s="26">
        <v>35400</v>
      </c>
      <c r="B3225" s="49">
        <f t="shared" si="51"/>
        <v>1996</v>
      </c>
      <c r="C3225" s="27" t="s">
        <v>34</v>
      </c>
      <c r="D3225" s="27" t="s">
        <v>31</v>
      </c>
      <c r="E3225" s="27">
        <v>263</v>
      </c>
    </row>
    <row r="3226" spans="1:5" x14ac:dyDescent="0.25">
      <c r="A3226" s="26">
        <v>35400</v>
      </c>
      <c r="B3226" s="49">
        <f t="shared" si="51"/>
        <v>1996</v>
      </c>
      <c r="C3226" s="27" t="s">
        <v>35</v>
      </c>
      <c r="D3226" s="27" t="s">
        <v>31</v>
      </c>
      <c r="E3226" s="27">
        <v>49</v>
      </c>
    </row>
    <row r="3227" spans="1:5" x14ac:dyDescent="0.25">
      <c r="A3227" s="26">
        <v>35400</v>
      </c>
      <c r="B3227" s="49">
        <f t="shared" si="51"/>
        <v>1996</v>
      </c>
      <c r="C3227" s="27" t="s">
        <v>27</v>
      </c>
      <c r="D3227" s="27" t="s">
        <v>31</v>
      </c>
      <c r="E3227" s="27">
        <v>298</v>
      </c>
    </row>
    <row r="3228" spans="1:5" x14ac:dyDescent="0.25">
      <c r="A3228" s="26">
        <v>35400</v>
      </c>
      <c r="B3228" s="49">
        <f t="shared" si="51"/>
        <v>1996</v>
      </c>
      <c r="C3228" s="27" t="s">
        <v>34</v>
      </c>
      <c r="D3228" s="27" t="s">
        <v>31</v>
      </c>
      <c r="E3228" s="27">
        <v>338</v>
      </c>
    </row>
    <row r="3229" spans="1:5" x14ac:dyDescent="0.25">
      <c r="A3229" s="26">
        <v>35400</v>
      </c>
      <c r="B3229" s="49">
        <f t="shared" si="51"/>
        <v>1996</v>
      </c>
      <c r="C3229" s="27" t="s">
        <v>34</v>
      </c>
      <c r="D3229" s="27" t="s">
        <v>31</v>
      </c>
      <c r="E3229" s="27">
        <v>368</v>
      </c>
    </row>
    <row r="3230" spans="1:5" x14ac:dyDescent="0.25">
      <c r="A3230" s="26">
        <v>35400</v>
      </c>
      <c r="B3230" s="49">
        <f t="shared" si="51"/>
        <v>1996</v>
      </c>
      <c r="C3230" s="27" t="s">
        <v>39</v>
      </c>
      <c r="D3230" s="27" t="s">
        <v>31</v>
      </c>
      <c r="E3230" s="27">
        <v>857</v>
      </c>
    </row>
    <row r="3231" spans="1:5" x14ac:dyDescent="0.25">
      <c r="A3231" s="26">
        <v>35400</v>
      </c>
      <c r="B3231" s="49">
        <f t="shared" si="51"/>
        <v>1996</v>
      </c>
      <c r="C3231" s="27" t="s">
        <v>39</v>
      </c>
      <c r="D3231" s="27" t="s">
        <v>31</v>
      </c>
      <c r="E3231" s="27">
        <v>1207</v>
      </c>
    </row>
    <row r="3232" spans="1:5" x14ac:dyDescent="0.25">
      <c r="A3232" s="26">
        <v>35400</v>
      </c>
      <c r="B3232" s="49">
        <f t="shared" si="51"/>
        <v>1996</v>
      </c>
      <c r="C3232" s="27" t="s">
        <v>37</v>
      </c>
      <c r="D3232" s="27" t="s">
        <v>31</v>
      </c>
      <c r="E3232" s="27">
        <v>385</v>
      </c>
    </row>
    <row r="3233" spans="1:5" x14ac:dyDescent="0.25">
      <c r="A3233" s="26">
        <v>35400</v>
      </c>
      <c r="B3233" s="49">
        <f t="shared" si="51"/>
        <v>1996</v>
      </c>
      <c r="C3233" s="27" t="s">
        <v>32</v>
      </c>
      <c r="D3233" s="27" t="s">
        <v>31</v>
      </c>
      <c r="E3233" s="27">
        <v>996</v>
      </c>
    </row>
    <row r="3234" spans="1:5" x14ac:dyDescent="0.25">
      <c r="A3234" s="26">
        <v>35400</v>
      </c>
      <c r="B3234" s="49">
        <f t="shared" si="51"/>
        <v>1996</v>
      </c>
      <c r="C3234" s="27" t="s">
        <v>27</v>
      </c>
      <c r="D3234" s="27" t="s">
        <v>31</v>
      </c>
      <c r="E3234" s="27">
        <v>426</v>
      </c>
    </row>
    <row r="3235" spans="1:5" x14ac:dyDescent="0.25">
      <c r="A3235" s="26">
        <v>35400</v>
      </c>
      <c r="B3235" s="49">
        <f t="shared" si="51"/>
        <v>1996</v>
      </c>
      <c r="C3235" s="27" t="s">
        <v>40</v>
      </c>
      <c r="D3235" s="27" t="s">
        <v>31</v>
      </c>
      <c r="E3235" s="27">
        <v>70</v>
      </c>
    </row>
    <row r="3236" spans="1:5" x14ac:dyDescent="0.25">
      <c r="A3236" s="26">
        <v>35400</v>
      </c>
      <c r="B3236" s="49">
        <f t="shared" si="51"/>
        <v>1996</v>
      </c>
      <c r="C3236" s="27" t="s">
        <v>35</v>
      </c>
      <c r="D3236" s="27" t="s">
        <v>31</v>
      </c>
      <c r="E3236" s="27">
        <v>266</v>
      </c>
    </row>
    <row r="3237" spans="1:5" x14ac:dyDescent="0.25">
      <c r="A3237" s="26">
        <v>35400</v>
      </c>
      <c r="B3237" s="49">
        <f t="shared" si="51"/>
        <v>1996</v>
      </c>
      <c r="C3237" s="27" t="s">
        <v>32</v>
      </c>
      <c r="D3237" s="27" t="s">
        <v>31</v>
      </c>
      <c r="E3237" s="27">
        <v>407</v>
      </c>
    </row>
    <row r="3238" spans="1:5" x14ac:dyDescent="0.25">
      <c r="A3238" s="26">
        <v>35400</v>
      </c>
      <c r="B3238" s="49">
        <f t="shared" si="51"/>
        <v>1996</v>
      </c>
      <c r="C3238" s="27" t="s">
        <v>34</v>
      </c>
      <c r="D3238" s="27" t="s">
        <v>31</v>
      </c>
      <c r="E3238" s="27">
        <v>426</v>
      </c>
    </row>
    <row r="3239" spans="1:5" x14ac:dyDescent="0.25">
      <c r="A3239" s="26">
        <v>35400</v>
      </c>
      <c r="B3239" s="49">
        <f t="shared" si="51"/>
        <v>1996</v>
      </c>
      <c r="C3239" s="27" t="s">
        <v>34</v>
      </c>
      <c r="D3239" s="27" t="s">
        <v>33</v>
      </c>
      <c r="E3239" s="27">
        <v>133</v>
      </c>
    </row>
    <row r="3240" spans="1:5" x14ac:dyDescent="0.25">
      <c r="A3240" s="26">
        <v>35400</v>
      </c>
      <c r="B3240" s="49">
        <f t="shared" si="51"/>
        <v>1996</v>
      </c>
      <c r="C3240" s="27" t="s">
        <v>37</v>
      </c>
      <c r="D3240" s="27" t="s">
        <v>33</v>
      </c>
      <c r="E3240" s="27">
        <v>96</v>
      </c>
    </row>
    <row r="3241" spans="1:5" x14ac:dyDescent="0.25">
      <c r="A3241" s="26">
        <v>35400</v>
      </c>
      <c r="B3241" s="49">
        <f t="shared" si="51"/>
        <v>1996</v>
      </c>
      <c r="C3241" s="27" t="s">
        <v>27</v>
      </c>
      <c r="D3241" s="27" t="s">
        <v>33</v>
      </c>
      <c r="E3241" s="27">
        <v>26</v>
      </c>
    </row>
    <row r="3242" spans="1:5" x14ac:dyDescent="0.25">
      <c r="A3242" s="26">
        <v>35400</v>
      </c>
      <c r="B3242" s="49">
        <f t="shared" si="51"/>
        <v>1996</v>
      </c>
      <c r="C3242" s="27" t="s">
        <v>39</v>
      </c>
      <c r="D3242" s="27" t="s">
        <v>33</v>
      </c>
      <c r="E3242" s="27">
        <v>96</v>
      </c>
    </row>
    <row r="3243" spans="1:5" x14ac:dyDescent="0.25">
      <c r="A3243" s="26">
        <v>35400</v>
      </c>
      <c r="B3243" s="49">
        <f t="shared" si="51"/>
        <v>1996</v>
      </c>
      <c r="C3243" s="27" t="s">
        <v>37</v>
      </c>
      <c r="D3243" s="27" t="s">
        <v>33</v>
      </c>
      <c r="E3243" s="27">
        <v>68</v>
      </c>
    </row>
    <row r="3244" spans="1:5" x14ac:dyDescent="0.25">
      <c r="A3244" s="26">
        <v>35400</v>
      </c>
      <c r="B3244" s="49">
        <f t="shared" si="51"/>
        <v>1996</v>
      </c>
      <c r="C3244" s="27" t="s">
        <v>27</v>
      </c>
      <c r="D3244" s="27" t="s">
        <v>33</v>
      </c>
      <c r="E3244" s="27">
        <v>68</v>
      </c>
    </row>
    <row r="3245" spans="1:5" x14ac:dyDescent="0.25">
      <c r="A3245" s="26">
        <v>35400</v>
      </c>
      <c r="B3245" s="49">
        <f t="shared" si="51"/>
        <v>1996</v>
      </c>
      <c r="C3245" s="27" t="s">
        <v>34</v>
      </c>
      <c r="D3245" s="27" t="s">
        <v>33</v>
      </c>
      <c r="E3245" s="27">
        <v>122</v>
      </c>
    </row>
    <row r="3246" spans="1:5" x14ac:dyDescent="0.25">
      <c r="A3246" s="26">
        <v>35400</v>
      </c>
      <c r="B3246" s="49">
        <f t="shared" si="51"/>
        <v>1996</v>
      </c>
      <c r="C3246" s="27" t="s">
        <v>27</v>
      </c>
      <c r="D3246" s="27" t="s">
        <v>33</v>
      </c>
      <c r="E3246" s="27">
        <v>59</v>
      </c>
    </row>
    <row r="3247" spans="1:5" x14ac:dyDescent="0.25">
      <c r="A3247" s="26">
        <v>35400</v>
      </c>
      <c r="B3247" s="49">
        <f t="shared" si="51"/>
        <v>1996</v>
      </c>
      <c r="C3247" s="27" t="s">
        <v>35</v>
      </c>
      <c r="D3247" s="27" t="s">
        <v>33</v>
      </c>
      <c r="E3247" s="27">
        <v>53</v>
      </c>
    </row>
    <row r="3248" spans="1:5" x14ac:dyDescent="0.25">
      <c r="A3248" s="26">
        <v>35400</v>
      </c>
      <c r="B3248" s="49">
        <f t="shared" si="51"/>
        <v>1996</v>
      </c>
      <c r="C3248" s="27" t="s">
        <v>34</v>
      </c>
      <c r="D3248" s="27" t="s">
        <v>33</v>
      </c>
      <c r="E3248" s="27">
        <v>56</v>
      </c>
    </row>
    <row r="3249" spans="1:5" x14ac:dyDescent="0.25">
      <c r="A3249" s="26">
        <v>35400</v>
      </c>
      <c r="B3249" s="49">
        <f t="shared" si="51"/>
        <v>1996</v>
      </c>
      <c r="C3249" s="27" t="s">
        <v>35</v>
      </c>
      <c r="D3249" s="27" t="s">
        <v>33</v>
      </c>
      <c r="E3249" s="27">
        <v>410</v>
      </c>
    </row>
    <row r="3250" spans="1:5" x14ac:dyDescent="0.25">
      <c r="A3250" s="26">
        <v>35400</v>
      </c>
      <c r="B3250" s="49">
        <f t="shared" si="51"/>
        <v>1996</v>
      </c>
      <c r="C3250" s="27" t="s">
        <v>39</v>
      </c>
      <c r="D3250" s="27" t="s">
        <v>33</v>
      </c>
      <c r="E3250" s="27">
        <v>396</v>
      </c>
    </row>
    <row r="3251" spans="1:5" x14ac:dyDescent="0.25">
      <c r="A3251" s="26">
        <v>35400</v>
      </c>
      <c r="B3251" s="49">
        <f t="shared" si="51"/>
        <v>1996</v>
      </c>
      <c r="C3251" s="27" t="s">
        <v>32</v>
      </c>
      <c r="D3251" s="27" t="s">
        <v>33</v>
      </c>
      <c r="E3251" s="27">
        <v>1257</v>
      </c>
    </row>
    <row r="3252" spans="1:5" x14ac:dyDescent="0.25">
      <c r="A3252" s="26">
        <v>35400</v>
      </c>
      <c r="B3252" s="49">
        <f t="shared" si="51"/>
        <v>1996</v>
      </c>
      <c r="C3252" s="27" t="s">
        <v>39</v>
      </c>
      <c r="D3252" s="27" t="s">
        <v>33</v>
      </c>
      <c r="E3252" s="27">
        <v>252</v>
      </c>
    </row>
    <row r="3253" spans="1:5" x14ac:dyDescent="0.25">
      <c r="A3253" s="26">
        <v>35400</v>
      </c>
      <c r="B3253" s="49">
        <f t="shared" si="51"/>
        <v>1996</v>
      </c>
      <c r="C3253" s="27" t="s">
        <v>32</v>
      </c>
      <c r="D3253" s="27" t="s">
        <v>33</v>
      </c>
      <c r="E3253" s="27">
        <v>1316</v>
      </c>
    </row>
    <row r="3254" spans="1:5" x14ac:dyDescent="0.25">
      <c r="A3254" s="26">
        <v>35400</v>
      </c>
      <c r="B3254" s="49">
        <f t="shared" si="51"/>
        <v>1996</v>
      </c>
      <c r="C3254" s="27" t="s">
        <v>40</v>
      </c>
      <c r="D3254" s="27" t="s">
        <v>33</v>
      </c>
      <c r="E3254" s="27">
        <v>270</v>
      </c>
    </row>
    <row r="3255" spans="1:5" x14ac:dyDescent="0.25">
      <c r="A3255" s="26">
        <v>35400</v>
      </c>
      <c r="B3255" s="49">
        <f t="shared" si="51"/>
        <v>1996</v>
      </c>
      <c r="C3255" s="27" t="s">
        <v>27</v>
      </c>
      <c r="D3255" s="27" t="s">
        <v>33</v>
      </c>
      <c r="E3255" s="27">
        <v>364</v>
      </c>
    </row>
    <row r="3256" spans="1:5" x14ac:dyDescent="0.25">
      <c r="A3256" s="26">
        <v>35400</v>
      </c>
      <c r="B3256" s="49">
        <f t="shared" si="51"/>
        <v>1996</v>
      </c>
      <c r="C3256" s="27" t="s">
        <v>37</v>
      </c>
      <c r="D3256" s="27" t="s">
        <v>33</v>
      </c>
      <c r="E3256" s="27">
        <v>2282</v>
      </c>
    </row>
    <row r="3257" spans="1:5" x14ac:dyDescent="0.25">
      <c r="A3257" s="26">
        <v>35400</v>
      </c>
      <c r="B3257" s="49">
        <f t="shared" si="51"/>
        <v>1996</v>
      </c>
      <c r="C3257" s="27" t="s">
        <v>39</v>
      </c>
      <c r="D3257" s="27" t="s">
        <v>33</v>
      </c>
      <c r="E3257" s="27">
        <v>304</v>
      </c>
    </row>
    <row r="3258" spans="1:5" x14ac:dyDescent="0.25">
      <c r="A3258" s="26">
        <v>35400</v>
      </c>
      <c r="B3258" s="49">
        <f t="shared" si="51"/>
        <v>1996</v>
      </c>
      <c r="C3258" s="27" t="s">
        <v>35</v>
      </c>
      <c r="D3258" s="27" t="s">
        <v>33</v>
      </c>
      <c r="E3258" s="27">
        <v>326</v>
      </c>
    </row>
    <row r="3259" spans="1:5" x14ac:dyDescent="0.25">
      <c r="A3259" s="26">
        <v>35400</v>
      </c>
      <c r="B3259" s="49">
        <f t="shared" si="51"/>
        <v>1996</v>
      </c>
      <c r="C3259" s="27" t="s">
        <v>37</v>
      </c>
      <c r="D3259" s="27" t="s">
        <v>33</v>
      </c>
      <c r="E3259" s="27">
        <v>580</v>
      </c>
    </row>
    <row r="3260" spans="1:5" x14ac:dyDescent="0.25">
      <c r="A3260" s="26">
        <v>35400</v>
      </c>
      <c r="B3260" s="49">
        <f t="shared" si="51"/>
        <v>1996</v>
      </c>
      <c r="C3260" s="27" t="s">
        <v>32</v>
      </c>
      <c r="D3260" s="27" t="s">
        <v>33</v>
      </c>
      <c r="E3260" s="27">
        <v>455</v>
      </c>
    </row>
    <row r="3261" spans="1:5" x14ac:dyDescent="0.25">
      <c r="A3261" s="26">
        <v>35400</v>
      </c>
      <c r="B3261" s="49">
        <f t="shared" si="51"/>
        <v>1996</v>
      </c>
      <c r="C3261" s="27" t="s">
        <v>32</v>
      </c>
      <c r="D3261" s="27" t="s">
        <v>33</v>
      </c>
      <c r="E3261" s="27">
        <v>699</v>
      </c>
    </row>
    <row r="3262" spans="1:5" x14ac:dyDescent="0.25">
      <c r="A3262" s="26">
        <v>35400</v>
      </c>
      <c r="B3262" s="49">
        <f t="shared" si="51"/>
        <v>1996</v>
      </c>
      <c r="C3262" s="27" t="s">
        <v>40</v>
      </c>
      <c r="D3262" s="27" t="s">
        <v>33</v>
      </c>
      <c r="E3262" s="27">
        <v>172</v>
      </c>
    </row>
    <row r="3263" spans="1:5" x14ac:dyDescent="0.25">
      <c r="A3263" s="26">
        <v>35400</v>
      </c>
      <c r="B3263" s="49">
        <f t="shared" si="51"/>
        <v>1996</v>
      </c>
      <c r="C3263" s="27" t="s">
        <v>35</v>
      </c>
      <c r="D3263" s="27" t="s">
        <v>33</v>
      </c>
      <c r="E3263" s="27">
        <v>175</v>
      </c>
    </row>
    <row r="3264" spans="1:5" x14ac:dyDescent="0.25">
      <c r="A3264" s="26">
        <v>35400</v>
      </c>
      <c r="B3264" s="49">
        <f t="shared" si="51"/>
        <v>1996</v>
      </c>
      <c r="C3264" s="27" t="s">
        <v>34</v>
      </c>
      <c r="D3264" s="27" t="s">
        <v>33</v>
      </c>
      <c r="E3264" s="27">
        <v>175</v>
      </c>
    </row>
    <row r="3265" spans="1:5" x14ac:dyDescent="0.25">
      <c r="A3265" s="26">
        <v>35400</v>
      </c>
      <c r="B3265" s="49">
        <f t="shared" si="51"/>
        <v>1996</v>
      </c>
      <c r="C3265" s="27" t="s">
        <v>32</v>
      </c>
      <c r="D3265" s="27" t="s">
        <v>36</v>
      </c>
      <c r="E3265" s="27">
        <v>798</v>
      </c>
    </row>
    <row r="3266" spans="1:5" x14ac:dyDescent="0.25">
      <c r="A3266" s="26">
        <v>35400</v>
      </c>
      <c r="B3266" s="49">
        <f t="shared" si="51"/>
        <v>1996</v>
      </c>
      <c r="C3266" s="27" t="s">
        <v>35</v>
      </c>
      <c r="D3266" s="27" t="s">
        <v>36</v>
      </c>
      <c r="E3266" s="27">
        <v>46</v>
      </c>
    </row>
    <row r="3267" spans="1:5" x14ac:dyDescent="0.25">
      <c r="A3267" s="26">
        <v>35400</v>
      </c>
      <c r="B3267" s="49">
        <f t="shared" ref="B3267:B3300" si="52">YEAR(A3267)</f>
        <v>1996</v>
      </c>
      <c r="C3267" s="27" t="s">
        <v>32</v>
      </c>
      <c r="D3267" s="27" t="s">
        <v>36</v>
      </c>
      <c r="E3267" s="27">
        <v>46</v>
      </c>
    </row>
    <row r="3268" spans="1:5" x14ac:dyDescent="0.25">
      <c r="A3268" s="26">
        <v>35400</v>
      </c>
      <c r="B3268" s="49">
        <f t="shared" si="52"/>
        <v>1996</v>
      </c>
      <c r="C3268" s="27" t="s">
        <v>37</v>
      </c>
      <c r="D3268" s="27" t="s">
        <v>36</v>
      </c>
      <c r="E3268" s="27">
        <v>45</v>
      </c>
    </row>
    <row r="3269" spans="1:5" x14ac:dyDescent="0.25">
      <c r="A3269" s="26">
        <v>35400</v>
      </c>
      <c r="B3269" s="49">
        <f t="shared" si="52"/>
        <v>1996</v>
      </c>
      <c r="C3269" s="27" t="s">
        <v>40</v>
      </c>
      <c r="D3269" s="27" t="s">
        <v>36</v>
      </c>
      <c r="E3269" s="27">
        <v>888</v>
      </c>
    </row>
    <row r="3270" spans="1:5" x14ac:dyDescent="0.25">
      <c r="A3270" s="26">
        <v>35400</v>
      </c>
      <c r="B3270" s="49">
        <f t="shared" si="52"/>
        <v>1996</v>
      </c>
      <c r="C3270" s="27" t="s">
        <v>32</v>
      </c>
      <c r="D3270" s="27" t="s">
        <v>36</v>
      </c>
      <c r="E3270" s="27">
        <v>55</v>
      </c>
    </row>
    <row r="3271" spans="1:5" x14ac:dyDescent="0.25">
      <c r="A3271" s="26">
        <v>35400</v>
      </c>
      <c r="B3271" s="49">
        <f t="shared" si="52"/>
        <v>1996</v>
      </c>
      <c r="C3271" s="27" t="s">
        <v>32</v>
      </c>
      <c r="D3271" s="27" t="s">
        <v>36</v>
      </c>
      <c r="E3271" s="27">
        <v>26</v>
      </c>
    </row>
    <row r="3272" spans="1:5" x14ac:dyDescent="0.25">
      <c r="A3272" s="26">
        <v>35400</v>
      </c>
      <c r="B3272" s="49">
        <f t="shared" si="52"/>
        <v>1996</v>
      </c>
      <c r="C3272" s="27" t="s">
        <v>27</v>
      </c>
      <c r="D3272" s="27" t="s">
        <v>36</v>
      </c>
      <c r="E3272" s="27">
        <v>23</v>
      </c>
    </row>
    <row r="3273" spans="1:5" x14ac:dyDescent="0.25">
      <c r="A3273" s="26">
        <v>35400</v>
      </c>
      <c r="B3273" s="49">
        <f t="shared" si="52"/>
        <v>1996</v>
      </c>
      <c r="C3273" s="27" t="s">
        <v>39</v>
      </c>
      <c r="D3273" s="27" t="s">
        <v>36</v>
      </c>
      <c r="E3273" s="27">
        <v>1355</v>
      </c>
    </row>
    <row r="3274" spans="1:5" x14ac:dyDescent="0.25">
      <c r="A3274" s="26">
        <v>35400</v>
      </c>
      <c r="B3274" s="49">
        <f t="shared" si="52"/>
        <v>1996</v>
      </c>
      <c r="C3274" s="27" t="s">
        <v>27</v>
      </c>
      <c r="D3274" s="27" t="s">
        <v>36</v>
      </c>
      <c r="E3274" s="27">
        <v>18</v>
      </c>
    </row>
    <row r="3275" spans="1:5" x14ac:dyDescent="0.25">
      <c r="A3275" s="26">
        <v>35400</v>
      </c>
      <c r="B3275" s="49">
        <f t="shared" si="52"/>
        <v>1996</v>
      </c>
      <c r="C3275" s="27" t="s">
        <v>37</v>
      </c>
      <c r="D3275" s="27" t="s">
        <v>36</v>
      </c>
      <c r="E3275" s="27">
        <v>26</v>
      </c>
    </row>
    <row r="3276" spans="1:5" x14ac:dyDescent="0.25">
      <c r="A3276" s="26">
        <v>35400</v>
      </c>
      <c r="B3276" s="49">
        <f t="shared" si="52"/>
        <v>1996</v>
      </c>
      <c r="C3276" s="27" t="s">
        <v>37</v>
      </c>
      <c r="D3276" s="27" t="s">
        <v>36</v>
      </c>
      <c r="E3276" s="27">
        <v>1453</v>
      </c>
    </row>
    <row r="3277" spans="1:5" x14ac:dyDescent="0.25">
      <c r="A3277" s="26">
        <v>35400</v>
      </c>
      <c r="B3277" s="49">
        <f t="shared" si="52"/>
        <v>1996</v>
      </c>
      <c r="C3277" s="27" t="s">
        <v>39</v>
      </c>
      <c r="D3277" s="27" t="s">
        <v>36</v>
      </c>
      <c r="E3277" s="27">
        <v>921</v>
      </c>
    </row>
    <row r="3278" spans="1:5" x14ac:dyDescent="0.25">
      <c r="A3278" s="26">
        <v>35400</v>
      </c>
      <c r="B3278" s="49">
        <f t="shared" si="52"/>
        <v>1996</v>
      </c>
      <c r="C3278" s="27" t="s">
        <v>40</v>
      </c>
      <c r="D3278" s="27" t="s">
        <v>36</v>
      </c>
      <c r="E3278" s="27">
        <v>98</v>
      </c>
    </row>
    <row r="3279" spans="1:5" x14ac:dyDescent="0.25">
      <c r="A3279" s="26">
        <v>35400</v>
      </c>
      <c r="B3279" s="49">
        <f t="shared" si="52"/>
        <v>1996</v>
      </c>
      <c r="C3279" s="27" t="s">
        <v>32</v>
      </c>
      <c r="D3279" s="27" t="s">
        <v>36</v>
      </c>
      <c r="E3279" s="27">
        <v>113</v>
      </c>
    </row>
    <row r="3280" spans="1:5" x14ac:dyDescent="0.25">
      <c r="A3280" s="26">
        <v>35400</v>
      </c>
      <c r="B3280" s="49">
        <f t="shared" si="52"/>
        <v>1996</v>
      </c>
      <c r="C3280" s="27" t="s">
        <v>39</v>
      </c>
      <c r="D3280" s="27" t="s">
        <v>36</v>
      </c>
      <c r="E3280" s="27">
        <v>68</v>
      </c>
    </row>
    <row r="3281" spans="1:5" x14ac:dyDescent="0.25">
      <c r="A3281" s="26">
        <v>35400</v>
      </c>
      <c r="B3281" s="49">
        <f t="shared" si="52"/>
        <v>1996</v>
      </c>
      <c r="C3281" s="27" t="s">
        <v>35</v>
      </c>
      <c r="D3281" s="27" t="s">
        <v>36</v>
      </c>
      <c r="E3281" s="27">
        <v>248</v>
      </c>
    </row>
    <row r="3282" spans="1:5" x14ac:dyDescent="0.25">
      <c r="A3282" s="26">
        <v>35400</v>
      </c>
      <c r="B3282" s="49">
        <f t="shared" si="52"/>
        <v>1996</v>
      </c>
      <c r="C3282" s="27" t="s">
        <v>37</v>
      </c>
      <c r="D3282" s="27" t="s">
        <v>36</v>
      </c>
      <c r="E3282" s="27">
        <v>228</v>
      </c>
    </row>
    <row r="3283" spans="1:5" x14ac:dyDescent="0.25">
      <c r="A3283" s="26">
        <v>35400</v>
      </c>
      <c r="B3283" s="49">
        <f t="shared" si="52"/>
        <v>1996</v>
      </c>
      <c r="C3283" s="27" t="s">
        <v>37</v>
      </c>
      <c r="D3283" s="27" t="s">
        <v>36</v>
      </c>
      <c r="E3283" s="27">
        <v>124</v>
      </c>
    </row>
    <row r="3284" spans="1:5" x14ac:dyDescent="0.25">
      <c r="A3284" s="26">
        <v>35400</v>
      </c>
      <c r="B3284" s="49">
        <f t="shared" si="52"/>
        <v>1996</v>
      </c>
      <c r="C3284" s="27" t="s">
        <v>39</v>
      </c>
      <c r="D3284" s="27" t="s">
        <v>36</v>
      </c>
      <c r="E3284" s="27">
        <v>126</v>
      </c>
    </row>
    <row r="3285" spans="1:5" x14ac:dyDescent="0.25">
      <c r="A3285" s="26">
        <v>35400</v>
      </c>
      <c r="B3285" s="49">
        <f t="shared" si="52"/>
        <v>1996</v>
      </c>
      <c r="C3285" s="27" t="s">
        <v>34</v>
      </c>
      <c r="D3285" s="27" t="s">
        <v>36</v>
      </c>
      <c r="E3285" s="27">
        <v>203</v>
      </c>
    </row>
    <row r="3286" spans="1:5" x14ac:dyDescent="0.25">
      <c r="A3286" s="26">
        <v>35400</v>
      </c>
      <c r="B3286" s="49">
        <f t="shared" si="52"/>
        <v>1996</v>
      </c>
      <c r="C3286" s="27" t="s">
        <v>34</v>
      </c>
      <c r="D3286" s="27" t="s">
        <v>36</v>
      </c>
      <c r="E3286" s="27">
        <v>135</v>
      </c>
    </row>
    <row r="3287" spans="1:5" x14ac:dyDescent="0.25">
      <c r="A3287" s="26">
        <v>35400</v>
      </c>
      <c r="B3287" s="49">
        <f t="shared" si="52"/>
        <v>1996</v>
      </c>
      <c r="C3287" s="27" t="s">
        <v>40</v>
      </c>
      <c r="D3287" s="27" t="s">
        <v>36</v>
      </c>
      <c r="E3287" s="27">
        <v>138</v>
      </c>
    </row>
    <row r="3288" spans="1:5" x14ac:dyDescent="0.25">
      <c r="A3288" s="26">
        <v>35400</v>
      </c>
      <c r="B3288" s="49">
        <f t="shared" si="52"/>
        <v>1996</v>
      </c>
      <c r="C3288" s="27" t="s">
        <v>27</v>
      </c>
      <c r="D3288" s="27" t="s">
        <v>36</v>
      </c>
      <c r="E3288" s="27">
        <v>116</v>
      </c>
    </row>
    <row r="3289" spans="1:5" x14ac:dyDescent="0.25">
      <c r="A3289" s="26">
        <v>35400</v>
      </c>
      <c r="B3289" s="49">
        <f t="shared" si="52"/>
        <v>1996</v>
      </c>
      <c r="C3289" s="27" t="s">
        <v>35</v>
      </c>
      <c r="D3289" s="27" t="s">
        <v>36</v>
      </c>
      <c r="E3289" s="27">
        <v>281</v>
      </c>
    </row>
    <row r="3290" spans="1:5" x14ac:dyDescent="0.25">
      <c r="A3290" s="26">
        <v>35400</v>
      </c>
      <c r="B3290" s="49">
        <f t="shared" si="52"/>
        <v>1996</v>
      </c>
      <c r="C3290" s="27" t="s">
        <v>27</v>
      </c>
      <c r="D3290" s="27" t="s">
        <v>36</v>
      </c>
      <c r="E3290" s="27">
        <v>55</v>
      </c>
    </row>
    <row r="3291" spans="1:5" x14ac:dyDescent="0.25">
      <c r="A3291" s="26">
        <v>35400</v>
      </c>
      <c r="B3291" s="49">
        <f t="shared" si="52"/>
        <v>1996</v>
      </c>
      <c r="C3291" s="27" t="s">
        <v>27</v>
      </c>
      <c r="D3291" s="27" t="s">
        <v>36</v>
      </c>
      <c r="E3291" s="27">
        <v>11</v>
      </c>
    </row>
    <row r="3292" spans="1:5" x14ac:dyDescent="0.25">
      <c r="A3292" s="26">
        <v>35400</v>
      </c>
      <c r="B3292" s="49">
        <f t="shared" si="52"/>
        <v>1996</v>
      </c>
      <c r="C3292" s="27" t="s">
        <v>35</v>
      </c>
      <c r="D3292" s="27" t="s">
        <v>36</v>
      </c>
      <c r="E3292" s="27">
        <v>61</v>
      </c>
    </row>
    <row r="3293" spans="1:5" x14ac:dyDescent="0.25">
      <c r="A3293" s="26">
        <v>35400</v>
      </c>
      <c r="B3293" s="49">
        <f t="shared" si="52"/>
        <v>1996</v>
      </c>
      <c r="C3293" s="27" t="s">
        <v>32</v>
      </c>
      <c r="D3293" s="27" t="s">
        <v>36</v>
      </c>
      <c r="E3293" s="27">
        <v>151</v>
      </c>
    </row>
    <row r="3294" spans="1:5" x14ac:dyDescent="0.25">
      <c r="A3294" s="26">
        <v>35400</v>
      </c>
      <c r="B3294" s="49">
        <f t="shared" si="52"/>
        <v>1996</v>
      </c>
      <c r="C3294" s="27" t="s">
        <v>34</v>
      </c>
      <c r="D3294" s="27" t="s">
        <v>36</v>
      </c>
      <c r="E3294" s="27">
        <v>96</v>
      </c>
    </row>
    <row r="3295" spans="1:5" x14ac:dyDescent="0.25">
      <c r="A3295" s="26">
        <v>35400</v>
      </c>
      <c r="B3295" s="49">
        <f t="shared" si="52"/>
        <v>1996</v>
      </c>
      <c r="C3295" s="27" t="s">
        <v>35</v>
      </c>
      <c r="D3295" s="27" t="s">
        <v>36</v>
      </c>
      <c r="E3295" s="27">
        <v>72</v>
      </c>
    </row>
    <row r="3296" spans="1:5" x14ac:dyDescent="0.25">
      <c r="A3296" s="26">
        <v>35400</v>
      </c>
      <c r="B3296" s="49">
        <f t="shared" si="52"/>
        <v>1996</v>
      </c>
      <c r="C3296" s="27" t="s">
        <v>27</v>
      </c>
      <c r="D3296" s="27" t="s">
        <v>36</v>
      </c>
      <c r="E3296" s="27">
        <v>79</v>
      </c>
    </row>
    <row r="3297" spans="1:5" x14ac:dyDescent="0.25">
      <c r="A3297" s="26">
        <v>35400</v>
      </c>
      <c r="B3297" s="49">
        <f t="shared" si="52"/>
        <v>1996</v>
      </c>
      <c r="C3297" s="27" t="s">
        <v>35</v>
      </c>
      <c r="D3297" s="27" t="s">
        <v>36</v>
      </c>
      <c r="E3297" s="27">
        <v>270</v>
      </c>
    </row>
    <row r="3298" spans="1:5" x14ac:dyDescent="0.25">
      <c r="A3298" s="26">
        <v>35400</v>
      </c>
      <c r="B3298" s="49">
        <f t="shared" si="52"/>
        <v>1996</v>
      </c>
      <c r="C3298" s="27" t="s">
        <v>34</v>
      </c>
      <c r="D3298" s="27" t="s">
        <v>36</v>
      </c>
      <c r="E3298" s="27">
        <v>79</v>
      </c>
    </row>
    <row r="3299" spans="1:5" x14ac:dyDescent="0.25">
      <c r="A3299" s="26">
        <v>35400</v>
      </c>
      <c r="B3299" s="49">
        <f t="shared" si="52"/>
        <v>1996</v>
      </c>
      <c r="C3299" s="27" t="s">
        <v>39</v>
      </c>
      <c r="D3299" s="27" t="s">
        <v>36</v>
      </c>
      <c r="E3299" s="27">
        <v>94</v>
      </c>
    </row>
    <row r="3300" spans="1:5" x14ac:dyDescent="0.25">
      <c r="A3300" s="26">
        <v>35400</v>
      </c>
      <c r="B3300" s="49">
        <f t="shared" si="52"/>
        <v>1996</v>
      </c>
      <c r="C3300" s="27" t="s">
        <v>37</v>
      </c>
      <c r="D3300" s="27" t="s">
        <v>36</v>
      </c>
      <c r="E3300" s="27">
        <v>293</v>
      </c>
    </row>
  </sheetData>
  <phoneticPr fontId="7" type="noConversion"/>
  <pageMargins left="0.75" right="0.75" top="1" bottom="1" header="0.5" footer="0.5"/>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0" r:id="rId4" name="List Box 2">
              <controlPr defaultSize="0" autoLine="0" autoPict="0">
                <anchor moveWithCells="1">
                  <from>
                    <xdr:col>13</xdr:col>
                    <xdr:colOff>381000</xdr:colOff>
                    <xdr:row>12</xdr:row>
                    <xdr:rowOff>175260</xdr:rowOff>
                  </from>
                  <to>
                    <xdr:col>14</xdr:col>
                    <xdr:colOff>365760</xdr:colOff>
                    <xdr:row>15</xdr:row>
                    <xdr:rowOff>114300</xdr:rowOff>
                  </to>
                </anchor>
              </controlPr>
            </control>
          </mc:Choice>
        </mc:AlternateContent>
        <mc:AlternateContent xmlns:mc="http://schemas.openxmlformats.org/markup-compatibility/2006">
          <mc:Choice Requires="x14">
            <control shapeId="2051" r:id="rId5" name="Drop Down 3">
              <controlPr defaultSize="0" autoLine="0" autoPict="0">
                <anchor moveWithCells="1">
                  <from>
                    <xdr:col>9</xdr:col>
                    <xdr:colOff>632460</xdr:colOff>
                    <xdr:row>12</xdr:row>
                    <xdr:rowOff>167640</xdr:rowOff>
                  </from>
                  <to>
                    <xdr:col>10</xdr:col>
                    <xdr:colOff>68580</xdr:colOff>
                    <xdr:row>14</xdr:row>
                    <xdr:rowOff>91440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5"/>
  <sheetViews>
    <sheetView showGridLines="0" workbookViewId="0">
      <selection activeCell="F20" sqref="F20"/>
    </sheetView>
  </sheetViews>
  <sheetFormatPr defaultColWidth="8.88671875" defaultRowHeight="15.6" x14ac:dyDescent="0.25"/>
  <cols>
    <col min="1" max="1" width="5.21875" style="1" bestFit="1" customWidth="1"/>
    <col min="2" max="3" width="8.88671875" style="1"/>
    <col min="4" max="4" width="12.6640625" style="1" bestFit="1" customWidth="1"/>
    <col min="5" max="5" width="3.21875" style="1" customWidth="1"/>
    <col min="6" max="6" width="23.33203125" style="1" bestFit="1" customWidth="1"/>
    <col min="7" max="7" width="14.109375" style="1" bestFit="1" customWidth="1"/>
    <col min="8" max="16384" width="8.88671875" style="1"/>
  </cols>
  <sheetData>
    <row r="1" spans="1:7" x14ac:dyDescent="0.25">
      <c r="A1" s="3" t="s">
        <v>66</v>
      </c>
      <c r="B1" s="3" t="s">
        <v>65</v>
      </c>
      <c r="C1" s="4" t="s">
        <v>64</v>
      </c>
      <c r="D1" s="2" t="s">
        <v>63</v>
      </c>
      <c r="E1" s="5"/>
    </row>
    <row r="2" spans="1:7" x14ac:dyDescent="0.25">
      <c r="A2" s="17">
        <v>1</v>
      </c>
      <c r="B2" s="19">
        <v>42583</v>
      </c>
      <c r="C2" s="7">
        <v>27861.894956517215</v>
      </c>
      <c r="D2" s="8" t="str">
        <f ca="1">IF(A2&lt;=$G$3,"",AVERAGE(OFFSET(C2,-$G$3,0,$G$3,1)))</f>
        <v/>
      </c>
      <c r="E2" s="5"/>
    </row>
    <row r="3" spans="1:7" x14ac:dyDescent="0.25">
      <c r="A3" s="17">
        <v>2</v>
      </c>
      <c r="B3" s="20">
        <v>42614</v>
      </c>
      <c r="C3" s="7">
        <v>75485.274986581499</v>
      </c>
      <c r="D3" s="8" t="str">
        <f t="shared" ref="D3:D24" ca="1" si="0">IF(A3&lt;=$G$3,"",AVERAGE(OFFSET(C3,-$G$3,0,$G$3,1)))</f>
        <v/>
      </c>
      <c r="E3" s="5"/>
      <c r="F3" s="9" t="s">
        <v>62</v>
      </c>
      <c r="G3" s="10">
        <v>3</v>
      </c>
    </row>
    <row r="4" spans="1:7" x14ac:dyDescent="0.25">
      <c r="A4" s="17">
        <v>3</v>
      </c>
      <c r="B4" s="20">
        <v>42644</v>
      </c>
      <c r="C4" s="7">
        <v>26381.399988487363</v>
      </c>
      <c r="D4" s="8" t="str">
        <f t="shared" ca="1" si="0"/>
        <v/>
      </c>
      <c r="E4" s="5"/>
      <c r="F4" s="11" t="s">
        <v>61</v>
      </c>
      <c r="G4" s="12">
        <f ca="1">G10</f>
        <v>249918398.26012987</v>
      </c>
    </row>
    <row r="5" spans="1:7" x14ac:dyDescent="0.25">
      <c r="A5" s="17">
        <v>4</v>
      </c>
      <c r="B5" s="20">
        <v>42675</v>
      </c>
      <c r="C5" s="7">
        <v>55931.7249145143</v>
      </c>
      <c r="D5" s="8">
        <f t="shared" ca="1" si="0"/>
        <v>43242.856643862026</v>
      </c>
      <c r="E5" s="5"/>
      <c r="F5" s="5"/>
      <c r="G5" s="5"/>
    </row>
    <row r="6" spans="1:7" x14ac:dyDescent="0.25">
      <c r="A6" s="17">
        <v>5</v>
      </c>
      <c r="B6" s="20">
        <v>42705</v>
      </c>
      <c r="C6" s="7">
        <v>47184.044943096116</v>
      </c>
      <c r="D6" s="8">
        <f t="shared" ca="1" si="0"/>
        <v>52599.466629861061</v>
      </c>
      <c r="E6" s="5"/>
      <c r="F6" s="9" t="s">
        <v>60</v>
      </c>
      <c r="G6" s="13">
        <f>_xlfn.XLOOKUP(G7,G11:G17,F11:F17)</f>
        <v>3</v>
      </c>
    </row>
    <row r="7" spans="1:7" x14ac:dyDescent="0.25">
      <c r="A7" s="17">
        <v>6</v>
      </c>
      <c r="B7" s="20">
        <v>42736</v>
      </c>
      <c r="C7" s="7">
        <v>35239.629965431901</v>
      </c>
      <c r="D7" s="8">
        <f t="shared" ca="1" si="0"/>
        <v>43165.723282032595</v>
      </c>
      <c r="E7" s="5"/>
      <c r="F7" s="11" t="s">
        <v>59</v>
      </c>
      <c r="G7" s="13">
        <f>MIN(G11:G17)</f>
        <v>249918398.26012987</v>
      </c>
    </row>
    <row r="8" spans="1:7" x14ac:dyDescent="0.25">
      <c r="A8" s="17">
        <v>7</v>
      </c>
      <c r="B8" s="20">
        <v>42767</v>
      </c>
      <c r="C8" s="7">
        <v>52540.244943848258</v>
      </c>
      <c r="D8" s="8">
        <f t="shared" ca="1" si="0"/>
        <v>46118.466607680777</v>
      </c>
      <c r="E8" s="5"/>
      <c r="F8" s="14" t="s">
        <v>58</v>
      </c>
      <c r="G8" s="15">
        <f ca="1">D24</f>
        <v>52540.364936307007</v>
      </c>
    </row>
    <row r="9" spans="1:7" x14ac:dyDescent="0.25">
      <c r="A9" s="17">
        <v>8</v>
      </c>
      <c r="B9" s="20">
        <v>42795</v>
      </c>
      <c r="C9" s="7">
        <v>47201.459929579491</v>
      </c>
      <c r="D9" s="8">
        <f t="shared" ca="1" si="0"/>
        <v>44987.973284125423</v>
      </c>
      <c r="E9" s="5"/>
      <c r="F9" s="5"/>
      <c r="G9" s="5"/>
    </row>
    <row r="10" spans="1:7" x14ac:dyDescent="0.25">
      <c r="A10" s="17">
        <v>9</v>
      </c>
      <c r="B10" s="20">
        <v>42826</v>
      </c>
      <c r="C10" s="7">
        <v>35124.514971709257</v>
      </c>
      <c r="D10" s="8">
        <f t="shared" ca="1" si="0"/>
        <v>44993.778279619881</v>
      </c>
      <c r="G10" s="1">
        <f ca="1">SUMXMY2(C2:C23,D2:D23)/COUNT(D2:D23)</f>
        <v>249918398.26012987</v>
      </c>
    </row>
    <row r="11" spans="1:7" x14ac:dyDescent="0.25">
      <c r="A11" s="17">
        <v>10</v>
      </c>
      <c r="B11" s="20">
        <v>42856</v>
      </c>
      <c r="C11" s="7">
        <v>56455.657425116151</v>
      </c>
      <c r="D11" s="8">
        <f t="shared" ca="1" si="0"/>
        <v>44955.406615045671</v>
      </c>
      <c r="F11" s="1">
        <v>2</v>
      </c>
      <c r="G11" s="1">
        <f t="dataTable" ref="G11:G17" dt2D="0" dtr="0" r1="G3" ca="1"/>
        <v>376452052.6947993</v>
      </c>
    </row>
    <row r="12" spans="1:7" x14ac:dyDescent="0.25">
      <c r="A12" s="17">
        <v>11</v>
      </c>
      <c r="B12" s="20">
        <v>42887</v>
      </c>
      <c r="C12" s="7">
        <v>53781.28992798589</v>
      </c>
      <c r="D12" s="8">
        <f t="shared" ca="1" si="0"/>
        <v>46260.544108801638</v>
      </c>
      <c r="F12" s="1">
        <v>3</v>
      </c>
      <c r="G12" s="1">
        <v>249918398.26012987</v>
      </c>
    </row>
    <row r="13" spans="1:7" x14ac:dyDescent="0.25">
      <c r="A13" s="17">
        <v>12</v>
      </c>
      <c r="B13" s="20">
        <v>42917</v>
      </c>
      <c r="C13" s="7">
        <v>36362.802448423208</v>
      </c>
      <c r="D13" s="8">
        <f t="shared" ca="1" si="0"/>
        <v>48453.820774937099</v>
      </c>
      <c r="F13" s="1">
        <v>4</v>
      </c>
      <c r="G13" s="1">
        <v>266852337.11503321</v>
      </c>
    </row>
    <row r="14" spans="1:7" x14ac:dyDescent="0.25">
      <c r="A14" s="17">
        <v>13</v>
      </c>
      <c r="B14" s="20">
        <v>42948</v>
      </c>
      <c r="C14" s="7">
        <v>51020.857452724988</v>
      </c>
      <c r="D14" s="8">
        <f t="shared" ca="1" si="0"/>
        <v>48866.583267175076</v>
      </c>
      <c r="F14" s="1">
        <v>5</v>
      </c>
      <c r="G14" s="1">
        <v>280658193.5336858</v>
      </c>
    </row>
    <row r="15" spans="1:7" x14ac:dyDescent="0.25">
      <c r="A15" s="17">
        <v>14</v>
      </c>
      <c r="B15" s="20">
        <v>42979</v>
      </c>
      <c r="C15" s="7">
        <v>27287.669948245901</v>
      </c>
      <c r="D15" s="8">
        <f t="shared" ca="1" si="0"/>
        <v>47054.983276378036</v>
      </c>
      <c r="F15" s="1">
        <v>6</v>
      </c>
      <c r="G15" s="1">
        <v>271319953.12620521</v>
      </c>
    </row>
    <row r="16" spans="1:7" x14ac:dyDescent="0.25">
      <c r="A16" s="17">
        <v>15</v>
      </c>
      <c r="B16" s="20">
        <v>43009</v>
      </c>
      <c r="C16" s="7">
        <v>55629.242456566535</v>
      </c>
      <c r="D16" s="8">
        <f t="shared" ca="1" si="0"/>
        <v>38223.776616464696</v>
      </c>
      <c r="F16" s="1">
        <v>7</v>
      </c>
      <c r="G16" s="1">
        <v>293639212.14711785</v>
      </c>
    </row>
    <row r="17" spans="1:9" x14ac:dyDescent="0.25">
      <c r="A17" s="17">
        <v>16</v>
      </c>
      <c r="B17" s="20">
        <v>43040</v>
      </c>
      <c r="C17" s="7">
        <v>66461.425951800222</v>
      </c>
      <c r="D17" s="8">
        <f t="shared" ca="1" si="0"/>
        <v>44645.923285845813</v>
      </c>
      <c r="F17" s="1">
        <v>8</v>
      </c>
      <c r="G17" s="1">
        <v>296268551.03994018</v>
      </c>
    </row>
    <row r="18" spans="1:9" x14ac:dyDescent="0.25">
      <c r="A18" s="17">
        <v>17</v>
      </c>
      <c r="B18" s="20">
        <v>43070</v>
      </c>
      <c r="C18" s="7">
        <v>43821.608967249282</v>
      </c>
      <c r="D18" s="8">
        <f t="shared" ca="1" si="0"/>
        <v>49792.779452204217</v>
      </c>
    </row>
    <row r="19" spans="1:9" x14ac:dyDescent="0.25">
      <c r="A19" s="17">
        <v>18</v>
      </c>
      <c r="B19" s="20">
        <v>43101</v>
      </c>
      <c r="C19" s="7">
        <v>71398.428446732913</v>
      </c>
      <c r="D19" s="8">
        <f t="shared" ca="1" si="0"/>
        <v>55304.092458538682</v>
      </c>
    </row>
    <row r="20" spans="1:9" x14ac:dyDescent="0.25">
      <c r="A20" s="17">
        <v>19</v>
      </c>
      <c r="B20" s="20">
        <v>43132</v>
      </c>
      <c r="C20" s="7">
        <v>90120.910382874907</v>
      </c>
      <c r="D20" s="8">
        <f t="shared" ca="1" si="0"/>
        <v>60560.487788594131</v>
      </c>
      <c r="E20" s="5"/>
    </row>
    <row r="21" spans="1:9" x14ac:dyDescent="0.25">
      <c r="A21" s="17">
        <v>20</v>
      </c>
      <c r="B21" s="20">
        <v>43160</v>
      </c>
      <c r="C21" s="7">
        <v>53519.687455869003</v>
      </c>
      <c r="D21" s="8">
        <f t="shared" ca="1" si="0"/>
        <v>68446.982598952367</v>
      </c>
      <c r="E21" s="5"/>
    </row>
    <row r="22" spans="1:9" x14ac:dyDescent="0.25">
      <c r="A22" s="17">
        <v>21</v>
      </c>
      <c r="B22" s="20">
        <v>43191</v>
      </c>
      <c r="C22" s="7">
        <v>34854.154937672</v>
      </c>
      <c r="D22" s="8">
        <f t="shared" ca="1" si="0"/>
        <v>71679.675428492264</v>
      </c>
      <c r="E22" s="5"/>
      <c r="F22" s="5"/>
      <c r="G22" s="5"/>
      <c r="H22" s="5"/>
      <c r="I22" s="5"/>
    </row>
    <row r="23" spans="1:9" x14ac:dyDescent="0.25">
      <c r="A23" s="18">
        <v>22</v>
      </c>
      <c r="B23" s="21">
        <v>43221</v>
      </c>
      <c r="C23" s="16">
        <v>69247.252415380004</v>
      </c>
      <c r="D23" s="8">
        <f t="shared" ca="1" si="0"/>
        <v>59498.25092547197</v>
      </c>
      <c r="E23" s="5"/>
      <c r="F23" s="5"/>
      <c r="G23" s="5"/>
      <c r="H23" s="5"/>
      <c r="I23" s="5"/>
    </row>
    <row r="24" spans="1:9" x14ac:dyDescent="0.25">
      <c r="A24" s="1">
        <v>23</v>
      </c>
      <c r="B24" s="6"/>
      <c r="C24" s="6"/>
      <c r="D24" s="8">
        <f ca="1">IF(A24&lt;=$G$3,"",AVERAGE(OFFSET(C24,-$G$3,0,$G$3,1)))</f>
        <v>52540.364936307007</v>
      </c>
      <c r="E24" s="5"/>
      <c r="F24" s="5"/>
      <c r="G24" s="5"/>
      <c r="H24" s="5"/>
      <c r="I24" s="5"/>
    </row>
    <row r="25" spans="1:9" x14ac:dyDescent="0.25">
      <c r="B25" s="6"/>
      <c r="C25" s="6"/>
      <c r="D25" s="40"/>
      <c r="E25" s="5"/>
      <c r="F25" s="5"/>
      <c r="G25" s="5"/>
      <c r="H25" s="5"/>
      <c r="I25" s="5"/>
    </row>
  </sheetData>
  <phoneticPr fontId="7"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831"/>
  <sheetViews>
    <sheetView showGridLines="0" tabSelected="1" topLeftCell="A4" workbookViewId="0">
      <selection activeCell="C13" sqref="C13"/>
    </sheetView>
  </sheetViews>
  <sheetFormatPr defaultRowHeight="14.4" x14ac:dyDescent="0.25"/>
  <cols>
    <col min="1" max="1" width="5.88671875" style="108" customWidth="1"/>
    <col min="2" max="2" width="11" style="108" customWidth="1"/>
    <col min="3" max="3" width="10.88671875" style="108" bestFit="1" customWidth="1"/>
    <col min="4" max="5" width="10.21875" style="108" bestFit="1" customWidth="1"/>
    <col min="6" max="6" width="11.6640625" style="108" customWidth="1"/>
    <col min="7" max="7" width="6.88671875" style="105" customWidth="1"/>
    <col min="8" max="8" width="5.88671875" style="105" customWidth="1"/>
    <col min="9" max="9" width="7.109375" style="105" customWidth="1"/>
    <col min="10" max="10" width="15.33203125" style="105" customWidth="1"/>
    <col min="11" max="11" width="9.77734375" style="105" customWidth="1"/>
    <col min="12" max="13" width="9.6640625" style="105" customWidth="1"/>
    <col min="14" max="14" width="7.109375" style="105" bestFit="1" customWidth="1"/>
    <col min="15" max="15" width="5.77734375" style="105" customWidth="1"/>
    <col min="16" max="41" width="9" style="105"/>
  </cols>
  <sheetData>
    <row r="1" spans="1:16" x14ac:dyDescent="0.25">
      <c r="A1" s="103" t="s">
        <v>117</v>
      </c>
      <c r="B1" s="103" t="s">
        <v>118</v>
      </c>
      <c r="C1" s="103" t="s">
        <v>119</v>
      </c>
      <c r="D1" s="104" t="s">
        <v>142</v>
      </c>
      <c r="E1" s="104"/>
      <c r="F1" s="104"/>
    </row>
    <row r="2" spans="1:16" x14ac:dyDescent="0.25">
      <c r="A2" s="106">
        <v>1</v>
      </c>
      <c r="B2" s="106">
        <v>3.8</v>
      </c>
      <c r="C2" s="107">
        <v>10.6</v>
      </c>
      <c r="D2" s="108">
        <f>LN(C2)</f>
        <v>2.3608540011180215</v>
      </c>
      <c r="E2" s="109"/>
    </row>
    <row r="3" spans="1:16" x14ac:dyDescent="0.25">
      <c r="A3" s="106">
        <v>2</v>
      </c>
      <c r="B3" s="106">
        <v>6.2</v>
      </c>
      <c r="C3" s="107">
        <v>8.4</v>
      </c>
      <c r="D3" s="108">
        <f t="shared" ref="D3:D10" si="0">LN(C3)</f>
        <v>2.1282317058492679</v>
      </c>
      <c r="E3" s="109"/>
    </row>
    <row r="4" spans="1:16" x14ac:dyDescent="0.25">
      <c r="A4" s="106">
        <v>3</v>
      </c>
      <c r="B4" s="106">
        <v>8.6</v>
      </c>
      <c r="C4" s="107">
        <v>7.5</v>
      </c>
      <c r="D4" s="108">
        <f t="shared" si="0"/>
        <v>2.0149030205422647</v>
      </c>
      <c r="E4" s="109"/>
    </row>
    <row r="5" spans="1:16" x14ac:dyDescent="0.25">
      <c r="A5" s="106">
        <v>4</v>
      </c>
      <c r="B5" s="106">
        <v>11</v>
      </c>
      <c r="C5" s="107">
        <v>6.4</v>
      </c>
      <c r="D5" s="108">
        <f t="shared" si="0"/>
        <v>1.8562979903656263</v>
      </c>
      <c r="E5" s="109"/>
    </row>
    <row r="6" spans="1:16" x14ac:dyDescent="0.25">
      <c r="A6" s="106">
        <v>5</v>
      </c>
      <c r="B6" s="106">
        <v>13.4</v>
      </c>
      <c r="C6" s="107">
        <v>6.2</v>
      </c>
      <c r="D6" s="108">
        <f t="shared" si="0"/>
        <v>1.824549292051046</v>
      </c>
      <c r="E6" s="109"/>
    </row>
    <row r="7" spans="1:16" x14ac:dyDescent="0.25">
      <c r="A7" s="106">
        <v>6</v>
      </c>
      <c r="B7" s="106">
        <v>15.8</v>
      </c>
      <c r="C7" s="107">
        <v>4.8</v>
      </c>
      <c r="D7" s="108">
        <f t="shared" si="0"/>
        <v>1.5686159179138452</v>
      </c>
      <c r="E7" s="109"/>
    </row>
    <row r="8" spans="1:16" x14ac:dyDescent="0.25">
      <c r="A8" s="106">
        <v>7</v>
      </c>
      <c r="B8" s="106">
        <v>18.2</v>
      </c>
      <c r="C8" s="107">
        <v>4</v>
      </c>
      <c r="D8" s="108">
        <f t="shared" si="0"/>
        <v>1.3862943611198906</v>
      </c>
      <c r="E8" s="109"/>
    </row>
    <row r="9" spans="1:16" x14ac:dyDescent="0.25">
      <c r="A9" s="106">
        <v>8</v>
      </c>
      <c r="B9" s="106">
        <v>20.6</v>
      </c>
      <c r="C9" s="107">
        <v>3.8</v>
      </c>
      <c r="D9" s="108">
        <f t="shared" si="0"/>
        <v>1.33500106673234</v>
      </c>
      <c r="E9" s="109"/>
    </row>
    <row r="10" spans="1:16" x14ac:dyDescent="0.25">
      <c r="A10" s="106">
        <v>9</v>
      </c>
      <c r="B10" s="106">
        <v>23</v>
      </c>
      <c r="C10" s="107">
        <v>3.2</v>
      </c>
      <c r="D10" s="108">
        <f t="shared" si="0"/>
        <v>1.1631508098056809</v>
      </c>
      <c r="E10" s="109"/>
    </row>
    <row r="11" spans="1:16" x14ac:dyDescent="0.25">
      <c r="E11" s="109"/>
      <c r="I11" s="110"/>
      <c r="J11" s="110"/>
      <c r="K11" s="110"/>
      <c r="L11" s="111"/>
      <c r="M11" s="111"/>
      <c r="N11" s="110"/>
      <c r="O11" s="110"/>
      <c r="P11" s="110"/>
    </row>
    <row r="12" spans="1:16" x14ac:dyDescent="0.25">
      <c r="A12" s="108" t="s">
        <v>141</v>
      </c>
      <c r="B12" s="108" t="s">
        <v>143</v>
      </c>
      <c r="C12" s="108" t="s">
        <v>151</v>
      </c>
      <c r="D12" s="108" t="s">
        <v>150</v>
      </c>
      <c r="I12" s="110"/>
      <c r="J12" s="110"/>
      <c r="K12" s="110"/>
      <c r="L12" s="111"/>
      <c r="M12" s="111"/>
      <c r="N12" s="110"/>
      <c r="O12" s="110"/>
      <c r="P12" s="110"/>
    </row>
    <row r="13" spans="1:16" x14ac:dyDescent="0.25">
      <c r="A13" s="108">
        <v>2.3608540011180215</v>
      </c>
      <c r="B13" s="108">
        <v>3.8</v>
      </c>
      <c r="C13" s="108">
        <f>$G$16*$G$17^B13</f>
        <v>10.161145469645577</v>
      </c>
      <c r="D13" s="108">
        <v>10.6</v>
      </c>
      <c r="F13" s="108" t="s">
        <v>144</v>
      </c>
      <c r="G13" s="108">
        <v>2.5485610085984942</v>
      </c>
      <c r="I13" s="110"/>
      <c r="J13" s="110"/>
      <c r="K13" s="110"/>
      <c r="L13" s="110"/>
      <c r="M13" s="110"/>
      <c r="N13" s="110"/>
      <c r="O13" s="110"/>
      <c r="P13" s="110"/>
    </row>
    <row r="14" spans="1:16" x14ac:dyDescent="0.25">
      <c r="A14" s="108">
        <v>2.1282317058492679</v>
      </c>
      <c r="B14" s="108">
        <v>6.2</v>
      </c>
      <c r="C14" s="108">
        <f>$G$16*$G$17^B14</f>
        <v>8.7873610458456675</v>
      </c>
      <c r="D14" s="108">
        <v>8.4</v>
      </c>
      <c r="F14" s="109" t="s">
        <v>145</v>
      </c>
      <c r="G14" s="109">
        <v>-6.052363940206025E-2</v>
      </c>
      <c r="I14" s="110"/>
      <c r="J14" s="110"/>
      <c r="K14" s="110"/>
      <c r="L14" s="110"/>
      <c r="M14" s="110"/>
      <c r="N14" s="110"/>
      <c r="O14" s="110"/>
      <c r="P14" s="110"/>
    </row>
    <row r="15" spans="1:16" x14ac:dyDescent="0.25">
      <c r="A15" s="108">
        <v>2.0149030205422647</v>
      </c>
      <c r="B15" s="108">
        <v>8.6</v>
      </c>
      <c r="C15" s="108">
        <f>$G$16*$G$17^B15</f>
        <v>7.5993119457563703</v>
      </c>
      <c r="D15" s="108">
        <v>7.5</v>
      </c>
      <c r="F15" s="108" t="s">
        <v>148</v>
      </c>
      <c r="G15" s="109">
        <f>RSQ(A13:A21,B13:B21)</f>
        <v>0.98623991168305003</v>
      </c>
      <c r="I15" s="110"/>
      <c r="J15" s="110"/>
      <c r="K15" s="110"/>
      <c r="L15" s="110"/>
      <c r="M15" s="110"/>
      <c r="N15" s="110"/>
      <c r="O15" s="110"/>
      <c r="P15" s="110"/>
    </row>
    <row r="16" spans="1:16" x14ac:dyDescent="0.25">
      <c r="A16" s="108">
        <v>1.8562979903656263</v>
      </c>
      <c r="B16" s="108">
        <v>11</v>
      </c>
      <c r="C16" s="108">
        <f>$G$16*$G$17^B16</f>
        <v>6.5718867982802713</v>
      </c>
      <c r="D16" s="108">
        <v>6.4</v>
      </c>
      <c r="F16" s="108" t="s">
        <v>146</v>
      </c>
      <c r="G16" s="109">
        <f>EXP(G13)</f>
        <v>12.788687723894535</v>
      </c>
      <c r="I16" s="110"/>
      <c r="J16" s="110"/>
      <c r="K16" s="110"/>
      <c r="L16" s="110"/>
      <c r="M16" s="110"/>
      <c r="N16" s="110"/>
      <c r="O16" s="110"/>
      <c r="P16" s="110"/>
    </row>
    <row r="17" spans="1:16" x14ac:dyDescent="0.25">
      <c r="A17" s="108">
        <v>1.824549292051046</v>
      </c>
      <c r="B17" s="108">
        <v>13.4</v>
      </c>
      <c r="C17" s="108">
        <f>$G$16*$G$17^B17</f>
        <v>5.6833692836531924</v>
      </c>
      <c r="D17" s="108">
        <v>6.2</v>
      </c>
      <c r="F17" s="108" t="s">
        <v>147</v>
      </c>
      <c r="G17" s="109">
        <f>EXP(G14)</f>
        <v>0.94127151765954842</v>
      </c>
      <c r="I17" s="110"/>
      <c r="J17" s="110"/>
      <c r="K17" s="110"/>
      <c r="L17" s="110"/>
      <c r="M17" s="110"/>
      <c r="N17" s="110"/>
      <c r="O17" s="110"/>
      <c r="P17" s="110"/>
    </row>
    <row r="18" spans="1:16" x14ac:dyDescent="0.25">
      <c r="A18" s="108">
        <v>1.5686159179138452</v>
      </c>
      <c r="B18" s="108">
        <v>15.8</v>
      </c>
      <c r="C18" s="108">
        <f>$G$16*$G$17^B18</f>
        <v>4.9149791233204176</v>
      </c>
      <c r="D18" s="108">
        <v>4.8</v>
      </c>
      <c r="E18" s="109"/>
      <c r="F18" s="108" t="s">
        <v>149</v>
      </c>
      <c r="G18" s="109">
        <f>SUMXMY2(C13:C21,D13:D21)/COUNT(D13:D21)</f>
        <v>8.2309488526925614E-2</v>
      </c>
      <c r="I18" s="110"/>
      <c r="J18" s="110"/>
      <c r="K18" s="110"/>
      <c r="L18" s="110"/>
      <c r="M18" s="110"/>
      <c r="N18" s="110"/>
      <c r="O18" s="110"/>
      <c r="P18" s="110"/>
    </row>
    <row r="19" spans="1:16" x14ac:dyDescent="0.25">
      <c r="A19" s="108">
        <v>1.3862943611198906</v>
      </c>
      <c r="B19" s="108">
        <v>18.2</v>
      </c>
      <c r="C19" s="108">
        <f>$G$16*$G$17^B19</f>
        <v>4.2504751278712867</v>
      </c>
      <c r="D19" s="108">
        <v>4</v>
      </c>
      <c r="E19" s="109"/>
      <c r="F19" s="108" t="s">
        <v>152</v>
      </c>
      <c r="G19" s="105">
        <v>2.8164297128504412</v>
      </c>
      <c r="I19" s="110"/>
      <c r="J19" s="110"/>
      <c r="K19" s="110"/>
      <c r="L19" s="110"/>
      <c r="M19" s="110"/>
      <c r="N19" s="110"/>
      <c r="O19" s="110"/>
      <c r="P19" s="110"/>
    </row>
    <row r="20" spans="1:16" x14ac:dyDescent="0.25">
      <c r="A20" s="108">
        <v>1.33500106673234</v>
      </c>
      <c r="B20" s="108">
        <v>20.6</v>
      </c>
      <c r="C20" s="108">
        <f>$G$16*$G$17^B20</f>
        <v>3.6758119127975442</v>
      </c>
      <c r="D20" s="108">
        <v>3.8</v>
      </c>
      <c r="E20" s="109"/>
    </row>
    <row r="21" spans="1:16" x14ac:dyDescent="0.25">
      <c r="A21" s="108">
        <v>1.1631508098056809</v>
      </c>
      <c r="B21" s="108">
        <v>23</v>
      </c>
      <c r="C21" s="108">
        <f>$G$16*$G$17^B21</f>
        <v>3.1788430261986242</v>
      </c>
      <c r="D21" s="108">
        <v>3.2</v>
      </c>
      <c r="E21" s="109"/>
      <c r="K21" s="112"/>
    </row>
    <row r="22" spans="1:16" x14ac:dyDescent="0.25">
      <c r="B22" s="108">
        <v>25</v>
      </c>
      <c r="C22" s="108">
        <f>$G$16*$G$17^B22</f>
        <v>2.8164297128504412</v>
      </c>
      <c r="E22" s="109"/>
    </row>
    <row r="23" spans="1:16" x14ac:dyDescent="0.25">
      <c r="E23" s="109"/>
    </row>
    <row r="24" spans="1:16" x14ac:dyDescent="0.25">
      <c r="E24" s="109"/>
    </row>
    <row r="25" spans="1:16" x14ac:dyDescent="0.25">
      <c r="E25" s="109"/>
      <c r="G25" s="112"/>
      <c r="H25" s="113"/>
      <c r="I25" s="113"/>
      <c r="J25" s="112"/>
      <c r="K25" s="113"/>
      <c r="L25" s="113"/>
      <c r="M25" s="113"/>
    </row>
    <row r="26" spans="1:16" x14ac:dyDescent="0.25">
      <c r="E26" s="109"/>
      <c r="G26" s="112"/>
      <c r="H26" s="113"/>
      <c r="I26" s="113"/>
      <c r="J26" s="112"/>
      <c r="K26" s="113"/>
      <c r="L26" s="113"/>
      <c r="M26" s="113"/>
    </row>
    <row r="27" spans="1:16" x14ac:dyDescent="0.25">
      <c r="E27" s="109"/>
    </row>
    <row r="28" spans="1:16" x14ac:dyDescent="0.25">
      <c r="E28" s="109"/>
    </row>
    <row r="29" spans="1:16" x14ac:dyDescent="0.25">
      <c r="E29" s="109"/>
    </row>
    <row r="30" spans="1:16" x14ac:dyDescent="0.25">
      <c r="E30" s="109"/>
    </row>
    <row r="31" spans="1:16" x14ac:dyDescent="0.25">
      <c r="E31" s="109"/>
    </row>
    <row r="32" spans="1:16" x14ac:dyDescent="0.25">
      <c r="E32" s="109"/>
    </row>
    <row r="33" spans="5:5" x14ac:dyDescent="0.25">
      <c r="E33" s="109"/>
    </row>
    <row r="34" spans="5:5" x14ac:dyDescent="0.25">
      <c r="E34" s="109"/>
    </row>
    <row r="35" spans="5:5" x14ac:dyDescent="0.25">
      <c r="E35" s="109"/>
    </row>
    <row r="36" spans="5:5" x14ac:dyDescent="0.25">
      <c r="E36" s="109"/>
    </row>
    <row r="37" spans="5:5" x14ac:dyDescent="0.25">
      <c r="E37" s="109"/>
    </row>
    <row r="38" spans="5:5" x14ac:dyDescent="0.25">
      <c r="E38" s="109"/>
    </row>
    <row r="39" spans="5:5" x14ac:dyDescent="0.25">
      <c r="E39" s="109"/>
    </row>
    <row r="40" spans="5:5" x14ac:dyDescent="0.25">
      <c r="E40" s="109"/>
    </row>
    <row r="41" spans="5:5" x14ac:dyDescent="0.25">
      <c r="E41" s="109"/>
    </row>
    <row r="42" spans="5:5" x14ac:dyDescent="0.25">
      <c r="E42" s="109"/>
    </row>
    <row r="43" spans="5:5" x14ac:dyDescent="0.25">
      <c r="E43" s="109"/>
    </row>
    <row r="44" spans="5:5" x14ac:dyDescent="0.25">
      <c r="E44" s="109"/>
    </row>
    <row r="45" spans="5:5" x14ac:dyDescent="0.25">
      <c r="E45" s="109"/>
    </row>
    <row r="46" spans="5:5" x14ac:dyDescent="0.25">
      <c r="E46" s="109"/>
    </row>
    <row r="47" spans="5:5" x14ac:dyDescent="0.25">
      <c r="E47" s="109"/>
    </row>
    <row r="48" spans="5:5" x14ac:dyDescent="0.25">
      <c r="E48" s="109"/>
    </row>
    <row r="49" spans="5:5" x14ac:dyDescent="0.25">
      <c r="E49" s="109"/>
    </row>
    <row r="50" spans="5:5" x14ac:dyDescent="0.25">
      <c r="E50" s="109"/>
    </row>
    <row r="51" spans="5:5" x14ac:dyDescent="0.25">
      <c r="E51" s="109"/>
    </row>
    <row r="52" spans="5:5" x14ac:dyDescent="0.25">
      <c r="E52" s="109"/>
    </row>
    <row r="53" spans="5:5" x14ac:dyDescent="0.25">
      <c r="E53" s="109"/>
    </row>
    <row r="54" spans="5:5" x14ac:dyDescent="0.25">
      <c r="E54" s="109"/>
    </row>
    <row r="55" spans="5:5" x14ac:dyDescent="0.25">
      <c r="E55" s="109"/>
    </row>
    <row r="56" spans="5:5" x14ac:dyDescent="0.25">
      <c r="E56" s="109"/>
    </row>
    <row r="57" spans="5:5" x14ac:dyDescent="0.25">
      <c r="E57" s="109"/>
    </row>
    <row r="58" spans="5:5" x14ac:dyDescent="0.25">
      <c r="E58" s="109"/>
    </row>
    <row r="59" spans="5:5" x14ac:dyDescent="0.25">
      <c r="E59" s="109"/>
    </row>
    <row r="60" spans="5:5" x14ac:dyDescent="0.25">
      <c r="E60" s="109"/>
    </row>
    <row r="61" spans="5:5" x14ac:dyDescent="0.25">
      <c r="E61" s="109"/>
    </row>
    <row r="62" spans="5:5" x14ac:dyDescent="0.25">
      <c r="E62" s="109"/>
    </row>
    <row r="63" spans="5:5" x14ac:dyDescent="0.25">
      <c r="E63" s="109"/>
    </row>
    <row r="64" spans="5:5" x14ac:dyDescent="0.25">
      <c r="E64" s="109"/>
    </row>
    <row r="65" spans="5:5" x14ac:dyDescent="0.25">
      <c r="E65" s="109"/>
    </row>
    <row r="66" spans="5:5" x14ac:dyDescent="0.25">
      <c r="E66" s="109"/>
    </row>
    <row r="67" spans="5:5" x14ac:dyDescent="0.25">
      <c r="E67" s="109"/>
    </row>
    <row r="68" spans="5:5" x14ac:dyDescent="0.25">
      <c r="E68" s="109"/>
    </row>
    <row r="69" spans="5:5" x14ac:dyDescent="0.25">
      <c r="E69" s="109"/>
    </row>
    <row r="70" spans="5:5" x14ac:dyDescent="0.25">
      <c r="E70" s="109"/>
    </row>
    <row r="71" spans="5:5" x14ac:dyDescent="0.25">
      <c r="E71" s="109"/>
    </row>
    <row r="72" spans="5:5" x14ac:dyDescent="0.25">
      <c r="E72" s="109"/>
    </row>
    <row r="73" spans="5:5" x14ac:dyDescent="0.25">
      <c r="E73" s="109"/>
    </row>
    <row r="74" spans="5:5" x14ac:dyDescent="0.25">
      <c r="E74" s="109"/>
    </row>
    <row r="75" spans="5:5" x14ac:dyDescent="0.25">
      <c r="E75" s="109"/>
    </row>
    <row r="76" spans="5:5" x14ac:dyDescent="0.25">
      <c r="E76" s="109"/>
    </row>
    <row r="77" spans="5:5" x14ac:dyDescent="0.25">
      <c r="E77" s="109"/>
    </row>
    <row r="78" spans="5:5" x14ac:dyDescent="0.25">
      <c r="E78" s="109"/>
    </row>
    <row r="79" spans="5:5" x14ac:dyDescent="0.25">
      <c r="E79" s="109"/>
    </row>
    <row r="80" spans="5:5" x14ac:dyDescent="0.25">
      <c r="E80" s="109"/>
    </row>
    <row r="81" spans="5:5" x14ac:dyDescent="0.25">
      <c r="E81" s="109"/>
    </row>
    <row r="82" spans="5:5" x14ac:dyDescent="0.25">
      <c r="E82" s="109"/>
    </row>
    <row r="83" spans="5:5" x14ac:dyDescent="0.25">
      <c r="E83" s="109"/>
    </row>
    <row r="84" spans="5:5" x14ac:dyDescent="0.25">
      <c r="E84" s="109"/>
    </row>
    <row r="85" spans="5:5" x14ac:dyDescent="0.25">
      <c r="E85" s="109"/>
    </row>
    <row r="86" spans="5:5" x14ac:dyDescent="0.25">
      <c r="E86" s="109"/>
    </row>
    <row r="87" spans="5:5" x14ac:dyDescent="0.25">
      <c r="E87" s="109"/>
    </row>
    <row r="88" spans="5:5" x14ac:dyDescent="0.25">
      <c r="E88" s="109"/>
    </row>
    <row r="89" spans="5:5" x14ac:dyDescent="0.25">
      <c r="E89" s="109"/>
    </row>
    <row r="90" spans="5:5" x14ac:dyDescent="0.25">
      <c r="E90" s="109"/>
    </row>
    <row r="91" spans="5:5" x14ac:dyDescent="0.25">
      <c r="E91" s="109"/>
    </row>
    <row r="92" spans="5:5" x14ac:dyDescent="0.25">
      <c r="E92" s="109"/>
    </row>
    <row r="93" spans="5:5" x14ac:dyDescent="0.25">
      <c r="E93" s="109"/>
    </row>
    <row r="94" spans="5:5" x14ac:dyDescent="0.25">
      <c r="E94" s="109"/>
    </row>
    <row r="95" spans="5:5" x14ac:dyDescent="0.25">
      <c r="E95" s="109"/>
    </row>
    <row r="96" spans="5:5" x14ac:dyDescent="0.25">
      <c r="E96" s="109"/>
    </row>
    <row r="97" spans="5:5" x14ac:dyDescent="0.25">
      <c r="E97" s="109"/>
    </row>
    <row r="98" spans="5:5" x14ac:dyDescent="0.25">
      <c r="E98" s="109"/>
    </row>
    <row r="99" spans="5:5" x14ac:dyDescent="0.25">
      <c r="E99" s="109"/>
    </row>
    <row r="100" spans="5:5" x14ac:dyDescent="0.25">
      <c r="E100" s="109"/>
    </row>
    <row r="101" spans="5:5" x14ac:dyDescent="0.25">
      <c r="E101" s="109"/>
    </row>
    <row r="102" spans="5:5" x14ac:dyDescent="0.25">
      <c r="E102" s="109"/>
    </row>
    <row r="103" spans="5:5" x14ac:dyDescent="0.25">
      <c r="E103" s="109"/>
    </row>
    <row r="104" spans="5:5" x14ac:dyDescent="0.25">
      <c r="E104" s="109"/>
    </row>
    <row r="105" spans="5:5" x14ac:dyDescent="0.25">
      <c r="E105" s="109"/>
    </row>
    <row r="106" spans="5:5" x14ac:dyDescent="0.25">
      <c r="E106" s="109"/>
    </row>
    <row r="107" spans="5:5" x14ac:dyDescent="0.25">
      <c r="E107" s="109"/>
    </row>
    <row r="108" spans="5:5" x14ac:dyDescent="0.25">
      <c r="E108" s="109"/>
    </row>
    <row r="109" spans="5:5" x14ac:dyDescent="0.25">
      <c r="E109" s="109"/>
    </row>
    <row r="110" spans="5:5" x14ac:dyDescent="0.25">
      <c r="E110" s="109"/>
    </row>
    <row r="111" spans="5:5" x14ac:dyDescent="0.25">
      <c r="E111" s="109"/>
    </row>
    <row r="112" spans="5:5" x14ac:dyDescent="0.25">
      <c r="E112" s="109"/>
    </row>
    <row r="113" spans="5:5" x14ac:dyDescent="0.25">
      <c r="E113" s="109"/>
    </row>
    <row r="114" spans="5:5" x14ac:dyDescent="0.25">
      <c r="E114" s="109"/>
    </row>
    <row r="115" spans="5:5" x14ac:dyDescent="0.25">
      <c r="E115" s="109"/>
    </row>
    <row r="116" spans="5:5" x14ac:dyDescent="0.25">
      <c r="E116" s="109"/>
    </row>
    <row r="117" spans="5:5" x14ac:dyDescent="0.25">
      <c r="E117" s="109"/>
    </row>
    <row r="118" spans="5:5" x14ac:dyDescent="0.25">
      <c r="E118" s="109"/>
    </row>
    <row r="119" spans="5:5" x14ac:dyDescent="0.25">
      <c r="E119" s="109"/>
    </row>
    <row r="120" spans="5:5" x14ac:dyDescent="0.25">
      <c r="E120" s="109"/>
    </row>
    <row r="121" spans="5:5" x14ac:dyDescent="0.25">
      <c r="E121" s="109"/>
    </row>
    <row r="122" spans="5:5" x14ac:dyDescent="0.25">
      <c r="E122" s="109"/>
    </row>
    <row r="123" spans="5:5" x14ac:dyDescent="0.25">
      <c r="E123" s="109"/>
    </row>
    <row r="124" spans="5:5" x14ac:dyDescent="0.25">
      <c r="E124" s="109"/>
    </row>
    <row r="125" spans="5:5" x14ac:dyDescent="0.25">
      <c r="E125" s="109"/>
    </row>
    <row r="126" spans="5:5" x14ac:dyDescent="0.25">
      <c r="E126" s="109"/>
    </row>
    <row r="127" spans="5:5" x14ac:dyDescent="0.25">
      <c r="E127" s="109"/>
    </row>
    <row r="128" spans="5:5" x14ac:dyDescent="0.25">
      <c r="E128" s="109"/>
    </row>
    <row r="129" spans="5:5" x14ac:dyDescent="0.25">
      <c r="E129" s="109"/>
    </row>
    <row r="130" spans="5:5" x14ac:dyDescent="0.25">
      <c r="E130" s="109"/>
    </row>
    <row r="131" spans="5:5" x14ac:dyDescent="0.25">
      <c r="E131" s="109"/>
    </row>
    <row r="132" spans="5:5" x14ac:dyDescent="0.25">
      <c r="E132" s="109"/>
    </row>
    <row r="133" spans="5:5" x14ac:dyDescent="0.25">
      <c r="E133" s="109"/>
    </row>
    <row r="134" spans="5:5" x14ac:dyDescent="0.25">
      <c r="E134" s="109"/>
    </row>
    <row r="135" spans="5:5" x14ac:dyDescent="0.25">
      <c r="E135" s="109"/>
    </row>
    <row r="136" spans="5:5" x14ac:dyDescent="0.25">
      <c r="E136" s="109"/>
    </row>
    <row r="137" spans="5:5" x14ac:dyDescent="0.25">
      <c r="E137" s="109"/>
    </row>
    <row r="138" spans="5:5" x14ac:dyDescent="0.25">
      <c r="E138" s="109"/>
    </row>
    <row r="139" spans="5:5" x14ac:dyDescent="0.25">
      <c r="E139" s="109"/>
    </row>
    <row r="140" spans="5:5" x14ac:dyDescent="0.25">
      <c r="E140" s="109"/>
    </row>
    <row r="141" spans="5:5" x14ac:dyDescent="0.25">
      <c r="E141" s="109"/>
    </row>
    <row r="142" spans="5:5" x14ac:dyDescent="0.25">
      <c r="E142" s="109"/>
    </row>
    <row r="143" spans="5:5" x14ac:dyDescent="0.25">
      <c r="E143" s="109"/>
    </row>
    <row r="144" spans="5:5" x14ac:dyDescent="0.25">
      <c r="E144" s="109"/>
    </row>
    <row r="145" spans="5:5" x14ac:dyDescent="0.25">
      <c r="E145" s="109"/>
    </row>
    <row r="146" spans="5:5" x14ac:dyDescent="0.25">
      <c r="E146" s="109"/>
    </row>
    <row r="147" spans="5:5" x14ac:dyDescent="0.25">
      <c r="E147" s="109"/>
    </row>
    <row r="148" spans="5:5" x14ac:dyDescent="0.25">
      <c r="E148" s="109"/>
    </row>
    <row r="149" spans="5:5" x14ac:dyDescent="0.25">
      <c r="E149" s="109"/>
    </row>
    <row r="150" spans="5:5" x14ac:dyDescent="0.25">
      <c r="E150" s="109"/>
    </row>
    <row r="151" spans="5:5" x14ac:dyDescent="0.25">
      <c r="E151" s="109"/>
    </row>
    <row r="152" spans="5:5" x14ac:dyDescent="0.25">
      <c r="E152" s="109"/>
    </row>
    <row r="153" spans="5:5" x14ac:dyDescent="0.25">
      <c r="E153" s="109"/>
    </row>
    <row r="154" spans="5:5" x14ac:dyDescent="0.25">
      <c r="E154" s="109"/>
    </row>
    <row r="155" spans="5:5" x14ac:dyDescent="0.25">
      <c r="E155" s="109"/>
    </row>
    <row r="156" spans="5:5" x14ac:dyDescent="0.25">
      <c r="E156" s="109"/>
    </row>
    <row r="157" spans="5:5" x14ac:dyDescent="0.25">
      <c r="E157" s="109"/>
    </row>
    <row r="158" spans="5:5" x14ac:dyDescent="0.25">
      <c r="E158" s="109"/>
    </row>
    <row r="159" spans="5:5" x14ac:dyDescent="0.25">
      <c r="E159" s="109"/>
    </row>
    <row r="160" spans="5:5" x14ac:dyDescent="0.25">
      <c r="E160" s="109"/>
    </row>
    <row r="161" spans="5:5" x14ac:dyDescent="0.25">
      <c r="E161" s="109"/>
    </row>
    <row r="162" spans="5:5" x14ac:dyDescent="0.25">
      <c r="E162" s="109"/>
    </row>
    <row r="163" spans="5:5" x14ac:dyDescent="0.25">
      <c r="E163" s="109"/>
    </row>
    <row r="164" spans="5:5" x14ac:dyDescent="0.25">
      <c r="E164" s="109"/>
    </row>
    <row r="165" spans="5:5" x14ac:dyDescent="0.25">
      <c r="E165" s="109"/>
    </row>
    <row r="166" spans="5:5" x14ac:dyDescent="0.25">
      <c r="E166" s="109"/>
    </row>
    <row r="167" spans="5:5" x14ac:dyDescent="0.25">
      <c r="E167" s="109"/>
    </row>
    <row r="168" spans="5:5" x14ac:dyDescent="0.25">
      <c r="E168" s="109"/>
    </row>
    <row r="169" spans="5:5" x14ac:dyDescent="0.25">
      <c r="E169" s="109"/>
    </row>
    <row r="170" spans="5:5" x14ac:dyDescent="0.25">
      <c r="E170" s="109"/>
    </row>
    <row r="171" spans="5:5" x14ac:dyDescent="0.25">
      <c r="E171" s="109"/>
    </row>
    <row r="172" spans="5:5" x14ac:dyDescent="0.25">
      <c r="E172" s="109"/>
    </row>
    <row r="173" spans="5:5" x14ac:dyDescent="0.25">
      <c r="E173" s="109"/>
    </row>
    <row r="174" spans="5:5" x14ac:dyDescent="0.25">
      <c r="E174" s="109"/>
    </row>
    <row r="175" spans="5:5" x14ac:dyDescent="0.25">
      <c r="E175" s="109"/>
    </row>
    <row r="176" spans="5:5" x14ac:dyDescent="0.25">
      <c r="E176" s="109"/>
    </row>
    <row r="177" spans="5:5" x14ac:dyDescent="0.25">
      <c r="E177" s="109"/>
    </row>
    <row r="178" spans="5:5" x14ac:dyDescent="0.25">
      <c r="E178" s="109"/>
    </row>
    <row r="179" spans="5:5" x14ac:dyDescent="0.25">
      <c r="E179" s="109"/>
    </row>
    <row r="180" spans="5:5" x14ac:dyDescent="0.25">
      <c r="E180" s="109"/>
    </row>
    <row r="181" spans="5:5" x14ac:dyDescent="0.25">
      <c r="E181" s="109"/>
    </row>
    <row r="182" spans="5:5" x14ac:dyDescent="0.25">
      <c r="E182" s="109"/>
    </row>
    <row r="183" spans="5:5" x14ac:dyDescent="0.25">
      <c r="E183" s="109"/>
    </row>
    <row r="184" spans="5:5" x14ac:dyDescent="0.25">
      <c r="E184" s="109"/>
    </row>
    <row r="185" spans="5:5" x14ac:dyDescent="0.25">
      <c r="E185" s="109"/>
    </row>
    <row r="186" spans="5:5" x14ac:dyDescent="0.25">
      <c r="E186" s="109"/>
    </row>
    <row r="187" spans="5:5" x14ac:dyDescent="0.25">
      <c r="E187" s="109"/>
    </row>
    <row r="188" spans="5:5" x14ac:dyDescent="0.25">
      <c r="E188" s="109"/>
    </row>
    <row r="189" spans="5:5" x14ac:dyDescent="0.25">
      <c r="E189" s="109"/>
    </row>
    <row r="190" spans="5:5" x14ac:dyDescent="0.25">
      <c r="E190" s="109"/>
    </row>
    <row r="191" spans="5:5" x14ac:dyDescent="0.25">
      <c r="E191" s="109"/>
    </row>
    <row r="192" spans="5:5" x14ac:dyDescent="0.25">
      <c r="E192" s="109"/>
    </row>
    <row r="193" spans="5:5" x14ac:dyDescent="0.25">
      <c r="E193" s="109"/>
    </row>
    <row r="194" spans="5:5" x14ac:dyDescent="0.25">
      <c r="E194" s="109"/>
    </row>
    <row r="195" spans="5:5" x14ac:dyDescent="0.25">
      <c r="E195" s="109"/>
    </row>
    <row r="196" spans="5:5" x14ac:dyDescent="0.25">
      <c r="E196" s="109"/>
    </row>
    <row r="197" spans="5:5" x14ac:dyDescent="0.25">
      <c r="E197" s="109"/>
    </row>
    <row r="198" spans="5:5" x14ac:dyDescent="0.25">
      <c r="E198" s="109"/>
    </row>
    <row r="199" spans="5:5" x14ac:dyDescent="0.25">
      <c r="E199" s="109"/>
    </row>
    <row r="200" spans="5:5" x14ac:dyDescent="0.25">
      <c r="E200" s="109"/>
    </row>
    <row r="201" spans="5:5" x14ac:dyDescent="0.25">
      <c r="E201" s="109"/>
    </row>
    <row r="202" spans="5:5" x14ac:dyDescent="0.25">
      <c r="E202" s="109"/>
    </row>
    <row r="203" spans="5:5" x14ac:dyDescent="0.25">
      <c r="E203" s="109"/>
    </row>
    <row r="204" spans="5:5" x14ac:dyDescent="0.25">
      <c r="E204" s="109"/>
    </row>
    <row r="205" spans="5:5" x14ac:dyDescent="0.25">
      <c r="E205" s="109"/>
    </row>
    <row r="206" spans="5:5" x14ac:dyDescent="0.25">
      <c r="E206" s="109"/>
    </row>
    <row r="207" spans="5:5" x14ac:dyDescent="0.25">
      <c r="E207" s="109"/>
    </row>
    <row r="208" spans="5:5" x14ac:dyDescent="0.25">
      <c r="E208" s="109"/>
    </row>
    <row r="209" spans="5:5" x14ac:dyDescent="0.25">
      <c r="E209" s="109"/>
    </row>
    <row r="210" spans="5:5" x14ac:dyDescent="0.25">
      <c r="E210" s="109"/>
    </row>
    <row r="211" spans="5:5" x14ac:dyDescent="0.25">
      <c r="E211" s="109"/>
    </row>
    <row r="212" spans="5:5" x14ac:dyDescent="0.25">
      <c r="E212" s="109"/>
    </row>
    <row r="213" spans="5:5" x14ac:dyDescent="0.25">
      <c r="E213" s="109"/>
    </row>
    <row r="214" spans="5:5" x14ac:dyDescent="0.25">
      <c r="E214" s="109"/>
    </row>
    <row r="215" spans="5:5" x14ac:dyDescent="0.25">
      <c r="E215" s="109"/>
    </row>
    <row r="216" spans="5:5" x14ac:dyDescent="0.25">
      <c r="E216" s="109"/>
    </row>
    <row r="217" spans="5:5" x14ac:dyDescent="0.25">
      <c r="E217" s="109"/>
    </row>
    <row r="218" spans="5:5" x14ac:dyDescent="0.25">
      <c r="E218" s="109"/>
    </row>
    <row r="219" spans="5:5" x14ac:dyDescent="0.25">
      <c r="E219" s="109"/>
    </row>
    <row r="220" spans="5:5" x14ac:dyDescent="0.25">
      <c r="E220" s="109"/>
    </row>
    <row r="221" spans="5:5" x14ac:dyDescent="0.25">
      <c r="E221" s="109"/>
    </row>
    <row r="222" spans="5:5" x14ac:dyDescent="0.25">
      <c r="E222" s="109"/>
    </row>
    <row r="223" spans="5:5" x14ac:dyDescent="0.25">
      <c r="E223" s="109"/>
    </row>
    <row r="224" spans="5:5" x14ac:dyDescent="0.25">
      <c r="E224" s="109"/>
    </row>
    <row r="225" spans="5:5" x14ac:dyDescent="0.25">
      <c r="E225" s="109"/>
    </row>
    <row r="226" spans="5:5" x14ac:dyDescent="0.25">
      <c r="E226" s="109"/>
    </row>
    <row r="227" spans="5:5" x14ac:dyDescent="0.25">
      <c r="E227" s="109"/>
    </row>
    <row r="228" spans="5:5" x14ac:dyDescent="0.25">
      <c r="E228" s="109"/>
    </row>
    <row r="229" spans="5:5" x14ac:dyDescent="0.25">
      <c r="E229" s="109"/>
    </row>
    <row r="230" spans="5:5" x14ac:dyDescent="0.25">
      <c r="E230" s="109"/>
    </row>
    <row r="231" spans="5:5" x14ac:dyDescent="0.25">
      <c r="E231" s="109"/>
    </row>
    <row r="232" spans="5:5" x14ac:dyDescent="0.25">
      <c r="E232" s="109"/>
    </row>
    <row r="233" spans="5:5" x14ac:dyDescent="0.25">
      <c r="E233" s="109"/>
    </row>
    <row r="234" spans="5:5" x14ac:dyDescent="0.25">
      <c r="E234" s="109"/>
    </row>
    <row r="235" spans="5:5" x14ac:dyDescent="0.25">
      <c r="E235" s="109"/>
    </row>
    <row r="236" spans="5:5" x14ac:dyDescent="0.25">
      <c r="E236" s="109"/>
    </row>
    <row r="237" spans="5:5" x14ac:dyDescent="0.25">
      <c r="E237" s="109"/>
    </row>
    <row r="238" spans="5:5" x14ac:dyDescent="0.25">
      <c r="E238" s="109"/>
    </row>
    <row r="239" spans="5:5" x14ac:dyDescent="0.25">
      <c r="E239" s="109"/>
    </row>
    <row r="240" spans="5:5" x14ac:dyDescent="0.25">
      <c r="E240" s="109"/>
    </row>
    <row r="241" spans="5:5" x14ac:dyDescent="0.25">
      <c r="E241" s="109"/>
    </row>
    <row r="242" spans="5:5" x14ac:dyDescent="0.25">
      <c r="E242" s="109"/>
    </row>
    <row r="243" spans="5:5" x14ac:dyDescent="0.25">
      <c r="E243" s="109"/>
    </row>
    <row r="244" spans="5:5" x14ac:dyDescent="0.25">
      <c r="E244" s="109"/>
    </row>
    <row r="245" spans="5:5" x14ac:dyDescent="0.25">
      <c r="E245" s="109"/>
    </row>
    <row r="246" spans="5:5" x14ac:dyDescent="0.25">
      <c r="E246" s="109"/>
    </row>
    <row r="247" spans="5:5" x14ac:dyDescent="0.25">
      <c r="E247" s="109"/>
    </row>
    <row r="248" spans="5:5" x14ac:dyDescent="0.25">
      <c r="E248" s="109"/>
    </row>
    <row r="249" spans="5:5" x14ac:dyDescent="0.25">
      <c r="E249" s="109"/>
    </row>
    <row r="250" spans="5:5" x14ac:dyDescent="0.25">
      <c r="E250" s="109"/>
    </row>
    <row r="251" spans="5:5" x14ac:dyDescent="0.25">
      <c r="E251" s="109"/>
    </row>
    <row r="252" spans="5:5" x14ac:dyDescent="0.25">
      <c r="E252" s="109"/>
    </row>
    <row r="253" spans="5:5" x14ac:dyDescent="0.25">
      <c r="E253" s="109"/>
    </row>
    <row r="254" spans="5:5" x14ac:dyDescent="0.25">
      <c r="E254" s="109"/>
    </row>
    <row r="255" spans="5:5" x14ac:dyDescent="0.25">
      <c r="E255" s="109"/>
    </row>
    <row r="256" spans="5:5" x14ac:dyDescent="0.25">
      <c r="E256" s="109"/>
    </row>
    <row r="257" spans="5:5" x14ac:dyDescent="0.25">
      <c r="E257" s="109"/>
    </row>
    <row r="258" spans="5:5" x14ac:dyDescent="0.25">
      <c r="E258" s="109"/>
    </row>
    <row r="259" spans="5:5" x14ac:dyDescent="0.25">
      <c r="E259" s="109"/>
    </row>
    <row r="260" spans="5:5" x14ac:dyDescent="0.25">
      <c r="E260" s="109"/>
    </row>
    <row r="261" spans="5:5" x14ac:dyDescent="0.25">
      <c r="E261" s="109"/>
    </row>
    <row r="262" spans="5:5" x14ac:dyDescent="0.25">
      <c r="E262" s="109"/>
    </row>
    <row r="263" spans="5:5" x14ac:dyDescent="0.25">
      <c r="E263" s="109"/>
    </row>
    <row r="264" spans="5:5" x14ac:dyDescent="0.25">
      <c r="E264" s="109"/>
    </row>
    <row r="265" spans="5:5" x14ac:dyDescent="0.25">
      <c r="E265" s="109"/>
    </row>
    <row r="266" spans="5:5" x14ac:dyDescent="0.25">
      <c r="E266" s="109"/>
    </row>
    <row r="267" spans="5:5" x14ac:dyDescent="0.25">
      <c r="E267" s="109"/>
    </row>
    <row r="268" spans="5:5" x14ac:dyDescent="0.25">
      <c r="E268" s="109"/>
    </row>
    <row r="269" spans="5:5" x14ac:dyDescent="0.25">
      <c r="E269" s="109"/>
    </row>
    <row r="270" spans="5:5" x14ac:dyDescent="0.25">
      <c r="E270" s="109"/>
    </row>
    <row r="271" spans="5:5" x14ac:dyDescent="0.25">
      <c r="E271" s="109"/>
    </row>
    <row r="272" spans="5:5" x14ac:dyDescent="0.25">
      <c r="E272" s="109"/>
    </row>
    <row r="273" spans="5:5" x14ac:dyDescent="0.25">
      <c r="E273" s="109"/>
    </row>
    <row r="274" spans="5:5" x14ac:dyDescent="0.25">
      <c r="E274" s="109"/>
    </row>
    <row r="275" spans="5:5" x14ac:dyDescent="0.25">
      <c r="E275" s="109"/>
    </row>
    <row r="276" spans="5:5" x14ac:dyDescent="0.25">
      <c r="E276" s="109"/>
    </row>
    <row r="277" spans="5:5" x14ac:dyDescent="0.25">
      <c r="E277" s="109"/>
    </row>
    <row r="278" spans="5:5" x14ac:dyDescent="0.25">
      <c r="E278" s="109"/>
    </row>
    <row r="279" spans="5:5" x14ac:dyDescent="0.25">
      <c r="E279" s="109"/>
    </row>
    <row r="280" spans="5:5" x14ac:dyDescent="0.25">
      <c r="E280" s="109"/>
    </row>
    <row r="281" spans="5:5" x14ac:dyDescent="0.25">
      <c r="E281" s="109"/>
    </row>
    <row r="282" spans="5:5" x14ac:dyDescent="0.25">
      <c r="E282" s="109"/>
    </row>
    <row r="283" spans="5:5" x14ac:dyDescent="0.25">
      <c r="E283" s="109"/>
    </row>
    <row r="284" spans="5:5" x14ac:dyDescent="0.25">
      <c r="E284" s="109"/>
    </row>
    <row r="285" spans="5:5" x14ac:dyDescent="0.25">
      <c r="E285" s="109"/>
    </row>
    <row r="286" spans="5:5" x14ac:dyDescent="0.25">
      <c r="E286" s="109"/>
    </row>
    <row r="287" spans="5:5" x14ac:dyDescent="0.25">
      <c r="E287" s="109"/>
    </row>
    <row r="288" spans="5:5" x14ac:dyDescent="0.25">
      <c r="E288" s="109"/>
    </row>
    <row r="289" spans="5:5" x14ac:dyDescent="0.25">
      <c r="E289" s="109"/>
    </row>
    <row r="290" spans="5:5" x14ac:dyDescent="0.25">
      <c r="E290" s="109"/>
    </row>
    <row r="291" spans="5:5" x14ac:dyDescent="0.25">
      <c r="E291" s="109"/>
    </row>
    <row r="292" spans="5:5" x14ac:dyDescent="0.25">
      <c r="E292" s="109"/>
    </row>
    <row r="293" spans="5:5" x14ac:dyDescent="0.25">
      <c r="E293" s="109"/>
    </row>
    <row r="294" spans="5:5" x14ac:dyDescent="0.25">
      <c r="E294" s="109"/>
    </row>
    <row r="295" spans="5:5" x14ac:dyDescent="0.25">
      <c r="E295" s="109"/>
    </row>
    <row r="296" spans="5:5" x14ac:dyDescent="0.25">
      <c r="E296" s="109"/>
    </row>
    <row r="297" spans="5:5" x14ac:dyDescent="0.25">
      <c r="E297" s="109"/>
    </row>
    <row r="298" spans="5:5" x14ac:dyDescent="0.25">
      <c r="E298" s="109"/>
    </row>
    <row r="299" spans="5:5" x14ac:dyDescent="0.25">
      <c r="E299" s="109"/>
    </row>
    <row r="300" spans="5:5" x14ac:dyDescent="0.25">
      <c r="E300" s="109"/>
    </row>
    <row r="301" spans="5:5" x14ac:dyDescent="0.25">
      <c r="E301" s="109"/>
    </row>
    <row r="302" spans="5:5" x14ac:dyDescent="0.25">
      <c r="E302" s="109"/>
    </row>
    <row r="303" spans="5:5" x14ac:dyDescent="0.25">
      <c r="E303" s="109"/>
    </row>
    <row r="304" spans="5:5" x14ac:dyDescent="0.25">
      <c r="E304" s="109"/>
    </row>
    <row r="305" spans="5:5" x14ac:dyDescent="0.25">
      <c r="E305" s="109"/>
    </row>
    <row r="306" spans="5:5" x14ac:dyDescent="0.25">
      <c r="E306" s="109"/>
    </row>
    <row r="307" spans="5:5" x14ac:dyDescent="0.25">
      <c r="E307" s="109"/>
    </row>
    <row r="308" spans="5:5" x14ac:dyDescent="0.25">
      <c r="E308" s="109"/>
    </row>
    <row r="309" spans="5:5" x14ac:dyDescent="0.25">
      <c r="E309" s="109"/>
    </row>
    <row r="310" spans="5:5" x14ac:dyDescent="0.25">
      <c r="E310" s="109"/>
    </row>
    <row r="311" spans="5:5" x14ac:dyDescent="0.25">
      <c r="E311" s="109"/>
    </row>
    <row r="312" spans="5:5" x14ac:dyDescent="0.25">
      <c r="E312" s="109"/>
    </row>
    <row r="313" spans="5:5" x14ac:dyDescent="0.25">
      <c r="E313" s="109"/>
    </row>
    <row r="314" spans="5:5" x14ac:dyDescent="0.25">
      <c r="E314" s="109"/>
    </row>
    <row r="315" spans="5:5" x14ac:dyDescent="0.25">
      <c r="E315" s="109"/>
    </row>
    <row r="316" spans="5:5" x14ac:dyDescent="0.25">
      <c r="E316" s="109"/>
    </row>
    <row r="317" spans="5:5" x14ac:dyDescent="0.25">
      <c r="E317" s="109"/>
    </row>
    <row r="318" spans="5:5" x14ac:dyDescent="0.25">
      <c r="E318" s="109"/>
    </row>
    <row r="319" spans="5:5" x14ac:dyDescent="0.25">
      <c r="E319" s="109"/>
    </row>
    <row r="320" spans="5:5" x14ac:dyDescent="0.25">
      <c r="E320" s="109"/>
    </row>
    <row r="321" spans="5:5" x14ac:dyDescent="0.25">
      <c r="E321" s="109"/>
    </row>
    <row r="322" spans="5:5" x14ac:dyDescent="0.25">
      <c r="E322" s="109"/>
    </row>
    <row r="323" spans="5:5" x14ac:dyDescent="0.25">
      <c r="E323" s="109"/>
    </row>
    <row r="324" spans="5:5" x14ac:dyDescent="0.25">
      <c r="E324" s="109"/>
    </row>
    <row r="325" spans="5:5" x14ac:dyDescent="0.25">
      <c r="E325" s="109"/>
    </row>
    <row r="326" spans="5:5" x14ac:dyDescent="0.25">
      <c r="E326" s="109"/>
    </row>
    <row r="327" spans="5:5" x14ac:dyDescent="0.25">
      <c r="E327" s="109"/>
    </row>
    <row r="328" spans="5:5" x14ac:dyDescent="0.25">
      <c r="E328" s="109"/>
    </row>
    <row r="329" spans="5:5" x14ac:dyDescent="0.25">
      <c r="E329" s="109"/>
    </row>
    <row r="330" spans="5:5" x14ac:dyDescent="0.25">
      <c r="E330" s="109"/>
    </row>
    <row r="331" spans="5:5" x14ac:dyDescent="0.25">
      <c r="E331" s="109"/>
    </row>
    <row r="332" spans="5:5" x14ac:dyDescent="0.25">
      <c r="E332" s="109"/>
    </row>
    <row r="333" spans="5:5" x14ac:dyDescent="0.25">
      <c r="E333" s="109"/>
    </row>
    <row r="334" spans="5:5" x14ac:dyDescent="0.25">
      <c r="E334" s="109"/>
    </row>
    <row r="335" spans="5:5" x14ac:dyDescent="0.25">
      <c r="E335" s="109"/>
    </row>
    <row r="336" spans="5:5" x14ac:dyDescent="0.25">
      <c r="E336" s="109"/>
    </row>
    <row r="337" spans="5:5" x14ac:dyDescent="0.25">
      <c r="E337" s="109"/>
    </row>
    <row r="338" spans="5:5" x14ac:dyDescent="0.25">
      <c r="E338" s="109"/>
    </row>
    <row r="339" spans="5:5" x14ac:dyDescent="0.25">
      <c r="E339" s="109"/>
    </row>
    <row r="340" spans="5:5" x14ac:dyDescent="0.25">
      <c r="E340" s="109"/>
    </row>
    <row r="341" spans="5:5" x14ac:dyDescent="0.25">
      <c r="E341" s="109"/>
    </row>
    <row r="342" spans="5:5" x14ac:dyDescent="0.25">
      <c r="E342" s="109"/>
    </row>
    <row r="343" spans="5:5" x14ac:dyDescent="0.25">
      <c r="E343" s="109"/>
    </row>
    <row r="344" spans="5:5" x14ac:dyDescent="0.25">
      <c r="E344" s="109"/>
    </row>
    <row r="345" spans="5:5" x14ac:dyDescent="0.25">
      <c r="E345" s="109"/>
    </row>
    <row r="346" spans="5:5" x14ac:dyDescent="0.25">
      <c r="E346" s="109"/>
    </row>
    <row r="347" spans="5:5" x14ac:dyDescent="0.25">
      <c r="E347" s="109"/>
    </row>
    <row r="348" spans="5:5" x14ac:dyDescent="0.25">
      <c r="E348" s="109"/>
    </row>
    <row r="349" spans="5:5" x14ac:dyDescent="0.25">
      <c r="E349" s="109"/>
    </row>
    <row r="350" spans="5:5" x14ac:dyDescent="0.25">
      <c r="E350" s="109"/>
    </row>
    <row r="351" spans="5:5" x14ac:dyDescent="0.25">
      <c r="E351" s="109"/>
    </row>
    <row r="352" spans="5:5" x14ac:dyDescent="0.25">
      <c r="E352" s="109"/>
    </row>
    <row r="353" spans="5:5" x14ac:dyDescent="0.25">
      <c r="E353" s="109"/>
    </row>
    <row r="354" spans="5:5" x14ac:dyDescent="0.25">
      <c r="E354" s="109"/>
    </row>
    <row r="355" spans="5:5" x14ac:dyDescent="0.25">
      <c r="E355" s="109"/>
    </row>
    <row r="356" spans="5:5" x14ac:dyDescent="0.25">
      <c r="E356" s="109"/>
    </row>
    <row r="357" spans="5:5" x14ac:dyDescent="0.25">
      <c r="E357" s="109"/>
    </row>
    <row r="358" spans="5:5" x14ac:dyDescent="0.25">
      <c r="E358" s="109"/>
    </row>
    <row r="359" spans="5:5" x14ac:dyDescent="0.25">
      <c r="E359" s="109"/>
    </row>
    <row r="360" spans="5:5" x14ac:dyDescent="0.25">
      <c r="E360" s="109"/>
    </row>
    <row r="361" spans="5:5" x14ac:dyDescent="0.25">
      <c r="E361" s="109"/>
    </row>
    <row r="362" spans="5:5" x14ac:dyDescent="0.25">
      <c r="E362" s="109"/>
    </row>
    <row r="363" spans="5:5" x14ac:dyDescent="0.25">
      <c r="E363" s="109"/>
    </row>
    <row r="364" spans="5:5" x14ac:dyDescent="0.25">
      <c r="E364" s="109"/>
    </row>
    <row r="365" spans="5:5" x14ac:dyDescent="0.25">
      <c r="E365" s="109"/>
    </row>
    <row r="366" spans="5:5" x14ac:dyDescent="0.25">
      <c r="E366" s="109"/>
    </row>
    <row r="367" spans="5:5" x14ac:dyDescent="0.25">
      <c r="E367" s="109"/>
    </row>
    <row r="368" spans="5:5" x14ac:dyDescent="0.25">
      <c r="E368" s="109"/>
    </row>
    <row r="369" spans="5:5" x14ac:dyDescent="0.25">
      <c r="E369" s="109"/>
    </row>
    <row r="370" spans="5:5" x14ac:dyDescent="0.25">
      <c r="E370" s="109"/>
    </row>
    <row r="371" spans="5:5" x14ac:dyDescent="0.25">
      <c r="E371" s="109"/>
    </row>
    <row r="372" spans="5:5" x14ac:dyDescent="0.25">
      <c r="E372" s="109"/>
    </row>
    <row r="373" spans="5:5" x14ac:dyDescent="0.25">
      <c r="E373" s="109"/>
    </row>
    <row r="374" spans="5:5" x14ac:dyDescent="0.25">
      <c r="E374" s="109"/>
    </row>
    <row r="375" spans="5:5" x14ac:dyDescent="0.25">
      <c r="E375" s="109"/>
    </row>
    <row r="376" spans="5:5" x14ac:dyDescent="0.25">
      <c r="E376" s="109"/>
    </row>
    <row r="377" spans="5:5" x14ac:dyDescent="0.25">
      <c r="E377" s="109"/>
    </row>
    <row r="378" spans="5:5" x14ac:dyDescent="0.25">
      <c r="E378" s="109"/>
    </row>
    <row r="379" spans="5:5" x14ac:dyDescent="0.25">
      <c r="E379" s="109"/>
    </row>
    <row r="380" spans="5:5" x14ac:dyDescent="0.25">
      <c r="E380" s="109"/>
    </row>
    <row r="381" spans="5:5" x14ac:dyDescent="0.25">
      <c r="E381" s="109"/>
    </row>
    <row r="382" spans="5:5" x14ac:dyDescent="0.25">
      <c r="E382" s="109"/>
    </row>
    <row r="383" spans="5:5" x14ac:dyDescent="0.25">
      <c r="E383" s="109"/>
    </row>
    <row r="384" spans="5:5" x14ac:dyDescent="0.25">
      <c r="E384" s="109"/>
    </row>
    <row r="385" spans="5:5" x14ac:dyDescent="0.25">
      <c r="E385" s="109"/>
    </row>
    <row r="386" spans="5:5" x14ac:dyDescent="0.25">
      <c r="E386" s="109"/>
    </row>
    <row r="387" spans="5:5" x14ac:dyDescent="0.25">
      <c r="E387" s="109"/>
    </row>
    <row r="388" spans="5:5" x14ac:dyDescent="0.25">
      <c r="E388" s="109"/>
    </row>
    <row r="389" spans="5:5" x14ac:dyDescent="0.25">
      <c r="E389" s="109"/>
    </row>
    <row r="390" spans="5:5" x14ac:dyDescent="0.25">
      <c r="E390" s="109"/>
    </row>
    <row r="391" spans="5:5" x14ac:dyDescent="0.25">
      <c r="E391" s="109"/>
    </row>
    <row r="392" spans="5:5" x14ac:dyDescent="0.25">
      <c r="E392" s="109"/>
    </row>
    <row r="393" spans="5:5" x14ac:dyDescent="0.25">
      <c r="E393" s="109"/>
    </row>
    <row r="394" spans="5:5" x14ac:dyDescent="0.25">
      <c r="E394" s="109"/>
    </row>
    <row r="395" spans="5:5" x14ac:dyDescent="0.25">
      <c r="E395" s="109"/>
    </row>
    <row r="396" spans="5:5" x14ac:dyDescent="0.25">
      <c r="E396" s="109"/>
    </row>
    <row r="397" spans="5:5" x14ac:dyDescent="0.25">
      <c r="E397" s="109"/>
    </row>
    <row r="398" spans="5:5" x14ac:dyDescent="0.25">
      <c r="E398" s="109"/>
    </row>
    <row r="399" spans="5:5" x14ac:dyDescent="0.25">
      <c r="E399" s="109"/>
    </row>
    <row r="400" spans="5:5" x14ac:dyDescent="0.25">
      <c r="E400" s="109"/>
    </row>
    <row r="401" spans="5:5" x14ac:dyDescent="0.25">
      <c r="E401" s="109"/>
    </row>
    <row r="402" spans="5:5" x14ac:dyDescent="0.25">
      <c r="E402" s="109"/>
    </row>
    <row r="403" spans="5:5" x14ac:dyDescent="0.25">
      <c r="E403" s="109"/>
    </row>
    <row r="404" spans="5:5" x14ac:dyDescent="0.25">
      <c r="E404" s="109"/>
    </row>
    <row r="405" spans="5:5" x14ac:dyDescent="0.25">
      <c r="E405" s="109"/>
    </row>
    <row r="406" spans="5:5" x14ac:dyDescent="0.25">
      <c r="E406" s="109"/>
    </row>
    <row r="407" spans="5:5" x14ac:dyDescent="0.25">
      <c r="E407" s="109"/>
    </row>
    <row r="408" spans="5:5" x14ac:dyDescent="0.25">
      <c r="E408" s="109"/>
    </row>
    <row r="409" spans="5:5" x14ac:dyDescent="0.25">
      <c r="E409" s="109"/>
    </row>
    <row r="410" spans="5:5" x14ac:dyDescent="0.25">
      <c r="E410" s="109"/>
    </row>
    <row r="411" spans="5:5" x14ac:dyDescent="0.25">
      <c r="E411" s="109"/>
    </row>
    <row r="412" spans="5:5" x14ac:dyDescent="0.25">
      <c r="E412" s="109"/>
    </row>
    <row r="413" spans="5:5" x14ac:dyDescent="0.25">
      <c r="E413" s="109"/>
    </row>
    <row r="414" spans="5:5" x14ac:dyDescent="0.25">
      <c r="E414" s="109"/>
    </row>
    <row r="415" spans="5:5" x14ac:dyDescent="0.25">
      <c r="E415" s="109"/>
    </row>
    <row r="416" spans="5:5" x14ac:dyDescent="0.25">
      <c r="E416" s="109"/>
    </row>
    <row r="417" spans="5:5" x14ac:dyDescent="0.25">
      <c r="E417" s="109"/>
    </row>
    <row r="418" spans="5:5" x14ac:dyDescent="0.25">
      <c r="E418" s="109"/>
    </row>
    <row r="419" spans="5:5" x14ac:dyDescent="0.25">
      <c r="E419" s="109"/>
    </row>
    <row r="420" spans="5:5" x14ac:dyDescent="0.25">
      <c r="E420" s="109"/>
    </row>
    <row r="421" spans="5:5" x14ac:dyDescent="0.25">
      <c r="E421" s="109"/>
    </row>
    <row r="422" spans="5:5" x14ac:dyDescent="0.25">
      <c r="E422" s="109"/>
    </row>
    <row r="423" spans="5:5" x14ac:dyDescent="0.25">
      <c r="E423" s="109"/>
    </row>
    <row r="424" spans="5:5" x14ac:dyDescent="0.25">
      <c r="E424" s="109"/>
    </row>
    <row r="425" spans="5:5" x14ac:dyDescent="0.25">
      <c r="E425" s="109"/>
    </row>
    <row r="426" spans="5:5" x14ac:dyDescent="0.25">
      <c r="E426" s="109"/>
    </row>
    <row r="427" spans="5:5" x14ac:dyDescent="0.25">
      <c r="E427" s="109"/>
    </row>
    <row r="428" spans="5:5" x14ac:dyDescent="0.25">
      <c r="E428" s="109"/>
    </row>
    <row r="429" spans="5:5" x14ac:dyDescent="0.25">
      <c r="E429" s="109"/>
    </row>
    <row r="430" spans="5:5" x14ac:dyDescent="0.25">
      <c r="E430" s="109"/>
    </row>
    <row r="431" spans="5:5" x14ac:dyDescent="0.25">
      <c r="E431" s="109"/>
    </row>
    <row r="432" spans="5:5" x14ac:dyDescent="0.25">
      <c r="E432" s="109"/>
    </row>
    <row r="433" spans="5:5" x14ac:dyDescent="0.25">
      <c r="E433" s="109"/>
    </row>
    <row r="434" spans="5:5" x14ac:dyDescent="0.25">
      <c r="E434" s="109"/>
    </row>
    <row r="435" spans="5:5" x14ac:dyDescent="0.25">
      <c r="E435" s="109"/>
    </row>
    <row r="436" spans="5:5" x14ac:dyDescent="0.25">
      <c r="E436" s="109"/>
    </row>
    <row r="437" spans="5:5" x14ac:dyDescent="0.25">
      <c r="E437" s="109"/>
    </row>
    <row r="438" spans="5:5" x14ac:dyDescent="0.25">
      <c r="E438" s="109"/>
    </row>
    <row r="439" spans="5:5" x14ac:dyDescent="0.25">
      <c r="E439" s="109"/>
    </row>
    <row r="440" spans="5:5" x14ac:dyDescent="0.25">
      <c r="E440" s="109"/>
    </row>
    <row r="441" spans="5:5" x14ac:dyDescent="0.25">
      <c r="E441" s="109"/>
    </row>
    <row r="442" spans="5:5" x14ac:dyDescent="0.25">
      <c r="E442" s="109"/>
    </row>
    <row r="443" spans="5:5" x14ac:dyDescent="0.25">
      <c r="E443" s="109"/>
    </row>
    <row r="444" spans="5:5" x14ac:dyDescent="0.25">
      <c r="E444" s="109"/>
    </row>
    <row r="445" spans="5:5" x14ac:dyDescent="0.25">
      <c r="E445" s="109"/>
    </row>
    <row r="446" spans="5:5" x14ac:dyDescent="0.25">
      <c r="E446" s="109"/>
    </row>
    <row r="447" spans="5:5" x14ac:dyDescent="0.25">
      <c r="E447" s="109"/>
    </row>
    <row r="448" spans="5:5" x14ac:dyDescent="0.25">
      <c r="E448" s="109"/>
    </row>
    <row r="449" spans="5:5" x14ac:dyDescent="0.25">
      <c r="E449" s="109"/>
    </row>
    <row r="450" spans="5:5" x14ac:dyDescent="0.25">
      <c r="E450" s="109"/>
    </row>
    <row r="451" spans="5:5" x14ac:dyDescent="0.25">
      <c r="E451" s="109"/>
    </row>
    <row r="452" spans="5:5" x14ac:dyDescent="0.25">
      <c r="E452" s="109"/>
    </row>
    <row r="453" spans="5:5" x14ac:dyDescent="0.25">
      <c r="E453" s="109"/>
    </row>
    <row r="454" spans="5:5" x14ac:dyDescent="0.25">
      <c r="E454" s="109"/>
    </row>
    <row r="455" spans="5:5" x14ac:dyDescent="0.25">
      <c r="E455" s="109"/>
    </row>
    <row r="456" spans="5:5" x14ac:dyDescent="0.25">
      <c r="E456" s="109"/>
    </row>
    <row r="457" spans="5:5" x14ac:dyDescent="0.25">
      <c r="E457" s="109"/>
    </row>
    <row r="458" spans="5:5" x14ac:dyDescent="0.25">
      <c r="E458" s="109"/>
    </row>
    <row r="459" spans="5:5" x14ac:dyDescent="0.25">
      <c r="E459" s="109"/>
    </row>
    <row r="460" spans="5:5" x14ac:dyDescent="0.25">
      <c r="E460" s="109"/>
    </row>
    <row r="461" spans="5:5" x14ac:dyDescent="0.25">
      <c r="E461" s="109"/>
    </row>
    <row r="462" spans="5:5" x14ac:dyDescent="0.25">
      <c r="E462" s="109"/>
    </row>
    <row r="463" spans="5:5" x14ac:dyDescent="0.25">
      <c r="E463" s="109"/>
    </row>
    <row r="464" spans="5:5" x14ac:dyDescent="0.25">
      <c r="E464" s="109"/>
    </row>
    <row r="465" spans="5:5" x14ac:dyDescent="0.25">
      <c r="E465" s="109"/>
    </row>
    <row r="466" spans="5:5" x14ac:dyDescent="0.25">
      <c r="E466" s="109"/>
    </row>
    <row r="467" spans="5:5" x14ac:dyDescent="0.25">
      <c r="E467" s="109"/>
    </row>
    <row r="468" spans="5:5" x14ac:dyDescent="0.25">
      <c r="E468" s="109"/>
    </row>
    <row r="469" spans="5:5" x14ac:dyDescent="0.25">
      <c r="E469" s="109"/>
    </row>
    <row r="470" spans="5:5" x14ac:dyDescent="0.25">
      <c r="E470" s="109"/>
    </row>
    <row r="471" spans="5:5" x14ac:dyDescent="0.25">
      <c r="E471" s="109"/>
    </row>
    <row r="472" spans="5:5" x14ac:dyDescent="0.25">
      <c r="E472" s="109"/>
    </row>
    <row r="473" spans="5:5" x14ac:dyDescent="0.25">
      <c r="E473" s="109"/>
    </row>
    <row r="474" spans="5:5" x14ac:dyDescent="0.25">
      <c r="E474" s="109"/>
    </row>
    <row r="475" spans="5:5" x14ac:dyDescent="0.25">
      <c r="E475" s="109"/>
    </row>
    <row r="476" spans="5:5" x14ac:dyDescent="0.25">
      <c r="E476" s="109"/>
    </row>
    <row r="477" spans="5:5" x14ac:dyDescent="0.25">
      <c r="E477" s="109"/>
    </row>
    <row r="478" spans="5:5" x14ac:dyDescent="0.25">
      <c r="E478" s="109"/>
    </row>
    <row r="479" spans="5:5" x14ac:dyDescent="0.25">
      <c r="E479" s="109"/>
    </row>
    <row r="480" spans="5:5" x14ac:dyDescent="0.25">
      <c r="E480" s="109"/>
    </row>
    <row r="481" spans="5:5" x14ac:dyDescent="0.25">
      <c r="E481" s="109"/>
    </row>
    <row r="482" spans="5:5" x14ac:dyDescent="0.25">
      <c r="E482" s="109"/>
    </row>
    <row r="483" spans="5:5" x14ac:dyDescent="0.25">
      <c r="E483" s="109"/>
    </row>
    <row r="484" spans="5:5" x14ac:dyDescent="0.25">
      <c r="E484" s="109"/>
    </row>
    <row r="485" spans="5:5" x14ac:dyDescent="0.25">
      <c r="E485" s="109"/>
    </row>
    <row r="486" spans="5:5" x14ac:dyDescent="0.25">
      <c r="E486" s="109"/>
    </row>
    <row r="487" spans="5:5" x14ac:dyDescent="0.25">
      <c r="E487" s="109"/>
    </row>
    <row r="488" spans="5:5" x14ac:dyDescent="0.25">
      <c r="E488" s="109"/>
    </row>
    <row r="489" spans="5:5" x14ac:dyDescent="0.25">
      <c r="E489" s="109"/>
    </row>
    <row r="490" spans="5:5" x14ac:dyDescent="0.25">
      <c r="E490" s="109"/>
    </row>
    <row r="491" spans="5:5" x14ac:dyDescent="0.25">
      <c r="E491" s="109"/>
    </row>
    <row r="492" spans="5:5" x14ac:dyDescent="0.25">
      <c r="E492" s="109"/>
    </row>
    <row r="493" spans="5:5" x14ac:dyDescent="0.25">
      <c r="E493" s="109"/>
    </row>
    <row r="494" spans="5:5" x14ac:dyDescent="0.25">
      <c r="E494" s="109"/>
    </row>
    <row r="495" spans="5:5" x14ac:dyDescent="0.25">
      <c r="E495" s="109"/>
    </row>
    <row r="496" spans="5:5" x14ac:dyDescent="0.25">
      <c r="E496" s="109"/>
    </row>
    <row r="497" spans="5:5" x14ac:dyDescent="0.25">
      <c r="E497" s="109"/>
    </row>
    <row r="498" spans="5:5" x14ac:dyDescent="0.25">
      <c r="E498" s="109"/>
    </row>
    <row r="499" spans="5:5" x14ac:dyDescent="0.25">
      <c r="E499" s="109"/>
    </row>
    <row r="500" spans="5:5" x14ac:dyDescent="0.25">
      <c r="E500" s="109"/>
    </row>
    <row r="501" spans="5:5" x14ac:dyDescent="0.25">
      <c r="E501" s="109"/>
    </row>
    <row r="502" spans="5:5" x14ac:dyDescent="0.25">
      <c r="E502" s="109"/>
    </row>
    <row r="503" spans="5:5" x14ac:dyDescent="0.25">
      <c r="E503" s="109"/>
    </row>
    <row r="504" spans="5:5" x14ac:dyDescent="0.25">
      <c r="E504" s="109"/>
    </row>
    <row r="505" spans="5:5" x14ac:dyDescent="0.25">
      <c r="E505" s="109"/>
    </row>
    <row r="506" spans="5:5" x14ac:dyDescent="0.25">
      <c r="E506" s="109"/>
    </row>
    <row r="507" spans="5:5" x14ac:dyDescent="0.25">
      <c r="E507" s="109"/>
    </row>
    <row r="508" spans="5:5" x14ac:dyDescent="0.25">
      <c r="E508" s="109"/>
    </row>
    <row r="509" spans="5:5" x14ac:dyDescent="0.25">
      <c r="E509" s="109"/>
    </row>
    <row r="510" spans="5:5" x14ac:dyDescent="0.25">
      <c r="E510" s="109"/>
    </row>
    <row r="511" spans="5:5" x14ac:dyDescent="0.25">
      <c r="E511" s="109"/>
    </row>
    <row r="512" spans="5:5" x14ac:dyDescent="0.25">
      <c r="E512" s="109"/>
    </row>
    <row r="513" spans="5:5" x14ac:dyDescent="0.25">
      <c r="E513" s="109"/>
    </row>
    <row r="514" spans="5:5" x14ac:dyDescent="0.25">
      <c r="E514" s="109"/>
    </row>
    <row r="515" spans="5:5" x14ac:dyDescent="0.25">
      <c r="E515" s="109"/>
    </row>
    <row r="516" spans="5:5" x14ac:dyDescent="0.25">
      <c r="E516" s="109"/>
    </row>
    <row r="517" spans="5:5" x14ac:dyDescent="0.25">
      <c r="E517" s="109"/>
    </row>
    <row r="518" spans="5:5" x14ac:dyDescent="0.25">
      <c r="E518" s="109"/>
    </row>
    <row r="519" spans="5:5" x14ac:dyDescent="0.25">
      <c r="E519" s="109"/>
    </row>
    <row r="520" spans="5:5" x14ac:dyDescent="0.25">
      <c r="E520" s="109"/>
    </row>
    <row r="521" spans="5:5" x14ac:dyDescent="0.25">
      <c r="E521" s="109"/>
    </row>
    <row r="522" spans="5:5" x14ac:dyDescent="0.25">
      <c r="E522" s="109"/>
    </row>
    <row r="523" spans="5:5" x14ac:dyDescent="0.25">
      <c r="E523" s="109"/>
    </row>
    <row r="524" spans="5:5" x14ac:dyDescent="0.25">
      <c r="E524" s="109"/>
    </row>
    <row r="525" spans="5:5" x14ac:dyDescent="0.25">
      <c r="E525" s="109"/>
    </row>
    <row r="526" spans="5:5" x14ac:dyDescent="0.25">
      <c r="E526" s="109"/>
    </row>
    <row r="527" spans="5:5" x14ac:dyDescent="0.25">
      <c r="E527" s="109"/>
    </row>
    <row r="528" spans="5:5" x14ac:dyDescent="0.25">
      <c r="E528" s="109"/>
    </row>
    <row r="529" spans="5:5" x14ac:dyDescent="0.25">
      <c r="E529" s="109"/>
    </row>
    <row r="530" spans="5:5" x14ac:dyDescent="0.25">
      <c r="E530" s="109"/>
    </row>
    <row r="531" spans="5:5" x14ac:dyDescent="0.25">
      <c r="E531" s="109"/>
    </row>
    <row r="532" spans="5:5" x14ac:dyDescent="0.25">
      <c r="E532" s="109"/>
    </row>
    <row r="533" spans="5:5" x14ac:dyDescent="0.25">
      <c r="E533" s="109"/>
    </row>
    <row r="534" spans="5:5" x14ac:dyDescent="0.25">
      <c r="E534" s="109"/>
    </row>
    <row r="535" spans="5:5" x14ac:dyDescent="0.25">
      <c r="E535" s="109"/>
    </row>
    <row r="536" spans="5:5" x14ac:dyDescent="0.25">
      <c r="E536" s="109"/>
    </row>
    <row r="537" spans="5:5" x14ac:dyDescent="0.25">
      <c r="E537" s="109"/>
    </row>
    <row r="538" spans="5:5" x14ac:dyDescent="0.25">
      <c r="E538" s="109"/>
    </row>
    <row r="539" spans="5:5" x14ac:dyDescent="0.25">
      <c r="E539" s="109"/>
    </row>
    <row r="540" spans="5:5" x14ac:dyDescent="0.25">
      <c r="E540" s="109"/>
    </row>
    <row r="541" spans="5:5" x14ac:dyDescent="0.25">
      <c r="E541" s="109"/>
    </row>
    <row r="542" spans="5:5" x14ac:dyDescent="0.25">
      <c r="E542" s="109"/>
    </row>
    <row r="543" spans="5:5" x14ac:dyDescent="0.25">
      <c r="E543" s="109"/>
    </row>
    <row r="544" spans="5:5" x14ac:dyDescent="0.25">
      <c r="E544" s="109"/>
    </row>
    <row r="545" spans="5:5" x14ac:dyDescent="0.25">
      <c r="E545" s="109"/>
    </row>
    <row r="546" spans="5:5" x14ac:dyDescent="0.25">
      <c r="E546" s="109"/>
    </row>
    <row r="547" spans="5:5" x14ac:dyDescent="0.25">
      <c r="E547" s="109"/>
    </row>
    <row r="548" spans="5:5" x14ac:dyDescent="0.25">
      <c r="E548" s="109"/>
    </row>
    <row r="549" spans="5:5" x14ac:dyDescent="0.25">
      <c r="E549" s="109"/>
    </row>
    <row r="550" spans="5:5" x14ac:dyDescent="0.25">
      <c r="E550" s="109"/>
    </row>
    <row r="551" spans="5:5" x14ac:dyDescent="0.25">
      <c r="E551" s="109"/>
    </row>
    <row r="552" spans="5:5" x14ac:dyDescent="0.25">
      <c r="E552" s="109"/>
    </row>
    <row r="553" spans="5:5" x14ac:dyDescent="0.25">
      <c r="E553" s="109"/>
    </row>
    <row r="554" spans="5:5" x14ac:dyDescent="0.25">
      <c r="E554" s="109"/>
    </row>
    <row r="555" spans="5:5" x14ac:dyDescent="0.25">
      <c r="E555" s="109"/>
    </row>
    <row r="556" spans="5:5" x14ac:dyDescent="0.25">
      <c r="E556" s="109"/>
    </row>
    <row r="557" spans="5:5" x14ac:dyDescent="0.25">
      <c r="E557" s="109"/>
    </row>
    <row r="558" spans="5:5" x14ac:dyDescent="0.25">
      <c r="E558" s="109"/>
    </row>
    <row r="559" spans="5:5" x14ac:dyDescent="0.25">
      <c r="E559" s="109"/>
    </row>
    <row r="560" spans="5:5" x14ac:dyDescent="0.25">
      <c r="E560" s="109"/>
    </row>
    <row r="561" spans="4:5" x14ac:dyDescent="0.25">
      <c r="D561" s="114"/>
      <c r="E561" s="109"/>
    </row>
    <row r="562" spans="4:5" x14ac:dyDescent="0.25">
      <c r="E562" s="109"/>
    </row>
    <row r="563" spans="4:5" x14ac:dyDescent="0.25">
      <c r="E563" s="109"/>
    </row>
    <row r="564" spans="4:5" x14ac:dyDescent="0.25">
      <c r="E564" s="109"/>
    </row>
    <row r="565" spans="4:5" x14ac:dyDescent="0.25">
      <c r="E565" s="109"/>
    </row>
    <row r="566" spans="4:5" x14ac:dyDescent="0.25">
      <c r="E566" s="109"/>
    </row>
    <row r="567" spans="4:5" x14ac:dyDescent="0.25">
      <c r="E567" s="109"/>
    </row>
    <row r="568" spans="4:5" x14ac:dyDescent="0.25">
      <c r="E568" s="109"/>
    </row>
    <row r="569" spans="4:5" x14ac:dyDescent="0.25">
      <c r="E569" s="109"/>
    </row>
    <row r="570" spans="4:5" x14ac:dyDescent="0.25">
      <c r="E570" s="109"/>
    </row>
    <row r="571" spans="4:5" x14ac:dyDescent="0.25">
      <c r="E571" s="109"/>
    </row>
    <row r="572" spans="4:5" x14ac:dyDescent="0.25">
      <c r="E572" s="109"/>
    </row>
    <row r="573" spans="4:5" x14ac:dyDescent="0.25">
      <c r="E573" s="109"/>
    </row>
    <row r="574" spans="4:5" x14ac:dyDescent="0.25">
      <c r="E574" s="109"/>
    </row>
    <row r="575" spans="4:5" x14ac:dyDescent="0.25">
      <c r="E575" s="109"/>
    </row>
    <row r="576" spans="4:5" x14ac:dyDescent="0.25">
      <c r="E576" s="109"/>
    </row>
    <row r="577" spans="5:5" x14ac:dyDescent="0.25">
      <c r="E577" s="109"/>
    </row>
    <row r="578" spans="5:5" x14ac:dyDescent="0.25">
      <c r="E578" s="109"/>
    </row>
    <row r="579" spans="5:5" x14ac:dyDescent="0.25">
      <c r="E579" s="109"/>
    </row>
    <row r="580" spans="5:5" x14ac:dyDescent="0.25">
      <c r="E580" s="109"/>
    </row>
    <row r="581" spans="5:5" x14ac:dyDescent="0.25">
      <c r="E581" s="109"/>
    </row>
    <row r="582" spans="5:5" x14ac:dyDescent="0.25">
      <c r="E582" s="109"/>
    </row>
    <row r="583" spans="5:5" x14ac:dyDescent="0.25">
      <c r="E583" s="109"/>
    </row>
    <row r="584" spans="5:5" x14ac:dyDescent="0.25">
      <c r="E584" s="109"/>
    </row>
    <row r="585" spans="5:5" x14ac:dyDescent="0.25">
      <c r="E585" s="109"/>
    </row>
    <row r="586" spans="5:5" x14ac:dyDescent="0.25">
      <c r="E586" s="109"/>
    </row>
    <row r="587" spans="5:5" x14ac:dyDescent="0.25">
      <c r="E587" s="109"/>
    </row>
    <row r="588" spans="5:5" x14ac:dyDescent="0.25">
      <c r="E588" s="109"/>
    </row>
    <row r="589" spans="5:5" x14ac:dyDescent="0.25">
      <c r="E589" s="109"/>
    </row>
    <row r="590" spans="5:5" x14ac:dyDescent="0.25">
      <c r="E590" s="109"/>
    </row>
    <row r="591" spans="5:5" x14ac:dyDescent="0.25">
      <c r="E591" s="109"/>
    </row>
    <row r="592" spans="5:5" x14ac:dyDescent="0.25">
      <c r="E592" s="109"/>
    </row>
    <row r="593" spans="5:5" x14ac:dyDescent="0.25">
      <c r="E593" s="109"/>
    </row>
    <row r="594" spans="5:5" x14ac:dyDescent="0.25">
      <c r="E594" s="109"/>
    </row>
    <row r="595" spans="5:5" x14ac:dyDescent="0.25">
      <c r="E595" s="109"/>
    </row>
    <row r="596" spans="5:5" x14ac:dyDescent="0.25">
      <c r="E596" s="109"/>
    </row>
    <row r="597" spans="5:5" x14ac:dyDescent="0.25">
      <c r="E597" s="109"/>
    </row>
    <row r="598" spans="5:5" x14ac:dyDescent="0.25">
      <c r="E598" s="109"/>
    </row>
    <row r="599" spans="5:5" x14ac:dyDescent="0.25">
      <c r="E599" s="109"/>
    </row>
    <row r="600" spans="5:5" x14ac:dyDescent="0.25">
      <c r="E600" s="109"/>
    </row>
    <row r="601" spans="5:5" x14ac:dyDescent="0.25">
      <c r="E601" s="109"/>
    </row>
    <row r="602" spans="5:5" x14ac:dyDescent="0.25">
      <c r="E602" s="109"/>
    </row>
    <row r="603" spans="5:5" x14ac:dyDescent="0.25">
      <c r="E603" s="109"/>
    </row>
    <row r="604" spans="5:5" x14ac:dyDescent="0.25">
      <c r="E604" s="109"/>
    </row>
    <row r="605" spans="5:5" x14ac:dyDescent="0.25">
      <c r="E605" s="109"/>
    </row>
    <row r="606" spans="5:5" x14ac:dyDescent="0.25">
      <c r="E606" s="109"/>
    </row>
    <row r="607" spans="5:5" x14ac:dyDescent="0.25">
      <c r="E607" s="109"/>
    </row>
    <row r="608" spans="5:5" x14ac:dyDescent="0.25">
      <c r="E608" s="109"/>
    </row>
    <row r="609" spans="5:5" x14ac:dyDescent="0.25">
      <c r="E609" s="109"/>
    </row>
    <row r="610" spans="5:5" x14ac:dyDescent="0.25">
      <c r="E610" s="109"/>
    </row>
    <row r="611" spans="5:5" x14ac:dyDescent="0.25">
      <c r="E611" s="109"/>
    </row>
    <row r="612" spans="5:5" x14ac:dyDescent="0.25">
      <c r="E612" s="109"/>
    </row>
    <row r="613" spans="5:5" x14ac:dyDescent="0.25">
      <c r="E613" s="109"/>
    </row>
    <row r="614" spans="5:5" x14ac:dyDescent="0.25">
      <c r="E614" s="109"/>
    </row>
    <row r="615" spans="5:5" x14ac:dyDescent="0.25">
      <c r="E615" s="109"/>
    </row>
    <row r="616" spans="5:5" x14ac:dyDescent="0.25">
      <c r="E616" s="109"/>
    </row>
    <row r="617" spans="5:5" x14ac:dyDescent="0.25">
      <c r="E617" s="109"/>
    </row>
    <row r="618" spans="5:5" x14ac:dyDescent="0.25">
      <c r="E618" s="109"/>
    </row>
    <row r="619" spans="5:5" x14ac:dyDescent="0.25">
      <c r="E619" s="109"/>
    </row>
    <row r="620" spans="5:5" x14ac:dyDescent="0.25">
      <c r="E620" s="109"/>
    </row>
    <row r="621" spans="5:5" x14ac:dyDescent="0.25">
      <c r="E621" s="109"/>
    </row>
    <row r="622" spans="5:5" x14ac:dyDescent="0.25">
      <c r="E622" s="109"/>
    </row>
    <row r="623" spans="5:5" x14ac:dyDescent="0.25">
      <c r="E623" s="109"/>
    </row>
    <row r="624" spans="5:5" x14ac:dyDescent="0.25">
      <c r="E624" s="109"/>
    </row>
    <row r="625" spans="5:5" x14ac:dyDescent="0.25">
      <c r="E625" s="109"/>
    </row>
    <row r="626" spans="5:5" x14ac:dyDescent="0.25">
      <c r="E626" s="109"/>
    </row>
    <row r="627" spans="5:5" x14ac:dyDescent="0.25">
      <c r="E627" s="109"/>
    </row>
    <row r="628" spans="5:5" x14ac:dyDescent="0.25">
      <c r="E628" s="109"/>
    </row>
    <row r="629" spans="5:5" x14ac:dyDescent="0.25">
      <c r="E629" s="109"/>
    </row>
    <row r="630" spans="5:5" x14ac:dyDescent="0.25">
      <c r="E630" s="109"/>
    </row>
    <row r="631" spans="5:5" x14ac:dyDescent="0.25">
      <c r="E631" s="109"/>
    </row>
    <row r="632" spans="5:5" x14ac:dyDescent="0.25">
      <c r="E632" s="109"/>
    </row>
    <row r="633" spans="5:5" x14ac:dyDescent="0.25">
      <c r="E633" s="109"/>
    </row>
    <row r="634" spans="5:5" x14ac:dyDescent="0.25">
      <c r="E634" s="109"/>
    </row>
    <row r="635" spans="5:5" x14ac:dyDescent="0.25">
      <c r="E635" s="109"/>
    </row>
    <row r="636" spans="5:5" x14ac:dyDescent="0.25">
      <c r="E636" s="109"/>
    </row>
    <row r="637" spans="5:5" x14ac:dyDescent="0.25">
      <c r="E637" s="109"/>
    </row>
    <row r="638" spans="5:5" x14ac:dyDescent="0.25">
      <c r="E638" s="109"/>
    </row>
    <row r="639" spans="5:5" x14ac:dyDescent="0.25">
      <c r="E639" s="109"/>
    </row>
    <row r="640" spans="5:5" x14ac:dyDescent="0.25">
      <c r="E640" s="109"/>
    </row>
    <row r="641" spans="5:5" x14ac:dyDescent="0.25">
      <c r="E641" s="109"/>
    </row>
    <row r="642" spans="5:5" x14ac:dyDescent="0.25">
      <c r="E642" s="109"/>
    </row>
    <row r="643" spans="5:5" x14ac:dyDescent="0.25">
      <c r="E643" s="109"/>
    </row>
    <row r="644" spans="5:5" x14ac:dyDescent="0.25">
      <c r="E644" s="109"/>
    </row>
    <row r="645" spans="5:5" x14ac:dyDescent="0.25">
      <c r="E645" s="109"/>
    </row>
    <row r="646" spans="5:5" x14ac:dyDescent="0.25">
      <c r="E646" s="109"/>
    </row>
    <row r="647" spans="5:5" x14ac:dyDescent="0.25">
      <c r="E647" s="109"/>
    </row>
    <row r="648" spans="5:5" x14ac:dyDescent="0.25">
      <c r="E648" s="109"/>
    </row>
    <row r="649" spans="5:5" x14ac:dyDescent="0.25">
      <c r="E649" s="109"/>
    </row>
    <row r="650" spans="5:5" x14ac:dyDescent="0.25">
      <c r="E650" s="109"/>
    </row>
    <row r="651" spans="5:5" x14ac:dyDescent="0.25">
      <c r="E651" s="109"/>
    </row>
    <row r="652" spans="5:5" x14ac:dyDescent="0.25">
      <c r="E652" s="109"/>
    </row>
    <row r="653" spans="5:5" x14ac:dyDescent="0.25">
      <c r="E653" s="109"/>
    </row>
    <row r="654" spans="5:5" x14ac:dyDescent="0.25">
      <c r="E654" s="109"/>
    </row>
    <row r="655" spans="5:5" x14ac:dyDescent="0.25">
      <c r="E655" s="109"/>
    </row>
    <row r="656" spans="5:5" x14ac:dyDescent="0.25">
      <c r="E656" s="109"/>
    </row>
    <row r="657" spans="5:5" x14ac:dyDescent="0.25">
      <c r="E657" s="109"/>
    </row>
    <row r="658" spans="5:5" x14ac:dyDescent="0.25">
      <c r="E658" s="109"/>
    </row>
    <row r="659" spans="5:5" x14ac:dyDescent="0.25">
      <c r="E659" s="109"/>
    </row>
    <row r="660" spans="5:5" x14ac:dyDescent="0.25">
      <c r="E660" s="109"/>
    </row>
    <row r="661" spans="5:5" x14ac:dyDescent="0.25">
      <c r="E661" s="109"/>
    </row>
    <row r="662" spans="5:5" x14ac:dyDescent="0.25">
      <c r="E662" s="109"/>
    </row>
    <row r="663" spans="5:5" x14ac:dyDescent="0.25">
      <c r="E663" s="109"/>
    </row>
    <row r="664" spans="5:5" x14ac:dyDescent="0.25">
      <c r="E664" s="109"/>
    </row>
    <row r="665" spans="5:5" x14ac:dyDescent="0.25">
      <c r="E665" s="109"/>
    </row>
    <row r="666" spans="5:5" x14ac:dyDescent="0.25">
      <c r="E666" s="109"/>
    </row>
    <row r="667" spans="5:5" x14ac:dyDescent="0.25">
      <c r="E667" s="109"/>
    </row>
    <row r="668" spans="5:5" x14ac:dyDescent="0.25">
      <c r="E668" s="109"/>
    </row>
    <row r="669" spans="5:5" x14ac:dyDescent="0.25">
      <c r="E669" s="109"/>
    </row>
    <row r="670" spans="5:5" x14ac:dyDescent="0.25">
      <c r="E670" s="109"/>
    </row>
    <row r="671" spans="5:5" x14ac:dyDescent="0.25">
      <c r="E671" s="109"/>
    </row>
    <row r="672" spans="5:5" x14ac:dyDescent="0.25">
      <c r="E672" s="109"/>
    </row>
    <row r="673" spans="5:5" x14ac:dyDescent="0.25">
      <c r="E673" s="109"/>
    </row>
    <row r="674" spans="5:5" x14ac:dyDescent="0.25">
      <c r="E674" s="109"/>
    </row>
    <row r="675" spans="5:5" x14ac:dyDescent="0.25">
      <c r="E675" s="109"/>
    </row>
    <row r="676" spans="5:5" x14ac:dyDescent="0.25">
      <c r="E676" s="109"/>
    </row>
    <row r="677" spans="5:5" x14ac:dyDescent="0.25">
      <c r="E677" s="109"/>
    </row>
    <row r="678" spans="5:5" x14ac:dyDescent="0.25">
      <c r="E678" s="109"/>
    </row>
    <row r="679" spans="5:5" x14ac:dyDescent="0.25">
      <c r="E679" s="109"/>
    </row>
    <row r="680" spans="5:5" x14ac:dyDescent="0.25">
      <c r="E680" s="109"/>
    </row>
    <row r="681" spans="5:5" x14ac:dyDescent="0.25">
      <c r="E681" s="109"/>
    </row>
    <row r="682" spans="5:5" x14ac:dyDescent="0.25">
      <c r="E682" s="109"/>
    </row>
    <row r="683" spans="5:5" x14ac:dyDescent="0.25">
      <c r="E683" s="109"/>
    </row>
    <row r="684" spans="5:5" x14ac:dyDescent="0.25">
      <c r="E684" s="109"/>
    </row>
    <row r="685" spans="5:5" x14ac:dyDescent="0.25">
      <c r="E685" s="109"/>
    </row>
    <row r="686" spans="5:5" x14ac:dyDescent="0.25">
      <c r="E686" s="109"/>
    </row>
    <row r="687" spans="5:5" x14ac:dyDescent="0.25">
      <c r="E687" s="109"/>
    </row>
    <row r="688" spans="5:5" x14ac:dyDescent="0.25">
      <c r="E688" s="109"/>
    </row>
    <row r="689" spans="5:5" x14ac:dyDescent="0.25">
      <c r="E689" s="109"/>
    </row>
    <row r="690" spans="5:5" x14ac:dyDescent="0.25">
      <c r="E690" s="109"/>
    </row>
    <row r="691" spans="5:5" x14ac:dyDescent="0.25">
      <c r="E691" s="109"/>
    </row>
    <row r="692" spans="5:5" x14ac:dyDescent="0.25">
      <c r="E692" s="109"/>
    </row>
    <row r="693" spans="5:5" x14ac:dyDescent="0.25">
      <c r="E693" s="109"/>
    </row>
    <row r="694" spans="5:5" x14ac:dyDescent="0.25">
      <c r="E694" s="109"/>
    </row>
    <row r="695" spans="5:5" x14ac:dyDescent="0.25">
      <c r="E695" s="109"/>
    </row>
    <row r="696" spans="5:5" x14ac:dyDescent="0.25">
      <c r="E696" s="109"/>
    </row>
    <row r="697" spans="5:5" x14ac:dyDescent="0.25">
      <c r="E697" s="109"/>
    </row>
    <row r="698" spans="5:5" x14ac:dyDescent="0.25">
      <c r="E698" s="109"/>
    </row>
    <row r="699" spans="5:5" x14ac:dyDescent="0.25">
      <c r="E699" s="109"/>
    </row>
    <row r="700" spans="5:5" x14ac:dyDescent="0.25">
      <c r="E700" s="109"/>
    </row>
    <row r="701" spans="5:5" x14ac:dyDescent="0.25">
      <c r="E701" s="109"/>
    </row>
    <row r="702" spans="5:5" x14ac:dyDescent="0.25">
      <c r="E702" s="109"/>
    </row>
    <row r="703" spans="5:5" x14ac:dyDescent="0.25">
      <c r="E703" s="109"/>
    </row>
    <row r="704" spans="5:5" x14ac:dyDescent="0.25">
      <c r="E704" s="109"/>
    </row>
    <row r="705" spans="5:5" x14ac:dyDescent="0.25">
      <c r="E705" s="109"/>
    </row>
    <row r="706" spans="5:5" x14ac:dyDescent="0.25">
      <c r="E706" s="109"/>
    </row>
    <row r="707" spans="5:5" x14ac:dyDescent="0.25">
      <c r="E707" s="109"/>
    </row>
    <row r="708" spans="5:5" x14ac:dyDescent="0.25">
      <c r="E708" s="109"/>
    </row>
    <row r="709" spans="5:5" x14ac:dyDescent="0.25">
      <c r="E709" s="109"/>
    </row>
    <row r="710" spans="5:5" x14ac:dyDescent="0.25">
      <c r="E710" s="109"/>
    </row>
    <row r="711" spans="5:5" x14ac:dyDescent="0.25">
      <c r="E711" s="109"/>
    </row>
    <row r="712" spans="5:5" x14ac:dyDescent="0.25">
      <c r="E712" s="109"/>
    </row>
    <row r="713" spans="5:5" x14ac:dyDescent="0.25">
      <c r="E713" s="109"/>
    </row>
    <row r="714" spans="5:5" x14ac:dyDescent="0.25">
      <c r="E714" s="109"/>
    </row>
    <row r="715" spans="5:5" x14ac:dyDescent="0.25">
      <c r="E715" s="109"/>
    </row>
    <row r="716" spans="5:5" x14ac:dyDescent="0.25">
      <c r="E716" s="109"/>
    </row>
    <row r="717" spans="5:5" x14ac:dyDescent="0.25">
      <c r="E717" s="109"/>
    </row>
    <row r="718" spans="5:5" x14ac:dyDescent="0.25">
      <c r="E718" s="109"/>
    </row>
    <row r="719" spans="5:5" x14ac:dyDescent="0.25">
      <c r="E719" s="109"/>
    </row>
    <row r="720" spans="5:5" x14ac:dyDescent="0.25">
      <c r="E720" s="109"/>
    </row>
    <row r="721" spans="5:5" x14ac:dyDescent="0.25">
      <c r="E721" s="109"/>
    </row>
    <row r="722" spans="5:5" x14ac:dyDescent="0.25">
      <c r="E722" s="109"/>
    </row>
    <row r="723" spans="5:5" x14ac:dyDescent="0.25">
      <c r="E723" s="109"/>
    </row>
    <row r="724" spans="5:5" x14ac:dyDescent="0.25">
      <c r="E724" s="109"/>
    </row>
    <row r="725" spans="5:5" x14ac:dyDescent="0.25">
      <c r="E725" s="109"/>
    </row>
    <row r="726" spans="5:5" x14ac:dyDescent="0.25">
      <c r="E726" s="109"/>
    </row>
    <row r="727" spans="5:5" x14ac:dyDescent="0.25">
      <c r="E727" s="109"/>
    </row>
    <row r="728" spans="5:5" x14ac:dyDescent="0.25">
      <c r="E728" s="109"/>
    </row>
    <row r="729" spans="5:5" x14ac:dyDescent="0.25">
      <c r="E729" s="109"/>
    </row>
    <row r="730" spans="5:5" x14ac:dyDescent="0.25">
      <c r="E730" s="109"/>
    </row>
    <row r="731" spans="5:5" x14ac:dyDescent="0.25">
      <c r="E731" s="109"/>
    </row>
    <row r="732" spans="5:5" x14ac:dyDescent="0.25">
      <c r="E732" s="109"/>
    </row>
    <row r="733" spans="5:5" x14ac:dyDescent="0.25">
      <c r="E733" s="109"/>
    </row>
    <row r="734" spans="5:5" x14ac:dyDescent="0.25">
      <c r="E734" s="109"/>
    </row>
    <row r="735" spans="5:5" x14ac:dyDescent="0.25">
      <c r="E735" s="109"/>
    </row>
    <row r="736" spans="5:5" x14ac:dyDescent="0.25">
      <c r="E736" s="109"/>
    </row>
    <row r="737" spans="5:5" x14ac:dyDescent="0.25">
      <c r="E737" s="109"/>
    </row>
    <row r="738" spans="5:5" x14ac:dyDescent="0.25">
      <c r="E738" s="109"/>
    </row>
    <row r="739" spans="5:5" x14ac:dyDescent="0.25">
      <c r="E739" s="109"/>
    </row>
    <row r="740" spans="5:5" x14ac:dyDescent="0.25">
      <c r="E740" s="109"/>
    </row>
    <row r="741" spans="5:5" x14ac:dyDescent="0.25">
      <c r="E741" s="109"/>
    </row>
    <row r="742" spans="5:5" x14ac:dyDescent="0.25">
      <c r="E742" s="109"/>
    </row>
    <row r="743" spans="5:5" x14ac:dyDescent="0.25">
      <c r="E743" s="109"/>
    </row>
    <row r="744" spans="5:5" x14ac:dyDescent="0.25">
      <c r="E744" s="109"/>
    </row>
    <row r="745" spans="5:5" x14ac:dyDescent="0.25">
      <c r="E745" s="109"/>
    </row>
    <row r="746" spans="5:5" x14ac:dyDescent="0.25">
      <c r="E746" s="109"/>
    </row>
    <row r="747" spans="5:5" x14ac:dyDescent="0.25">
      <c r="E747" s="109"/>
    </row>
    <row r="748" spans="5:5" x14ac:dyDescent="0.25">
      <c r="E748" s="109"/>
    </row>
    <row r="749" spans="5:5" x14ac:dyDescent="0.25">
      <c r="E749" s="109"/>
    </row>
    <row r="750" spans="5:5" x14ac:dyDescent="0.25">
      <c r="E750" s="109"/>
    </row>
    <row r="751" spans="5:5" x14ac:dyDescent="0.25">
      <c r="E751" s="109"/>
    </row>
    <row r="752" spans="5:5" x14ac:dyDescent="0.25">
      <c r="E752" s="109"/>
    </row>
    <row r="753" spans="5:5" x14ac:dyDescent="0.25">
      <c r="E753" s="109"/>
    </row>
    <row r="754" spans="5:5" x14ac:dyDescent="0.25">
      <c r="E754" s="109"/>
    </row>
    <row r="755" spans="5:5" x14ac:dyDescent="0.25">
      <c r="E755" s="109"/>
    </row>
    <row r="756" spans="5:5" x14ac:dyDescent="0.25">
      <c r="E756" s="109"/>
    </row>
    <row r="757" spans="5:5" x14ac:dyDescent="0.25">
      <c r="E757" s="109"/>
    </row>
    <row r="758" spans="5:5" x14ac:dyDescent="0.25">
      <c r="E758" s="109"/>
    </row>
    <row r="759" spans="5:5" x14ac:dyDescent="0.25">
      <c r="E759" s="109"/>
    </row>
    <row r="760" spans="5:5" x14ac:dyDescent="0.25">
      <c r="E760" s="109"/>
    </row>
    <row r="761" spans="5:5" x14ac:dyDescent="0.25">
      <c r="E761" s="109"/>
    </row>
    <row r="762" spans="5:5" x14ac:dyDescent="0.25">
      <c r="E762" s="109"/>
    </row>
    <row r="763" spans="5:5" x14ac:dyDescent="0.25">
      <c r="E763" s="109"/>
    </row>
    <row r="764" spans="5:5" x14ac:dyDescent="0.25">
      <c r="E764" s="109"/>
    </row>
    <row r="765" spans="5:5" x14ac:dyDescent="0.25">
      <c r="E765" s="109"/>
    </row>
    <row r="766" spans="5:5" x14ac:dyDescent="0.25">
      <c r="E766" s="109"/>
    </row>
    <row r="767" spans="5:5" x14ac:dyDescent="0.25">
      <c r="E767" s="109"/>
    </row>
    <row r="768" spans="5:5" x14ac:dyDescent="0.25">
      <c r="E768" s="109"/>
    </row>
    <row r="769" spans="5:5" x14ac:dyDescent="0.25">
      <c r="E769" s="109"/>
    </row>
    <row r="770" spans="5:5" x14ac:dyDescent="0.25">
      <c r="E770" s="109"/>
    </row>
    <row r="771" spans="5:5" x14ac:dyDescent="0.25">
      <c r="E771" s="109"/>
    </row>
    <row r="772" spans="5:5" x14ac:dyDescent="0.25">
      <c r="E772" s="109"/>
    </row>
    <row r="773" spans="5:5" x14ac:dyDescent="0.25">
      <c r="E773" s="109"/>
    </row>
    <row r="774" spans="5:5" x14ac:dyDescent="0.25">
      <c r="E774" s="109"/>
    </row>
    <row r="775" spans="5:5" x14ac:dyDescent="0.25">
      <c r="E775" s="109"/>
    </row>
    <row r="776" spans="5:5" x14ac:dyDescent="0.25">
      <c r="E776" s="109"/>
    </row>
    <row r="777" spans="5:5" x14ac:dyDescent="0.25">
      <c r="E777" s="109"/>
    </row>
    <row r="778" spans="5:5" x14ac:dyDescent="0.25">
      <c r="E778" s="109"/>
    </row>
    <row r="779" spans="5:5" x14ac:dyDescent="0.25">
      <c r="E779" s="109"/>
    </row>
    <row r="780" spans="5:5" x14ac:dyDescent="0.25">
      <c r="E780" s="109"/>
    </row>
    <row r="781" spans="5:5" x14ac:dyDescent="0.25">
      <c r="E781" s="109"/>
    </row>
    <row r="782" spans="5:5" x14ac:dyDescent="0.25">
      <c r="E782" s="109"/>
    </row>
    <row r="783" spans="5:5" x14ac:dyDescent="0.25">
      <c r="E783" s="109"/>
    </row>
    <row r="784" spans="5:5" x14ac:dyDescent="0.25">
      <c r="E784" s="109"/>
    </row>
    <row r="785" spans="5:5" x14ac:dyDescent="0.25">
      <c r="E785" s="109"/>
    </row>
    <row r="786" spans="5:5" x14ac:dyDescent="0.25">
      <c r="E786" s="109"/>
    </row>
    <row r="787" spans="5:5" x14ac:dyDescent="0.25">
      <c r="E787" s="109"/>
    </row>
    <row r="788" spans="5:5" x14ac:dyDescent="0.25">
      <c r="E788" s="109"/>
    </row>
    <row r="789" spans="5:5" x14ac:dyDescent="0.25">
      <c r="E789" s="109"/>
    </row>
    <row r="790" spans="5:5" x14ac:dyDescent="0.25">
      <c r="E790" s="109"/>
    </row>
    <row r="791" spans="5:5" x14ac:dyDescent="0.25">
      <c r="E791" s="109"/>
    </row>
    <row r="792" spans="5:5" x14ac:dyDescent="0.25">
      <c r="E792" s="109"/>
    </row>
    <row r="793" spans="5:5" x14ac:dyDescent="0.25">
      <c r="E793" s="109"/>
    </row>
    <row r="794" spans="5:5" x14ac:dyDescent="0.25">
      <c r="E794" s="109"/>
    </row>
    <row r="795" spans="5:5" x14ac:dyDescent="0.25">
      <c r="E795" s="109"/>
    </row>
    <row r="796" spans="5:5" x14ac:dyDescent="0.25">
      <c r="E796" s="109"/>
    </row>
    <row r="797" spans="5:5" x14ac:dyDescent="0.25">
      <c r="E797" s="109"/>
    </row>
    <row r="798" spans="5:5" x14ac:dyDescent="0.25">
      <c r="E798" s="109"/>
    </row>
    <row r="799" spans="5:5" x14ac:dyDescent="0.25">
      <c r="E799" s="109"/>
    </row>
    <row r="800" spans="5:5" x14ac:dyDescent="0.25">
      <c r="E800" s="109"/>
    </row>
    <row r="801" spans="5:5" x14ac:dyDescent="0.25">
      <c r="E801" s="109"/>
    </row>
    <row r="802" spans="5:5" x14ac:dyDescent="0.25">
      <c r="E802" s="109"/>
    </row>
    <row r="803" spans="5:5" x14ac:dyDescent="0.25">
      <c r="E803" s="109"/>
    </row>
    <row r="804" spans="5:5" x14ac:dyDescent="0.25">
      <c r="E804" s="109"/>
    </row>
    <row r="805" spans="5:5" x14ac:dyDescent="0.25">
      <c r="E805" s="109"/>
    </row>
    <row r="806" spans="5:5" x14ac:dyDescent="0.25">
      <c r="E806" s="109"/>
    </row>
    <row r="807" spans="5:5" x14ac:dyDescent="0.25">
      <c r="E807" s="109"/>
    </row>
    <row r="808" spans="5:5" x14ac:dyDescent="0.25">
      <c r="E808" s="109"/>
    </row>
    <row r="809" spans="5:5" x14ac:dyDescent="0.25">
      <c r="E809" s="109"/>
    </row>
    <row r="810" spans="5:5" x14ac:dyDescent="0.25">
      <c r="E810" s="109"/>
    </row>
    <row r="811" spans="5:5" x14ac:dyDescent="0.25">
      <c r="E811" s="109"/>
    </row>
    <row r="812" spans="5:5" x14ac:dyDescent="0.25">
      <c r="E812" s="109"/>
    </row>
    <row r="813" spans="5:5" x14ac:dyDescent="0.25">
      <c r="E813" s="109"/>
    </row>
    <row r="814" spans="5:5" x14ac:dyDescent="0.25">
      <c r="E814" s="109"/>
    </row>
    <row r="815" spans="5:5" x14ac:dyDescent="0.25">
      <c r="E815" s="109"/>
    </row>
    <row r="816" spans="5:5" x14ac:dyDescent="0.25">
      <c r="E816" s="109"/>
    </row>
    <row r="817" spans="5:5" x14ac:dyDescent="0.25">
      <c r="E817" s="109"/>
    </row>
    <row r="818" spans="5:5" x14ac:dyDescent="0.25">
      <c r="E818" s="109"/>
    </row>
    <row r="819" spans="5:5" x14ac:dyDescent="0.25">
      <c r="E819" s="109"/>
    </row>
    <row r="820" spans="5:5" x14ac:dyDescent="0.25">
      <c r="E820" s="109"/>
    </row>
    <row r="821" spans="5:5" x14ac:dyDescent="0.25">
      <c r="E821" s="109"/>
    </row>
    <row r="822" spans="5:5" x14ac:dyDescent="0.25">
      <c r="E822" s="109"/>
    </row>
    <row r="823" spans="5:5" x14ac:dyDescent="0.25">
      <c r="E823" s="109"/>
    </row>
    <row r="824" spans="5:5" x14ac:dyDescent="0.25">
      <c r="E824" s="109"/>
    </row>
    <row r="825" spans="5:5" x14ac:dyDescent="0.25">
      <c r="E825" s="109"/>
    </row>
    <row r="826" spans="5:5" x14ac:dyDescent="0.25">
      <c r="E826" s="109"/>
    </row>
    <row r="827" spans="5:5" x14ac:dyDescent="0.25">
      <c r="E827" s="109"/>
    </row>
    <row r="828" spans="5:5" x14ac:dyDescent="0.25">
      <c r="E828" s="109"/>
    </row>
    <row r="829" spans="5:5" x14ac:dyDescent="0.25">
      <c r="E829" s="109"/>
    </row>
    <row r="830" spans="5:5" x14ac:dyDescent="0.25">
      <c r="E830" s="109"/>
    </row>
    <row r="831" spans="5:5" x14ac:dyDescent="0.25">
      <c r="E831" s="109"/>
    </row>
  </sheetData>
  <phoneticPr fontId="7" type="noConversion"/>
  <pageMargins left="0.7" right="0.7" top="0.75" bottom="0.75" header="0.3" footer="0.3"/>
  <ignoredErrors>
    <ignoredError sqref="G15" formulaRange="1"/>
  </ignoredErrors>
  <drawing r:id="rId1"/>
  <legacyDrawing r:id="rId2"/>
  <oleObjects>
    <mc:AlternateContent xmlns:mc="http://schemas.openxmlformats.org/markup-compatibility/2006">
      <mc:Choice Requires="x14">
        <oleObject progId="Equation.3" shapeId="10241" r:id="rId3">
          <objectPr defaultSize="0" autoPict="0" r:id="rId4">
            <anchor moveWithCells="1" sizeWithCells="1">
              <from>
                <xdr:col>10</xdr:col>
                <xdr:colOff>266700</xdr:colOff>
                <xdr:row>3</xdr:row>
                <xdr:rowOff>7620</xdr:rowOff>
              </from>
              <to>
                <xdr:col>11</xdr:col>
                <xdr:colOff>426720</xdr:colOff>
                <xdr:row>5</xdr:row>
                <xdr:rowOff>7620</xdr:rowOff>
              </to>
            </anchor>
          </objectPr>
        </oleObject>
      </mc:Choice>
      <mc:Fallback>
        <oleObject progId="Equation.3" shapeId="10241" r:id="rId3"/>
      </mc:Fallback>
    </mc:AlternateContent>
    <mc:AlternateContent xmlns:mc="http://schemas.openxmlformats.org/markup-compatibility/2006">
      <mc:Choice Requires="x14">
        <oleObject progId="Equation.3" shapeId="10242" r:id="rId5">
          <objectPr defaultSize="0" autoPict="0" r:id="rId6">
            <anchor moveWithCells="1" sizeWithCells="1">
              <from>
                <xdr:col>12</xdr:col>
                <xdr:colOff>411480</xdr:colOff>
                <xdr:row>2</xdr:row>
                <xdr:rowOff>167640</xdr:rowOff>
              </from>
              <to>
                <xdr:col>14</xdr:col>
                <xdr:colOff>259080</xdr:colOff>
                <xdr:row>5</xdr:row>
                <xdr:rowOff>22860</xdr:rowOff>
              </to>
            </anchor>
          </objectPr>
        </oleObject>
      </mc:Choice>
      <mc:Fallback>
        <oleObject progId="Equation.3" shapeId="10242" r:id="rId5"/>
      </mc:Fallback>
    </mc:AlternateContent>
    <mc:AlternateContent xmlns:mc="http://schemas.openxmlformats.org/markup-compatibility/2006">
      <mc:Choice Requires="x14">
        <oleObject progId="Equation.3" shapeId="10243" r:id="rId7">
          <objectPr defaultSize="0" autoPict="0" r:id="rId4">
            <anchor moveWithCells="1" sizeWithCells="1">
              <from>
                <xdr:col>10</xdr:col>
                <xdr:colOff>312420</xdr:colOff>
                <xdr:row>7</xdr:row>
                <xdr:rowOff>0</xdr:rowOff>
              </from>
              <to>
                <xdr:col>11</xdr:col>
                <xdr:colOff>472440</xdr:colOff>
                <xdr:row>8</xdr:row>
                <xdr:rowOff>144780</xdr:rowOff>
              </to>
            </anchor>
          </objectPr>
        </oleObject>
      </mc:Choice>
      <mc:Fallback>
        <oleObject progId="Equation.3" shapeId="10243" r:id="rId7"/>
      </mc:Fallback>
    </mc:AlternateContent>
    <mc:AlternateContent xmlns:mc="http://schemas.openxmlformats.org/markup-compatibility/2006">
      <mc:Choice Requires="x14">
        <oleObject progId="Equation.3" shapeId="10244" r:id="rId8">
          <objectPr defaultSize="0" autoPict="0" r:id="rId6">
            <anchor moveWithCells="1" sizeWithCells="1">
              <from>
                <xdr:col>10</xdr:col>
                <xdr:colOff>548640</xdr:colOff>
                <xdr:row>13</xdr:row>
                <xdr:rowOff>68580</xdr:rowOff>
              </from>
              <to>
                <xdr:col>12</xdr:col>
                <xdr:colOff>495300</xdr:colOff>
                <xdr:row>15</xdr:row>
                <xdr:rowOff>38100</xdr:rowOff>
              </to>
            </anchor>
          </objectPr>
        </oleObject>
      </mc:Choice>
      <mc:Fallback>
        <oleObject progId="Equation.3" shapeId="10244" r:id="rId8"/>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24"/>
  <sheetViews>
    <sheetView showGridLines="0" workbookViewId="0">
      <selection activeCell="C12" sqref="C12"/>
    </sheetView>
  </sheetViews>
  <sheetFormatPr defaultColWidth="8.88671875" defaultRowHeight="14.4" x14ac:dyDescent="0.25"/>
  <cols>
    <col min="1" max="1" width="2.77734375" style="28" customWidth="1"/>
    <col min="2" max="2" width="15.6640625" style="28" customWidth="1"/>
    <col min="3" max="3" width="7.77734375" style="28" bestFit="1" customWidth="1"/>
    <col min="4" max="16384" width="8.88671875" style="28"/>
  </cols>
  <sheetData>
    <row r="2" spans="2:3" x14ac:dyDescent="0.25">
      <c r="B2" s="35" t="s">
        <v>57</v>
      </c>
      <c r="C2" s="37">
        <v>10000</v>
      </c>
    </row>
    <row r="3" spans="2:3" x14ac:dyDescent="0.25">
      <c r="B3" s="35" t="s">
        <v>56</v>
      </c>
      <c r="C3" s="37">
        <v>1</v>
      </c>
    </row>
    <row r="4" spans="2:3" x14ac:dyDescent="0.25">
      <c r="B4" s="35" t="s">
        <v>55</v>
      </c>
      <c r="C4" s="37">
        <v>2</v>
      </c>
    </row>
    <row r="5" spans="2:3" x14ac:dyDescent="0.25">
      <c r="B5" s="35" t="s">
        <v>54</v>
      </c>
      <c r="C5" s="37">
        <v>3</v>
      </c>
    </row>
    <row r="6" spans="2:3" x14ac:dyDescent="0.25">
      <c r="B6" s="35" t="s">
        <v>53</v>
      </c>
      <c r="C6" s="37">
        <v>30</v>
      </c>
    </row>
    <row r="7" spans="2:3" x14ac:dyDescent="0.25">
      <c r="B7" s="35" t="s">
        <v>52</v>
      </c>
      <c r="C7" s="37">
        <v>10</v>
      </c>
    </row>
    <row r="8" spans="2:3" x14ac:dyDescent="0.25">
      <c r="B8" s="35" t="s">
        <v>51</v>
      </c>
      <c r="C8" s="37">
        <v>10</v>
      </c>
    </row>
    <row r="9" spans="2:3" x14ac:dyDescent="0.25">
      <c r="B9" s="35" t="s">
        <v>50</v>
      </c>
      <c r="C9" s="37">
        <v>100</v>
      </c>
    </row>
    <row r="10" spans="2:3" x14ac:dyDescent="0.25">
      <c r="B10" s="22"/>
      <c r="C10" s="22"/>
    </row>
    <row r="11" spans="2:3" x14ac:dyDescent="0.25">
      <c r="B11" s="35" t="s">
        <v>49</v>
      </c>
      <c r="C11" s="36">
        <v>1000</v>
      </c>
    </row>
    <row r="12" spans="2:3" x14ac:dyDescent="0.25">
      <c r="B12" s="35" t="s">
        <v>48</v>
      </c>
      <c r="C12" s="34"/>
    </row>
    <row r="13" spans="2:3" x14ac:dyDescent="0.25">
      <c r="B13" s="35" t="s">
        <v>47</v>
      </c>
      <c r="C13" s="34"/>
    </row>
    <row r="14" spans="2:3" x14ac:dyDescent="0.25">
      <c r="B14" s="35" t="s">
        <v>46</v>
      </c>
      <c r="C14" s="34"/>
    </row>
    <row r="15" spans="2:3" x14ac:dyDescent="0.25">
      <c r="B15" s="35" t="s">
        <v>45</v>
      </c>
      <c r="C15" s="34"/>
    </row>
    <row r="16" spans="2:3" x14ac:dyDescent="0.25">
      <c r="B16" s="22"/>
      <c r="C16" s="22"/>
    </row>
    <row r="17" spans="2:3" x14ac:dyDescent="0.25">
      <c r="B17" s="35" t="s">
        <v>44</v>
      </c>
      <c r="C17" s="34"/>
    </row>
    <row r="18" spans="2:3" x14ac:dyDescent="0.25">
      <c r="B18" s="31" t="s">
        <v>43</v>
      </c>
      <c r="C18" s="33">
        <v>20000</v>
      </c>
    </row>
    <row r="19" spans="2:3" x14ac:dyDescent="0.25">
      <c r="B19" s="31" t="s">
        <v>42</v>
      </c>
      <c r="C19" s="32"/>
    </row>
    <row r="20" spans="2:3" x14ac:dyDescent="0.25">
      <c r="B20" s="31" t="s">
        <v>41</v>
      </c>
      <c r="C20" s="30"/>
    </row>
    <row r="22" spans="2:3" x14ac:dyDescent="0.25">
      <c r="B22" s="116"/>
      <c r="C22" s="116"/>
    </row>
    <row r="24" spans="2:3" x14ac:dyDescent="0.25">
      <c r="B24" s="29"/>
    </row>
  </sheetData>
  <mergeCells count="1">
    <mergeCell ref="B22:C22"/>
  </mergeCells>
  <phoneticPr fontId="7"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9"/>
  <sheetViews>
    <sheetView workbookViewId="0">
      <selection activeCell="C4" sqref="C4"/>
    </sheetView>
  </sheetViews>
  <sheetFormatPr defaultRowHeight="14.4" x14ac:dyDescent="0.25"/>
  <cols>
    <col min="1" max="1" width="23.44140625" style="23" customWidth="1"/>
    <col min="2" max="2" width="12.88671875" style="23" customWidth="1"/>
    <col min="3" max="3" width="8.88671875" style="23"/>
    <col min="4" max="4" width="10.109375" style="23" bestFit="1" customWidth="1"/>
    <col min="5" max="5" width="10.109375" style="23" customWidth="1"/>
    <col min="6" max="6" width="11.6640625" style="23" bestFit="1" customWidth="1"/>
    <col min="7" max="10" width="11.6640625" style="23" customWidth="1"/>
    <col min="11" max="12" width="10.109375" style="23" bestFit="1" customWidth="1"/>
    <col min="13" max="13" width="11.6640625" style="23" bestFit="1" customWidth="1"/>
    <col min="14" max="14" width="10.44140625" style="23" bestFit="1" customWidth="1"/>
    <col min="15" max="15" width="8.88671875" style="45"/>
    <col min="16" max="16" width="11.6640625" style="45" bestFit="1" customWidth="1"/>
    <col min="17" max="17" width="10.44140625" style="45" bestFit="1" customWidth="1"/>
    <col min="18" max="261" width="8.88671875" style="45"/>
    <col min="262" max="262" width="23.44140625" style="45" customWidth="1"/>
    <col min="263" max="263" width="12.88671875" style="45" customWidth="1"/>
    <col min="264" max="264" width="8.88671875" style="45"/>
    <col min="265" max="265" width="10.109375" style="45" bestFit="1" customWidth="1"/>
    <col min="266" max="266" width="11.6640625" style="45" bestFit="1" customWidth="1"/>
    <col min="267" max="268" width="10.109375" style="45" bestFit="1" customWidth="1"/>
    <col min="269" max="269" width="11.6640625" style="45" bestFit="1" customWidth="1"/>
    <col min="270" max="270" width="10.44140625" style="45" bestFit="1" customWidth="1"/>
    <col min="271" max="271" width="8.88671875" style="45"/>
    <col min="272" max="272" width="11.6640625" style="45" bestFit="1" customWidth="1"/>
    <col min="273" max="273" width="10.44140625" style="45" bestFit="1" customWidth="1"/>
    <col min="274" max="517" width="8.88671875" style="45"/>
    <col min="518" max="518" width="23.44140625" style="45" customWidth="1"/>
    <col min="519" max="519" width="12.88671875" style="45" customWidth="1"/>
    <col min="520" max="520" width="8.88671875" style="45"/>
    <col min="521" max="521" width="10.109375" style="45" bestFit="1" customWidth="1"/>
    <col min="522" max="522" width="11.6640625" style="45" bestFit="1" customWidth="1"/>
    <col min="523" max="524" width="10.109375" style="45" bestFit="1" customWidth="1"/>
    <col min="525" max="525" width="11.6640625" style="45" bestFit="1" customWidth="1"/>
    <col min="526" max="526" width="10.44140625" style="45" bestFit="1" customWidth="1"/>
    <col min="527" max="527" width="8.88671875" style="45"/>
    <col min="528" max="528" width="11.6640625" style="45" bestFit="1" customWidth="1"/>
    <col min="529" max="529" width="10.44140625" style="45" bestFit="1" customWidth="1"/>
    <col min="530" max="773" width="8.88671875" style="45"/>
    <col min="774" max="774" width="23.44140625" style="45" customWidth="1"/>
    <col min="775" max="775" width="12.88671875" style="45" customWidth="1"/>
    <col min="776" max="776" width="8.88671875" style="45"/>
    <col min="777" max="777" width="10.109375" style="45" bestFit="1" customWidth="1"/>
    <col min="778" max="778" width="11.6640625" style="45" bestFit="1" customWidth="1"/>
    <col min="779" max="780" width="10.109375" style="45" bestFit="1" customWidth="1"/>
    <col min="781" max="781" width="11.6640625" style="45" bestFit="1" customWidth="1"/>
    <col min="782" max="782" width="10.44140625" style="45" bestFit="1" customWidth="1"/>
    <col min="783" max="783" width="8.88671875" style="45"/>
    <col min="784" max="784" width="11.6640625" style="45" bestFit="1" customWidth="1"/>
    <col min="785" max="785" width="10.44140625" style="45" bestFit="1" customWidth="1"/>
    <col min="786" max="1029" width="8.88671875" style="45"/>
    <col min="1030" max="1030" width="23.44140625" style="45" customWidth="1"/>
    <col min="1031" max="1031" width="12.88671875" style="45" customWidth="1"/>
    <col min="1032" max="1032" width="8.88671875" style="45"/>
    <col min="1033" max="1033" width="10.109375" style="45" bestFit="1" customWidth="1"/>
    <col min="1034" max="1034" width="11.6640625" style="45" bestFit="1" customWidth="1"/>
    <col min="1035" max="1036" width="10.109375" style="45" bestFit="1" customWidth="1"/>
    <col min="1037" max="1037" width="11.6640625" style="45" bestFit="1" customWidth="1"/>
    <col min="1038" max="1038" width="10.44140625" style="45" bestFit="1" customWidth="1"/>
    <col min="1039" max="1039" width="8.88671875" style="45"/>
    <col min="1040" max="1040" width="11.6640625" style="45" bestFit="1" customWidth="1"/>
    <col min="1041" max="1041" width="10.44140625" style="45" bestFit="1" customWidth="1"/>
    <col min="1042" max="1285" width="8.88671875" style="45"/>
    <col min="1286" max="1286" width="23.44140625" style="45" customWidth="1"/>
    <col min="1287" max="1287" width="12.88671875" style="45" customWidth="1"/>
    <col min="1288" max="1288" width="8.88671875" style="45"/>
    <col min="1289" max="1289" width="10.109375" style="45" bestFit="1" customWidth="1"/>
    <col min="1290" max="1290" width="11.6640625" style="45" bestFit="1" customWidth="1"/>
    <col min="1291" max="1292" width="10.109375" style="45" bestFit="1" customWidth="1"/>
    <col min="1293" max="1293" width="11.6640625" style="45" bestFit="1" customWidth="1"/>
    <col min="1294" max="1294" width="10.44140625" style="45" bestFit="1" customWidth="1"/>
    <col min="1295" max="1295" width="8.88671875" style="45"/>
    <col min="1296" max="1296" width="11.6640625" style="45" bestFit="1" customWidth="1"/>
    <col min="1297" max="1297" width="10.44140625" style="45" bestFit="1" customWidth="1"/>
    <col min="1298" max="1541" width="8.88671875" style="45"/>
    <col min="1542" max="1542" width="23.44140625" style="45" customWidth="1"/>
    <col min="1543" max="1543" width="12.88671875" style="45" customWidth="1"/>
    <col min="1544" max="1544" width="8.88671875" style="45"/>
    <col min="1545" max="1545" width="10.109375" style="45" bestFit="1" customWidth="1"/>
    <col min="1546" max="1546" width="11.6640625" style="45" bestFit="1" customWidth="1"/>
    <col min="1547" max="1548" width="10.109375" style="45" bestFit="1" customWidth="1"/>
    <col min="1549" max="1549" width="11.6640625" style="45" bestFit="1" customWidth="1"/>
    <col min="1550" max="1550" width="10.44140625" style="45" bestFit="1" customWidth="1"/>
    <col min="1551" max="1551" width="8.88671875" style="45"/>
    <col min="1552" max="1552" width="11.6640625" style="45" bestFit="1" customWidth="1"/>
    <col min="1553" max="1553" width="10.44140625" style="45" bestFit="1" customWidth="1"/>
    <col min="1554" max="1797" width="8.88671875" style="45"/>
    <col min="1798" max="1798" width="23.44140625" style="45" customWidth="1"/>
    <col min="1799" max="1799" width="12.88671875" style="45" customWidth="1"/>
    <col min="1800" max="1800" width="8.88671875" style="45"/>
    <col min="1801" max="1801" width="10.109375" style="45" bestFit="1" customWidth="1"/>
    <col min="1802" max="1802" width="11.6640625" style="45" bestFit="1" customWidth="1"/>
    <col min="1803" max="1804" width="10.109375" style="45" bestFit="1" customWidth="1"/>
    <col min="1805" max="1805" width="11.6640625" style="45" bestFit="1" customWidth="1"/>
    <col min="1806" max="1806" width="10.44140625" style="45" bestFit="1" customWidth="1"/>
    <col min="1807" max="1807" width="8.88671875" style="45"/>
    <col min="1808" max="1808" width="11.6640625" style="45" bestFit="1" customWidth="1"/>
    <col min="1809" max="1809" width="10.44140625" style="45" bestFit="1" customWidth="1"/>
    <col min="1810" max="2053" width="8.88671875" style="45"/>
    <col min="2054" max="2054" width="23.44140625" style="45" customWidth="1"/>
    <col min="2055" max="2055" width="12.88671875" style="45" customWidth="1"/>
    <col min="2056" max="2056" width="8.88671875" style="45"/>
    <col min="2057" max="2057" width="10.109375" style="45" bestFit="1" customWidth="1"/>
    <col min="2058" max="2058" width="11.6640625" style="45" bestFit="1" customWidth="1"/>
    <col min="2059" max="2060" width="10.109375" style="45" bestFit="1" customWidth="1"/>
    <col min="2061" max="2061" width="11.6640625" style="45" bestFit="1" customWidth="1"/>
    <col min="2062" max="2062" width="10.44140625" style="45" bestFit="1" customWidth="1"/>
    <col min="2063" max="2063" width="8.88671875" style="45"/>
    <col min="2064" max="2064" width="11.6640625" style="45" bestFit="1" customWidth="1"/>
    <col min="2065" max="2065" width="10.44140625" style="45" bestFit="1" customWidth="1"/>
    <col min="2066" max="2309" width="8.88671875" style="45"/>
    <col min="2310" max="2310" width="23.44140625" style="45" customWidth="1"/>
    <col min="2311" max="2311" width="12.88671875" style="45" customWidth="1"/>
    <col min="2312" max="2312" width="8.88671875" style="45"/>
    <col min="2313" max="2313" width="10.109375" style="45" bestFit="1" customWidth="1"/>
    <col min="2314" max="2314" width="11.6640625" style="45" bestFit="1" customWidth="1"/>
    <col min="2315" max="2316" width="10.109375" style="45" bestFit="1" customWidth="1"/>
    <col min="2317" max="2317" width="11.6640625" style="45" bestFit="1" customWidth="1"/>
    <col min="2318" max="2318" width="10.44140625" style="45" bestFit="1" customWidth="1"/>
    <col min="2319" max="2319" width="8.88671875" style="45"/>
    <col min="2320" max="2320" width="11.6640625" style="45" bestFit="1" customWidth="1"/>
    <col min="2321" max="2321" width="10.44140625" style="45" bestFit="1" customWidth="1"/>
    <col min="2322" max="2565" width="8.88671875" style="45"/>
    <col min="2566" max="2566" width="23.44140625" style="45" customWidth="1"/>
    <col min="2567" max="2567" width="12.88671875" style="45" customWidth="1"/>
    <col min="2568" max="2568" width="8.88671875" style="45"/>
    <col min="2569" max="2569" width="10.109375" style="45" bestFit="1" customWidth="1"/>
    <col min="2570" max="2570" width="11.6640625" style="45" bestFit="1" customWidth="1"/>
    <col min="2571" max="2572" width="10.109375" style="45" bestFit="1" customWidth="1"/>
    <col min="2573" max="2573" width="11.6640625" style="45" bestFit="1" customWidth="1"/>
    <col min="2574" max="2574" width="10.44140625" style="45" bestFit="1" customWidth="1"/>
    <col min="2575" max="2575" width="8.88671875" style="45"/>
    <col min="2576" max="2576" width="11.6640625" style="45" bestFit="1" customWidth="1"/>
    <col min="2577" max="2577" width="10.44140625" style="45" bestFit="1" customWidth="1"/>
    <col min="2578" max="2821" width="8.88671875" style="45"/>
    <col min="2822" max="2822" width="23.44140625" style="45" customWidth="1"/>
    <col min="2823" max="2823" width="12.88671875" style="45" customWidth="1"/>
    <col min="2824" max="2824" width="8.88671875" style="45"/>
    <col min="2825" max="2825" width="10.109375" style="45" bestFit="1" customWidth="1"/>
    <col min="2826" max="2826" width="11.6640625" style="45" bestFit="1" customWidth="1"/>
    <col min="2827" max="2828" width="10.109375" style="45" bestFit="1" customWidth="1"/>
    <col min="2829" max="2829" width="11.6640625" style="45" bestFit="1" customWidth="1"/>
    <col min="2830" max="2830" width="10.44140625" style="45" bestFit="1" customWidth="1"/>
    <col min="2831" max="2831" width="8.88671875" style="45"/>
    <col min="2832" max="2832" width="11.6640625" style="45" bestFit="1" customWidth="1"/>
    <col min="2833" max="2833" width="10.44140625" style="45" bestFit="1" customWidth="1"/>
    <col min="2834" max="3077" width="8.88671875" style="45"/>
    <col min="3078" max="3078" width="23.44140625" style="45" customWidth="1"/>
    <col min="3079" max="3079" width="12.88671875" style="45" customWidth="1"/>
    <col min="3080" max="3080" width="8.88671875" style="45"/>
    <col min="3081" max="3081" width="10.109375" style="45" bestFit="1" customWidth="1"/>
    <col min="3082" max="3082" width="11.6640625" style="45" bestFit="1" customWidth="1"/>
    <col min="3083" max="3084" width="10.109375" style="45" bestFit="1" customWidth="1"/>
    <col min="3085" max="3085" width="11.6640625" style="45" bestFit="1" customWidth="1"/>
    <col min="3086" max="3086" width="10.44140625" style="45" bestFit="1" customWidth="1"/>
    <col min="3087" max="3087" width="8.88671875" style="45"/>
    <col min="3088" max="3088" width="11.6640625" style="45" bestFit="1" customWidth="1"/>
    <col min="3089" max="3089" width="10.44140625" style="45" bestFit="1" customWidth="1"/>
    <col min="3090" max="3333" width="8.88671875" style="45"/>
    <col min="3334" max="3334" width="23.44140625" style="45" customWidth="1"/>
    <col min="3335" max="3335" width="12.88671875" style="45" customWidth="1"/>
    <col min="3336" max="3336" width="8.88671875" style="45"/>
    <col min="3337" max="3337" width="10.109375" style="45" bestFit="1" customWidth="1"/>
    <col min="3338" max="3338" width="11.6640625" style="45" bestFit="1" customWidth="1"/>
    <col min="3339" max="3340" width="10.109375" style="45" bestFit="1" customWidth="1"/>
    <col min="3341" max="3341" width="11.6640625" style="45" bestFit="1" customWidth="1"/>
    <col min="3342" max="3342" width="10.44140625" style="45" bestFit="1" customWidth="1"/>
    <col min="3343" max="3343" width="8.88671875" style="45"/>
    <col min="3344" max="3344" width="11.6640625" style="45" bestFit="1" customWidth="1"/>
    <col min="3345" max="3345" width="10.44140625" style="45" bestFit="1" customWidth="1"/>
    <col min="3346" max="3589" width="8.88671875" style="45"/>
    <col min="3590" max="3590" width="23.44140625" style="45" customWidth="1"/>
    <col min="3591" max="3591" width="12.88671875" style="45" customWidth="1"/>
    <col min="3592" max="3592" width="8.88671875" style="45"/>
    <col min="3593" max="3593" width="10.109375" style="45" bestFit="1" customWidth="1"/>
    <col min="3594" max="3594" width="11.6640625" style="45" bestFit="1" customWidth="1"/>
    <col min="3595" max="3596" width="10.109375" style="45" bestFit="1" customWidth="1"/>
    <col min="3597" max="3597" width="11.6640625" style="45" bestFit="1" customWidth="1"/>
    <col min="3598" max="3598" width="10.44140625" style="45" bestFit="1" customWidth="1"/>
    <col min="3599" max="3599" width="8.88671875" style="45"/>
    <col min="3600" max="3600" width="11.6640625" style="45" bestFit="1" customWidth="1"/>
    <col min="3601" max="3601" width="10.44140625" style="45" bestFit="1" customWidth="1"/>
    <col min="3602" max="3845" width="8.88671875" style="45"/>
    <col min="3846" max="3846" width="23.44140625" style="45" customWidth="1"/>
    <col min="3847" max="3847" width="12.88671875" style="45" customWidth="1"/>
    <col min="3848" max="3848" width="8.88671875" style="45"/>
    <col min="3849" max="3849" width="10.109375" style="45" bestFit="1" customWidth="1"/>
    <col min="3850" max="3850" width="11.6640625" style="45" bestFit="1" customWidth="1"/>
    <col min="3851" max="3852" width="10.109375" style="45" bestFit="1" customWidth="1"/>
    <col min="3853" max="3853" width="11.6640625" style="45" bestFit="1" customWidth="1"/>
    <col min="3854" max="3854" width="10.44140625" style="45" bestFit="1" customWidth="1"/>
    <col min="3855" max="3855" width="8.88671875" style="45"/>
    <col min="3856" max="3856" width="11.6640625" style="45" bestFit="1" customWidth="1"/>
    <col min="3857" max="3857" width="10.44140625" style="45" bestFit="1" customWidth="1"/>
    <col min="3858" max="4101" width="8.88671875" style="45"/>
    <col min="4102" max="4102" width="23.44140625" style="45" customWidth="1"/>
    <col min="4103" max="4103" width="12.88671875" style="45" customWidth="1"/>
    <col min="4104" max="4104" width="8.88671875" style="45"/>
    <col min="4105" max="4105" width="10.109375" style="45" bestFit="1" customWidth="1"/>
    <col min="4106" max="4106" width="11.6640625" style="45" bestFit="1" customWidth="1"/>
    <col min="4107" max="4108" width="10.109375" style="45" bestFit="1" customWidth="1"/>
    <col min="4109" max="4109" width="11.6640625" style="45" bestFit="1" customWidth="1"/>
    <col min="4110" max="4110" width="10.44140625" style="45" bestFit="1" customWidth="1"/>
    <col min="4111" max="4111" width="8.88671875" style="45"/>
    <col min="4112" max="4112" width="11.6640625" style="45" bestFit="1" customWidth="1"/>
    <col min="4113" max="4113" width="10.44140625" style="45" bestFit="1" customWidth="1"/>
    <col min="4114" max="4357" width="8.88671875" style="45"/>
    <col min="4358" max="4358" width="23.44140625" style="45" customWidth="1"/>
    <col min="4359" max="4359" width="12.88671875" style="45" customWidth="1"/>
    <col min="4360" max="4360" width="8.88671875" style="45"/>
    <col min="4361" max="4361" width="10.109375" style="45" bestFit="1" customWidth="1"/>
    <col min="4362" max="4362" width="11.6640625" style="45" bestFit="1" customWidth="1"/>
    <col min="4363" max="4364" width="10.109375" style="45" bestFit="1" customWidth="1"/>
    <col min="4365" max="4365" width="11.6640625" style="45" bestFit="1" customWidth="1"/>
    <col min="4366" max="4366" width="10.44140625" style="45" bestFit="1" customWidth="1"/>
    <col min="4367" max="4367" width="8.88671875" style="45"/>
    <col min="4368" max="4368" width="11.6640625" style="45" bestFit="1" customWidth="1"/>
    <col min="4369" max="4369" width="10.44140625" style="45" bestFit="1" customWidth="1"/>
    <col min="4370" max="4613" width="8.88671875" style="45"/>
    <col min="4614" max="4614" width="23.44140625" style="45" customWidth="1"/>
    <col min="4615" max="4615" width="12.88671875" style="45" customWidth="1"/>
    <col min="4616" max="4616" width="8.88671875" style="45"/>
    <col min="4617" max="4617" width="10.109375" style="45" bestFit="1" customWidth="1"/>
    <col min="4618" max="4618" width="11.6640625" style="45" bestFit="1" customWidth="1"/>
    <col min="4619" max="4620" width="10.109375" style="45" bestFit="1" customWidth="1"/>
    <col min="4621" max="4621" width="11.6640625" style="45" bestFit="1" customWidth="1"/>
    <col min="4622" max="4622" width="10.44140625" style="45" bestFit="1" customWidth="1"/>
    <col min="4623" max="4623" width="8.88671875" style="45"/>
    <col min="4624" max="4624" width="11.6640625" style="45" bestFit="1" customWidth="1"/>
    <col min="4625" max="4625" width="10.44140625" style="45" bestFit="1" customWidth="1"/>
    <col min="4626" max="4869" width="8.88671875" style="45"/>
    <col min="4870" max="4870" width="23.44140625" style="45" customWidth="1"/>
    <col min="4871" max="4871" width="12.88671875" style="45" customWidth="1"/>
    <col min="4872" max="4872" width="8.88671875" style="45"/>
    <col min="4873" max="4873" width="10.109375" style="45" bestFit="1" customWidth="1"/>
    <col min="4874" max="4874" width="11.6640625" style="45" bestFit="1" customWidth="1"/>
    <col min="4875" max="4876" width="10.109375" style="45" bestFit="1" customWidth="1"/>
    <col min="4877" max="4877" width="11.6640625" style="45" bestFit="1" customWidth="1"/>
    <col min="4878" max="4878" width="10.44140625" style="45" bestFit="1" customWidth="1"/>
    <col min="4879" max="4879" width="8.88671875" style="45"/>
    <col min="4880" max="4880" width="11.6640625" style="45" bestFit="1" customWidth="1"/>
    <col min="4881" max="4881" width="10.44140625" style="45" bestFit="1" customWidth="1"/>
    <col min="4882" max="5125" width="8.88671875" style="45"/>
    <col min="5126" max="5126" width="23.44140625" style="45" customWidth="1"/>
    <col min="5127" max="5127" width="12.88671875" style="45" customWidth="1"/>
    <col min="5128" max="5128" width="8.88671875" style="45"/>
    <col min="5129" max="5129" width="10.109375" style="45" bestFit="1" customWidth="1"/>
    <col min="5130" max="5130" width="11.6640625" style="45" bestFit="1" customWidth="1"/>
    <col min="5131" max="5132" width="10.109375" style="45" bestFit="1" customWidth="1"/>
    <col min="5133" max="5133" width="11.6640625" style="45" bestFit="1" customWidth="1"/>
    <col min="5134" max="5134" width="10.44140625" style="45" bestFit="1" customWidth="1"/>
    <col min="5135" max="5135" width="8.88671875" style="45"/>
    <col min="5136" max="5136" width="11.6640625" style="45" bestFit="1" customWidth="1"/>
    <col min="5137" max="5137" width="10.44140625" style="45" bestFit="1" customWidth="1"/>
    <col min="5138" max="5381" width="8.88671875" style="45"/>
    <col min="5382" max="5382" width="23.44140625" style="45" customWidth="1"/>
    <col min="5383" max="5383" width="12.88671875" style="45" customWidth="1"/>
    <col min="5384" max="5384" width="8.88671875" style="45"/>
    <col min="5385" max="5385" width="10.109375" style="45" bestFit="1" customWidth="1"/>
    <col min="5386" max="5386" width="11.6640625" style="45" bestFit="1" customWidth="1"/>
    <col min="5387" max="5388" width="10.109375" style="45" bestFit="1" customWidth="1"/>
    <col min="5389" max="5389" width="11.6640625" style="45" bestFit="1" customWidth="1"/>
    <col min="5390" max="5390" width="10.44140625" style="45" bestFit="1" customWidth="1"/>
    <col min="5391" max="5391" width="8.88671875" style="45"/>
    <col min="5392" max="5392" width="11.6640625" style="45" bestFit="1" customWidth="1"/>
    <col min="5393" max="5393" width="10.44140625" style="45" bestFit="1" customWidth="1"/>
    <col min="5394" max="5637" width="8.88671875" style="45"/>
    <col min="5638" max="5638" width="23.44140625" style="45" customWidth="1"/>
    <col min="5639" max="5639" width="12.88671875" style="45" customWidth="1"/>
    <col min="5640" max="5640" width="8.88671875" style="45"/>
    <col min="5641" max="5641" width="10.109375" style="45" bestFit="1" customWidth="1"/>
    <col min="5642" max="5642" width="11.6640625" style="45" bestFit="1" customWidth="1"/>
    <col min="5643" max="5644" width="10.109375" style="45" bestFit="1" customWidth="1"/>
    <col min="5645" max="5645" width="11.6640625" style="45" bestFit="1" customWidth="1"/>
    <col min="5646" max="5646" width="10.44140625" style="45" bestFit="1" customWidth="1"/>
    <col min="5647" max="5647" width="8.88671875" style="45"/>
    <col min="5648" max="5648" width="11.6640625" style="45" bestFit="1" customWidth="1"/>
    <col min="5649" max="5649" width="10.44140625" style="45" bestFit="1" customWidth="1"/>
    <col min="5650" max="5893" width="8.88671875" style="45"/>
    <col min="5894" max="5894" width="23.44140625" style="45" customWidth="1"/>
    <col min="5895" max="5895" width="12.88671875" style="45" customWidth="1"/>
    <col min="5896" max="5896" width="8.88671875" style="45"/>
    <col min="5897" max="5897" width="10.109375" style="45" bestFit="1" customWidth="1"/>
    <col min="5898" max="5898" width="11.6640625" style="45" bestFit="1" customWidth="1"/>
    <col min="5899" max="5900" width="10.109375" style="45" bestFit="1" customWidth="1"/>
    <col min="5901" max="5901" width="11.6640625" style="45" bestFit="1" customWidth="1"/>
    <col min="5902" max="5902" width="10.44140625" style="45" bestFit="1" customWidth="1"/>
    <col min="5903" max="5903" width="8.88671875" style="45"/>
    <col min="5904" max="5904" width="11.6640625" style="45" bestFit="1" customWidth="1"/>
    <col min="5905" max="5905" width="10.44140625" style="45" bestFit="1" customWidth="1"/>
    <col min="5906" max="6149" width="8.88671875" style="45"/>
    <col min="6150" max="6150" width="23.44140625" style="45" customWidth="1"/>
    <col min="6151" max="6151" width="12.88671875" style="45" customWidth="1"/>
    <col min="6152" max="6152" width="8.88671875" style="45"/>
    <col min="6153" max="6153" width="10.109375" style="45" bestFit="1" customWidth="1"/>
    <col min="6154" max="6154" width="11.6640625" style="45" bestFit="1" customWidth="1"/>
    <col min="6155" max="6156" width="10.109375" style="45" bestFit="1" customWidth="1"/>
    <col min="6157" max="6157" width="11.6640625" style="45" bestFit="1" customWidth="1"/>
    <col min="6158" max="6158" width="10.44140625" style="45" bestFit="1" customWidth="1"/>
    <col min="6159" max="6159" width="8.88671875" style="45"/>
    <col min="6160" max="6160" width="11.6640625" style="45" bestFit="1" customWidth="1"/>
    <col min="6161" max="6161" width="10.44140625" style="45" bestFit="1" customWidth="1"/>
    <col min="6162" max="6405" width="8.88671875" style="45"/>
    <col min="6406" max="6406" width="23.44140625" style="45" customWidth="1"/>
    <col min="6407" max="6407" width="12.88671875" style="45" customWidth="1"/>
    <col min="6408" max="6408" width="8.88671875" style="45"/>
    <col min="6409" max="6409" width="10.109375" style="45" bestFit="1" customWidth="1"/>
    <col min="6410" max="6410" width="11.6640625" style="45" bestFit="1" customWidth="1"/>
    <col min="6411" max="6412" width="10.109375" style="45" bestFit="1" customWidth="1"/>
    <col min="6413" max="6413" width="11.6640625" style="45" bestFit="1" customWidth="1"/>
    <col min="6414" max="6414" width="10.44140625" style="45" bestFit="1" customWidth="1"/>
    <col min="6415" max="6415" width="8.88671875" style="45"/>
    <col min="6416" max="6416" width="11.6640625" style="45" bestFit="1" customWidth="1"/>
    <col min="6417" max="6417" width="10.44140625" style="45" bestFit="1" customWidth="1"/>
    <col min="6418" max="6661" width="8.88671875" style="45"/>
    <col min="6662" max="6662" width="23.44140625" style="45" customWidth="1"/>
    <col min="6663" max="6663" width="12.88671875" style="45" customWidth="1"/>
    <col min="6664" max="6664" width="8.88671875" style="45"/>
    <col min="6665" max="6665" width="10.109375" style="45" bestFit="1" customWidth="1"/>
    <col min="6666" max="6666" width="11.6640625" style="45" bestFit="1" customWidth="1"/>
    <col min="6667" max="6668" width="10.109375" style="45" bestFit="1" customWidth="1"/>
    <col min="6669" max="6669" width="11.6640625" style="45" bestFit="1" customWidth="1"/>
    <col min="6670" max="6670" width="10.44140625" style="45" bestFit="1" customWidth="1"/>
    <col min="6671" max="6671" width="8.88671875" style="45"/>
    <col min="6672" max="6672" width="11.6640625" style="45" bestFit="1" customWidth="1"/>
    <col min="6673" max="6673" width="10.44140625" style="45" bestFit="1" customWidth="1"/>
    <col min="6674" max="6917" width="8.88671875" style="45"/>
    <col min="6918" max="6918" width="23.44140625" style="45" customWidth="1"/>
    <col min="6919" max="6919" width="12.88671875" style="45" customWidth="1"/>
    <col min="6920" max="6920" width="8.88671875" style="45"/>
    <col min="6921" max="6921" width="10.109375" style="45" bestFit="1" customWidth="1"/>
    <col min="6922" max="6922" width="11.6640625" style="45" bestFit="1" customWidth="1"/>
    <col min="6923" max="6924" width="10.109375" style="45" bestFit="1" customWidth="1"/>
    <col min="6925" max="6925" width="11.6640625" style="45" bestFit="1" customWidth="1"/>
    <col min="6926" max="6926" width="10.44140625" style="45" bestFit="1" customWidth="1"/>
    <col min="6927" max="6927" width="8.88671875" style="45"/>
    <col min="6928" max="6928" width="11.6640625" style="45" bestFit="1" customWidth="1"/>
    <col min="6929" max="6929" width="10.44140625" style="45" bestFit="1" customWidth="1"/>
    <col min="6930" max="7173" width="8.88671875" style="45"/>
    <col min="7174" max="7174" width="23.44140625" style="45" customWidth="1"/>
    <col min="7175" max="7175" width="12.88671875" style="45" customWidth="1"/>
    <col min="7176" max="7176" width="8.88671875" style="45"/>
    <col min="7177" max="7177" width="10.109375" style="45" bestFit="1" customWidth="1"/>
    <col min="7178" max="7178" width="11.6640625" style="45" bestFit="1" customWidth="1"/>
    <col min="7179" max="7180" width="10.109375" style="45" bestFit="1" customWidth="1"/>
    <col min="7181" max="7181" width="11.6640625" style="45" bestFit="1" customWidth="1"/>
    <col min="7182" max="7182" width="10.44140625" style="45" bestFit="1" customWidth="1"/>
    <col min="7183" max="7183" width="8.88671875" style="45"/>
    <col min="7184" max="7184" width="11.6640625" style="45" bestFit="1" customWidth="1"/>
    <col min="7185" max="7185" width="10.44140625" style="45" bestFit="1" customWidth="1"/>
    <col min="7186" max="7429" width="8.88671875" style="45"/>
    <col min="7430" max="7430" width="23.44140625" style="45" customWidth="1"/>
    <col min="7431" max="7431" width="12.88671875" style="45" customWidth="1"/>
    <col min="7432" max="7432" width="8.88671875" style="45"/>
    <col min="7433" max="7433" width="10.109375" style="45" bestFit="1" customWidth="1"/>
    <col min="7434" max="7434" width="11.6640625" style="45" bestFit="1" customWidth="1"/>
    <col min="7435" max="7436" width="10.109375" style="45" bestFit="1" customWidth="1"/>
    <col min="7437" max="7437" width="11.6640625" style="45" bestFit="1" customWidth="1"/>
    <col min="7438" max="7438" width="10.44140625" style="45" bestFit="1" customWidth="1"/>
    <col min="7439" max="7439" width="8.88671875" style="45"/>
    <col min="7440" max="7440" width="11.6640625" style="45" bestFit="1" customWidth="1"/>
    <col min="7441" max="7441" width="10.44140625" style="45" bestFit="1" customWidth="1"/>
    <col min="7442" max="7685" width="8.88671875" style="45"/>
    <col min="7686" max="7686" width="23.44140625" style="45" customWidth="1"/>
    <col min="7687" max="7687" width="12.88671875" style="45" customWidth="1"/>
    <col min="7688" max="7688" width="8.88671875" style="45"/>
    <col min="7689" max="7689" width="10.109375" style="45" bestFit="1" customWidth="1"/>
    <col min="7690" max="7690" width="11.6640625" style="45" bestFit="1" customWidth="1"/>
    <col min="7691" max="7692" width="10.109375" style="45" bestFit="1" customWidth="1"/>
    <col min="7693" max="7693" width="11.6640625" style="45" bestFit="1" customWidth="1"/>
    <col min="7694" max="7694" width="10.44140625" style="45" bestFit="1" customWidth="1"/>
    <col min="7695" max="7695" width="8.88671875" style="45"/>
    <col min="7696" max="7696" width="11.6640625" style="45" bestFit="1" customWidth="1"/>
    <col min="7697" max="7697" width="10.44140625" style="45" bestFit="1" customWidth="1"/>
    <col min="7698" max="7941" width="8.88671875" style="45"/>
    <col min="7942" max="7942" width="23.44140625" style="45" customWidth="1"/>
    <col min="7943" max="7943" width="12.88671875" style="45" customWidth="1"/>
    <col min="7944" max="7944" width="8.88671875" style="45"/>
    <col min="7945" max="7945" width="10.109375" style="45" bestFit="1" customWidth="1"/>
    <col min="7946" max="7946" width="11.6640625" style="45" bestFit="1" customWidth="1"/>
    <col min="7947" max="7948" width="10.109375" style="45" bestFit="1" customWidth="1"/>
    <col min="7949" max="7949" width="11.6640625" style="45" bestFit="1" customWidth="1"/>
    <col min="7950" max="7950" width="10.44140625" style="45" bestFit="1" customWidth="1"/>
    <col min="7951" max="7951" width="8.88671875" style="45"/>
    <col min="7952" max="7952" width="11.6640625" style="45" bestFit="1" customWidth="1"/>
    <col min="7953" max="7953" width="10.44140625" style="45" bestFit="1" customWidth="1"/>
    <col min="7954" max="8197" width="8.88671875" style="45"/>
    <col min="8198" max="8198" width="23.44140625" style="45" customWidth="1"/>
    <col min="8199" max="8199" width="12.88671875" style="45" customWidth="1"/>
    <col min="8200" max="8200" width="8.88671875" style="45"/>
    <col min="8201" max="8201" width="10.109375" style="45" bestFit="1" customWidth="1"/>
    <col min="8202" max="8202" width="11.6640625" style="45" bestFit="1" customWidth="1"/>
    <col min="8203" max="8204" width="10.109375" style="45" bestFit="1" customWidth="1"/>
    <col min="8205" max="8205" width="11.6640625" style="45" bestFit="1" customWidth="1"/>
    <col min="8206" max="8206" width="10.44140625" style="45" bestFit="1" customWidth="1"/>
    <col min="8207" max="8207" width="8.88671875" style="45"/>
    <col min="8208" max="8208" width="11.6640625" style="45" bestFit="1" customWidth="1"/>
    <col min="8209" max="8209" width="10.44140625" style="45" bestFit="1" customWidth="1"/>
    <col min="8210" max="8453" width="8.88671875" style="45"/>
    <col min="8454" max="8454" width="23.44140625" style="45" customWidth="1"/>
    <col min="8455" max="8455" width="12.88671875" style="45" customWidth="1"/>
    <col min="8456" max="8456" width="8.88671875" style="45"/>
    <col min="8457" max="8457" width="10.109375" style="45" bestFit="1" customWidth="1"/>
    <col min="8458" max="8458" width="11.6640625" style="45" bestFit="1" customWidth="1"/>
    <col min="8459" max="8460" width="10.109375" style="45" bestFit="1" customWidth="1"/>
    <col min="8461" max="8461" width="11.6640625" style="45" bestFit="1" customWidth="1"/>
    <col min="8462" max="8462" width="10.44140625" style="45" bestFit="1" customWidth="1"/>
    <col min="8463" max="8463" width="8.88671875" style="45"/>
    <col min="8464" max="8464" width="11.6640625" style="45" bestFit="1" customWidth="1"/>
    <col min="8465" max="8465" width="10.44140625" style="45" bestFit="1" customWidth="1"/>
    <col min="8466" max="8709" width="8.88671875" style="45"/>
    <col min="8710" max="8710" width="23.44140625" style="45" customWidth="1"/>
    <col min="8711" max="8711" width="12.88671875" style="45" customWidth="1"/>
    <col min="8712" max="8712" width="8.88671875" style="45"/>
    <col min="8713" max="8713" width="10.109375" style="45" bestFit="1" customWidth="1"/>
    <col min="8714" max="8714" width="11.6640625" style="45" bestFit="1" customWidth="1"/>
    <col min="8715" max="8716" width="10.109375" style="45" bestFit="1" customWidth="1"/>
    <col min="8717" max="8717" width="11.6640625" style="45" bestFit="1" customWidth="1"/>
    <col min="8718" max="8718" width="10.44140625" style="45" bestFit="1" customWidth="1"/>
    <col min="8719" max="8719" width="8.88671875" style="45"/>
    <col min="8720" max="8720" width="11.6640625" style="45" bestFit="1" customWidth="1"/>
    <col min="8721" max="8721" width="10.44140625" style="45" bestFit="1" customWidth="1"/>
    <col min="8722" max="8965" width="8.88671875" style="45"/>
    <col min="8966" max="8966" width="23.44140625" style="45" customWidth="1"/>
    <col min="8967" max="8967" width="12.88671875" style="45" customWidth="1"/>
    <col min="8968" max="8968" width="8.88671875" style="45"/>
    <col min="8969" max="8969" width="10.109375" style="45" bestFit="1" customWidth="1"/>
    <col min="8970" max="8970" width="11.6640625" style="45" bestFit="1" customWidth="1"/>
    <col min="8971" max="8972" width="10.109375" style="45" bestFit="1" customWidth="1"/>
    <col min="8973" max="8973" width="11.6640625" style="45" bestFit="1" customWidth="1"/>
    <col min="8974" max="8974" width="10.44140625" style="45" bestFit="1" customWidth="1"/>
    <col min="8975" max="8975" width="8.88671875" style="45"/>
    <col min="8976" max="8976" width="11.6640625" style="45" bestFit="1" customWidth="1"/>
    <col min="8977" max="8977" width="10.44140625" style="45" bestFit="1" customWidth="1"/>
    <col min="8978" max="9221" width="8.88671875" style="45"/>
    <col min="9222" max="9222" width="23.44140625" style="45" customWidth="1"/>
    <col min="9223" max="9223" width="12.88671875" style="45" customWidth="1"/>
    <col min="9224" max="9224" width="8.88671875" style="45"/>
    <col min="9225" max="9225" width="10.109375" style="45" bestFit="1" customWidth="1"/>
    <col min="9226" max="9226" width="11.6640625" style="45" bestFit="1" customWidth="1"/>
    <col min="9227" max="9228" width="10.109375" style="45" bestFit="1" customWidth="1"/>
    <col min="9229" max="9229" width="11.6640625" style="45" bestFit="1" customWidth="1"/>
    <col min="9230" max="9230" width="10.44140625" style="45" bestFit="1" customWidth="1"/>
    <col min="9231" max="9231" width="8.88671875" style="45"/>
    <col min="9232" max="9232" width="11.6640625" style="45" bestFit="1" customWidth="1"/>
    <col min="9233" max="9233" width="10.44140625" style="45" bestFit="1" customWidth="1"/>
    <col min="9234" max="9477" width="8.88671875" style="45"/>
    <col min="9478" max="9478" width="23.44140625" style="45" customWidth="1"/>
    <col min="9479" max="9479" width="12.88671875" style="45" customWidth="1"/>
    <col min="9480" max="9480" width="8.88671875" style="45"/>
    <col min="9481" max="9481" width="10.109375" style="45" bestFit="1" customWidth="1"/>
    <col min="9482" max="9482" width="11.6640625" style="45" bestFit="1" customWidth="1"/>
    <col min="9483" max="9484" width="10.109375" style="45" bestFit="1" customWidth="1"/>
    <col min="9485" max="9485" width="11.6640625" style="45" bestFit="1" customWidth="1"/>
    <col min="9486" max="9486" width="10.44140625" style="45" bestFit="1" customWidth="1"/>
    <col min="9487" max="9487" width="8.88671875" style="45"/>
    <col min="9488" max="9488" width="11.6640625" style="45" bestFit="1" customWidth="1"/>
    <col min="9489" max="9489" width="10.44140625" style="45" bestFit="1" customWidth="1"/>
    <col min="9490" max="9733" width="8.88671875" style="45"/>
    <col min="9734" max="9734" width="23.44140625" style="45" customWidth="1"/>
    <col min="9735" max="9735" width="12.88671875" style="45" customWidth="1"/>
    <col min="9736" max="9736" width="8.88671875" style="45"/>
    <col min="9737" max="9737" width="10.109375" style="45" bestFit="1" customWidth="1"/>
    <col min="9738" max="9738" width="11.6640625" style="45" bestFit="1" customWidth="1"/>
    <col min="9739" max="9740" width="10.109375" style="45" bestFit="1" customWidth="1"/>
    <col min="9741" max="9741" width="11.6640625" style="45" bestFit="1" customWidth="1"/>
    <col min="9742" max="9742" width="10.44140625" style="45" bestFit="1" customWidth="1"/>
    <col min="9743" max="9743" width="8.88671875" style="45"/>
    <col min="9744" max="9744" width="11.6640625" style="45" bestFit="1" customWidth="1"/>
    <col min="9745" max="9745" width="10.44140625" style="45" bestFit="1" customWidth="1"/>
    <col min="9746" max="9989" width="8.88671875" style="45"/>
    <col min="9990" max="9990" width="23.44140625" style="45" customWidth="1"/>
    <col min="9991" max="9991" width="12.88671875" style="45" customWidth="1"/>
    <col min="9992" max="9992" width="8.88671875" style="45"/>
    <col min="9993" max="9993" width="10.109375" style="45" bestFit="1" customWidth="1"/>
    <col min="9994" max="9994" width="11.6640625" style="45" bestFit="1" customWidth="1"/>
    <col min="9995" max="9996" width="10.109375" style="45" bestFit="1" customWidth="1"/>
    <col min="9997" max="9997" width="11.6640625" style="45" bestFit="1" customWidth="1"/>
    <col min="9998" max="9998" width="10.44140625" style="45" bestFit="1" customWidth="1"/>
    <col min="9999" max="9999" width="8.88671875" style="45"/>
    <col min="10000" max="10000" width="11.6640625" style="45" bestFit="1" customWidth="1"/>
    <col min="10001" max="10001" width="10.44140625" style="45" bestFit="1" customWidth="1"/>
    <col min="10002" max="10245" width="8.88671875" style="45"/>
    <col min="10246" max="10246" width="23.44140625" style="45" customWidth="1"/>
    <col min="10247" max="10247" width="12.88671875" style="45" customWidth="1"/>
    <col min="10248" max="10248" width="8.88671875" style="45"/>
    <col min="10249" max="10249" width="10.109375" style="45" bestFit="1" customWidth="1"/>
    <col min="10250" max="10250" width="11.6640625" style="45" bestFit="1" customWidth="1"/>
    <col min="10251" max="10252" width="10.109375" style="45" bestFit="1" customWidth="1"/>
    <col min="10253" max="10253" width="11.6640625" style="45" bestFit="1" customWidth="1"/>
    <col min="10254" max="10254" width="10.44140625" style="45" bestFit="1" customWidth="1"/>
    <col min="10255" max="10255" width="8.88671875" style="45"/>
    <col min="10256" max="10256" width="11.6640625" style="45" bestFit="1" customWidth="1"/>
    <col min="10257" max="10257" width="10.44140625" style="45" bestFit="1" customWidth="1"/>
    <col min="10258" max="10501" width="8.88671875" style="45"/>
    <col min="10502" max="10502" width="23.44140625" style="45" customWidth="1"/>
    <col min="10503" max="10503" width="12.88671875" style="45" customWidth="1"/>
    <col min="10504" max="10504" width="8.88671875" style="45"/>
    <col min="10505" max="10505" width="10.109375" style="45" bestFit="1" customWidth="1"/>
    <col min="10506" max="10506" width="11.6640625" style="45" bestFit="1" customWidth="1"/>
    <col min="10507" max="10508" width="10.109375" style="45" bestFit="1" customWidth="1"/>
    <col min="10509" max="10509" width="11.6640625" style="45" bestFit="1" customWidth="1"/>
    <col min="10510" max="10510" width="10.44140625" style="45" bestFit="1" customWidth="1"/>
    <col min="10511" max="10511" width="8.88671875" style="45"/>
    <col min="10512" max="10512" width="11.6640625" style="45" bestFit="1" customWidth="1"/>
    <col min="10513" max="10513" width="10.44140625" style="45" bestFit="1" customWidth="1"/>
    <col min="10514" max="10757" width="8.88671875" style="45"/>
    <col min="10758" max="10758" width="23.44140625" style="45" customWidth="1"/>
    <col min="10759" max="10759" width="12.88671875" style="45" customWidth="1"/>
    <col min="10760" max="10760" width="8.88671875" style="45"/>
    <col min="10761" max="10761" width="10.109375" style="45" bestFit="1" customWidth="1"/>
    <col min="10762" max="10762" width="11.6640625" style="45" bestFit="1" customWidth="1"/>
    <col min="10763" max="10764" width="10.109375" style="45" bestFit="1" customWidth="1"/>
    <col min="10765" max="10765" width="11.6640625" style="45" bestFit="1" customWidth="1"/>
    <col min="10766" max="10766" width="10.44140625" style="45" bestFit="1" customWidth="1"/>
    <col min="10767" max="10767" width="8.88671875" style="45"/>
    <col min="10768" max="10768" width="11.6640625" style="45" bestFit="1" customWidth="1"/>
    <col min="10769" max="10769" width="10.44140625" style="45" bestFit="1" customWidth="1"/>
    <col min="10770" max="11013" width="8.88671875" style="45"/>
    <col min="11014" max="11014" width="23.44140625" style="45" customWidth="1"/>
    <col min="11015" max="11015" width="12.88671875" style="45" customWidth="1"/>
    <col min="11016" max="11016" width="8.88671875" style="45"/>
    <col min="11017" max="11017" width="10.109375" style="45" bestFit="1" customWidth="1"/>
    <col min="11018" max="11018" width="11.6640625" style="45" bestFit="1" customWidth="1"/>
    <col min="11019" max="11020" width="10.109375" style="45" bestFit="1" customWidth="1"/>
    <col min="11021" max="11021" width="11.6640625" style="45" bestFit="1" customWidth="1"/>
    <col min="11022" max="11022" width="10.44140625" style="45" bestFit="1" customWidth="1"/>
    <col min="11023" max="11023" width="8.88671875" style="45"/>
    <col min="11024" max="11024" width="11.6640625" style="45" bestFit="1" customWidth="1"/>
    <col min="11025" max="11025" width="10.44140625" style="45" bestFit="1" customWidth="1"/>
    <col min="11026" max="11269" width="8.88671875" style="45"/>
    <col min="11270" max="11270" width="23.44140625" style="45" customWidth="1"/>
    <col min="11271" max="11271" width="12.88671875" style="45" customWidth="1"/>
    <col min="11272" max="11272" width="8.88671875" style="45"/>
    <col min="11273" max="11273" width="10.109375" style="45" bestFit="1" customWidth="1"/>
    <col min="11274" max="11274" width="11.6640625" style="45" bestFit="1" customWidth="1"/>
    <col min="11275" max="11276" width="10.109375" style="45" bestFit="1" customWidth="1"/>
    <col min="11277" max="11277" width="11.6640625" style="45" bestFit="1" customWidth="1"/>
    <col min="11278" max="11278" width="10.44140625" style="45" bestFit="1" customWidth="1"/>
    <col min="11279" max="11279" width="8.88671875" style="45"/>
    <col min="11280" max="11280" width="11.6640625" style="45" bestFit="1" customWidth="1"/>
    <col min="11281" max="11281" width="10.44140625" style="45" bestFit="1" customWidth="1"/>
    <col min="11282" max="11525" width="8.88671875" style="45"/>
    <col min="11526" max="11526" width="23.44140625" style="45" customWidth="1"/>
    <col min="11527" max="11527" width="12.88671875" style="45" customWidth="1"/>
    <col min="11528" max="11528" width="8.88671875" style="45"/>
    <col min="11529" max="11529" width="10.109375" style="45" bestFit="1" customWidth="1"/>
    <col min="11530" max="11530" width="11.6640625" style="45" bestFit="1" customWidth="1"/>
    <col min="11531" max="11532" width="10.109375" style="45" bestFit="1" customWidth="1"/>
    <col min="11533" max="11533" width="11.6640625" style="45" bestFit="1" customWidth="1"/>
    <col min="11534" max="11534" width="10.44140625" style="45" bestFit="1" customWidth="1"/>
    <col min="11535" max="11535" width="8.88671875" style="45"/>
    <col min="11536" max="11536" width="11.6640625" style="45" bestFit="1" customWidth="1"/>
    <col min="11537" max="11537" width="10.44140625" style="45" bestFit="1" customWidth="1"/>
    <col min="11538" max="11781" width="8.88671875" style="45"/>
    <col min="11782" max="11782" width="23.44140625" style="45" customWidth="1"/>
    <col min="11783" max="11783" width="12.88671875" style="45" customWidth="1"/>
    <col min="11784" max="11784" width="8.88671875" style="45"/>
    <col min="11785" max="11785" width="10.109375" style="45" bestFit="1" customWidth="1"/>
    <col min="11786" max="11786" width="11.6640625" style="45" bestFit="1" customWidth="1"/>
    <col min="11787" max="11788" width="10.109375" style="45" bestFit="1" customWidth="1"/>
    <col min="11789" max="11789" width="11.6640625" style="45" bestFit="1" customWidth="1"/>
    <col min="11790" max="11790" width="10.44140625" style="45" bestFit="1" customWidth="1"/>
    <col min="11791" max="11791" width="8.88671875" style="45"/>
    <col min="11792" max="11792" width="11.6640625" style="45" bestFit="1" customWidth="1"/>
    <col min="11793" max="11793" width="10.44140625" style="45" bestFit="1" customWidth="1"/>
    <col min="11794" max="12037" width="8.88671875" style="45"/>
    <col min="12038" max="12038" width="23.44140625" style="45" customWidth="1"/>
    <col min="12039" max="12039" width="12.88671875" style="45" customWidth="1"/>
    <col min="12040" max="12040" width="8.88671875" style="45"/>
    <col min="12041" max="12041" width="10.109375" style="45" bestFit="1" customWidth="1"/>
    <col min="12042" max="12042" width="11.6640625" style="45" bestFit="1" customWidth="1"/>
    <col min="12043" max="12044" width="10.109375" style="45" bestFit="1" customWidth="1"/>
    <col min="12045" max="12045" width="11.6640625" style="45" bestFit="1" customWidth="1"/>
    <col min="12046" max="12046" width="10.44140625" style="45" bestFit="1" customWidth="1"/>
    <col min="12047" max="12047" width="8.88671875" style="45"/>
    <col min="12048" max="12048" width="11.6640625" style="45" bestFit="1" customWidth="1"/>
    <col min="12049" max="12049" width="10.44140625" style="45" bestFit="1" customWidth="1"/>
    <col min="12050" max="12293" width="8.88671875" style="45"/>
    <col min="12294" max="12294" width="23.44140625" style="45" customWidth="1"/>
    <col min="12295" max="12295" width="12.88671875" style="45" customWidth="1"/>
    <col min="12296" max="12296" width="8.88671875" style="45"/>
    <col min="12297" max="12297" width="10.109375" style="45" bestFit="1" customWidth="1"/>
    <col min="12298" max="12298" width="11.6640625" style="45" bestFit="1" customWidth="1"/>
    <col min="12299" max="12300" width="10.109375" style="45" bestFit="1" customWidth="1"/>
    <col min="12301" max="12301" width="11.6640625" style="45" bestFit="1" customWidth="1"/>
    <col min="12302" max="12302" width="10.44140625" style="45" bestFit="1" customWidth="1"/>
    <col min="12303" max="12303" width="8.88671875" style="45"/>
    <col min="12304" max="12304" width="11.6640625" style="45" bestFit="1" customWidth="1"/>
    <col min="12305" max="12305" width="10.44140625" style="45" bestFit="1" customWidth="1"/>
    <col min="12306" max="12549" width="8.88671875" style="45"/>
    <col min="12550" max="12550" width="23.44140625" style="45" customWidth="1"/>
    <col min="12551" max="12551" width="12.88671875" style="45" customWidth="1"/>
    <col min="12552" max="12552" width="8.88671875" style="45"/>
    <col min="12553" max="12553" width="10.109375" style="45" bestFit="1" customWidth="1"/>
    <col min="12554" max="12554" width="11.6640625" style="45" bestFit="1" customWidth="1"/>
    <col min="12555" max="12556" width="10.109375" style="45" bestFit="1" customWidth="1"/>
    <col min="12557" max="12557" width="11.6640625" style="45" bestFit="1" customWidth="1"/>
    <col min="12558" max="12558" width="10.44140625" style="45" bestFit="1" customWidth="1"/>
    <col min="12559" max="12559" width="8.88671875" style="45"/>
    <col min="12560" max="12560" width="11.6640625" style="45" bestFit="1" customWidth="1"/>
    <col min="12561" max="12561" width="10.44140625" style="45" bestFit="1" customWidth="1"/>
    <col min="12562" max="12805" width="8.88671875" style="45"/>
    <col min="12806" max="12806" width="23.44140625" style="45" customWidth="1"/>
    <col min="12807" max="12807" width="12.88671875" style="45" customWidth="1"/>
    <col min="12808" max="12808" width="8.88671875" style="45"/>
    <col min="12809" max="12809" width="10.109375" style="45" bestFit="1" customWidth="1"/>
    <col min="12810" max="12810" width="11.6640625" style="45" bestFit="1" customWidth="1"/>
    <col min="12811" max="12812" width="10.109375" style="45" bestFit="1" customWidth="1"/>
    <col min="12813" max="12813" width="11.6640625" style="45" bestFit="1" customWidth="1"/>
    <col min="12814" max="12814" width="10.44140625" style="45" bestFit="1" customWidth="1"/>
    <col min="12815" max="12815" width="8.88671875" style="45"/>
    <col min="12816" max="12816" width="11.6640625" style="45" bestFit="1" customWidth="1"/>
    <col min="12817" max="12817" width="10.44140625" style="45" bestFit="1" customWidth="1"/>
    <col min="12818" max="13061" width="8.88671875" style="45"/>
    <col min="13062" max="13062" width="23.44140625" style="45" customWidth="1"/>
    <col min="13063" max="13063" width="12.88671875" style="45" customWidth="1"/>
    <col min="13064" max="13064" width="8.88671875" style="45"/>
    <col min="13065" max="13065" width="10.109375" style="45" bestFit="1" customWidth="1"/>
    <col min="13066" max="13066" width="11.6640625" style="45" bestFit="1" customWidth="1"/>
    <col min="13067" max="13068" width="10.109375" style="45" bestFit="1" customWidth="1"/>
    <col min="13069" max="13069" width="11.6640625" style="45" bestFit="1" customWidth="1"/>
    <col min="13070" max="13070" width="10.44140625" style="45" bestFit="1" customWidth="1"/>
    <col min="13071" max="13071" width="8.88671875" style="45"/>
    <col min="13072" max="13072" width="11.6640625" style="45" bestFit="1" customWidth="1"/>
    <col min="13073" max="13073" width="10.44140625" style="45" bestFit="1" customWidth="1"/>
    <col min="13074" max="13317" width="8.88671875" style="45"/>
    <col min="13318" max="13318" width="23.44140625" style="45" customWidth="1"/>
    <col min="13319" max="13319" width="12.88671875" style="45" customWidth="1"/>
    <col min="13320" max="13320" width="8.88671875" style="45"/>
    <col min="13321" max="13321" width="10.109375" style="45" bestFit="1" customWidth="1"/>
    <col min="13322" max="13322" width="11.6640625" style="45" bestFit="1" customWidth="1"/>
    <col min="13323" max="13324" width="10.109375" style="45" bestFit="1" customWidth="1"/>
    <col min="13325" max="13325" width="11.6640625" style="45" bestFit="1" customWidth="1"/>
    <col min="13326" max="13326" width="10.44140625" style="45" bestFit="1" customWidth="1"/>
    <col min="13327" max="13327" width="8.88671875" style="45"/>
    <col min="13328" max="13328" width="11.6640625" style="45" bestFit="1" customWidth="1"/>
    <col min="13329" max="13329" width="10.44140625" style="45" bestFit="1" customWidth="1"/>
    <col min="13330" max="13573" width="8.88671875" style="45"/>
    <col min="13574" max="13574" width="23.44140625" style="45" customWidth="1"/>
    <col min="13575" max="13575" width="12.88671875" style="45" customWidth="1"/>
    <col min="13576" max="13576" width="8.88671875" style="45"/>
    <col min="13577" max="13577" width="10.109375" style="45" bestFit="1" customWidth="1"/>
    <col min="13578" max="13578" width="11.6640625" style="45" bestFit="1" customWidth="1"/>
    <col min="13579" max="13580" width="10.109375" style="45" bestFit="1" customWidth="1"/>
    <col min="13581" max="13581" width="11.6640625" style="45" bestFit="1" customWidth="1"/>
    <col min="13582" max="13582" width="10.44140625" style="45" bestFit="1" customWidth="1"/>
    <col min="13583" max="13583" width="8.88671875" style="45"/>
    <col min="13584" max="13584" width="11.6640625" style="45" bestFit="1" customWidth="1"/>
    <col min="13585" max="13585" width="10.44140625" style="45" bestFit="1" customWidth="1"/>
    <col min="13586" max="13829" width="8.88671875" style="45"/>
    <col min="13830" max="13830" width="23.44140625" style="45" customWidth="1"/>
    <col min="13831" max="13831" width="12.88671875" style="45" customWidth="1"/>
    <col min="13832" max="13832" width="8.88671875" style="45"/>
    <col min="13833" max="13833" width="10.109375" style="45" bestFit="1" customWidth="1"/>
    <col min="13834" max="13834" width="11.6640625" style="45" bestFit="1" customWidth="1"/>
    <col min="13835" max="13836" width="10.109375" style="45" bestFit="1" customWidth="1"/>
    <col min="13837" max="13837" width="11.6640625" style="45" bestFit="1" customWidth="1"/>
    <col min="13838" max="13838" width="10.44140625" style="45" bestFit="1" customWidth="1"/>
    <col min="13839" max="13839" width="8.88671875" style="45"/>
    <col min="13840" max="13840" width="11.6640625" style="45" bestFit="1" customWidth="1"/>
    <col min="13841" max="13841" width="10.44140625" style="45" bestFit="1" customWidth="1"/>
    <col min="13842" max="14085" width="8.88671875" style="45"/>
    <col min="14086" max="14086" width="23.44140625" style="45" customWidth="1"/>
    <col min="14087" max="14087" width="12.88671875" style="45" customWidth="1"/>
    <col min="14088" max="14088" width="8.88671875" style="45"/>
    <col min="14089" max="14089" width="10.109375" style="45" bestFit="1" customWidth="1"/>
    <col min="14090" max="14090" width="11.6640625" style="45" bestFit="1" customWidth="1"/>
    <col min="14091" max="14092" width="10.109375" style="45" bestFit="1" customWidth="1"/>
    <col min="14093" max="14093" width="11.6640625" style="45" bestFit="1" customWidth="1"/>
    <col min="14094" max="14094" width="10.44140625" style="45" bestFit="1" customWidth="1"/>
    <col min="14095" max="14095" width="8.88671875" style="45"/>
    <col min="14096" max="14096" width="11.6640625" style="45" bestFit="1" customWidth="1"/>
    <col min="14097" max="14097" width="10.44140625" style="45" bestFit="1" customWidth="1"/>
    <col min="14098" max="14341" width="8.88671875" style="45"/>
    <col min="14342" max="14342" width="23.44140625" style="45" customWidth="1"/>
    <col min="14343" max="14343" width="12.88671875" style="45" customWidth="1"/>
    <col min="14344" max="14344" width="8.88671875" style="45"/>
    <col min="14345" max="14345" width="10.109375" style="45" bestFit="1" customWidth="1"/>
    <col min="14346" max="14346" width="11.6640625" style="45" bestFit="1" customWidth="1"/>
    <col min="14347" max="14348" width="10.109375" style="45" bestFit="1" customWidth="1"/>
    <col min="14349" max="14349" width="11.6640625" style="45" bestFit="1" customWidth="1"/>
    <col min="14350" max="14350" width="10.44140625" style="45" bestFit="1" customWidth="1"/>
    <col min="14351" max="14351" width="8.88671875" style="45"/>
    <col min="14352" max="14352" width="11.6640625" style="45" bestFit="1" customWidth="1"/>
    <col min="14353" max="14353" width="10.44140625" style="45" bestFit="1" customWidth="1"/>
    <col min="14354" max="14597" width="8.88671875" style="45"/>
    <col min="14598" max="14598" width="23.44140625" style="45" customWidth="1"/>
    <col min="14599" max="14599" width="12.88671875" style="45" customWidth="1"/>
    <col min="14600" max="14600" width="8.88671875" style="45"/>
    <col min="14601" max="14601" width="10.109375" style="45" bestFit="1" customWidth="1"/>
    <col min="14602" max="14602" width="11.6640625" style="45" bestFit="1" customWidth="1"/>
    <col min="14603" max="14604" width="10.109375" style="45" bestFit="1" customWidth="1"/>
    <col min="14605" max="14605" width="11.6640625" style="45" bestFit="1" customWidth="1"/>
    <col min="14606" max="14606" width="10.44140625" style="45" bestFit="1" customWidth="1"/>
    <col min="14607" max="14607" width="8.88671875" style="45"/>
    <col min="14608" max="14608" width="11.6640625" style="45" bestFit="1" customWidth="1"/>
    <col min="14609" max="14609" width="10.44140625" style="45" bestFit="1" customWidth="1"/>
    <col min="14610" max="14853" width="8.88671875" style="45"/>
    <col min="14854" max="14854" width="23.44140625" style="45" customWidth="1"/>
    <col min="14855" max="14855" width="12.88671875" style="45" customWidth="1"/>
    <col min="14856" max="14856" width="8.88671875" style="45"/>
    <col min="14857" max="14857" width="10.109375" style="45" bestFit="1" customWidth="1"/>
    <col min="14858" max="14858" width="11.6640625" style="45" bestFit="1" customWidth="1"/>
    <col min="14859" max="14860" width="10.109375" style="45" bestFit="1" customWidth="1"/>
    <col min="14861" max="14861" width="11.6640625" style="45" bestFit="1" customWidth="1"/>
    <col min="14862" max="14862" width="10.44140625" style="45" bestFit="1" customWidth="1"/>
    <col min="14863" max="14863" width="8.88671875" style="45"/>
    <col min="14864" max="14864" width="11.6640625" style="45" bestFit="1" customWidth="1"/>
    <col min="14865" max="14865" width="10.44140625" style="45" bestFit="1" customWidth="1"/>
    <col min="14866" max="15109" width="8.88671875" style="45"/>
    <col min="15110" max="15110" width="23.44140625" style="45" customWidth="1"/>
    <col min="15111" max="15111" width="12.88671875" style="45" customWidth="1"/>
    <col min="15112" max="15112" width="8.88671875" style="45"/>
    <col min="15113" max="15113" width="10.109375" style="45" bestFit="1" customWidth="1"/>
    <col min="15114" max="15114" width="11.6640625" style="45" bestFit="1" customWidth="1"/>
    <col min="15115" max="15116" width="10.109375" style="45" bestFit="1" customWidth="1"/>
    <col min="15117" max="15117" width="11.6640625" style="45" bestFit="1" customWidth="1"/>
    <col min="15118" max="15118" width="10.44140625" style="45" bestFit="1" customWidth="1"/>
    <col min="15119" max="15119" width="8.88671875" style="45"/>
    <col min="15120" max="15120" width="11.6640625" style="45" bestFit="1" customWidth="1"/>
    <col min="15121" max="15121" width="10.44140625" style="45" bestFit="1" customWidth="1"/>
    <col min="15122" max="15365" width="8.88671875" style="45"/>
    <col min="15366" max="15366" width="23.44140625" style="45" customWidth="1"/>
    <col min="15367" max="15367" width="12.88671875" style="45" customWidth="1"/>
    <col min="15368" max="15368" width="8.88671875" style="45"/>
    <col min="15369" max="15369" width="10.109375" style="45" bestFit="1" customWidth="1"/>
    <col min="15370" max="15370" width="11.6640625" style="45" bestFit="1" customWidth="1"/>
    <col min="15371" max="15372" width="10.109375" style="45" bestFit="1" customWidth="1"/>
    <col min="15373" max="15373" width="11.6640625" style="45" bestFit="1" customWidth="1"/>
    <col min="15374" max="15374" width="10.44140625" style="45" bestFit="1" customWidth="1"/>
    <col min="15375" max="15375" width="8.88671875" style="45"/>
    <col min="15376" max="15376" width="11.6640625" style="45" bestFit="1" customWidth="1"/>
    <col min="15377" max="15377" width="10.44140625" style="45" bestFit="1" customWidth="1"/>
    <col min="15378" max="15621" width="8.88671875" style="45"/>
    <col min="15622" max="15622" width="23.44140625" style="45" customWidth="1"/>
    <col min="15623" max="15623" width="12.88671875" style="45" customWidth="1"/>
    <col min="15624" max="15624" width="8.88671875" style="45"/>
    <col min="15625" max="15625" width="10.109375" style="45" bestFit="1" customWidth="1"/>
    <col min="15626" max="15626" width="11.6640625" style="45" bestFit="1" customWidth="1"/>
    <col min="15627" max="15628" width="10.109375" style="45" bestFit="1" customWidth="1"/>
    <col min="15629" max="15629" width="11.6640625" style="45" bestFit="1" customWidth="1"/>
    <col min="15630" max="15630" width="10.44140625" style="45" bestFit="1" customWidth="1"/>
    <col min="15631" max="15631" width="8.88671875" style="45"/>
    <col min="15632" max="15632" width="11.6640625" style="45" bestFit="1" customWidth="1"/>
    <col min="15633" max="15633" width="10.44140625" style="45" bestFit="1" customWidth="1"/>
    <col min="15634" max="15877" width="8.88671875" style="45"/>
    <col min="15878" max="15878" width="23.44140625" style="45" customWidth="1"/>
    <col min="15879" max="15879" width="12.88671875" style="45" customWidth="1"/>
    <col min="15880" max="15880" width="8.88671875" style="45"/>
    <col min="15881" max="15881" width="10.109375" style="45" bestFit="1" customWidth="1"/>
    <col min="15882" max="15882" width="11.6640625" style="45" bestFit="1" customWidth="1"/>
    <col min="15883" max="15884" width="10.109375" style="45" bestFit="1" customWidth="1"/>
    <col min="15885" max="15885" width="11.6640625" style="45" bestFit="1" customWidth="1"/>
    <col min="15886" max="15886" width="10.44140625" style="45" bestFit="1" customWidth="1"/>
    <col min="15887" max="15887" width="8.88671875" style="45"/>
    <col min="15888" max="15888" width="11.6640625" style="45" bestFit="1" customWidth="1"/>
    <col min="15889" max="15889" width="10.44140625" style="45" bestFit="1" customWidth="1"/>
    <col min="15890" max="16133" width="8.88671875" style="45"/>
    <col min="16134" max="16134" width="23.44140625" style="45" customWidth="1"/>
    <col min="16135" max="16135" width="12.88671875" style="45" customWidth="1"/>
    <col min="16136" max="16136" width="8.88671875" style="45"/>
    <col min="16137" max="16137" width="10.109375" style="45" bestFit="1" customWidth="1"/>
    <col min="16138" max="16138" width="11.6640625" style="45" bestFit="1" customWidth="1"/>
    <col min="16139" max="16140" width="10.109375" style="45" bestFit="1" customWidth="1"/>
    <col min="16141" max="16141" width="11.6640625" style="45" bestFit="1" customWidth="1"/>
    <col min="16142" max="16142" width="10.44140625" style="45" bestFit="1" customWidth="1"/>
    <col min="16143" max="16143" width="8.88671875" style="45"/>
    <col min="16144" max="16144" width="11.6640625" style="45" bestFit="1" customWidth="1"/>
    <col min="16145" max="16145" width="10.44140625" style="45" bestFit="1" customWidth="1"/>
    <col min="16146" max="16384" width="8.88671875" style="45"/>
  </cols>
  <sheetData>
    <row r="1" spans="1:17" x14ac:dyDescent="0.25">
      <c r="A1" s="70" t="s">
        <v>0</v>
      </c>
      <c r="B1" s="68">
        <v>50000</v>
      </c>
      <c r="D1" s="24"/>
      <c r="E1" s="24"/>
      <c r="M1" s="24"/>
      <c r="N1" s="24"/>
    </row>
    <row r="2" spans="1:17" x14ac:dyDescent="0.25">
      <c r="A2" s="70" t="s">
        <v>1</v>
      </c>
      <c r="B2" s="68">
        <v>50</v>
      </c>
      <c r="E2" s="46"/>
      <c r="F2" s="46"/>
      <c r="G2" s="46"/>
      <c r="H2" s="46"/>
      <c r="I2" s="46"/>
      <c r="J2" s="46"/>
      <c r="M2" s="24"/>
      <c r="N2" s="24"/>
      <c r="P2" s="48">
        <v>1000</v>
      </c>
      <c r="Q2" s="48">
        <f>Q3</f>
        <v>0</v>
      </c>
    </row>
    <row r="3" spans="1:17" x14ac:dyDescent="0.25">
      <c r="A3" s="70" t="s">
        <v>73</v>
      </c>
      <c r="B3" s="68">
        <v>200</v>
      </c>
      <c r="E3" s="46"/>
      <c r="F3" s="46"/>
      <c r="G3" s="46"/>
      <c r="H3" s="46"/>
      <c r="I3" s="46"/>
      <c r="J3" s="46"/>
      <c r="K3" s="47"/>
      <c r="M3" s="24"/>
      <c r="N3" s="24"/>
      <c r="P3" s="48">
        <f>M1</f>
        <v>0</v>
      </c>
      <c r="Q3" s="48">
        <f>N1</f>
        <v>0</v>
      </c>
    </row>
    <row r="4" spans="1:17" x14ac:dyDescent="0.25">
      <c r="A4" s="70" t="s">
        <v>72</v>
      </c>
      <c r="B4" s="68">
        <v>0.3</v>
      </c>
      <c r="E4" s="46"/>
      <c r="F4" s="46"/>
      <c r="G4" s="46"/>
      <c r="H4" s="46"/>
      <c r="I4" s="46"/>
      <c r="J4" s="46"/>
      <c r="K4" s="47"/>
      <c r="M4" s="24"/>
      <c r="N4" s="24"/>
      <c r="P4" s="48">
        <f>B13</f>
        <v>0</v>
      </c>
      <c r="Q4" s="48">
        <v>1500</v>
      </c>
    </row>
    <row r="5" spans="1:17" x14ac:dyDescent="0.25">
      <c r="A5" s="68"/>
      <c r="B5" s="68"/>
      <c r="E5" s="46"/>
      <c r="F5" s="46"/>
      <c r="G5" s="46"/>
      <c r="H5" s="46"/>
      <c r="I5" s="46"/>
      <c r="J5" s="46"/>
      <c r="K5" s="47"/>
      <c r="M5" s="24"/>
      <c r="N5" s="24"/>
    </row>
    <row r="6" spans="1:17" x14ac:dyDescent="0.25">
      <c r="A6" s="70" t="s">
        <v>2</v>
      </c>
      <c r="B6" s="68">
        <v>3000</v>
      </c>
      <c r="E6" s="46"/>
      <c r="F6" s="46"/>
      <c r="G6" s="46"/>
      <c r="H6" s="46"/>
      <c r="I6" s="46"/>
      <c r="J6" s="46"/>
      <c r="K6" s="47"/>
      <c r="M6" s="24"/>
      <c r="N6" s="24"/>
    </row>
    <row r="7" spans="1:17" x14ac:dyDescent="0.25">
      <c r="A7" s="68"/>
      <c r="B7" s="68"/>
      <c r="E7" s="46"/>
      <c r="F7" s="46"/>
      <c r="G7" s="46"/>
      <c r="H7" s="46"/>
      <c r="I7" s="46"/>
      <c r="J7" s="46"/>
      <c r="K7" s="47"/>
    </row>
    <row r="8" spans="1:17" x14ac:dyDescent="0.25">
      <c r="A8" s="70" t="s">
        <v>71</v>
      </c>
      <c r="B8" s="115"/>
      <c r="E8" s="46"/>
      <c r="F8" s="46"/>
      <c r="G8" s="46"/>
      <c r="H8" s="46"/>
      <c r="I8" s="46"/>
      <c r="J8" s="46"/>
      <c r="K8" s="47"/>
    </row>
    <row r="9" spans="1:17" x14ac:dyDescent="0.25">
      <c r="A9" s="70" t="s">
        <v>3</v>
      </c>
      <c r="B9" s="115"/>
      <c r="E9" s="46"/>
      <c r="F9" s="46"/>
      <c r="G9" s="46"/>
      <c r="H9" s="46"/>
      <c r="I9" s="46"/>
      <c r="J9" s="46"/>
      <c r="K9" s="47"/>
    </row>
    <row r="10" spans="1:17" x14ac:dyDescent="0.25">
      <c r="A10" s="70" t="s">
        <v>4</v>
      </c>
      <c r="B10" s="115"/>
      <c r="E10" s="46"/>
      <c r="F10" s="46"/>
      <c r="G10" s="46"/>
      <c r="H10" s="46"/>
      <c r="I10" s="46"/>
      <c r="J10" s="46"/>
    </row>
    <row r="11" spans="1:17" x14ac:dyDescent="0.25">
      <c r="A11" s="70" t="s">
        <v>5</v>
      </c>
      <c r="B11" s="115"/>
      <c r="E11" s="46"/>
      <c r="F11" s="46"/>
      <c r="G11" s="46"/>
      <c r="H11" s="46"/>
      <c r="I11" s="46"/>
      <c r="J11" s="46"/>
    </row>
    <row r="12" spans="1:17" x14ac:dyDescent="0.25">
      <c r="A12" s="68"/>
      <c r="B12" s="69"/>
      <c r="E12" s="46"/>
      <c r="F12" s="46"/>
      <c r="G12" s="46"/>
      <c r="H12" s="46"/>
      <c r="I12" s="46"/>
      <c r="J12" s="46"/>
    </row>
    <row r="13" spans="1:17" x14ac:dyDescent="0.25">
      <c r="A13" s="70" t="s">
        <v>6</v>
      </c>
      <c r="B13" s="115"/>
      <c r="F13" s="24"/>
      <c r="G13" s="24"/>
      <c r="H13" s="24"/>
      <c r="I13" s="24"/>
      <c r="J13" s="24"/>
    </row>
    <row r="14" spans="1:17" x14ac:dyDescent="0.25">
      <c r="A14" s="70" t="s">
        <v>7</v>
      </c>
      <c r="B14" s="115"/>
      <c r="F14" s="24"/>
      <c r="G14" s="24"/>
      <c r="H14" s="24"/>
      <c r="I14" s="24"/>
      <c r="J14" s="24"/>
    </row>
    <row r="15" spans="1:17" x14ac:dyDescent="0.25">
      <c r="A15" s="70" t="s">
        <v>8</v>
      </c>
      <c r="B15" s="115"/>
      <c r="F15" s="24"/>
      <c r="G15" s="24"/>
      <c r="H15" s="24"/>
      <c r="I15" s="24"/>
      <c r="J15" s="24"/>
    </row>
    <row r="16" spans="1:17" x14ac:dyDescent="0.25">
      <c r="A16" s="70" t="s">
        <v>9</v>
      </c>
      <c r="B16" s="115"/>
    </row>
    <row r="17" spans="1:2" x14ac:dyDescent="0.25">
      <c r="A17" s="70" t="s">
        <v>10</v>
      </c>
      <c r="B17" s="115"/>
    </row>
    <row r="19" spans="1:2" x14ac:dyDescent="0.25">
      <c r="A19" s="41"/>
      <c r="B19" s="41"/>
    </row>
  </sheetData>
  <phoneticPr fontId="7" type="noConversion"/>
  <pageMargins left="0.75" right="0.75" top="1" bottom="1" header="0.5" footer="0.5"/>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1"/>
  <sheetViews>
    <sheetView showGridLines="0" workbookViewId="0">
      <selection activeCell="C9" sqref="C9"/>
    </sheetView>
  </sheetViews>
  <sheetFormatPr defaultColWidth="10" defaultRowHeight="14.4" x14ac:dyDescent="0.25"/>
  <cols>
    <col min="1" max="1" width="5.77734375" style="42" customWidth="1"/>
    <col min="2" max="2" width="74.77734375" style="42" customWidth="1"/>
    <col min="3" max="3" width="13.88671875" style="42" customWidth="1"/>
    <col min="4" max="4" width="14.109375" style="42" bestFit="1" customWidth="1"/>
    <col min="5" max="5" width="11.44140625" style="42" customWidth="1"/>
    <col min="6" max="6" width="2" style="42" customWidth="1"/>
    <col min="7" max="16384" width="10" style="42"/>
  </cols>
  <sheetData>
    <row r="1" spans="2:5" x14ac:dyDescent="0.25">
      <c r="B1" s="43" t="s">
        <v>11</v>
      </c>
      <c r="C1" s="53">
        <v>0.02</v>
      </c>
      <c r="D1" s="52"/>
    </row>
    <row r="2" spans="2:5" x14ac:dyDescent="0.25">
      <c r="B2" s="43" t="s">
        <v>12</v>
      </c>
      <c r="C2" s="50">
        <v>10</v>
      </c>
      <c r="D2" s="54"/>
    </row>
    <row r="3" spans="2:5" x14ac:dyDescent="0.25">
      <c r="B3" s="44"/>
      <c r="C3" s="55" t="s">
        <v>13</v>
      </c>
      <c r="D3" s="55" t="s">
        <v>14</v>
      </c>
      <c r="E3" s="52"/>
    </row>
    <row r="4" spans="2:5" x14ac:dyDescent="0.25">
      <c r="B4" s="43" t="s">
        <v>15</v>
      </c>
      <c r="C4" s="50">
        <v>100000</v>
      </c>
      <c r="D4" s="50">
        <v>100000</v>
      </c>
      <c r="E4" s="52"/>
    </row>
    <row r="5" spans="2:5" x14ac:dyDescent="0.25">
      <c r="B5" s="43" t="s">
        <v>120</v>
      </c>
      <c r="C5" s="50">
        <v>5000</v>
      </c>
      <c r="D5" s="56"/>
      <c r="E5" s="52"/>
    </row>
    <row r="6" spans="2:5" x14ac:dyDescent="0.25">
      <c r="B6" s="43" t="s">
        <v>16</v>
      </c>
      <c r="C6" s="50">
        <v>5</v>
      </c>
      <c r="D6" s="56"/>
      <c r="E6" s="52"/>
    </row>
    <row r="7" spans="2:5" x14ac:dyDescent="0.25">
      <c r="B7" s="43" t="s">
        <v>70</v>
      </c>
      <c r="C7" s="56"/>
      <c r="D7" s="50">
        <v>20000</v>
      </c>
      <c r="E7" s="52"/>
    </row>
    <row r="8" spans="2:5" x14ac:dyDescent="0.25">
      <c r="B8" s="43" t="s">
        <v>69</v>
      </c>
      <c r="C8" s="57">
        <v>1E-3</v>
      </c>
      <c r="D8" s="56"/>
      <c r="E8" s="52"/>
    </row>
    <row r="9" spans="2:5" x14ac:dyDescent="0.25">
      <c r="B9" s="43" t="s">
        <v>17</v>
      </c>
      <c r="C9" s="50">
        <v>250000</v>
      </c>
      <c r="D9" s="50">
        <v>230000</v>
      </c>
      <c r="E9" s="52"/>
    </row>
    <row r="10" spans="2:5" x14ac:dyDescent="0.25">
      <c r="B10" s="43" t="s">
        <v>18</v>
      </c>
      <c r="C10" s="58"/>
      <c r="D10" s="58"/>
      <c r="E10" s="52"/>
    </row>
    <row r="11" spans="2:5" x14ac:dyDescent="0.25">
      <c r="B11" s="43" t="s">
        <v>19</v>
      </c>
      <c r="C11" s="59"/>
      <c r="D11" s="59"/>
      <c r="E11" s="52"/>
    </row>
    <row r="12" spans="2:5" x14ac:dyDescent="0.25">
      <c r="B12" s="43" t="s">
        <v>20</v>
      </c>
      <c r="C12" s="60"/>
      <c r="D12" s="53"/>
      <c r="E12" s="51"/>
    </row>
    <row r="13" spans="2:5" x14ac:dyDescent="0.25">
      <c r="B13" s="43" t="s">
        <v>21</v>
      </c>
      <c r="C13" s="58"/>
      <c r="D13" s="52"/>
    </row>
    <row r="14" spans="2:5" x14ac:dyDescent="0.25">
      <c r="B14" s="43" t="s">
        <v>22</v>
      </c>
      <c r="C14" s="61"/>
      <c r="D14" s="52"/>
    </row>
    <row r="15" spans="2:5" x14ac:dyDescent="0.25">
      <c r="C15" s="52"/>
      <c r="D15" s="52"/>
    </row>
    <row r="16" spans="2:5" x14ac:dyDescent="0.25">
      <c r="C16" s="52"/>
      <c r="D16" s="52"/>
    </row>
    <row r="20" spans="2:4" x14ac:dyDescent="0.25">
      <c r="B20" s="43" t="s">
        <v>68</v>
      </c>
      <c r="C20" s="58"/>
      <c r="D20" s="52"/>
    </row>
    <row r="21" spans="2:4" x14ac:dyDescent="0.25">
      <c r="B21" s="43" t="s">
        <v>67</v>
      </c>
      <c r="C21" s="61"/>
      <c r="D21" s="52"/>
    </row>
  </sheetData>
  <phoneticPr fontId="7" type="noConversion"/>
  <printOptions headings="1"/>
  <pageMargins left="0.74803149606299213" right="0.74803149606299213" top="0.98425196850393704" bottom="0.98425196850393704" header="0.51181102362204722" footer="0.51181102362204722"/>
  <pageSetup paperSize="9"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H18"/>
  <sheetViews>
    <sheetView showGridLines="0" workbookViewId="0">
      <selection activeCell="G8" sqref="G8"/>
    </sheetView>
  </sheetViews>
  <sheetFormatPr defaultColWidth="11.109375" defaultRowHeight="16.5" customHeight="1" x14ac:dyDescent="0.25"/>
  <cols>
    <col min="1" max="16384" width="11.109375" style="64"/>
  </cols>
  <sheetData>
    <row r="2" spans="2:8" ht="15.6" x14ac:dyDescent="0.25">
      <c r="B2" s="62" t="s">
        <v>75</v>
      </c>
      <c r="C2" s="63" t="s">
        <v>76</v>
      </c>
      <c r="D2" s="63" t="s">
        <v>77</v>
      </c>
      <c r="E2" s="63" t="s">
        <v>78</v>
      </c>
      <c r="H2" s="65" t="s">
        <v>79</v>
      </c>
    </row>
    <row r="3" spans="2:8" ht="15.6" x14ac:dyDescent="0.25">
      <c r="B3" s="63" t="s">
        <v>80</v>
      </c>
      <c r="C3" s="66">
        <v>17</v>
      </c>
      <c r="D3" s="66">
        <v>16</v>
      </c>
      <c r="E3" s="66">
        <v>15</v>
      </c>
      <c r="G3" s="63" t="s">
        <v>81</v>
      </c>
      <c r="H3" s="67">
        <v>150</v>
      </c>
    </row>
    <row r="4" spans="2:8" ht="15.6" x14ac:dyDescent="0.25">
      <c r="B4" s="63" t="s">
        <v>82</v>
      </c>
      <c r="C4" s="66">
        <v>18</v>
      </c>
      <c r="D4" s="66">
        <v>18</v>
      </c>
      <c r="E4" s="66">
        <v>20</v>
      </c>
      <c r="G4" s="63" t="s">
        <v>82</v>
      </c>
      <c r="H4" s="67">
        <v>900</v>
      </c>
    </row>
    <row r="5" spans="2:8" ht="15.6" x14ac:dyDescent="0.25">
      <c r="B5" s="63" t="s">
        <v>83</v>
      </c>
      <c r="C5" s="66">
        <v>15</v>
      </c>
      <c r="D5" s="66">
        <v>17</v>
      </c>
      <c r="E5" s="66">
        <v>17</v>
      </c>
      <c r="G5" s="63" t="s">
        <v>83</v>
      </c>
      <c r="H5" s="67">
        <v>300</v>
      </c>
    </row>
    <row r="6" spans="2:8" ht="15.6" x14ac:dyDescent="0.25">
      <c r="B6" s="63" t="s">
        <v>84</v>
      </c>
      <c r="C6" s="66">
        <v>17</v>
      </c>
      <c r="D6" s="66">
        <v>18</v>
      </c>
      <c r="E6" s="66">
        <v>16</v>
      </c>
      <c r="G6" s="63" t="s">
        <v>84</v>
      </c>
      <c r="H6" s="67">
        <v>1000</v>
      </c>
    </row>
    <row r="8" spans="2:8" ht="15.6" x14ac:dyDescent="0.25">
      <c r="C8" s="63" t="s">
        <v>85</v>
      </c>
      <c r="D8" s="63" t="s">
        <v>77</v>
      </c>
      <c r="E8" s="63" t="s">
        <v>78</v>
      </c>
    </row>
    <row r="9" spans="2:8" ht="15.6" x14ac:dyDescent="0.25">
      <c r="B9" s="63" t="s">
        <v>86</v>
      </c>
      <c r="C9" s="66">
        <v>1200</v>
      </c>
      <c r="D9" s="66">
        <v>900</v>
      </c>
      <c r="E9" s="66">
        <v>900</v>
      </c>
    </row>
    <row r="11" spans="2:8" ht="15.6" x14ac:dyDescent="0.25"/>
    <row r="12" spans="2:8" ht="15.6" x14ac:dyDescent="0.25"/>
    <row r="13" spans="2:8" ht="15.6" x14ac:dyDescent="0.25"/>
    <row r="14" spans="2:8" ht="15.6" x14ac:dyDescent="0.25"/>
    <row r="15" spans="2:8" ht="15.6" x14ac:dyDescent="0.25"/>
    <row r="16" spans="2:8" ht="15.6" x14ac:dyDescent="0.25"/>
    <row r="18" ht="15.6" x14ac:dyDescent="0.25"/>
  </sheetData>
  <phoneticPr fontId="7"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69"/>
  <sheetViews>
    <sheetView showGridLines="0" workbookViewId="0">
      <selection activeCell="T369" sqref="T369"/>
    </sheetView>
  </sheetViews>
  <sheetFormatPr defaultRowHeight="14.4" x14ac:dyDescent="0.25"/>
  <cols>
    <col min="1" max="1" width="4.44140625" style="77" customWidth="1"/>
    <col min="2" max="2" width="21.77734375" style="77" customWidth="1"/>
    <col min="3" max="3" width="12.109375" style="77" customWidth="1"/>
    <col min="4" max="4" width="10.44140625" style="77" customWidth="1"/>
    <col min="5" max="5" width="11.33203125" style="77" customWidth="1"/>
    <col min="6" max="6" width="7.77734375" style="77" customWidth="1"/>
    <col min="7" max="8" width="11" style="77" bestFit="1" customWidth="1"/>
    <col min="9" max="9" width="8.44140625" style="77" bestFit="1" customWidth="1"/>
    <col min="10" max="11" width="13" style="77" bestFit="1" customWidth="1"/>
    <col min="12" max="12" width="11" style="77" bestFit="1" customWidth="1"/>
    <col min="13" max="13" width="2.33203125" style="77" customWidth="1"/>
    <col min="14" max="14" width="4.44140625" style="77" bestFit="1" customWidth="1"/>
    <col min="15" max="15" width="12.21875" style="77" customWidth="1"/>
    <col min="16" max="16" width="13.77734375" style="77" customWidth="1"/>
    <col min="17" max="17" width="13.109375" style="77" customWidth="1"/>
    <col min="18" max="18" width="11.33203125" style="77" bestFit="1" customWidth="1"/>
    <col min="19" max="19" width="8.44140625" style="77" customWidth="1"/>
    <col min="20" max="20" width="15.109375" style="77" customWidth="1"/>
    <col min="21" max="21" width="9" style="77" bestFit="1" customWidth="1"/>
    <col min="22" max="23" width="11.6640625" style="77" bestFit="1" customWidth="1"/>
    <col min="24" max="24" width="9" style="77"/>
  </cols>
  <sheetData>
    <row r="1" spans="2:23" ht="28.8" x14ac:dyDescent="0.25">
      <c r="O1" s="78" t="s">
        <v>87</v>
      </c>
      <c r="P1" s="78" t="s">
        <v>88</v>
      </c>
      <c r="Q1" s="78"/>
      <c r="R1" s="78" t="s">
        <v>89</v>
      </c>
      <c r="S1" s="79"/>
      <c r="T1" s="79"/>
      <c r="U1" s="80" t="s">
        <v>90</v>
      </c>
      <c r="V1" s="80" t="s">
        <v>91</v>
      </c>
      <c r="W1" s="80" t="s">
        <v>92</v>
      </c>
    </row>
    <row r="2" spans="2:23" x14ac:dyDescent="0.25">
      <c r="B2" s="81" t="s">
        <v>93</v>
      </c>
      <c r="C2" s="82">
        <v>15000</v>
      </c>
      <c r="D2" s="83"/>
      <c r="O2" s="84">
        <v>100</v>
      </c>
      <c r="P2" s="85" t="s">
        <v>94</v>
      </c>
      <c r="Q2" s="86"/>
      <c r="R2" s="86">
        <f>$C$4/365</f>
        <v>8.2191780821917804E-2</v>
      </c>
      <c r="U2" s="87"/>
      <c r="V2" s="88"/>
      <c r="W2" s="88"/>
    </row>
    <row r="3" spans="2:23" ht="28.8" x14ac:dyDescent="0.25">
      <c r="B3" s="81" t="s">
        <v>95</v>
      </c>
      <c r="C3" s="82">
        <v>500</v>
      </c>
      <c r="D3" s="83"/>
      <c r="N3" s="90" t="s">
        <v>96</v>
      </c>
      <c r="O3" s="91" t="s">
        <v>97</v>
      </c>
      <c r="P3" s="91" t="s">
        <v>98</v>
      </c>
      <c r="Q3" s="91" t="s">
        <v>99</v>
      </c>
      <c r="R3" s="91" t="s">
        <v>100</v>
      </c>
      <c r="S3" s="91" t="s">
        <v>101</v>
      </c>
      <c r="T3" s="91" t="s">
        <v>102</v>
      </c>
      <c r="U3" s="91" t="s">
        <v>103</v>
      </c>
      <c r="V3" s="91" t="s">
        <v>104</v>
      </c>
      <c r="W3" s="90" t="s">
        <v>105</v>
      </c>
    </row>
    <row r="4" spans="2:23" x14ac:dyDescent="0.25">
      <c r="B4" s="81" t="s">
        <v>106</v>
      </c>
      <c r="C4" s="82">
        <v>30</v>
      </c>
      <c r="D4" s="83"/>
      <c r="N4" s="89">
        <v>0</v>
      </c>
      <c r="O4" s="89"/>
      <c r="P4" s="89"/>
      <c r="Q4" s="89"/>
      <c r="R4" s="89"/>
      <c r="S4" s="89"/>
      <c r="T4" s="89"/>
      <c r="U4" s="89"/>
      <c r="V4" s="89"/>
      <c r="W4" s="89"/>
    </row>
    <row r="5" spans="2:23" x14ac:dyDescent="0.25">
      <c r="N5" s="89">
        <v>1</v>
      </c>
      <c r="O5" s="89"/>
      <c r="P5" s="89"/>
      <c r="Q5" s="89"/>
      <c r="R5" s="89"/>
      <c r="S5" s="89"/>
      <c r="T5" s="89"/>
      <c r="U5" s="89"/>
      <c r="V5" s="92"/>
      <c r="W5" s="92"/>
    </row>
    <row r="6" spans="2:23" x14ac:dyDescent="0.25">
      <c r="B6" s="81" t="s">
        <v>107</v>
      </c>
      <c r="C6" s="93"/>
      <c r="D6" s="83"/>
      <c r="N6" s="89">
        <v>2</v>
      </c>
      <c r="O6" s="89"/>
      <c r="P6" s="89"/>
      <c r="Q6" s="89"/>
      <c r="R6" s="89"/>
      <c r="S6" s="89"/>
      <c r="T6" s="89"/>
      <c r="U6" s="89"/>
      <c r="V6" s="92"/>
      <c r="W6" s="92"/>
    </row>
    <row r="7" spans="2:23" x14ac:dyDescent="0.25">
      <c r="B7" s="81" t="s">
        <v>108</v>
      </c>
      <c r="C7" s="93"/>
      <c r="N7" s="89">
        <v>3</v>
      </c>
      <c r="O7" s="89"/>
      <c r="P7" s="89"/>
      <c r="Q7" s="89"/>
      <c r="R7" s="89"/>
      <c r="S7" s="89"/>
      <c r="T7" s="89"/>
      <c r="U7" s="89"/>
      <c r="V7" s="92"/>
      <c r="W7" s="92"/>
    </row>
    <row r="8" spans="2:23" x14ac:dyDescent="0.25">
      <c r="B8" s="81" t="s">
        <v>109</v>
      </c>
      <c r="C8" s="93"/>
      <c r="N8" s="89">
        <v>4</v>
      </c>
      <c r="O8" s="89"/>
      <c r="P8" s="89"/>
      <c r="Q8" s="89"/>
      <c r="R8" s="89"/>
      <c r="S8" s="89"/>
      <c r="T8" s="89"/>
      <c r="U8" s="89"/>
      <c r="V8" s="92"/>
      <c r="W8" s="92"/>
    </row>
    <row r="9" spans="2:23" x14ac:dyDescent="0.25">
      <c r="B9" s="81" t="s">
        <v>110</v>
      </c>
      <c r="C9" s="93"/>
      <c r="N9" s="89">
        <v>5</v>
      </c>
      <c r="O9" s="89"/>
      <c r="P9" s="89"/>
      <c r="Q9" s="89"/>
      <c r="R9" s="89"/>
      <c r="S9" s="89"/>
      <c r="T9" s="89"/>
      <c r="U9" s="89"/>
      <c r="V9" s="92"/>
      <c r="W9" s="92"/>
    </row>
    <row r="10" spans="2:23" x14ac:dyDescent="0.25">
      <c r="C10" s="94"/>
      <c r="N10" s="89">
        <v>6</v>
      </c>
      <c r="O10" s="89"/>
      <c r="P10" s="89"/>
      <c r="Q10" s="89"/>
      <c r="R10" s="89"/>
      <c r="S10" s="89"/>
      <c r="T10" s="89"/>
      <c r="U10" s="89"/>
      <c r="V10" s="92"/>
      <c r="W10" s="92"/>
    </row>
    <row r="11" spans="2:23" x14ac:dyDescent="0.25">
      <c r="B11" s="81" t="s">
        <v>111</v>
      </c>
      <c r="C11" s="93"/>
      <c r="N11" s="89">
        <v>7</v>
      </c>
      <c r="O11" s="89"/>
      <c r="P11" s="89"/>
      <c r="Q11" s="89"/>
      <c r="R11" s="89"/>
      <c r="S11" s="89"/>
      <c r="T11" s="89"/>
      <c r="U11" s="89"/>
      <c r="V11" s="92"/>
      <c r="W11" s="92"/>
    </row>
    <row r="12" spans="2:23" x14ac:dyDescent="0.25">
      <c r="B12" s="81" t="s">
        <v>112</v>
      </c>
      <c r="C12" s="93"/>
      <c r="N12" s="89">
        <v>8</v>
      </c>
      <c r="O12" s="89"/>
      <c r="P12" s="89"/>
      <c r="Q12" s="89"/>
      <c r="R12" s="89"/>
      <c r="S12" s="89"/>
      <c r="T12" s="89"/>
      <c r="U12" s="89"/>
      <c r="V12" s="92"/>
      <c r="W12" s="92"/>
    </row>
    <row r="13" spans="2:23" x14ac:dyDescent="0.25">
      <c r="B13" s="81" t="s">
        <v>113</v>
      </c>
      <c r="C13" s="93"/>
      <c r="N13" s="89">
        <v>9</v>
      </c>
      <c r="O13" s="89"/>
      <c r="P13" s="89"/>
      <c r="Q13" s="89"/>
      <c r="R13" s="89"/>
      <c r="S13" s="89"/>
      <c r="T13" s="89"/>
      <c r="U13" s="89"/>
      <c r="V13" s="92"/>
      <c r="W13" s="92"/>
    </row>
    <row r="14" spans="2:23" x14ac:dyDescent="0.25">
      <c r="B14" s="81" t="s">
        <v>114</v>
      </c>
      <c r="C14" s="93"/>
      <c r="N14" s="89">
        <v>10</v>
      </c>
      <c r="O14" s="89"/>
      <c r="P14" s="89"/>
      <c r="Q14" s="89"/>
      <c r="R14" s="89"/>
      <c r="S14" s="89"/>
      <c r="T14" s="89"/>
      <c r="U14" s="89"/>
      <c r="V14" s="92"/>
      <c r="W14" s="92"/>
    </row>
    <row r="15" spans="2:23" x14ac:dyDescent="0.25">
      <c r="N15" s="89">
        <v>11</v>
      </c>
      <c r="O15" s="89"/>
      <c r="P15" s="89"/>
      <c r="Q15" s="89"/>
      <c r="R15" s="89"/>
      <c r="S15" s="89"/>
      <c r="T15" s="89"/>
      <c r="U15" s="89"/>
      <c r="V15" s="92"/>
      <c r="W15" s="92"/>
    </row>
    <row r="16" spans="2:23" x14ac:dyDescent="0.25">
      <c r="B16" s="95"/>
      <c r="N16" s="89">
        <v>12</v>
      </c>
      <c r="O16" s="89"/>
      <c r="P16" s="89"/>
      <c r="Q16" s="89"/>
      <c r="R16" s="89"/>
      <c r="S16" s="89"/>
      <c r="T16" s="89"/>
      <c r="U16" s="89"/>
      <c r="V16" s="92"/>
      <c r="W16" s="92"/>
    </row>
    <row r="17" spans="2:23" x14ac:dyDescent="0.25">
      <c r="B17" s="96" t="s">
        <v>115</v>
      </c>
      <c r="C17" s="77" t="s">
        <v>116</v>
      </c>
      <c r="N17" s="89">
        <v>13</v>
      </c>
      <c r="O17" s="89"/>
      <c r="P17" s="89"/>
      <c r="Q17" s="89"/>
      <c r="R17" s="89"/>
      <c r="S17" s="89"/>
      <c r="T17" s="89"/>
      <c r="U17" s="89"/>
      <c r="V17" s="92"/>
      <c r="W17" s="92"/>
    </row>
    <row r="18" spans="2:23" x14ac:dyDescent="0.25">
      <c r="B18" s="97">
        <v>39</v>
      </c>
      <c r="C18" s="98">
        <v>0.1</v>
      </c>
      <c r="N18" s="89">
        <v>14</v>
      </c>
      <c r="O18" s="89"/>
      <c r="P18" s="89"/>
      <c r="Q18" s="89"/>
      <c r="R18" s="89"/>
      <c r="S18" s="89"/>
      <c r="T18" s="89"/>
      <c r="U18" s="89"/>
      <c r="V18" s="92"/>
      <c r="W18" s="92"/>
    </row>
    <row r="19" spans="2:23" x14ac:dyDescent="0.25">
      <c r="B19" s="99">
        <v>40</v>
      </c>
      <c r="C19" s="98">
        <v>0.25</v>
      </c>
      <c r="D19" s="100"/>
      <c r="E19" s="100"/>
      <c r="F19" s="101"/>
      <c r="G19" s="101"/>
      <c r="N19" s="89">
        <v>15</v>
      </c>
      <c r="O19" s="89"/>
      <c r="P19" s="89"/>
      <c r="Q19" s="89"/>
      <c r="R19" s="89"/>
      <c r="S19" s="89"/>
      <c r="T19" s="89"/>
      <c r="U19" s="89"/>
      <c r="V19" s="92"/>
      <c r="W19" s="92"/>
    </row>
    <row r="20" spans="2:23" x14ac:dyDescent="0.25">
      <c r="B20" s="99">
        <v>41</v>
      </c>
      <c r="C20" s="98">
        <v>0.55000000000000004</v>
      </c>
      <c r="D20" s="100"/>
      <c r="E20" s="100"/>
      <c r="F20" s="101"/>
      <c r="G20" s="101"/>
      <c r="N20" s="89">
        <v>16</v>
      </c>
      <c r="O20" s="89"/>
      <c r="P20" s="89"/>
      <c r="Q20" s="89"/>
      <c r="R20" s="89"/>
      <c r="S20" s="89"/>
      <c r="T20" s="89"/>
      <c r="U20" s="89"/>
      <c r="V20" s="92"/>
      <c r="W20" s="92"/>
    </row>
    <row r="21" spans="2:23" x14ac:dyDescent="0.25">
      <c r="B21" s="99">
        <v>42</v>
      </c>
      <c r="C21" s="98">
        <v>0.1</v>
      </c>
      <c r="D21" s="100"/>
      <c r="E21" s="100"/>
      <c r="F21" s="101"/>
      <c r="G21" s="101"/>
      <c r="N21" s="89">
        <v>17</v>
      </c>
      <c r="O21" s="89"/>
      <c r="P21" s="89"/>
      <c r="Q21" s="89"/>
      <c r="R21" s="89"/>
      <c r="S21" s="89"/>
      <c r="T21" s="89"/>
      <c r="U21" s="89"/>
      <c r="V21" s="92"/>
      <c r="W21" s="92"/>
    </row>
    <row r="22" spans="2:23" x14ac:dyDescent="0.25">
      <c r="B22" s="102"/>
      <c r="C22" s="101"/>
      <c r="D22" s="100"/>
      <c r="E22" s="100"/>
      <c r="F22" s="101"/>
      <c r="G22" s="101"/>
      <c r="N22" s="89">
        <v>18</v>
      </c>
      <c r="O22" s="89"/>
      <c r="P22" s="89"/>
      <c r="Q22" s="89"/>
      <c r="R22" s="89"/>
      <c r="S22" s="89"/>
      <c r="T22" s="89"/>
      <c r="U22" s="89"/>
      <c r="V22" s="92"/>
      <c r="W22" s="92"/>
    </row>
    <row r="23" spans="2:23" x14ac:dyDescent="0.25">
      <c r="B23" s="102"/>
      <c r="C23" s="101"/>
      <c r="D23" s="100"/>
      <c r="E23" s="100"/>
      <c r="F23" s="100"/>
      <c r="G23" s="100"/>
      <c r="N23" s="89">
        <v>19</v>
      </c>
      <c r="O23" s="89"/>
      <c r="P23" s="89"/>
      <c r="Q23" s="89"/>
      <c r="R23" s="89"/>
      <c r="S23" s="89"/>
      <c r="T23" s="89"/>
      <c r="U23" s="89"/>
      <c r="V23" s="92"/>
      <c r="W23" s="92"/>
    </row>
    <row r="24" spans="2:23" x14ac:dyDescent="0.25">
      <c r="B24" s="100"/>
      <c r="C24" s="100"/>
      <c r="D24" s="100"/>
      <c r="E24" s="100"/>
      <c r="F24" s="100"/>
      <c r="G24" s="100"/>
      <c r="N24" s="89">
        <v>20</v>
      </c>
      <c r="O24" s="89"/>
      <c r="P24" s="89"/>
      <c r="Q24" s="89"/>
      <c r="R24" s="89"/>
      <c r="S24" s="89"/>
      <c r="T24" s="89"/>
      <c r="U24" s="89"/>
      <c r="V24" s="92"/>
      <c r="W24" s="92"/>
    </row>
    <row r="25" spans="2:23" x14ac:dyDescent="0.25">
      <c r="N25" s="89">
        <v>21</v>
      </c>
      <c r="O25" s="89"/>
      <c r="P25" s="89"/>
      <c r="Q25" s="89"/>
      <c r="R25" s="89"/>
      <c r="S25" s="89"/>
      <c r="T25" s="89"/>
      <c r="U25" s="89"/>
      <c r="V25" s="92"/>
      <c r="W25" s="92"/>
    </row>
    <row r="26" spans="2:23" x14ac:dyDescent="0.25">
      <c r="N26" s="89">
        <v>22</v>
      </c>
      <c r="O26" s="89"/>
      <c r="P26" s="89"/>
      <c r="Q26" s="89"/>
      <c r="R26" s="89"/>
      <c r="S26" s="89"/>
      <c r="T26" s="89"/>
      <c r="U26" s="89"/>
      <c r="V26" s="92"/>
      <c r="W26" s="92"/>
    </row>
    <row r="27" spans="2:23" x14ac:dyDescent="0.25">
      <c r="N27" s="89">
        <v>23</v>
      </c>
      <c r="O27" s="89"/>
      <c r="P27" s="89"/>
      <c r="Q27" s="89"/>
      <c r="R27" s="89"/>
      <c r="S27" s="89"/>
      <c r="T27" s="89"/>
      <c r="U27" s="89"/>
      <c r="V27" s="92"/>
      <c r="W27" s="92"/>
    </row>
    <row r="28" spans="2:23" x14ac:dyDescent="0.25">
      <c r="N28" s="89">
        <v>24</v>
      </c>
      <c r="O28" s="89"/>
      <c r="P28" s="89"/>
      <c r="Q28" s="89"/>
      <c r="R28" s="89"/>
      <c r="S28" s="89"/>
      <c r="T28" s="89"/>
      <c r="U28" s="89"/>
      <c r="V28" s="92"/>
      <c r="W28" s="92"/>
    </row>
    <row r="29" spans="2:23" x14ac:dyDescent="0.25">
      <c r="N29" s="89">
        <v>25</v>
      </c>
      <c r="O29" s="89"/>
      <c r="P29" s="89"/>
      <c r="Q29" s="89"/>
      <c r="R29" s="89"/>
      <c r="S29" s="89"/>
      <c r="T29" s="89"/>
      <c r="U29" s="89"/>
      <c r="V29" s="92"/>
      <c r="W29" s="92"/>
    </row>
    <row r="30" spans="2:23" x14ac:dyDescent="0.25">
      <c r="N30" s="89">
        <v>26</v>
      </c>
      <c r="O30" s="89"/>
      <c r="P30" s="89"/>
      <c r="Q30" s="89"/>
      <c r="R30" s="89"/>
      <c r="S30" s="89"/>
      <c r="T30" s="89"/>
      <c r="U30" s="89"/>
      <c r="V30" s="92"/>
      <c r="W30" s="92"/>
    </row>
    <row r="31" spans="2:23" x14ac:dyDescent="0.25">
      <c r="N31" s="89">
        <v>27</v>
      </c>
      <c r="O31" s="89"/>
      <c r="P31" s="89"/>
      <c r="Q31" s="89"/>
      <c r="R31" s="89"/>
      <c r="S31" s="89"/>
      <c r="T31" s="89"/>
      <c r="U31" s="89"/>
      <c r="V31" s="92"/>
      <c r="W31" s="92"/>
    </row>
    <row r="32" spans="2:23" x14ac:dyDescent="0.25">
      <c r="N32" s="89">
        <v>28</v>
      </c>
      <c r="O32" s="89"/>
      <c r="P32" s="89"/>
      <c r="Q32" s="89"/>
      <c r="R32" s="89"/>
      <c r="S32" s="89"/>
      <c r="T32" s="89"/>
      <c r="U32" s="89"/>
      <c r="V32" s="92"/>
      <c r="W32" s="92"/>
    </row>
    <row r="33" spans="14:23" x14ac:dyDescent="0.25">
      <c r="N33" s="89">
        <v>29</v>
      </c>
      <c r="O33" s="89"/>
      <c r="P33" s="89"/>
      <c r="Q33" s="89"/>
      <c r="R33" s="89"/>
      <c r="S33" s="89"/>
      <c r="T33" s="89"/>
      <c r="U33" s="89"/>
      <c r="V33" s="92"/>
      <c r="W33" s="92"/>
    </row>
    <row r="34" spans="14:23" x14ac:dyDescent="0.25">
      <c r="N34" s="89">
        <v>30</v>
      </c>
      <c r="O34" s="89"/>
      <c r="P34" s="89"/>
      <c r="Q34" s="89"/>
      <c r="R34" s="89"/>
      <c r="S34" s="89"/>
      <c r="T34" s="89"/>
      <c r="U34" s="89"/>
      <c r="V34" s="92"/>
      <c r="W34" s="92"/>
    </row>
    <row r="35" spans="14:23" x14ac:dyDescent="0.25">
      <c r="N35" s="89">
        <v>31</v>
      </c>
      <c r="O35" s="89"/>
      <c r="P35" s="89"/>
      <c r="Q35" s="89"/>
      <c r="R35" s="89"/>
      <c r="S35" s="89"/>
      <c r="T35" s="89"/>
      <c r="U35" s="89"/>
      <c r="V35" s="92"/>
      <c r="W35" s="92"/>
    </row>
    <row r="36" spans="14:23" x14ac:dyDescent="0.25">
      <c r="N36" s="89">
        <v>32</v>
      </c>
      <c r="O36" s="89"/>
      <c r="P36" s="89"/>
      <c r="Q36" s="89"/>
      <c r="R36" s="89"/>
      <c r="S36" s="89"/>
      <c r="T36" s="89"/>
      <c r="U36" s="89"/>
      <c r="V36" s="92"/>
      <c r="W36" s="92"/>
    </row>
    <row r="37" spans="14:23" x14ac:dyDescent="0.25">
      <c r="N37" s="89">
        <v>33</v>
      </c>
      <c r="O37" s="89"/>
      <c r="P37" s="89"/>
      <c r="Q37" s="89"/>
      <c r="R37" s="89"/>
      <c r="S37" s="89"/>
      <c r="T37" s="89"/>
      <c r="U37" s="89"/>
      <c r="V37" s="92"/>
      <c r="W37" s="92"/>
    </row>
    <row r="38" spans="14:23" x14ac:dyDescent="0.25">
      <c r="N38" s="89">
        <v>34</v>
      </c>
      <c r="O38" s="89"/>
      <c r="P38" s="89"/>
      <c r="Q38" s="89"/>
      <c r="R38" s="89"/>
      <c r="S38" s="89"/>
      <c r="T38" s="89"/>
      <c r="U38" s="89"/>
      <c r="V38" s="92"/>
      <c r="W38" s="92"/>
    </row>
    <row r="39" spans="14:23" x14ac:dyDescent="0.25">
      <c r="N39" s="89">
        <v>35</v>
      </c>
      <c r="O39" s="89"/>
      <c r="P39" s="89"/>
      <c r="Q39" s="89"/>
      <c r="R39" s="89"/>
      <c r="S39" s="89"/>
      <c r="T39" s="89"/>
      <c r="U39" s="89"/>
      <c r="V39" s="92"/>
      <c r="W39" s="92"/>
    </row>
    <row r="40" spans="14:23" x14ac:dyDescent="0.25">
      <c r="N40" s="89">
        <v>36</v>
      </c>
      <c r="O40" s="89"/>
      <c r="P40" s="89"/>
      <c r="Q40" s="89"/>
      <c r="R40" s="89"/>
      <c r="S40" s="89"/>
      <c r="T40" s="89"/>
      <c r="U40" s="89"/>
      <c r="V40" s="92"/>
      <c r="W40" s="92"/>
    </row>
    <row r="41" spans="14:23" x14ac:dyDescent="0.25">
      <c r="N41" s="89">
        <v>37</v>
      </c>
      <c r="O41" s="89"/>
      <c r="P41" s="89"/>
      <c r="Q41" s="89"/>
      <c r="R41" s="89"/>
      <c r="S41" s="89"/>
      <c r="T41" s="89"/>
      <c r="U41" s="89"/>
      <c r="V41" s="92"/>
      <c r="W41" s="92"/>
    </row>
    <row r="42" spans="14:23" x14ac:dyDescent="0.25">
      <c r="N42" s="89">
        <v>38</v>
      </c>
      <c r="O42" s="89"/>
      <c r="P42" s="89"/>
      <c r="Q42" s="89"/>
      <c r="R42" s="89"/>
      <c r="S42" s="89"/>
      <c r="T42" s="89"/>
      <c r="U42" s="89"/>
      <c r="V42" s="92"/>
      <c r="W42" s="92"/>
    </row>
    <row r="43" spans="14:23" x14ac:dyDescent="0.25">
      <c r="N43" s="89">
        <v>39</v>
      </c>
      <c r="O43" s="89"/>
      <c r="P43" s="89"/>
      <c r="Q43" s="89"/>
      <c r="R43" s="89"/>
      <c r="S43" s="89"/>
      <c r="T43" s="89"/>
      <c r="U43" s="89"/>
      <c r="V43" s="92"/>
      <c r="W43" s="92"/>
    </row>
    <row r="44" spans="14:23" x14ac:dyDescent="0.25">
      <c r="N44" s="89">
        <v>40</v>
      </c>
      <c r="O44" s="89"/>
      <c r="P44" s="89"/>
      <c r="Q44" s="89"/>
      <c r="R44" s="89"/>
      <c r="S44" s="89"/>
      <c r="T44" s="89"/>
      <c r="U44" s="89"/>
      <c r="V44" s="92"/>
      <c r="W44" s="92"/>
    </row>
    <row r="45" spans="14:23" x14ac:dyDescent="0.25">
      <c r="N45" s="89">
        <v>41</v>
      </c>
      <c r="O45" s="89"/>
      <c r="P45" s="89"/>
      <c r="Q45" s="89"/>
      <c r="R45" s="89"/>
      <c r="S45" s="89"/>
      <c r="T45" s="89"/>
      <c r="U45" s="89"/>
      <c r="V45" s="92"/>
      <c r="W45" s="92"/>
    </row>
    <row r="46" spans="14:23" x14ac:dyDescent="0.25">
      <c r="N46" s="89">
        <v>42</v>
      </c>
      <c r="O46" s="89"/>
      <c r="P46" s="89"/>
      <c r="Q46" s="89"/>
      <c r="R46" s="89"/>
      <c r="S46" s="89"/>
      <c r="T46" s="89"/>
      <c r="U46" s="89"/>
      <c r="V46" s="92"/>
      <c r="W46" s="92"/>
    </row>
    <row r="47" spans="14:23" x14ac:dyDescent="0.25">
      <c r="N47" s="89">
        <v>43</v>
      </c>
      <c r="O47" s="89"/>
      <c r="P47" s="89"/>
      <c r="Q47" s="89"/>
      <c r="R47" s="89"/>
      <c r="S47" s="89"/>
      <c r="T47" s="89"/>
      <c r="U47" s="89"/>
      <c r="V47" s="92"/>
      <c r="W47" s="92"/>
    </row>
    <row r="48" spans="14:23" x14ac:dyDescent="0.25">
      <c r="N48" s="89">
        <v>44</v>
      </c>
      <c r="O48" s="89"/>
      <c r="P48" s="89"/>
      <c r="Q48" s="89"/>
      <c r="R48" s="89"/>
      <c r="S48" s="89"/>
      <c r="T48" s="89"/>
      <c r="U48" s="89"/>
      <c r="V48" s="92"/>
      <c r="W48" s="92"/>
    </row>
    <row r="49" spans="14:23" x14ac:dyDescent="0.25">
      <c r="N49" s="89">
        <v>45</v>
      </c>
      <c r="O49" s="89"/>
      <c r="P49" s="89"/>
      <c r="Q49" s="89"/>
      <c r="R49" s="89"/>
      <c r="S49" s="89"/>
      <c r="T49" s="89"/>
      <c r="U49" s="89"/>
      <c r="V49" s="92"/>
      <c r="W49" s="92"/>
    </row>
    <row r="50" spans="14:23" x14ac:dyDescent="0.25">
      <c r="N50" s="89">
        <v>46</v>
      </c>
      <c r="O50" s="89"/>
      <c r="P50" s="89"/>
      <c r="Q50" s="89"/>
      <c r="R50" s="89"/>
      <c r="S50" s="89"/>
      <c r="T50" s="89"/>
      <c r="U50" s="89"/>
      <c r="V50" s="92"/>
      <c r="W50" s="92"/>
    </row>
    <row r="51" spans="14:23" x14ac:dyDescent="0.25">
      <c r="N51" s="89">
        <v>47</v>
      </c>
      <c r="O51" s="89"/>
      <c r="P51" s="89"/>
      <c r="Q51" s="89"/>
      <c r="R51" s="89"/>
      <c r="S51" s="89"/>
      <c r="T51" s="89"/>
      <c r="U51" s="89"/>
      <c r="V51" s="92"/>
      <c r="W51" s="92"/>
    </row>
    <row r="52" spans="14:23" x14ac:dyDescent="0.25">
      <c r="N52" s="89">
        <v>48</v>
      </c>
      <c r="O52" s="89"/>
      <c r="P52" s="89"/>
      <c r="Q52" s="89"/>
      <c r="R52" s="89"/>
      <c r="S52" s="89"/>
      <c r="T52" s="89"/>
      <c r="U52" s="89"/>
      <c r="V52" s="92"/>
      <c r="W52" s="92"/>
    </row>
    <row r="53" spans="14:23" x14ac:dyDescent="0.25">
      <c r="N53" s="89">
        <v>49</v>
      </c>
      <c r="O53" s="89"/>
      <c r="P53" s="89"/>
      <c r="Q53" s="89"/>
      <c r="R53" s="89"/>
      <c r="S53" s="89"/>
      <c r="T53" s="89"/>
      <c r="U53" s="89"/>
      <c r="V53" s="92"/>
      <c r="W53" s="92"/>
    </row>
    <row r="54" spans="14:23" x14ac:dyDescent="0.25">
      <c r="N54" s="89">
        <v>50</v>
      </c>
      <c r="O54" s="89"/>
      <c r="P54" s="89"/>
      <c r="Q54" s="89"/>
      <c r="R54" s="89"/>
      <c r="S54" s="89"/>
      <c r="T54" s="89"/>
      <c r="U54" s="89"/>
      <c r="V54" s="92"/>
      <c r="W54" s="92"/>
    </row>
    <row r="55" spans="14:23" x14ac:dyDescent="0.25">
      <c r="N55" s="89">
        <v>51</v>
      </c>
      <c r="O55" s="89"/>
      <c r="P55" s="89"/>
      <c r="Q55" s="89"/>
      <c r="R55" s="89"/>
      <c r="S55" s="89"/>
      <c r="T55" s="89"/>
      <c r="U55" s="89"/>
      <c r="V55" s="92"/>
      <c r="W55" s="92"/>
    </row>
    <row r="56" spans="14:23" x14ac:dyDescent="0.25">
      <c r="N56" s="89">
        <v>52</v>
      </c>
      <c r="O56" s="89"/>
      <c r="P56" s="89"/>
      <c r="Q56" s="89"/>
      <c r="R56" s="89"/>
      <c r="S56" s="89"/>
      <c r="T56" s="89"/>
      <c r="U56" s="89"/>
      <c r="V56" s="92"/>
      <c r="W56" s="92"/>
    </row>
    <row r="57" spans="14:23" x14ac:dyDescent="0.25">
      <c r="N57" s="89">
        <v>53</v>
      </c>
      <c r="O57" s="89"/>
      <c r="P57" s="89"/>
      <c r="Q57" s="89"/>
      <c r="R57" s="89"/>
      <c r="S57" s="89"/>
      <c r="T57" s="89"/>
      <c r="U57" s="89"/>
      <c r="V57" s="92"/>
      <c r="W57" s="92"/>
    </row>
    <row r="58" spans="14:23" x14ac:dyDescent="0.25">
      <c r="N58" s="89">
        <v>54</v>
      </c>
      <c r="O58" s="89"/>
      <c r="P58" s="89"/>
      <c r="Q58" s="89"/>
      <c r="R58" s="89"/>
      <c r="S58" s="89"/>
      <c r="T58" s="89"/>
      <c r="U58" s="89"/>
      <c r="V58" s="92"/>
      <c r="W58" s="92"/>
    </row>
    <row r="59" spans="14:23" x14ac:dyDescent="0.25">
      <c r="N59" s="89">
        <v>55</v>
      </c>
      <c r="O59" s="89"/>
      <c r="P59" s="89"/>
      <c r="Q59" s="89"/>
      <c r="R59" s="89"/>
      <c r="S59" s="89"/>
      <c r="T59" s="89"/>
      <c r="U59" s="89"/>
      <c r="V59" s="92"/>
      <c r="W59" s="92"/>
    </row>
    <row r="60" spans="14:23" x14ac:dyDescent="0.25">
      <c r="N60" s="89">
        <v>56</v>
      </c>
      <c r="O60" s="89"/>
      <c r="P60" s="89"/>
      <c r="Q60" s="89"/>
      <c r="R60" s="89"/>
      <c r="S60" s="89"/>
      <c r="T60" s="89"/>
      <c r="U60" s="89"/>
      <c r="V60" s="92"/>
      <c r="W60" s="92"/>
    </row>
    <row r="61" spans="14:23" x14ac:dyDescent="0.25">
      <c r="N61" s="89">
        <v>57</v>
      </c>
      <c r="O61" s="89"/>
      <c r="P61" s="89"/>
      <c r="Q61" s="89"/>
      <c r="R61" s="89"/>
      <c r="S61" s="89"/>
      <c r="T61" s="89"/>
      <c r="U61" s="89"/>
      <c r="V61" s="92"/>
      <c r="W61" s="92"/>
    </row>
    <row r="62" spans="14:23" x14ac:dyDescent="0.25">
      <c r="N62" s="89">
        <v>58</v>
      </c>
      <c r="O62" s="89"/>
      <c r="P62" s="89"/>
      <c r="Q62" s="89"/>
      <c r="R62" s="89"/>
      <c r="S62" s="89"/>
      <c r="T62" s="89"/>
      <c r="U62" s="89"/>
      <c r="V62" s="92"/>
      <c r="W62" s="92"/>
    </row>
    <row r="63" spans="14:23" x14ac:dyDescent="0.25">
      <c r="N63" s="89">
        <v>59</v>
      </c>
      <c r="O63" s="89"/>
      <c r="P63" s="89"/>
      <c r="Q63" s="89"/>
      <c r="R63" s="89"/>
      <c r="S63" s="89"/>
      <c r="T63" s="89"/>
      <c r="U63" s="89"/>
      <c r="V63" s="92"/>
      <c r="W63" s="92"/>
    </row>
    <row r="64" spans="14:23" x14ac:dyDescent="0.25">
      <c r="N64" s="89">
        <v>60</v>
      </c>
      <c r="O64" s="89"/>
      <c r="P64" s="89"/>
      <c r="Q64" s="89"/>
      <c r="R64" s="89"/>
      <c r="S64" s="89"/>
      <c r="T64" s="89"/>
      <c r="U64" s="89"/>
      <c r="V64" s="92"/>
      <c r="W64" s="92"/>
    </row>
    <row r="65" spans="14:23" x14ac:dyDescent="0.25">
      <c r="N65" s="89">
        <v>61</v>
      </c>
      <c r="O65" s="89"/>
      <c r="P65" s="89"/>
      <c r="Q65" s="89"/>
      <c r="R65" s="89"/>
      <c r="S65" s="89"/>
      <c r="T65" s="89"/>
      <c r="U65" s="89"/>
      <c r="V65" s="92"/>
      <c r="W65" s="92"/>
    </row>
    <row r="66" spans="14:23" x14ac:dyDescent="0.25">
      <c r="N66" s="89">
        <v>62</v>
      </c>
      <c r="O66" s="89"/>
      <c r="P66" s="89"/>
      <c r="Q66" s="89"/>
      <c r="R66" s="89"/>
      <c r="S66" s="89"/>
      <c r="T66" s="89"/>
      <c r="U66" s="89"/>
      <c r="V66" s="92"/>
      <c r="W66" s="92"/>
    </row>
    <row r="67" spans="14:23" x14ac:dyDescent="0.25">
      <c r="N67" s="89">
        <v>63</v>
      </c>
      <c r="O67" s="89"/>
      <c r="P67" s="89"/>
      <c r="Q67" s="89"/>
      <c r="R67" s="89"/>
      <c r="S67" s="89"/>
      <c r="T67" s="89"/>
      <c r="U67" s="89"/>
      <c r="V67" s="92"/>
      <c r="W67" s="92"/>
    </row>
    <row r="68" spans="14:23" x14ac:dyDescent="0.25">
      <c r="N68" s="89">
        <v>64</v>
      </c>
      <c r="O68" s="89"/>
      <c r="P68" s="89"/>
      <c r="Q68" s="89"/>
      <c r="R68" s="89"/>
      <c r="S68" s="89"/>
      <c r="T68" s="89"/>
      <c r="U68" s="89"/>
      <c r="V68" s="92"/>
      <c r="W68" s="92"/>
    </row>
    <row r="69" spans="14:23" x14ac:dyDescent="0.25">
      <c r="N69" s="89">
        <v>65</v>
      </c>
      <c r="O69" s="89"/>
      <c r="P69" s="89"/>
      <c r="Q69" s="89"/>
      <c r="R69" s="89"/>
      <c r="S69" s="89"/>
      <c r="T69" s="89"/>
      <c r="U69" s="89"/>
      <c r="V69" s="92"/>
      <c r="W69" s="92"/>
    </row>
    <row r="70" spans="14:23" x14ac:dyDescent="0.25">
      <c r="N70" s="89">
        <v>66</v>
      </c>
      <c r="O70" s="89"/>
      <c r="P70" s="89"/>
      <c r="Q70" s="89"/>
      <c r="R70" s="89"/>
      <c r="S70" s="89"/>
      <c r="T70" s="89"/>
      <c r="U70" s="89"/>
      <c r="V70" s="92"/>
      <c r="W70" s="92"/>
    </row>
    <row r="71" spans="14:23" x14ac:dyDescent="0.25">
      <c r="N71" s="89">
        <v>67</v>
      </c>
      <c r="O71" s="89"/>
      <c r="P71" s="89"/>
      <c r="Q71" s="89"/>
      <c r="R71" s="89"/>
      <c r="S71" s="89"/>
      <c r="T71" s="89"/>
      <c r="U71" s="89"/>
      <c r="V71" s="92"/>
      <c r="W71" s="92"/>
    </row>
    <row r="72" spans="14:23" x14ac:dyDescent="0.25">
      <c r="N72" s="89">
        <v>68</v>
      </c>
      <c r="O72" s="89"/>
      <c r="P72" s="89"/>
      <c r="Q72" s="89"/>
      <c r="R72" s="89"/>
      <c r="S72" s="89"/>
      <c r="T72" s="89"/>
      <c r="U72" s="89"/>
      <c r="V72" s="92"/>
      <c r="W72" s="92"/>
    </row>
    <row r="73" spans="14:23" x14ac:dyDescent="0.25">
      <c r="N73" s="89">
        <v>69</v>
      </c>
      <c r="O73" s="89"/>
      <c r="P73" s="89"/>
      <c r="Q73" s="89"/>
      <c r="R73" s="89"/>
      <c r="S73" s="89"/>
      <c r="T73" s="89"/>
      <c r="U73" s="89"/>
      <c r="V73" s="92"/>
      <c r="W73" s="92"/>
    </row>
    <row r="74" spans="14:23" x14ac:dyDescent="0.25">
      <c r="N74" s="89">
        <v>70</v>
      </c>
      <c r="O74" s="89"/>
      <c r="P74" s="89"/>
      <c r="Q74" s="89"/>
      <c r="R74" s="89"/>
      <c r="S74" s="89"/>
      <c r="T74" s="89"/>
      <c r="U74" s="89"/>
      <c r="V74" s="92"/>
      <c r="W74" s="92"/>
    </row>
    <row r="75" spans="14:23" x14ac:dyDescent="0.25">
      <c r="N75" s="89">
        <v>71</v>
      </c>
      <c r="O75" s="89"/>
      <c r="P75" s="89"/>
      <c r="Q75" s="89"/>
      <c r="R75" s="89"/>
      <c r="S75" s="89"/>
      <c r="T75" s="89"/>
      <c r="U75" s="89"/>
      <c r="V75" s="92"/>
      <c r="W75" s="92"/>
    </row>
    <row r="76" spans="14:23" x14ac:dyDescent="0.25">
      <c r="N76" s="89">
        <v>72</v>
      </c>
      <c r="O76" s="89"/>
      <c r="P76" s="89"/>
      <c r="Q76" s="89"/>
      <c r="R76" s="89"/>
      <c r="S76" s="89"/>
      <c r="T76" s="89"/>
      <c r="U76" s="89"/>
      <c r="V76" s="92"/>
      <c r="W76" s="92"/>
    </row>
    <row r="77" spans="14:23" x14ac:dyDescent="0.25">
      <c r="N77" s="89">
        <v>73</v>
      </c>
      <c r="O77" s="89"/>
      <c r="P77" s="89"/>
      <c r="Q77" s="89"/>
      <c r="R77" s="89"/>
      <c r="S77" s="89"/>
      <c r="T77" s="89"/>
      <c r="U77" s="89"/>
      <c r="V77" s="92"/>
      <c r="W77" s="92"/>
    </row>
    <row r="78" spans="14:23" x14ac:dyDescent="0.25">
      <c r="N78" s="89">
        <v>74</v>
      </c>
      <c r="O78" s="89"/>
      <c r="P78" s="89"/>
      <c r="Q78" s="89"/>
      <c r="R78" s="89"/>
      <c r="S78" s="89"/>
      <c r="T78" s="89"/>
      <c r="U78" s="89"/>
      <c r="V78" s="92"/>
      <c r="W78" s="92"/>
    </row>
    <row r="79" spans="14:23" x14ac:dyDescent="0.25">
      <c r="N79" s="89">
        <v>75</v>
      </c>
      <c r="O79" s="89"/>
      <c r="P79" s="89"/>
      <c r="Q79" s="89"/>
      <c r="R79" s="89"/>
      <c r="S79" s="89"/>
      <c r="T79" s="89"/>
      <c r="U79" s="89"/>
      <c r="V79" s="92"/>
      <c r="W79" s="92"/>
    </row>
    <row r="80" spans="14:23" x14ac:dyDescent="0.25">
      <c r="N80" s="89">
        <v>76</v>
      </c>
      <c r="O80" s="89"/>
      <c r="P80" s="89"/>
      <c r="Q80" s="89"/>
      <c r="R80" s="89"/>
      <c r="S80" s="89"/>
      <c r="T80" s="89"/>
      <c r="U80" s="89"/>
      <c r="V80" s="92"/>
      <c r="W80" s="92"/>
    </row>
    <row r="81" spans="14:23" x14ac:dyDescent="0.25">
      <c r="N81" s="89">
        <v>77</v>
      </c>
      <c r="O81" s="89"/>
      <c r="P81" s="89"/>
      <c r="Q81" s="89"/>
      <c r="R81" s="89"/>
      <c r="S81" s="89"/>
      <c r="T81" s="89"/>
      <c r="U81" s="89"/>
      <c r="V81" s="92"/>
      <c r="W81" s="92"/>
    </row>
    <row r="82" spans="14:23" x14ac:dyDescent="0.25">
      <c r="N82" s="89">
        <v>78</v>
      </c>
      <c r="O82" s="89"/>
      <c r="P82" s="89"/>
      <c r="Q82" s="89"/>
      <c r="R82" s="89"/>
      <c r="S82" s="89"/>
      <c r="T82" s="89"/>
      <c r="U82" s="89"/>
      <c r="V82" s="92"/>
      <c r="W82" s="92"/>
    </row>
    <row r="83" spans="14:23" x14ac:dyDescent="0.25">
      <c r="N83" s="89">
        <v>79</v>
      </c>
      <c r="O83" s="89"/>
      <c r="P83" s="89"/>
      <c r="Q83" s="89"/>
      <c r="R83" s="89"/>
      <c r="S83" s="89"/>
      <c r="T83" s="89"/>
      <c r="U83" s="89"/>
      <c r="V83" s="92"/>
      <c r="W83" s="92"/>
    </row>
    <row r="84" spans="14:23" x14ac:dyDescent="0.25">
      <c r="N84" s="89">
        <v>80</v>
      </c>
      <c r="O84" s="89"/>
      <c r="P84" s="89"/>
      <c r="Q84" s="89"/>
      <c r="R84" s="89"/>
      <c r="S84" s="89"/>
      <c r="T84" s="89"/>
      <c r="U84" s="89"/>
      <c r="V84" s="92"/>
      <c r="W84" s="92"/>
    </row>
    <row r="85" spans="14:23" x14ac:dyDescent="0.25">
      <c r="N85" s="89">
        <v>81</v>
      </c>
      <c r="O85" s="89"/>
      <c r="P85" s="89"/>
      <c r="Q85" s="89"/>
      <c r="R85" s="89"/>
      <c r="S85" s="89"/>
      <c r="T85" s="89"/>
      <c r="U85" s="89"/>
      <c r="V85" s="92"/>
      <c r="W85" s="92"/>
    </row>
    <row r="86" spans="14:23" x14ac:dyDescent="0.25">
      <c r="N86" s="89">
        <v>82</v>
      </c>
      <c r="O86" s="89"/>
      <c r="P86" s="89"/>
      <c r="Q86" s="89"/>
      <c r="R86" s="89"/>
      <c r="S86" s="89"/>
      <c r="T86" s="89"/>
      <c r="U86" s="89"/>
      <c r="V86" s="92"/>
      <c r="W86" s="92"/>
    </row>
    <row r="87" spans="14:23" x14ac:dyDescent="0.25">
      <c r="N87" s="89">
        <v>83</v>
      </c>
      <c r="O87" s="89"/>
      <c r="P87" s="89"/>
      <c r="Q87" s="89"/>
      <c r="R87" s="89"/>
      <c r="S87" s="89"/>
      <c r="T87" s="89"/>
      <c r="U87" s="89"/>
      <c r="V87" s="92"/>
      <c r="W87" s="92"/>
    </row>
    <row r="88" spans="14:23" x14ac:dyDescent="0.25">
      <c r="N88" s="89">
        <v>84</v>
      </c>
      <c r="O88" s="89"/>
      <c r="P88" s="89"/>
      <c r="Q88" s="89"/>
      <c r="R88" s="89"/>
      <c r="S88" s="89"/>
      <c r="T88" s="89"/>
      <c r="U88" s="89"/>
      <c r="V88" s="92"/>
      <c r="W88" s="92"/>
    </row>
    <row r="89" spans="14:23" x14ac:dyDescent="0.25">
      <c r="N89" s="89">
        <v>85</v>
      </c>
      <c r="O89" s="89"/>
      <c r="P89" s="89"/>
      <c r="Q89" s="89"/>
      <c r="R89" s="89"/>
      <c r="S89" s="89"/>
      <c r="T89" s="89"/>
      <c r="U89" s="89"/>
      <c r="V89" s="92"/>
      <c r="W89" s="92"/>
    </row>
    <row r="90" spans="14:23" x14ac:dyDescent="0.25">
      <c r="N90" s="89">
        <v>86</v>
      </c>
      <c r="O90" s="89"/>
      <c r="P90" s="89"/>
      <c r="Q90" s="89"/>
      <c r="R90" s="89"/>
      <c r="S90" s="89"/>
      <c r="T90" s="89"/>
      <c r="U90" s="89"/>
      <c r="V90" s="92"/>
      <c r="W90" s="92"/>
    </row>
    <row r="91" spans="14:23" x14ac:dyDescent="0.25">
      <c r="N91" s="89">
        <v>87</v>
      </c>
      <c r="O91" s="89"/>
      <c r="P91" s="89"/>
      <c r="Q91" s="89"/>
      <c r="R91" s="89"/>
      <c r="S91" s="89"/>
      <c r="T91" s="89"/>
      <c r="U91" s="89"/>
      <c r="V91" s="92"/>
      <c r="W91" s="92"/>
    </row>
    <row r="92" spans="14:23" x14ac:dyDescent="0.25">
      <c r="N92" s="89">
        <v>88</v>
      </c>
      <c r="O92" s="89"/>
      <c r="P92" s="89"/>
      <c r="Q92" s="89"/>
      <c r="R92" s="89"/>
      <c r="S92" s="89"/>
      <c r="T92" s="89"/>
      <c r="U92" s="89"/>
      <c r="V92" s="92"/>
      <c r="W92" s="92"/>
    </row>
    <row r="93" spans="14:23" x14ac:dyDescent="0.25">
      <c r="N93" s="89">
        <v>89</v>
      </c>
      <c r="O93" s="89"/>
      <c r="P93" s="89"/>
      <c r="Q93" s="89"/>
      <c r="R93" s="89"/>
      <c r="S93" s="89"/>
      <c r="T93" s="89"/>
      <c r="U93" s="89"/>
      <c r="V93" s="92"/>
      <c r="W93" s="92"/>
    </row>
    <row r="94" spans="14:23" x14ac:dyDescent="0.25">
      <c r="N94" s="89">
        <v>90</v>
      </c>
      <c r="O94" s="89"/>
      <c r="P94" s="89"/>
      <c r="Q94" s="89"/>
      <c r="R94" s="89"/>
      <c r="S94" s="89"/>
      <c r="T94" s="89"/>
      <c r="U94" s="89"/>
      <c r="V94" s="92"/>
      <c r="W94" s="92"/>
    </row>
    <row r="95" spans="14:23" x14ac:dyDescent="0.25">
      <c r="N95" s="89">
        <v>91</v>
      </c>
      <c r="O95" s="89"/>
      <c r="P95" s="89"/>
      <c r="Q95" s="89"/>
      <c r="R95" s="89"/>
      <c r="S95" s="89"/>
      <c r="T95" s="89"/>
      <c r="U95" s="89"/>
      <c r="V95" s="92"/>
      <c r="W95" s="92"/>
    </row>
    <row r="96" spans="14:23" x14ac:dyDescent="0.25">
      <c r="N96" s="89">
        <v>92</v>
      </c>
      <c r="O96" s="89"/>
      <c r="P96" s="89"/>
      <c r="Q96" s="89"/>
      <c r="R96" s="89"/>
      <c r="S96" s="89"/>
      <c r="T96" s="89"/>
      <c r="U96" s="89"/>
      <c r="V96" s="92"/>
      <c r="W96" s="92"/>
    </row>
    <row r="97" spans="14:23" x14ac:dyDescent="0.25">
      <c r="N97" s="89">
        <v>93</v>
      </c>
      <c r="O97" s="89"/>
      <c r="P97" s="89"/>
      <c r="Q97" s="89"/>
      <c r="R97" s="89"/>
      <c r="S97" s="89"/>
      <c r="T97" s="89"/>
      <c r="U97" s="89"/>
      <c r="V97" s="92"/>
      <c r="W97" s="92"/>
    </row>
    <row r="98" spans="14:23" x14ac:dyDescent="0.25">
      <c r="N98" s="89">
        <v>94</v>
      </c>
      <c r="O98" s="89"/>
      <c r="P98" s="89"/>
      <c r="Q98" s="89"/>
      <c r="R98" s="89"/>
      <c r="S98" s="89"/>
      <c r="T98" s="89"/>
      <c r="U98" s="89"/>
      <c r="V98" s="92"/>
      <c r="W98" s="92"/>
    </row>
    <row r="99" spans="14:23" x14ac:dyDescent="0.25">
      <c r="N99" s="89">
        <v>95</v>
      </c>
      <c r="O99" s="89"/>
      <c r="P99" s="89"/>
      <c r="Q99" s="89"/>
      <c r="R99" s="89"/>
      <c r="S99" s="89"/>
      <c r="T99" s="89"/>
      <c r="U99" s="89"/>
      <c r="V99" s="92"/>
      <c r="W99" s="92"/>
    </row>
    <row r="100" spans="14:23" x14ac:dyDescent="0.25">
      <c r="N100" s="89">
        <v>96</v>
      </c>
      <c r="O100" s="89"/>
      <c r="P100" s="89"/>
      <c r="Q100" s="89"/>
      <c r="R100" s="89"/>
      <c r="S100" s="89"/>
      <c r="T100" s="89"/>
      <c r="U100" s="89"/>
      <c r="V100" s="92"/>
      <c r="W100" s="92"/>
    </row>
    <row r="101" spans="14:23" x14ac:dyDescent="0.25">
      <c r="N101" s="89">
        <v>97</v>
      </c>
      <c r="O101" s="89"/>
      <c r="P101" s="89"/>
      <c r="Q101" s="89"/>
      <c r="R101" s="89"/>
      <c r="S101" s="89"/>
      <c r="T101" s="89"/>
      <c r="U101" s="89"/>
      <c r="V101" s="92"/>
      <c r="W101" s="92"/>
    </row>
    <row r="102" spans="14:23" x14ac:dyDescent="0.25">
      <c r="N102" s="89">
        <v>98</v>
      </c>
      <c r="O102" s="89"/>
      <c r="P102" s="89"/>
      <c r="Q102" s="89"/>
      <c r="R102" s="89"/>
      <c r="S102" s="89"/>
      <c r="T102" s="89"/>
      <c r="U102" s="89"/>
      <c r="V102" s="92"/>
      <c r="W102" s="92"/>
    </row>
    <row r="103" spans="14:23" x14ac:dyDescent="0.25">
      <c r="N103" s="89">
        <v>99</v>
      </c>
      <c r="O103" s="89"/>
      <c r="P103" s="89"/>
      <c r="Q103" s="89"/>
      <c r="R103" s="89"/>
      <c r="S103" s="89"/>
      <c r="T103" s="89"/>
      <c r="U103" s="89"/>
      <c r="V103" s="92"/>
      <c r="W103" s="92"/>
    </row>
    <row r="104" spans="14:23" x14ac:dyDescent="0.25">
      <c r="N104" s="89">
        <v>100</v>
      </c>
      <c r="O104" s="89"/>
      <c r="P104" s="89"/>
      <c r="Q104" s="89"/>
      <c r="R104" s="89"/>
      <c r="S104" s="89"/>
      <c r="T104" s="89"/>
      <c r="U104" s="89"/>
      <c r="V104" s="92"/>
      <c r="W104" s="92"/>
    </row>
    <row r="105" spans="14:23" x14ac:dyDescent="0.25">
      <c r="N105" s="89">
        <v>101</v>
      </c>
      <c r="O105" s="89"/>
      <c r="P105" s="89"/>
      <c r="Q105" s="89"/>
      <c r="R105" s="89"/>
      <c r="S105" s="89"/>
      <c r="T105" s="89"/>
      <c r="U105" s="89"/>
      <c r="V105" s="92"/>
      <c r="W105" s="92"/>
    </row>
    <row r="106" spans="14:23" x14ac:dyDescent="0.25">
      <c r="N106" s="89">
        <v>102</v>
      </c>
      <c r="O106" s="89"/>
      <c r="P106" s="89"/>
      <c r="Q106" s="89"/>
      <c r="R106" s="89"/>
      <c r="S106" s="89"/>
      <c r="T106" s="89"/>
      <c r="U106" s="89"/>
      <c r="V106" s="92"/>
      <c r="W106" s="92"/>
    </row>
    <row r="107" spans="14:23" x14ac:dyDescent="0.25">
      <c r="N107" s="89">
        <v>103</v>
      </c>
      <c r="O107" s="89"/>
      <c r="P107" s="89"/>
      <c r="Q107" s="89"/>
      <c r="R107" s="89"/>
      <c r="S107" s="89"/>
      <c r="T107" s="89"/>
      <c r="U107" s="89"/>
      <c r="V107" s="92"/>
      <c r="W107" s="92"/>
    </row>
    <row r="108" spans="14:23" x14ac:dyDescent="0.25">
      <c r="N108" s="89">
        <v>104</v>
      </c>
      <c r="O108" s="89"/>
      <c r="P108" s="89"/>
      <c r="Q108" s="89"/>
      <c r="R108" s="89"/>
      <c r="S108" s="89"/>
      <c r="T108" s="89"/>
      <c r="U108" s="89"/>
      <c r="V108" s="92"/>
      <c r="W108" s="92"/>
    </row>
    <row r="109" spans="14:23" x14ac:dyDescent="0.25">
      <c r="N109" s="89">
        <v>105</v>
      </c>
      <c r="O109" s="89"/>
      <c r="P109" s="89"/>
      <c r="Q109" s="89"/>
      <c r="R109" s="89"/>
      <c r="S109" s="89"/>
      <c r="T109" s="89"/>
      <c r="U109" s="89"/>
      <c r="V109" s="92"/>
      <c r="W109" s="92"/>
    </row>
    <row r="110" spans="14:23" x14ac:dyDescent="0.25">
      <c r="N110" s="89">
        <v>106</v>
      </c>
      <c r="O110" s="89"/>
      <c r="P110" s="89"/>
      <c r="Q110" s="89"/>
      <c r="R110" s="89"/>
      <c r="S110" s="89"/>
      <c r="T110" s="89"/>
      <c r="U110" s="89"/>
      <c r="V110" s="92"/>
      <c r="W110" s="92"/>
    </row>
    <row r="111" spans="14:23" x14ac:dyDescent="0.25">
      <c r="N111" s="89">
        <v>107</v>
      </c>
      <c r="O111" s="89"/>
      <c r="P111" s="89"/>
      <c r="Q111" s="89"/>
      <c r="R111" s="89"/>
      <c r="S111" s="89"/>
      <c r="T111" s="89"/>
      <c r="U111" s="89"/>
      <c r="V111" s="92"/>
      <c r="W111" s="92"/>
    </row>
    <row r="112" spans="14:23" x14ac:dyDescent="0.25">
      <c r="N112" s="89">
        <v>108</v>
      </c>
      <c r="O112" s="89"/>
      <c r="P112" s="89"/>
      <c r="Q112" s="89"/>
      <c r="R112" s="89"/>
      <c r="S112" s="89"/>
      <c r="T112" s="89"/>
      <c r="U112" s="89"/>
      <c r="V112" s="92"/>
      <c r="W112" s="92"/>
    </row>
    <row r="113" spans="14:23" x14ac:dyDescent="0.25">
      <c r="N113" s="89">
        <v>109</v>
      </c>
      <c r="O113" s="89"/>
      <c r="P113" s="89"/>
      <c r="Q113" s="89"/>
      <c r="R113" s="89"/>
      <c r="S113" s="89"/>
      <c r="T113" s="89"/>
      <c r="U113" s="89"/>
      <c r="V113" s="92"/>
      <c r="W113" s="92"/>
    </row>
    <row r="114" spans="14:23" x14ac:dyDescent="0.25">
      <c r="N114" s="89">
        <v>110</v>
      </c>
      <c r="O114" s="89"/>
      <c r="P114" s="89"/>
      <c r="Q114" s="89"/>
      <c r="R114" s="89"/>
      <c r="S114" s="89"/>
      <c r="T114" s="89"/>
      <c r="U114" s="89"/>
      <c r="V114" s="92"/>
      <c r="W114" s="92"/>
    </row>
    <row r="115" spans="14:23" x14ac:dyDescent="0.25">
      <c r="N115" s="89">
        <v>111</v>
      </c>
      <c r="O115" s="89"/>
      <c r="P115" s="89"/>
      <c r="Q115" s="89"/>
      <c r="R115" s="89"/>
      <c r="S115" s="89"/>
      <c r="T115" s="89"/>
      <c r="U115" s="89"/>
      <c r="V115" s="92"/>
      <c r="W115" s="92"/>
    </row>
    <row r="116" spans="14:23" x14ac:dyDescent="0.25">
      <c r="N116" s="89">
        <v>112</v>
      </c>
      <c r="O116" s="89"/>
      <c r="P116" s="89"/>
      <c r="Q116" s="89"/>
      <c r="R116" s="89"/>
      <c r="S116" s="89"/>
      <c r="T116" s="89"/>
      <c r="U116" s="89"/>
      <c r="V116" s="92"/>
      <c r="W116" s="92"/>
    </row>
    <row r="117" spans="14:23" x14ac:dyDescent="0.25">
      <c r="N117" s="89">
        <v>113</v>
      </c>
      <c r="O117" s="89"/>
      <c r="P117" s="89"/>
      <c r="Q117" s="89"/>
      <c r="R117" s="89"/>
      <c r="S117" s="89"/>
      <c r="T117" s="89"/>
      <c r="U117" s="89"/>
      <c r="V117" s="92"/>
      <c r="W117" s="92"/>
    </row>
    <row r="118" spans="14:23" x14ac:dyDescent="0.25">
      <c r="N118" s="89">
        <v>114</v>
      </c>
      <c r="O118" s="89"/>
      <c r="P118" s="89"/>
      <c r="Q118" s="89"/>
      <c r="R118" s="89"/>
      <c r="S118" s="89"/>
      <c r="T118" s="89"/>
      <c r="U118" s="89"/>
      <c r="V118" s="92"/>
      <c r="W118" s="92"/>
    </row>
    <row r="119" spans="14:23" x14ac:dyDescent="0.25">
      <c r="N119" s="89">
        <v>115</v>
      </c>
      <c r="O119" s="89"/>
      <c r="P119" s="89"/>
      <c r="Q119" s="89"/>
      <c r="R119" s="89"/>
      <c r="S119" s="89"/>
      <c r="T119" s="89"/>
      <c r="U119" s="89"/>
      <c r="V119" s="92"/>
      <c r="W119" s="92"/>
    </row>
    <row r="120" spans="14:23" x14ac:dyDescent="0.25">
      <c r="N120" s="89">
        <v>116</v>
      </c>
      <c r="O120" s="89"/>
      <c r="P120" s="89"/>
      <c r="Q120" s="89"/>
      <c r="R120" s="89"/>
      <c r="S120" s="89"/>
      <c r="T120" s="89"/>
      <c r="U120" s="89"/>
      <c r="V120" s="92"/>
      <c r="W120" s="92"/>
    </row>
    <row r="121" spans="14:23" x14ac:dyDescent="0.25">
      <c r="N121" s="89">
        <v>117</v>
      </c>
      <c r="O121" s="89"/>
      <c r="P121" s="89"/>
      <c r="Q121" s="89"/>
      <c r="R121" s="89"/>
      <c r="S121" s="89"/>
      <c r="T121" s="89"/>
      <c r="U121" s="89"/>
      <c r="V121" s="92"/>
      <c r="W121" s="92"/>
    </row>
    <row r="122" spans="14:23" x14ac:dyDescent="0.25">
      <c r="N122" s="89">
        <v>118</v>
      </c>
      <c r="O122" s="89"/>
      <c r="P122" s="89"/>
      <c r="Q122" s="89"/>
      <c r="R122" s="89"/>
      <c r="S122" s="89"/>
      <c r="T122" s="89"/>
      <c r="U122" s="89"/>
      <c r="V122" s="92"/>
      <c r="W122" s="92"/>
    </row>
    <row r="123" spans="14:23" x14ac:dyDescent="0.25">
      <c r="N123" s="89">
        <v>119</v>
      </c>
      <c r="O123" s="89"/>
      <c r="P123" s="89"/>
      <c r="Q123" s="89"/>
      <c r="R123" s="89"/>
      <c r="S123" s="89"/>
      <c r="T123" s="89"/>
      <c r="U123" s="89"/>
      <c r="V123" s="92"/>
      <c r="W123" s="92"/>
    </row>
    <row r="124" spans="14:23" x14ac:dyDescent="0.25">
      <c r="N124" s="89">
        <v>120</v>
      </c>
      <c r="O124" s="89"/>
      <c r="P124" s="89"/>
      <c r="Q124" s="89"/>
      <c r="R124" s="89"/>
      <c r="S124" s="89"/>
      <c r="T124" s="89"/>
      <c r="U124" s="89"/>
      <c r="V124" s="92"/>
      <c r="W124" s="92"/>
    </row>
    <row r="125" spans="14:23" x14ac:dyDescent="0.25">
      <c r="N125" s="89">
        <v>121</v>
      </c>
      <c r="O125" s="89"/>
      <c r="P125" s="89"/>
      <c r="Q125" s="89"/>
      <c r="R125" s="89"/>
      <c r="S125" s="89"/>
      <c r="T125" s="89"/>
      <c r="U125" s="89"/>
      <c r="V125" s="92"/>
      <c r="W125" s="92"/>
    </row>
    <row r="126" spans="14:23" x14ac:dyDescent="0.25">
      <c r="N126" s="89">
        <v>122</v>
      </c>
      <c r="O126" s="89"/>
      <c r="P126" s="89"/>
      <c r="Q126" s="89"/>
      <c r="R126" s="89"/>
      <c r="S126" s="89"/>
      <c r="T126" s="89"/>
      <c r="U126" s="89"/>
      <c r="V126" s="92"/>
      <c r="W126" s="92"/>
    </row>
    <row r="127" spans="14:23" x14ac:dyDescent="0.25">
      <c r="N127" s="89">
        <v>123</v>
      </c>
      <c r="O127" s="89"/>
      <c r="P127" s="89"/>
      <c r="Q127" s="89"/>
      <c r="R127" s="89"/>
      <c r="S127" s="89"/>
      <c r="T127" s="89"/>
      <c r="U127" s="89"/>
      <c r="V127" s="92"/>
      <c r="W127" s="92"/>
    </row>
    <row r="128" spans="14:23" x14ac:dyDescent="0.25">
      <c r="N128" s="89">
        <v>124</v>
      </c>
      <c r="O128" s="89"/>
      <c r="P128" s="89"/>
      <c r="Q128" s="89"/>
      <c r="R128" s="89"/>
      <c r="S128" s="89"/>
      <c r="T128" s="89"/>
      <c r="U128" s="89"/>
      <c r="V128" s="92"/>
      <c r="W128" s="92"/>
    </row>
    <row r="129" spans="14:23" x14ac:dyDescent="0.25">
      <c r="N129" s="89">
        <v>125</v>
      </c>
      <c r="O129" s="89"/>
      <c r="P129" s="89"/>
      <c r="Q129" s="89"/>
      <c r="R129" s="89"/>
      <c r="S129" s="89"/>
      <c r="T129" s="89"/>
      <c r="U129" s="89"/>
      <c r="V129" s="92"/>
      <c r="W129" s="92"/>
    </row>
    <row r="130" spans="14:23" x14ac:dyDescent="0.25">
      <c r="N130" s="89">
        <v>126</v>
      </c>
      <c r="O130" s="89"/>
      <c r="P130" s="89"/>
      <c r="Q130" s="89"/>
      <c r="R130" s="89"/>
      <c r="S130" s="89"/>
      <c r="T130" s="89"/>
      <c r="U130" s="89"/>
      <c r="V130" s="92"/>
      <c r="W130" s="92"/>
    </row>
    <row r="131" spans="14:23" x14ac:dyDescent="0.25">
      <c r="N131" s="89">
        <v>127</v>
      </c>
      <c r="O131" s="89"/>
      <c r="P131" s="89"/>
      <c r="Q131" s="89"/>
      <c r="R131" s="89"/>
      <c r="S131" s="89"/>
      <c r="T131" s="89"/>
      <c r="U131" s="89"/>
      <c r="V131" s="92"/>
      <c r="W131" s="92"/>
    </row>
    <row r="132" spans="14:23" x14ac:dyDescent="0.25">
      <c r="N132" s="89">
        <v>128</v>
      </c>
      <c r="O132" s="89"/>
      <c r="P132" s="89"/>
      <c r="Q132" s="89"/>
      <c r="R132" s="89"/>
      <c r="S132" s="89"/>
      <c r="T132" s="89"/>
      <c r="U132" s="89"/>
      <c r="V132" s="92"/>
      <c r="W132" s="92"/>
    </row>
    <row r="133" spans="14:23" x14ac:dyDescent="0.25">
      <c r="N133" s="89">
        <v>129</v>
      </c>
      <c r="O133" s="89"/>
      <c r="P133" s="89"/>
      <c r="Q133" s="89"/>
      <c r="R133" s="89"/>
      <c r="S133" s="89"/>
      <c r="T133" s="89"/>
      <c r="U133" s="89"/>
      <c r="V133" s="92"/>
      <c r="W133" s="92"/>
    </row>
    <row r="134" spans="14:23" x14ac:dyDescent="0.25">
      <c r="N134" s="89">
        <v>130</v>
      </c>
      <c r="O134" s="89"/>
      <c r="P134" s="89"/>
      <c r="Q134" s="89"/>
      <c r="R134" s="89"/>
      <c r="S134" s="89"/>
      <c r="T134" s="89"/>
      <c r="U134" s="89"/>
      <c r="V134" s="92"/>
      <c r="W134" s="92"/>
    </row>
    <row r="135" spans="14:23" x14ac:dyDescent="0.25">
      <c r="N135" s="89">
        <v>131</v>
      </c>
      <c r="O135" s="89"/>
      <c r="P135" s="89"/>
      <c r="Q135" s="89"/>
      <c r="R135" s="89"/>
      <c r="S135" s="89"/>
      <c r="T135" s="89"/>
      <c r="U135" s="89"/>
      <c r="V135" s="92"/>
      <c r="W135" s="92"/>
    </row>
    <row r="136" spans="14:23" x14ac:dyDescent="0.25">
      <c r="N136" s="89">
        <v>132</v>
      </c>
      <c r="O136" s="89"/>
      <c r="P136" s="89"/>
      <c r="Q136" s="89"/>
      <c r="R136" s="89"/>
      <c r="S136" s="89"/>
      <c r="T136" s="89"/>
      <c r="U136" s="89"/>
      <c r="V136" s="92"/>
      <c r="W136" s="92"/>
    </row>
    <row r="137" spans="14:23" x14ac:dyDescent="0.25">
      <c r="N137" s="89">
        <v>133</v>
      </c>
      <c r="O137" s="89"/>
      <c r="P137" s="89"/>
      <c r="Q137" s="89"/>
      <c r="R137" s="89"/>
      <c r="S137" s="89"/>
      <c r="T137" s="89"/>
      <c r="U137" s="89"/>
      <c r="V137" s="92"/>
      <c r="W137" s="92"/>
    </row>
    <row r="138" spans="14:23" x14ac:dyDescent="0.25">
      <c r="N138" s="89">
        <v>134</v>
      </c>
      <c r="O138" s="89"/>
      <c r="P138" s="89"/>
      <c r="Q138" s="89"/>
      <c r="R138" s="89"/>
      <c r="S138" s="89"/>
      <c r="T138" s="89"/>
      <c r="U138" s="89"/>
      <c r="V138" s="92"/>
      <c r="W138" s="92"/>
    </row>
    <row r="139" spans="14:23" x14ac:dyDescent="0.25">
      <c r="N139" s="89">
        <v>135</v>
      </c>
      <c r="O139" s="89"/>
      <c r="P139" s="89"/>
      <c r="Q139" s="89"/>
      <c r="R139" s="89"/>
      <c r="S139" s="89"/>
      <c r="T139" s="89"/>
      <c r="U139" s="89"/>
      <c r="V139" s="92"/>
      <c r="W139" s="92"/>
    </row>
    <row r="140" spans="14:23" x14ac:dyDescent="0.25">
      <c r="N140" s="89">
        <v>136</v>
      </c>
      <c r="O140" s="89"/>
      <c r="P140" s="89"/>
      <c r="Q140" s="89"/>
      <c r="R140" s="89"/>
      <c r="S140" s="89"/>
      <c r="T140" s="89"/>
      <c r="U140" s="89"/>
      <c r="V140" s="92"/>
      <c r="W140" s="92"/>
    </row>
    <row r="141" spans="14:23" x14ac:dyDescent="0.25">
      <c r="N141" s="89">
        <v>137</v>
      </c>
      <c r="O141" s="89"/>
      <c r="P141" s="89"/>
      <c r="Q141" s="89"/>
      <c r="R141" s="89"/>
      <c r="S141" s="89"/>
      <c r="T141" s="89"/>
      <c r="U141" s="89"/>
      <c r="V141" s="92"/>
      <c r="W141" s="92"/>
    </row>
    <row r="142" spans="14:23" x14ac:dyDescent="0.25">
      <c r="N142" s="89">
        <v>138</v>
      </c>
      <c r="O142" s="89"/>
      <c r="P142" s="89"/>
      <c r="Q142" s="89"/>
      <c r="R142" s="89"/>
      <c r="S142" s="89"/>
      <c r="T142" s="89"/>
      <c r="U142" s="89"/>
      <c r="V142" s="92"/>
      <c r="W142" s="92"/>
    </row>
    <row r="143" spans="14:23" x14ac:dyDescent="0.25">
      <c r="N143" s="89">
        <v>139</v>
      </c>
      <c r="O143" s="89"/>
      <c r="P143" s="89"/>
      <c r="Q143" s="89"/>
      <c r="R143" s="89"/>
      <c r="S143" s="89"/>
      <c r="T143" s="89"/>
      <c r="U143" s="89"/>
      <c r="V143" s="92"/>
      <c r="W143" s="92"/>
    </row>
    <row r="144" spans="14:23" x14ac:dyDescent="0.25">
      <c r="N144" s="89">
        <v>140</v>
      </c>
      <c r="O144" s="89"/>
      <c r="P144" s="89"/>
      <c r="Q144" s="89"/>
      <c r="R144" s="89"/>
      <c r="S144" s="89"/>
      <c r="T144" s="89"/>
      <c r="U144" s="89"/>
      <c r="V144" s="92"/>
      <c r="W144" s="92"/>
    </row>
    <row r="145" spans="14:23" x14ac:dyDescent="0.25">
      <c r="N145" s="89">
        <v>141</v>
      </c>
      <c r="O145" s="89"/>
      <c r="P145" s="89"/>
      <c r="Q145" s="89"/>
      <c r="R145" s="89"/>
      <c r="S145" s="89"/>
      <c r="T145" s="89"/>
      <c r="U145" s="89"/>
      <c r="V145" s="92"/>
      <c r="W145" s="92"/>
    </row>
    <row r="146" spans="14:23" x14ac:dyDescent="0.25">
      <c r="N146" s="89">
        <v>142</v>
      </c>
      <c r="O146" s="89"/>
      <c r="P146" s="89"/>
      <c r="Q146" s="89"/>
      <c r="R146" s="89"/>
      <c r="S146" s="89"/>
      <c r="T146" s="89"/>
      <c r="U146" s="89"/>
      <c r="V146" s="92"/>
      <c r="W146" s="92"/>
    </row>
    <row r="147" spans="14:23" x14ac:dyDescent="0.25">
      <c r="N147" s="89">
        <v>143</v>
      </c>
      <c r="O147" s="89"/>
      <c r="P147" s="89"/>
      <c r="Q147" s="89"/>
      <c r="R147" s="89"/>
      <c r="S147" s="89"/>
      <c r="T147" s="89"/>
      <c r="U147" s="89"/>
      <c r="V147" s="92"/>
      <c r="W147" s="92"/>
    </row>
    <row r="148" spans="14:23" x14ac:dyDescent="0.25">
      <c r="N148" s="89">
        <v>144</v>
      </c>
      <c r="O148" s="89"/>
      <c r="P148" s="89"/>
      <c r="Q148" s="89"/>
      <c r="R148" s="89"/>
      <c r="S148" s="89"/>
      <c r="T148" s="89"/>
      <c r="U148" s="89"/>
      <c r="V148" s="92"/>
      <c r="W148" s="92"/>
    </row>
    <row r="149" spans="14:23" x14ac:dyDescent="0.25">
      <c r="N149" s="89">
        <v>145</v>
      </c>
      <c r="O149" s="89"/>
      <c r="P149" s="89"/>
      <c r="Q149" s="89"/>
      <c r="R149" s="89"/>
      <c r="S149" s="89"/>
      <c r="T149" s="89"/>
      <c r="U149" s="89"/>
      <c r="V149" s="92"/>
      <c r="W149" s="92"/>
    </row>
    <row r="150" spans="14:23" x14ac:dyDescent="0.25">
      <c r="N150" s="89">
        <v>146</v>
      </c>
      <c r="O150" s="89"/>
      <c r="P150" s="89"/>
      <c r="Q150" s="89"/>
      <c r="R150" s="89"/>
      <c r="S150" s="89"/>
      <c r="T150" s="89"/>
      <c r="U150" s="89"/>
      <c r="V150" s="92"/>
      <c r="W150" s="92"/>
    </row>
    <row r="151" spans="14:23" x14ac:dyDescent="0.25">
      <c r="N151" s="89">
        <v>147</v>
      </c>
      <c r="O151" s="89"/>
      <c r="P151" s="89"/>
      <c r="Q151" s="89"/>
      <c r="R151" s="89"/>
      <c r="S151" s="89"/>
      <c r="T151" s="89"/>
      <c r="U151" s="89"/>
      <c r="V151" s="92"/>
      <c r="W151" s="92"/>
    </row>
    <row r="152" spans="14:23" x14ac:dyDescent="0.25">
      <c r="N152" s="89">
        <v>148</v>
      </c>
      <c r="O152" s="89"/>
      <c r="P152" s="89"/>
      <c r="Q152" s="89"/>
      <c r="R152" s="89"/>
      <c r="S152" s="89"/>
      <c r="T152" s="89"/>
      <c r="U152" s="89"/>
      <c r="V152" s="92"/>
      <c r="W152" s="92"/>
    </row>
    <row r="153" spans="14:23" x14ac:dyDescent="0.25">
      <c r="N153" s="89">
        <v>149</v>
      </c>
      <c r="O153" s="89"/>
      <c r="P153" s="89"/>
      <c r="Q153" s="89"/>
      <c r="R153" s="89"/>
      <c r="S153" s="89"/>
      <c r="T153" s="89"/>
      <c r="U153" s="89"/>
      <c r="V153" s="92"/>
      <c r="W153" s="92"/>
    </row>
    <row r="154" spans="14:23" x14ac:dyDescent="0.25">
      <c r="N154" s="89">
        <v>150</v>
      </c>
      <c r="O154" s="89"/>
      <c r="P154" s="89"/>
      <c r="Q154" s="89"/>
      <c r="R154" s="89"/>
      <c r="S154" s="89"/>
      <c r="T154" s="89"/>
      <c r="U154" s="89"/>
      <c r="V154" s="92"/>
      <c r="W154" s="92"/>
    </row>
    <row r="155" spans="14:23" x14ac:dyDescent="0.25">
      <c r="N155" s="89">
        <v>151</v>
      </c>
      <c r="O155" s="89"/>
      <c r="P155" s="89"/>
      <c r="Q155" s="89"/>
      <c r="R155" s="89"/>
      <c r="S155" s="89"/>
      <c r="T155" s="89"/>
      <c r="U155" s="89"/>
      <c r="V155" s="92"/>
      <c r="W155" s="92"/>
    </row>
    <row r="156" spans="14:23" x14ac:dyDescent="0.25">
      <c r="N156" s="89">
        <v>152</v>
      </c>
      <c r="O156" s="89"/>
      <c r="P156" s="89"/>
      <c r="Q156" s="89"/>
      <c r="R156" s="89"/>
      <c r="S156" s="89"/>
      <c r="T156" s="89"/>
      <c r="U156" s="89"/>
      <c r="V156" s="92"/>
      <c r="W156" s="92"/>
    </row>
    <row r="157" spans="14:23" x14ac:dyDescent="0.25">
      <c r="N157" s="89">
        <v>153</v>
      </c>
      <c r="O157" s="89"/>
      <c r="P157" s="89"/>
      <c r="Q157" s="89"/>
      <c r="R157" s="89"/>
      <c r="S157" s="89"/>
      <c r="T157" s="89"/>
      <c r="U157" s="89"/>
      <c r="V157" s="92"/>
      <c r="W157" s="92"/>
    </row>
    <row r="158" spans="14:23" x14ac:dyDescent="0.25">
      <c r="N158" s="89">
        <v>154</v>
      </c>
      <c r="O158" s="89"/>
      <c r="P158" s="89"/>
      <c r="Q158" s="89"/>
      <c r="R158" s="89"/>
      <c r="S158" s="89"/>
      <c r="T158" s="89"/>
      <c r="U158" s="89"/>
      <c r="V158" s="92"/>
      <c r="W158" s="92"/>
    </row>
    <row r="159" spans="14:23" x14ac:dyDescent="0.25">
      <c r="N159" s="89">
        <v>155</v>
      </c>
      <c r="O159" s="89"/>
      <c r="P159" s="89"/>
      <c r="Q159" s="89"/>
      <c r="R159" s="89"/>
      <c r="S159" s="89"/>
      <c r="T159" s="89"/>
      <c r="U159" s="89"/>
      <c r="V159" s="92"/>
      <c r="W159" s="92"/>
    </row>
    <row r="160" spans="14:23" x14ac:dyDescent="0.25">
      <c r="N160" s="89">
        <v>156</v>
      </c>
      <c r="O160" s="89"/>
      <c r="P160" s="89"/>
      <c r="Q160" s="89"/>
      <c r="R160" s="89"/>
      <c r="S160" s="89"/>
      <c r="T160" s="89"/>
      <c r="U160" s="89"/>
      <c r="V160" s="92"/>
      <c r="W160" s="92"/>
    </row>
    <row r="161" spans="14:23" x14ac:dyDescent="0.25">
      <c r="N161" s="89">
        <v>157</v>
      </c>
      <c r="O161" s="89"/>
      <c r="P161" s="89"/>
      <c r="Q161" s="89"/>
      <c r="R161" s="89"/>
      <c r="S161" s="89"/>
      <c r="T161" s="89"/>
      <c r="U161" s="89"/>
      <c r="V161" s="92"/>
      <c r="W161" s="92"/>
    </row>
    <row r="162" spans="14:23" x14ac:dyDescent="0.25">
      <c r="N162" s="89">
        <v>158</v>
      </c>
      <c r="O162" s="89"/>
      <c r="P162" s="89"/>
      <c r="Q162" s="89"/>
      <c r="R162" s="89"/>
      <c r="S162" s="89"/>
      <c r="T162" s="89"/>
      <c r="U162" s="89"/>
      <c r="V162" s="92"/>
      <c r="W162" s="92"/>
    </row>
    <row r="163" spans="14:23" x14ac:dyDescent="0.25">
      <c r="N163" s="89">
        <v>159</v>
      </c>
      <c r="O163" s="89"/>
      <c r="P163" s="89"/>
      <c r="Q163" s="89"/>
      <c r="R163" s="89"/>
      <c r="S163" s="89"/>
      <c r="T163" s="89"/>
      <c r="U163" s="89"/>
      <c r="V163" s="92"/>
      <c r="W163" s="92"/>
    </row>
    <row r="164" spans="14:23" x14ac:dyDescent="0.25">
      <c r="N164" s="89">
        <v>160</v>
      </c>
      <c r="O164" s="89"/>
      <c r="P164" s="89"/>
      <c r="Q164" s="89"/>
      <c r="R164" s="89"/>
      <c r="S164" s="89"/>
      <c r="T164" s="89"/>
      <c r="U164" s="89"/>
      <c r="V164" s="92"/>
      <c r="W164" s="92"/>
    </row>
    <row r="165" spans="14:23" x14ac:dyDescent="0.25">
      <c r="N165" s="89">
        <v>161</v>
      </c>
      <c r="O165" s="89"/>
      <c r="P165" s="89"/>
      <c r="Q165" s="89"/>
      <c r="R165" s="89"/>
      <c r="S165" s="89"/>
      <c r="T165" s="89"/>
      <c r="U165" s="89"/>
      <c r="V165" s="92"/>
      <c r="W165" s="92"/>
    </row>
    <row r="166" spans="14:23" x14ac:dyDescent="0.25">
      <c r="N166" s="89">
        <v>162</v>
      </c>
      <c r="O166" s="89"/>
      <c r="P166" s="89"/>
      <c r="Q166" s="89"/>
      <c r="R166" s="89"/>
      <c r="S166" s="89"/>
      <c r="T166" s="89"/>
      <c r="U166" s="89"/>
      <c r="V166" s="92"/>
      <c r="W166" s="92"/>
    </row>
    <row r="167" spans="14:23" x14ac:dyDescent="0.25">
      <c r="N167" s="89">
        <v>163</v>
      </c>
      <c r="O167" s="89"/>
      <c r="P167" s="89"/>
      <c r="Q167" s="89"/>
      <c r="R167" s="89"/>
      <c r="S167" s="89"/>
      <c r="T167" s="89"/>
      <c r="U167" s="89"/>
      <c r="V167" s="92"/>
      <c r="W167" s="92"/>
    </row>
    <row r="168" spans="14:23" x14ac:dyDescent="0.25">
      <c r="N168" s="89">
        <v>164</v>
      </c>
      <c r="O168" s="89"/>
      <c r="P168" s="89"/>
      <c r="Q168" s="89"/>
      <c r="R168" s="89"/>
      <c r="S168" s="89"/>
      <c r="T168" s="89"/>
      <c r="U168" s="89"/>
      <c r="V168" s="92"/>
      <c r="W168" s="92"/>
    </row>
    <row r="169" spans="14:23" x14ac:dyDescent="0.25">
      <c r="N169" s="89">
        <v>165</v>
      </c>
      <c r="O169" s="89"/>
      <c r="P169" s="89"/>
      <c r="Q169" s="89"/>
      <c r="R169" s="89"/>
      <c r="S169" s="89"/>
      <c r="T169" s="89"/>
      <c r="U169" s="89"/>
      <c r="V169" s="92"/>
      <c r="W169" s="92"/>
    </row>
    <row r="170" spans="14:23" x14ac:dyDescent="0.25">
      <c r="N170" s="89">
        <v>166</v>
      </c>
      <c r="O170" s="89"/>
      <c r="P170" s="89"/>
      <c r="Q170" s="89"/>
      <c r="R170" s="89"/>
      <c r="S170" s="89"/>
      <c r="T170" s="89"/>
      <c r="U170" s="89"/>
      <c r="V170" s="92"/>
      <c r="W170" s="92"/>
    </row>
    <row r="171" spans="14:23" x14ac:dyDescent="0.25">
      <c r="N171" s="89">
        <v>167</v>
      </c>
      <c r="O171" s="89"/>
      <c r="P171" s="89"/>
      <c r="Q171" s="89"/>
      <c r="R171" s="89"/>
      <c r="S171" s="89"/>
      <c r="T171" s="89"/>
      <c r="U171" s="89"/>
      <c r="V171" s="92"/>
      <c r="W171" s="92"/>
    </row>
    <row r="172" spans="14:23" x14ac:dyDescent="0.25">
      <c r="N172" s="89">
        <v>168</v>
      </c>
      <c r="O172" s="89"/>
      <c r="P172" s="89"/>
      <c r="Q172" s="89"/>
      <c r="R172" s="89"/>
      <c r="S172" s="89"/>
      <c r="T172" s="89"/>
      <c r="U172" s="89"/>
      <c r="V172" s="92"/>
      <c r="W172" s="92"/>
    </row>
    <row r="173" spans="14:23" x14ac:dyDescent="0.25">
      <c r="N173" s="89">
        <v>169</v>
      </c>
      <c r="O173" s="89"/>
      <c r="P173" s="89"/>
      <c r="Q173" s="89"/>
      <c r="R173" s="89"/>
      <c r="S173" s="89"/>
      <c r="T173" s="89"/>
      <c r="U173" s="89"/>
      <c r="V173" s="92"/>
      <c r="W173" s="92"/>
    </row>
    <row r="174" spans="14:23" x14ac:dyDescent="0.25">
      <c r="N174" s="89">
        <v>170</v>
      </c>
      <c r="O174" s="89"/>
      <c r="P174" s="89"/>
      <c r="Q174" s="89"/>
      <c r="R174" s="89"/>
      <c r="S174" s="89"/>
      <c r="T174" s="89"/>
      <c r="U174" s="89"/>
      <c r="V174" s="92"/>
      <c r="W174" s="92"/>
    </row>
    <row r="175" spans="14:23" x14ac:dyDescent="0.25">
      <c r="N175" s="89">
        <v>171</v>
      </c>
      <c r="O175" s="89"/>
      <c r="P175" s="89"/>
      <c r="Q175" s="89"/>
      <c r="R175" s="89"/>
      <c r="S175" s="89"/>
      <c r="T175" s="89"/>
      <c r="U175" s="89"/>
      <c r="V175" s="92"/>
      <c r="W175" s="92"/>
    </row>
    <row r="176" spans="14:23" x14ac:dyDescent="0.25">
      <c r="N176" s="89">
        <v>172</v>
      </c>
      <c r="O176" s="89"/>
      <c r="P176" s="89"/>
      <c r="Q176" s="89"/>
      <c r="R176" s="89"/>
      <c r="S176" s="89"/>
      <c r="T176" s="89"/>
      <c r="U176" s="89"/>
      <c r="V176" s="92"/>
      <c r="W176" s="92"/>
    </row>
    <row r="177" spans="14:23" x14ac:dyDescent="0.25">
      <c r="N177" s="89">
        <v>173</v>
      </c>
      <c r="O177" s="89"/>
      <c r="P177" s="89"/>
      <c r="Q177" s="89"/>
      <c r="R177" s="89"/>
      <c r="S177" s="89"/>
      <c r="T177" s="89"/>
      <c r="U177" s="89"/>
      <c r="V177" s="92"/>
      <c r="W177" s="92"/>
    </row>
    <row r="178" spans="14:23" x14ac:dyDescent="0.25">
      <c r="N178" s="89">
        <v>174</v>
      </c>
      <c r="O178" s="89"/>
      <c r="P178" s="89"/>
      <c r="Q178" s="89"/>
      <c r="R178" s="89"/>
      <c r="S178" s="89"/>
      <c r="T178" s="89"/>
      <c r="U178" s="89"/>
      <c r="V178" s="92"/>
      <c r="W178" s="92"/>
    </row>
    <row r="179" spans="14:23" x14ac:dyDescent="0.25">
      <c r="N179" s="89">
        <v>175</v>
      </c>
      <c r="O179" s="89"/>
      <c r="P179" s="89"/>
      <c r="Q179" s="89"/>
      <c r="R179" s="89"/>
      <c r="S179" s="89"/>
      <c r="T179" s="89"/>
      <c r="U179" s="89"/>
      <c r="V179" s="92"/>
      <c r="W179" s="92"/>
    </row>
    <row r="180" spans="14:23" x14ac:dyDescent="0.25">
      <c r="N180" s="89">
        <v>176</v>
      </c>
      <c r="O180" s="89"/>
      <c r="P180" s="89"/>
      <c r="Q180" s="89"/>
      <c r="R180" s="89"/>
      <c r="S180" s="89"/>
      <c r="T180" s="89"/>
      <c r="U180" s="89"/>
      <c r="V180" s="92"/>
      <c r="W180" s="92"/>
    </row>
    <row r="181" spans="14:23" x14ac:dyDescent="0.25">
      <c r="N181" s="89">
        <v>177</v>
      </c>
      <c r="O181" s="89"/>
      <c r="P181" s="89"/>
      <c r="Q181" s="89"/>
      <c r="R181" s="89"/>
      <c r="S181" s="89"/>
      <c r="T181" s="89"/>
      <c r="U181" s="89"/>
      <c r="V181" s="92"/>
      <c r="W181" s="92"/>
    </row>
    <row r="182" spans="14:23" x14ac:dyDescent="0.25">
      <c r="N182" s="89">
        <v>178</v>
      </c>
      <c r="O182" s="89"/>
      <c r="P182" s="89"/>
      <c r="Q182" s="89"/>
      <c r="R182" s="89"/>
      <c r="S182" s="89"/>
      <c r="T182" s="89"/>
      <c r="U182" s="89"/>
      <c r="V182" s="92"/>
      <c r="W182" s="92"/>
    </row>
    <row r="183" spans="14:23" x14ac:dyDescent="0.25">
      <c r="N183" s="89">
        <v>179</v>
      </c>
      <c r="O183" s="89"/>
      <c r="P183" s="89"/>
      <c r="Q183" s="89"/>
      <c r="R183" s="89"/>
      <c r="S183" s="89"/>
      <c r="T183" s="89"/>
      <c r="U183" s="89"/>
      <c r="V183" s="92"/>
      <c r="W183" s="92"/>
    </row>
    <row r="184" spans="14:23" x14ac:dyDescent="0.25">
      <c r="N184" s="89">
        <v>180</v>
      </c>
      <c r="O184" s="89"/>
      <c r="P184" s="89"/>
      <c r="Q184" s="89"/>
      <c r="R184" s="89"/>
      <c r="S184" s="89"/>
      <c r="T184" s="89"/>
      <c r="U184" s="89"/>
      <c r="V184" s="92"/>
      <c r="W184" s="92"/>
    </row>
    <row r="185" spans="14:23" x14ac:dyDescent="0.25">
      <c r="N185" s="89">
        <v>181</v>
      </c>
      <c r="O185" s="89"/>
      <c r="P185" s="89"/>
      <c r="Q185" s="89"/>
      <c r="R185" s="89"/>
      <c r="S185" s="89"/>
      <c r="T185" s="89"/>
      <c r="U185" s="89"/>
      <c r="V185" s="92"/>
      <c r="W185" s="92"/>
    </row>
    <row r="186" spans="14:23" x14ac:dyDescent="0.25">
      <c r="N186" s="89">
        <v>182</v>
      </c>
      <c r="O186" s="89"/>
      <c r="P186" s="89"/>
      <c r="Q186" s="89"/>
      <c r="R186" s="89"/>
      <c r="S186" s="89"/>
      <c r="T186" s="89"/>
      <c r="U186" s="89"/>
      <c r="V186" s="92"/>
      <c r="W186" s="92"/>
    </row>
    <row r="187" spans="14:23" x14ac:dyDescent="0.25">
      <c r="N187" s="89">
        <v>183</v>
      </c>
      <c r="O187" s="89"/>
      <c r="P187" s="89"/>
      <c r="Q187" s="89"/>
      <c r="R187" s="89"/>
      <c r="S187" s="89"/>
      <c r="T187" s="89"/>
      <c r="U187" s="89"/>
      <c r="V187" s="92"/>
      <c r="W187" s="92"/>
    </row>
    <row r="188" spans="14:23" x14ac:dyDescent="0.25">
      <c r="N188" s="89">
        <v>184</v>
      </c>
      <c r="O188" s="89"/>
      <c r="P188" s="89"/>
      <c r="Q188" s="89"/>
      <c r="R188" s="89"/>
      <c r="S188" s="89"/>
      <c r="T188" s="89"/>
      <c r="U188" s="89"/>
      <c r="V188" s="92"/>
      <c r="W188" s="92"/>
    </row>
    <row r="189" spans="14:23" x14ac:dyDescent="0.25">
      <c r="N189" s="89">
        <v>185</v>
      </c>
      <c r="O189" s="89"/>
      <c r="P189" s="89"/>
      <c r="Q189" s="89"/>
      <c r="R189" s="89"/>
      <c r="S189" s="89"/>
      <c r="T189" s="89"/>
      <c r="U189" s="89"/>
      <c r="V189" s="92"/>
      <c r="W189" s="92"/>
    </row>
    <row r="190" spans="14:23" x14ac:dyDescent="0.25">
      <c r="N190" s="89">
        <v>186</v>
      </c>
      <c r="O190" s="89"/>
      <c r="P190" s="89"/>
      <c r="Q190" s="89"/>
      <c r="R190" s="89"/>
      <c r="S190" s="89"/>
      <c r="T190" s="89"/>
      <c r="U190" s="89"/>
      <c r="V190" s="92"/>
      <c r="W190" s="92"/>
    </row>
    <row r="191" spans="14:23" x14ac:dyDescent="0.25">
      <c r="N191" s="89">
        <v>187</v>
      </c>
      <c r="O191" s="89"/>
      <c r="P191" s="89"/>
      <c r="Q191" s="89"/>
      <c r="R191" s="89"/>
      <c r="S191" s="89"/>
      <c r="T191" s="89"/>
      <c r="U191" s="89"/>
      <c r="V191" s="92"/>
      <c r="W191" s="92"/>
    </row>
    <row r="192" spans="14:23" x14ac:dyDescent="0.25">
      <c r="N192" s="89">
        <v>188</v>
      </c>
      <c r="O192" s="89"/>
      <c r="P192" s="89"/>
      <c r="Q192" s="89"/>
      <c r="R192" s="89"/>
      <c r="S192" s="89"/>
      <c r="T192" s="89"/>
      <c r="U192" s="89"/>
      <c r="V192" s="92"/>
      <c r="W192" s="92"/>
    </row>
    <row r="193" spans="14:23" x14ac:dyDescent="0.25">
      <c r="N193" s="89">
        <v>189</v>
      </c>
      <c r="O193" s="89"/>
      <c r="P193" s="89"/>
      <c r="Q193" s="89"/>
      <c r="R193" s="89"/>
      <c r="S193" s="89"/>
      <c r="T193" s="89"/>
      <c r="U193" s="89"/>
      <c r="V193" s="92"/>
      <c r="W193" s="92"/>
    </row>
    <row r="194" spans="14:23" x14ac:dyDescent="0.25">
      <c r="N194" s="89">
        <v>190</v>
      </c>
      <c r="O194" s="89"/>
      <c r="P194" s="89"/>
      <c r="Q194" s="89"/>
      <c r="R194" s="89"/>
      <c r="S194" s="89"/>
      <c r="T194" s="89"/>
      <c r="U194" s="89"/>
      <c r="V194" s="92"/>
      <c r="W194" s="92"/>
    </row>
    <row r="195" spans="14:23" x14ac:dyDescent="0.25">
      <c r="N195" s="89">
        <v>191</v>
      </c>
      <c r="O195" s="89"/>
      <c r="P195" s="89"/>
      <c r="Q195" s="89"/>
      <c r="R195" s="89"/>
      <c r="S195" s="89"/>
      <c r="T195" s="89"/>
      <c r="U195" s="89"/>
      <c r="V195" s="92"/>
      <c r="W195" s="92"/>
    </row>
    <row r="196" spans="14:23" x14ac:dyDescent="0.25">
      <c r="N196" s="89">
        <v>192</v>
      </c>
      <c r="O196" s="89"/>
      <c r="P196" s="89"/>
      <c r="Q196" s="89"/>
      <c r="R196" s="89"/>
      <c r="S196" s="89"/>
      <c r="T196" s="89"/>
      <c r="U196" s="89"/>
      <c r="V196" s="92"/>
      <c r="W196" s="92"/>
    </row>
    <row r="197" spans="14:23" x14ac:dyDescent="0.25">
      <c r="N197" s="89">
        <v>193</v>
      </c>
      <c r="O197" s="89"/>
      <c r="P197" s="89"/>
      <c r="Q197" s="89"/>
      <c r="R197" s="89"/>
      <c r="S197" s="89"/>
      <c r="T197" s="89"/>
      <c r="U197" s="89"/>
      <c r="V197" s="92"/>
      <c r="W197" s="92"/>
    </row>
    <row r="198" spans="14:23" x14ac:dyDescent="0.25">
      <c r="N198" s="89">
        <v>194</v>
      </c>
      <c r="O198" s="89"/>
      <c r="P198" s="89"/>
      <c r="Q198" s="89"/>
      <c r="R198" s="89"/>
      <c r="S198" s="89"/>
      <c r="T198" s="89"/>
      <c r="U198" s="89"/>
      <c r="V198" s="92"/>
      <c r="W198" s="92"/>
    </row>
    <row r="199" spans="14:23" x14ac:dyDescent="0.25">
      <c r="N199" s="89">
        <v>195</v>
      </c>
      <c r="O199" s="89"/>
      <c r="P199" s="89"/>
      <c r="Q199" s="89"/>
      <c r="R199" s="89"/>
      <c r="S199" s="89"/>
      <c r="T199" s="89"/>
      <c r="U199" s="89"/>
      <c r="V199" s="92"/>
      <c r="W199" s="92"/>
    </row>
    <row r="200" spans="14:23" x14ac:dyDescent="0.25">
      <c r="N200" s="89">
        <v>196</v>
      </c>
      <c r="O200" s="89"/>
      <c r="P200" s="89"/>
      <c r="Q200" s="89"/>
      <c r="R200" s="89"/>
      <c r="S200" s="89"/>
      <c r="T200" s="89"/>
      <c r="U200" s="89"/>
      <c r="V200" s="92"/>
      <c r="W200" s="92"/>
    </row>
    <row r="201" spans="14:23" x14ac:dyDescent="0.25">
      <c r="N201" s="89">
        <v>197</v>
      </c>
      <c r="O201" s="89"/>
      <c r="P201" s="89"/>
      <c r="Q201" s="89"/>
      <c r="R201" s="89"/>
      <c r="S201" s="89"/>
      <c r="T201" s="89"/>
      <c r="U201" s="89"/>
      <c r="V201" s="92"/>
      <c r="W201" s="92"/>
    </row>
    <row r="202" spans="14:23" x14ac:dyDescent="0.25">
      <c r="N202" s="89">
        <v>198</v>
      </c>
      <c r="O202" s="89"/>
      <c r="P202" s="89"/>
      <c r="Q202" s="89"/>
      <c r="R202" s="89"/>
      <c r="S202" s="89"/>
      <c r="T202" s="89"/>
      <c r="U202" s="89"/>
      <c r="V202" s="92"/>
      <c r="W202" s="92"/>
    </row>
    <row r="203" spans="14:23" x14ac:dyDescent="0.25">
      <c r="N203" s="89">
        <v>199</v>
      </c>
      <c r="O203" s="89"/>
      <c r="P203" s="89"/>
      <c r="Q203" s="89"/>
      <c r="R203" s="89"/>
      <c r="S203" s="89"/>
      <c r="T203" s="89"/>
      <c r="U203" s="89"/>
      <c r="V203" s="92"/>
      <c r="W203" s="92"/>
    </row>
    <row r="204" spans="14:23" x14ac:dyDescent="0.25">
      <c r="N204" s="89">
        <v>200</v>
      </c>
      <c r="O204" s="89"/>
      <c r="P204" s="89"/>
      <c r="Q204" s="89"/>
      <c r="R204" s="89"/>
      <c r="S204" s="89"/>
      <c r="T204" s="89"/>
      <c r="U204" s="89"/>
      <c r="V204" s="92"/>
      <c r="W204" s="92"/>
    </row>
    <row r="205" spans="14:23" x14ac:dyDescent="0.25">
      <c r="N205" s="89">
        <v>201</v>
      </c>
      <c r="O205" s="89"/>
      <c r="P205" s="89"/>
      <c r="Q205" s="89"/>
      <c r="R205" s="89"/>
      <c r="S205" s="89"/>
      <c r="T205" s="89"/>
      <c r="U205" s="89"/>
      <c r="V205" s="92"/>
      <c r="W205" s="92"/>
    </row>
    <row r="206" spans="14:23" x14ac:dyDescent="0.25">
      <c r="N206" s="89">
        <v>202</v>
      </c>
      <c r="O206" s="89"/>
      <c r="P206" s="89"/>
      <c r="Q206" s="89"/>
      <c r="R206" s="89"/>
      <c r="S206" s="89"/>
      <c r="T206" s="89"/>
      <c r="U206" s="89"/>
      <c r="V206" s="92"/>
      <c r="W206" s="92"/>
    </row>
    <row r="207" spans="14:23" x14ac:dyDescent="0.25">
      <c r="N207" s="89">
        <v>203</v>
      </c>
      <c r="O207" s="89"/>
      <c r="P207" s="89"/>
      <c r="Q207" s="89"/>
      <c r="R207" s="89"/>
      <c r="S207" s="89"/>
      <c r="T207" s="89"/>
      <c r="U207" s="89"/>
      <c r="V207" s="92"/>
      <c r="W207" s="92"/>
    </row>
    <row r="208" spans="14:23" x14ac:dyDescent="0.25">
      <c r="N208" s="89">
        <v>204</v>
      </c>
      <c r="O208" s="89"/>
      <c r="P208" s="89"/>
      <c r="Q208" s="89"/>
      <c r="R208" s="89"/>
      <c r="S208" s="89"/>
      <c r="T208" s="89"/>
      <c r="U208" s="89"/>
      <c r="V208" s="92"/>
      <c r="W208" s="92"/>
    </row>
    <row r="209" spans="14:23" x14ac:dyDescent="0.25">
      <c r="N209" s="89">
        <v>205</v>
      </c>
      <c r="O209" s="89"/>
      <c r="P209" s="89"/>
      <c r="Q209" s="89"/>
      <c r="R209" s="89"/>
      <c r="S209" s="89"/>
      <c r="T209" s="89"/>
      <c r="U209" s="89"/>
      <c r="V209" s="92"/>
      <c r="W209" s="92"/>
    </row>
    <row r="210" spans="14:23" x14ac:dyDescent="0.25">
      <c r="N210" s="89">
        <v>206</v>
      </c>
      <c r="O210" s="89"/>
      <c r="P210" s="89"/>
      <c r="Q210" s="89"/>
      <c r="R210" s="89"/>
      <c r="S210" s="89"/>
      <c r="T210" s="89"/>
      <c r="U210" s="89"/>
      <c r="V210" s="92"/>
      <c r="W210" s="92"/>
    </row>
    <row r="211" spans="14:23" x14ac:dyDescent="0.25">
      <c r="N211" s="89">
        <v>207</v>
      </c>
      <c r="O211" s="89"/>
      <c r="P211" s="89"/>
      <c r="Q211" s="89"/>
      <c r="R211" s="89"/>
      <c r="S211" s="89"/>
      <c r="T211" s="89"/>
      <c r="U211" s="89"/>
      <c r="V211" s="92"/>
      <c r="W211" s="92"/>
    </row>
    <row r="212" spans="14:23" x14ac:dyDescent="0.25">
      <c r="N212" s="89">
        <v>208</v>
      </c>
      <c r="O212" s="89"/>
      <c r="P212" s="89"/>
      <c r="Q212" s="89"/>
      <c r="R212" s="89"/>
      <c r="S212" s="89"/>
      <c r="T212" s="89"/>
      <c r="U212" s="89"/>
      <c r="V212" s="92"/>
      <c r="W212" s="92"/>
    </row>
    <row r="213" spans="14:23" x14ac:dyDescent="0.25">
      <c r="N213" s="89">
        <v>209</v>
      </c>
      <c r="O213" s="89"/>
      <c r="P213" s="89"/>
      <c r="Q213" s="89"/>
      <c r="R213" s="89"/>
      <c r="S213" s="89"/>
      <c r="T213" s="89"/>
      <c r="U213" s="89"/>
      <c r="V213" s="92"/>
      <c r="W213" s="92"/>
    </row>
    <row r="214" spans="14:23" x14ac:dyDescent="0.25">
      <c r="N214" s="89">
        <v>210</v>
      </c>
      <c r="O214" s="89"/>
      <c r="P214" s="89"/>
      <c r="Q214" s="89"/>
      <c r="R214" s="89"/>
      <c r="S214" s="89"/>
      <c r="T214" s="89"/>
      <c r="U214" s="89"/>
      <c r="V214" s="92"/>
      <c r="W214" s="92"/>
    </row>
    <row r="215" spans="14:23" x14ac:dyDescent="0.25">
      <c r="N215" s="89">
        <v>211</v>
      </c>
      <c r="O215" s="89"/>
      <c r="P215" s="89"/>
      <c r="Q215" s="89"/>
      <c r="R215" s="89"/>
      <c r="S215" s="89"/>
      <c r="T215" s="89"/>
      <c r="U215" s="89"/>
      <c r="V215" s="92"/>
      <c r="W215" s="92"/>
    </row>
    <row r="216" spans="14:23" x14ac:dyDescent="0.25">
      <c r="N216" s="89">
        <v>212</v>
      </c>
      <c r="O216" s="89"/>
      <c r="P216" s="89"/>
      <c r="Q216" s="89"/>
      <c r="R216" s="89"/>
      <c r="S216" s="89"/>
      <c r="T216" s="89"/>
      <c r="U216" s="89"/>
      <c r="V216" s="92"/>
      <c r="W216" s="92"/>
    </row>
    <row r="217" spans="14:23" x14ac:dyDescent="0.25">
      <c r="N217" s="89">
        <v>213</v>
      </c>
      <c r="O217" s="89"/>
      <c r="P217" s="89"/>
      <c r="Q217" s="89"/>
      <c r="R217" s="89"/>
      <c r="S217" s="89"/>
      <c r="T217" s="89"/>
      <c r="U217" s="89"/>
      <c r="V217" s="92"/>
      <c r="W217" s="92"/>
    </row>
    <row r="218" spans="14:23" x14ac:dyDescent="0.25">
      <c r="N218" s="89">
        <v>214</v>
      </c>
      <c r="O218" s="89"/>
      <c r="P218" s="89"/>
      <c r="Q218" s="89"/>
      <c r="R218" s="89"/>
      <c r="S218" s="89"/>
      <c r="T218" s="89"/>
      <c r="U218" s="89"/>
      <c r="V218" s="92"/>
      <c r="W218" s="92"/>
    </row>
    <row r="219" spans="14:23" x14ac:dyDescent="0.25">
      <c r="N219" s="89">
        <v>215</v>
      </c>
      <c r="O219" s="89"/>
      <c r="P219" s="89"/>
      <c r="Q219" s="89"/>
      <c r="R219" s="89"/>
      <c r="S219" s="89"/>
      <c r="T219" s="89"/>
      <c r="U219" s="89"/>
      <c r="V219" s="92"/>
      <c r="W219" s="92"/>
    </row>
    <row r="220" spans="14:23" x14ac:dyDescent="0.25">
      <c r="N220" s="89">
        <v>216</v>
      </c>
      <c r="O220" s="89"/>
      <c r="P220" s="89"/>
      <c r="Q220" s="89"/>
      <c r="R220" s="89"/>
      <c r="S220" s="89"/>
      <c r="T220" s="89"/>
      <c r="U220" s="89"/>
      <c r="V220" s="92"/>
      <c r="W220" s="92"/>
    </row>
    <row r="221" spans="14:23" x14ac:dyDescent="0.25">
      <c r="N221" s="89">
        <v>217</v>
      </c>
      <c r="O221" s="89"/>
      <c r="P221" s="89"/>
      <c r="Q221" s="89"/>
      <c r="R221" s="89"/>
      <c r="S221" s="89"/>
      <c r="T221" s="89"/>
      <c r="U221" s="89"/>
      <c r="V221" s="92"/>
      <c r="W221" s="92"/>
    </row>
    <row r="222" spans="14:23" x14ac:dyDescent="0.25">
      <c r="N222" s="89">
        <v>218</v>
      </c>
      <c r="O222" s="89"/>
      <c r="P222" s="89"/>
      <c r="Q222" s="89"/>
      <c r="R222" s="89"/>
      <c r="S222" s="89"/>
      <c r="T222" s="89"/>
      <c r="U222" s="89"/>
      <c r="V222" s="92"/>
      <c r="W222" s="92"/>
    </row>
    <row r="223" spans="14:23" x14ac:dyDescent="0.25">
      <c r="N223" s="89">
        <v>219</v>
      </c>
      <c r="O223" s="89"/>
      <c r="P223" s="89"/>
      <c r="Q223" s="89"/>
      <c r="R223" s="89"/>
      <c r="S223" s="89"/>
      <c r="T223" s="89"/>
      <c r="U223" s="89"/>
      <c r="V223" s="92"/>
      <c r="W223" s="92"/>
    </row>
    <row r="224" spans="14:23" x14ac:dyDescent="0.25">
      <c r="N224" s="89">
        <v>220</v>
      </c>
      <c r="O224" s="89"/>
      <c r="P224" s="89"/>
      <c r="Q224" s="89"/>
      <c r="R224" s="89"/>
      <c r="S224" s="89"/>
      <c r="T224" s="89"/>
      <c r="U224" s="89"/>
      <c r="V224" s="92"/>
      <c r="W224" s="92"/>
    </row>
    <row r="225" spans="14:23" x14ac:dyDescent="0.25">
      <c r="N225" s="89">
        <v>221</v>
      </c>
      <c r="O225" s="89"/>
      <c r="P225" s="89"/>
      <c r="Q225" s="89"/>
      <c r="R225" s="89"/>
      <c r="S225" s="89"/>
      <c r="T225" s="89"/>
      <c r="U225" s="89"/>
      <c r="V225" s="92"/>
      <c r="W225" s="92"/>
    </row>
    <row r="226" spans="14:23" x14ac:dyDescent="0.25">
      <c r="N226" s="89">
        <v>222</v>
      </c>
      <c r="O226" s="89"/>
      <c r="P226" s="89"/>
      <c r="Q226" s="89"/>
      <c r="R226" s="89"/>
      <c r="S226" s="89"/>
      <c r="T226" s="89"/>
      <c r="U226" s="89"/>
      <c r="V226" s="92"/>
      <c r="W226" s="92"/>
    </row>
    <row r="227" spans="14:23" x14ac:dyDescent="0.25">
      <c r="N227" s="89">
        <v>223</v>
      </c>
      <c r="O227" s="89"/>
      <c r="P227" s="89"/>
      <c r="Q227" s="89"/>
      <c r="R227" s="89"/>
      <c r="S227" s="89"/>
      <c r="T227" s="89"/>
      <c r="U227" s="89"/>
      <c r="V227" s="92"/>
      <c r="W227" s="92"/>
    </row>
    <row r="228" spans="14:23" x14ac:dyDescent="0.25">
      <c r="N228" s="89">
        <v>224</v>
      </c>
      <c r="O228" s="89"/>
      <c r="P228" s="89"/>
      <c r="Q228" s="89"/>
      <c r="R228" s="89"/>
      <c r="S228" s="89"/>
      <c r="T228" s="89"/>
      <c r="U228" s="89"/>
      <c r="V228" s="92"/>
      <c r="W228" s="92"/>
    </row>
    <row r="229" spans="14:23" x14ac:dyDescent="0.25">
      <c r="N229" s="89">
        <v>225</v>
      </c>
      <c r="O229" s="89"/>
      <c r="P229" s="89"/>
      <c r="Q229" s="89"/>
      <c r="R229" s="89"/>
      <c r="S229" s="89"/>
      <c r="T229" s="89"/>
      <c r="U229" s="89"/>
      <c r="V229" s="92"/>
      <c r="W229" s="92"/>
    </row>
    <row r="230" spans="14:23" x14ac:dyDescent="0.25">
      <c r="N230" s="89">
        <v>226</v>
      </c>
      <c r="O230" s="89"/>
      <c r="P230" s="89"/>
      <c r="Q230" s="89"/>
      <c r="R230" s="89"/>
      <c r="S230" s="89"/>
      <c r="T230" s="89"/>
      <c r="U230" s="89"/>
      <c r="V230" s="92"/>
      <c r="W230" s="92"/>
    </row>
    <row r="231" spans="14:23" x14ac:dyDescent="0.25">
      <c r="N231" s="89">
        <v>227</v>
      </c>
      <c r="O231" s="89"/>
      <c r="P231" s="89"/>
      <c r="Q231" s="89"/>
      <c r="R231" s="89"/>
      <c r="S231" s="89"/>
      <c r="T231" s="89"/>
      <c r="U231" s="89"/>
      <c r="V231" s="92"/>
      <c r="W231" s="92"/>
    </row>
    <row r="232" spans="14:23" x14ac:dyDescent="0.25">
      <c r="N232" s="89">
        <v>228</v>
      </c>
      <c r="O232" s="89"/>
      <c r="P232" s="89"/>
      <c r="Q232" s="89"/>
      <c r="R232" s="89"/>
      <c r="S232" s="89"/>
      <c r="T232" s="89"/>
      <c r="U232" s="89"/>
      <c r="V232" s="92"/>
      <c r="W232" s="92"/>
    </row>
    <row r="233" spans="14:23" x14ac:dyDescent="0.25">
      <c r="N233" s="89">
        <v>229</v>
      </c>
      <c r="O233" s="89"/>
      <c r="P233" s="89"/>
      <c r="Q233" s="89"/>
      <c r="R233" s="89"/>
      <c r="S233" s="89"/>
      <c r="T233" s="89"/>
      <c r="U233" s="89"/>
      <c r="V233" s="92"/>
      <c r="W233" s="92"/>
    </row>
    <row r="234" spans="14:23" x14ac:dyDescent="0.25">
      <c r="N234" s="89">
        <v>230</v>
      </c>
      <c r="O234" s="89"/>
      <c r="P234" s="89"/>
      <c r="Q234" s="89"/>
      <c r="R234" s="89"/>
      <c r="S234" s="89"/>
      <c r="T234" s="89"/>
      <c r="U234" s="89"/>
      <c r="V234" s="92"/>
      <c r="W234" s="92"/>
    </row>
    <row r="235" spans="14:23" x14ac:dyDescent="0.25">
      <c r="N235" s="89">
        <v>231</v>
      </c>
      <c r="O235" s="89"/>
      <c r="P235" s="89"/>
      <c r="Q235" s="89"/>
      <c r="R235" s="89"/>
      <c r="S235" s="89"/>
      <c r="T235" s="89"/>
      <c r="U235" s="89"/>
      <c r="V235" s="92"/>
      <c r="W235" s="92"/>
    </row>
    <row r="236" spans="14:23" x14ac:dyDescent="0.25">
      <c r="N236" s="89">
        <v>232</v>
      </c>
      <c r="O236" s="89"/>
      <c r="P236" s="89"/>
      <c r="Q236" s="89"/>
      <c r="R236" s="89"/>
      <c r="S236" s="89"/>
      <c r="T236" s="89"/>
      <c r="U236" s="89"/>
      <c r="V236" s="92"/>
      <c r="W236" s="92"/>
    </row>
    <row r="237" spans="14:23" x14ac:dyDescent="0.25">
      <c r="N237" s="89">
        <v>233</v>
      </c>
      <c r="O237" s="89"/>
      <c r="P237" s="89"/>
      <c r="Q237" s="89"/>
      <c r="R237" s="89"/>
      <c r="S237" s="89"/>
      <c r="T237" s="89"/>
      <c r="U237" s="89"/>
      <c r="V237" s="92"/>
      <c r="W237" s="92"/>
    </row>
    <row r="238" spans="14:23" x14ac:dyDescent="0.25">
      <c r="N238" s="89">
        <v>234</v>
      </c>
      <c r="O238" s="89"/>
      <c r="P238" s="89"/>
      <c r="Q238" s="89"/>
      <c r="R238" s="89"/>
      <c r="S238" s="89"/>
      <c r="T238" s="89"/>
      <c r="U238" s="89"/>
      <c r="V238" s="92"/>
      <c r="W238" s="92"/>
    </row>
    <row r="239" spans="14:23" x14ac:dyDescent="0.25">
      <c r="N239" s="89">
        <v>235</v>
      </c>
      <c r="O239" s="89"/>
      <c r="P239" s="89"/>
      <c r="Q239" s="89"/>
      <c r="R239" s="89"/>
      <c r="S239" s="89"/>
      <c r="T239" s="89"/>
      <c r="U239" s="89"/>
      <c r="V239" s="92"/>
      <c r="W239" s="92"/>
    </row>
    <row r="240" spans="14:23" x14ac:dyDescent="0.25">
      <c r="N240" s="89">
        <v>236</v>
      </c>
      <c r="O240" s="89"/>
      <c r="P240" s="89"/>
      <c r="Q240" s="89"/>
      <c r="R240" s="89"/>
      <c r="S240" s="89"/>
      <c r="T240" s="89"/>
      <c r="U240" s="89"/>
      <c r="V240" s="92"/>
      <c r="W240" s="92"/>
    </row>
    <row r="241" spans="14:23" x14ac:dyDescent="0.25">
      <c r="N241" s="89">
        <v>237</v>
      </c>
      <c r="O241" s="89"/>
      <c r="P241" s="89"/>
      <c r="Q241" s="89"/>
      <c r="R241" s="89"/>
      <c r="S241" s="89"/>
      <c r="T241" s="89"/>
      <c r="U241" s="89"/>
      <c r="V241" s="92"/>
      <c r="W241" s="92"/>
    </row>
    <row r="242" spans="14:23" x14ac:dyDescent="0.25">
      <c r="N242" s="89">
        <v>238</v>
      </c>
      <c r="O242" s="89"/>
      <c r="P242" s="89"/>
      <c r="Q242" s="89"/>
      <c r="R242" s="89"/>
      <c r="S242" s="89"/>
      <c r="T242" s="89"/>
      <c r="U242" s="89"/>
      <c r="V242" s="92"/>
      <c r="W242" s="92"/>
    </row>
    <row r="243" spans="14:23" x14ac:dyDescent="0.25">
      <c r="N243" s="89">
        <v>239</v>
      </c>
      <c r="O243" s="89"/>
      <c r="P243" s="89"/>
      <c r="Q243" s="89"/>
      <c r="R243" s="89"/>
      <c r="S243" s="89"/>
      <c r="T243" s="89"/>
      <c r="U243" s="89"/>
      <c r="V243" s="92"/>
      <c r="W243" s="92"/>
    </row>
    <row r="244" spans="14:23" x14ac:dyDescent="0.25">
      <c r="N244" s="89">
        <v>240</v>
      </c>
      <c r="O244" s="89"/>
      <c r="P244" s="89"/>
      <c r="Q244" s="89"/>
      <c r="R244" s="89"/>
      <c r="S244" s="89"/>
      <c r="T244" s="89"/>
      <c r="U244" s="89"/>
      <c r="V244" s="92"/>
      <c r="W244" s="92"/>
    </row>
    <row r="245" spans="14:23" x14ac:dyDescent="0.25">
      <c r="N245" s="89">
        <v>241</v>
      </c>
      <c r="O245" s="89"/>
      <c r="P245" s="89"/>
      <c r="Q245" s="89"/>
      <c r="R245" s="89"/>
      <c r="S245" s="89"/>
      <c r="T245" s="89"/>
      <c r="U245" s="89"/>
      <c r="V245" s="92"/>
      <c r="W245" s="92"/>
    </row>
    <row r="246" spans="14:23" x14ac:dyDescent="0.25">
      <c r="N246" s="89">
        <v>242</v>
      </c>
      <c r="O246" s="89"/>
      <c r="P246" s="89"/>
      <c r="Q246" s="89"/>
      <c r="R246" s="89"/>
      <c r="S246" s="89"/>
      <c r="T246" s="89"/>
      <c r="U246" s="89"/>
      <c r="V246" s="92"/>
      <c r="W246" s="92"/>
    </row>
    <row r="247" spans="14:23" x14ac:dyDescent="0.25">
      <c r="N247" s="89">
        <v>243</v>
      </c>
      <c r="O247" s="89"/>
      <c r="P247" s="89"/>
      <c r="Q247" s="89"/>
      <c r="R247" s="89"/>
      <c r="S247" s="89"/>
      <c r="T247" s="89"/>
      <c r="U247" s="89"/>
      <c r="V247" s="92"/>
      <c r="W247" s="92"/>
    </row>
    <row r="248" spans="14:23" x14ac:dyDescent="0.25">
      <c r="N248" s="89">
        <v>244</v>
      </c>
      <c r="O248" s="89"/>
      <c r="P248" s="89"/>
      <c r="Q248" s="89"/>
      <c r="R248" s="89"/>
      <c r="S248" s="89"/>
      <c r="T248" s="89"/>
      <c r="U248" s="89"/>
      <c r="V248" s="92"/>
      <c r="W248" s="92"/>
    </row>
    <row r="249" spans="14:23" x14ac:dyDescent="0.25">
      <c r="N249" s="89">
        <v>245</v>
      </c>
      <c r="O249" s="89"/>
      <c r="P249" s="89"/>
      <c r="Q249" s="89"/>
      <c r="R249" s="89"/>
      <c r="S249" s="89"/>
      <c r="T249" s="89"/>
      <c r="U249" s="89"/>
      <c r="V249" s="92"/>
      <c r="W249" s="92"/>
    </row>
    <row r="250" spans="14:23" x14ac:dyDescent="0.25">
      <c r="N250" s="89">
        <v>246</v>
      </c>
      <c r="O250" s="89"/>
      <c r="P250" s="89"/>
      <c r="Q250" s="89"/>
      <c r="R250" s="89"/>
      <c r="S250" s="89"/>
      <c r="T250" s="89"/>
      <c r="U250" s="89"/>
      <c r="V250" s="92"/>
      <c r="W250" s="92"/>
    </row>
    <row r="251" spans="14:23" x14ac:dyDescent="0.25">
      <c r="N251" s="89">
        <v>247</v>
      </c>
      <c r="O251" s="89"/>
      <c r="P251" s="89"/>
      <c r="Q251" s="89"/>
      <c r="R251" s="89"/>
      <c r="S251" s="89"/>
      <c r="T251" s="89"/>
      <c r="U251" s="89"/>
      <c r="V251" s="92"/>
      <c r="W251" s="92"/>
    </row>
    <row r="252" spans="14:23" x14ac:dyDescent="0.25">
      <c r="N252" s="89">
        <v>248</v>
      </c>
      <c r="O252" s="89"/>
      <c r="P252" s="89"/>
      <c r="Q252" s="89"/>
      <c r="R252" s="89"/>
      <c r="S252" s="89"/>
      <c r="T252" s="89"/>
      <c r="U252" s="89"/>
      <c r="V252" s="92"/>
      <c r="W252" s="92"/>
    </row>
    <row r="253" spans="14:23" x14ac:dyDescent="0.25">
      <c r="N253" s="89">
        <v>249</v>
      </c>
      <c r="O253" s="89"/>
      <c r="P253" s="89"/>
      <c r="Q253" s="89"/>
      <c r="R253" s="89"/>
      <c r="S253" s="89"/>
      <c r="T253" s="89"/>
      <c r="U253" s="89"/>
      <c r="V253" s="92"/>
      <c r="W253" s="92"/>
    </row>
    <row r="254" spans="14:23" x14ac:dyDescent="0.25">
      <c r="N254" s="89">
        <v>250</v>
      </c>
      <c r="O254" s="89"/>
      <c r="P254" s="89"/>
      <c r="Q254" s="89"/>
      <c r="R254" s="89"/>
      <c r="S254" s="89"/>
      <c r="T254" s="89"/>
      <c r="U254" s="89"/>
      <c r="V254" s="92"/>
      <c r="W254" s="92"/>
    </row>
    <row r="255" spans="14:23" x14ac:dyDescent="0.25">
      <c r="N255" s="89">
        <v>251</v>
      </c>
      <c r="O255" s="89"/>
      <c r="P255" s="89"/>
      <c r="Q255" s="89"/>
      <c r="R255" s="89"/>
      <c r="S255" s="89"/>
      <c r="T255" s="89"/>
      <c r="U255" s="89"/>
      <c r="V255" s="92"/>
      <c r="W255" s="92"/>
    </row>
    <row r="256" spans="14:23" x14ac:dyDescent="0.25">
      <c r="N256" s="89">
        <v>252</v>
      </c>
      <c r="O256" s="89"/>
      <c r="P256" s="89"/>
      <c r="Q256" s="89"/>
      <c r="R256" s="89"/>
      <c r="S256" s="89"/>
      <c r="T256" s="89"/>
      <c r="U256" s="89"/>
      <c r="V256" s="92"/>
      <c r="W256" s="92"/>
    </row>
    <row r="257" spans="14:23" x14ac:dyDescent="0.25">
      <c r="N257" s="89">
        <v>253</v>
      </c>
      <c r="O257" s="89"/>
      <c r="P257" s="89"/>
      <c r="Q257" s="89"/>
      <c r="R257" s="89"/>
      <c r="S257" s="89"/>
      <c r="T257" s="89"/>
      <c r="U257" s="89"/>
      <c r="V257" s="92"/>
      <c r="W257" s="92"/>
    </row>
    <row r="258" spans="14:23" x14ac:dyDescent="0.25">
      <c r="N258" s="89">
        <v>254</v>
      </c>
      <c r="O258" s="89"/>
      <c r="P258" s="89"/>
      <c r="Q258" s="89"/>
      <c r="R258" s="89"/>
      <c r="S258" s="89"/>
      <c r="T258" s="89"/>
      <c r="U258" s="89"/>
      <c r="V258" s="92"/>
      <c r="W258" s="92"/>
    </row>
    <row r="259" spans="14:23" x14ac:dyDescent="0.25">
      <c r="N259" s="89">
        <v>255</v>
      </c>
      <c r="O259" s="89"/>
      <c r="P259" s="89"/>
      <c r="Q259" s="89"/>
      <c r="R259" s="89"/>
      <c r="S259" s="89"/>
      <c r="T259" s="89"/>
      <c r="U259" s="89"/>
      <c r="V259" s="92"/>
      <c r="W259" s="92"/>
    </row>
    <row r="260" spans="14:23" x14ac:dyDescent="0.25">
      <c r="N260" s="89">
        <v>256</v>
      </c>
      <c r="O260" s="89"/>
      <c r="P260" s="89"/>
      <c r="Q260" s="89"/>
      <c r="R260" s="89"/>
      <c r="S260" s="89"/>
      <c r="T260" s="89"/>
      <c r="U260" s="89"/>
      <c r="V260" s="92"/>
      <c r="W260" s="92"/>
    </row>
    <row r="261" spans="14:23" x14ac:dyDescent="0.25">
      <c r="N261" s="89">
        <v>257</v>
      </c>
      <c r="O261" s="89"/>
      <c r="P261" s="89"/>
      <c r="Q261" s="89"/>
      <c r="R261" s="89"/>
      <c r="S261" s="89"/>
      <c r="T261" s="89"/>
      <c r="U261" s="89"/>
      <c r="V261" s="92"/>
      <c r="W261" s="92"/>
    </row>
    <row r="262" spans="14:23" x14ac:dyDescent="0.25">
      <c r="N262" s="89">
        <v>258</v>
      </c>
      <c r="O262" s="89"/>
      <c r="P262" s="89"/>
      <c r="Q262" s="89"/>
      <c r="R262" s="89"/>
      <c r="S262" s="89"/>
      <c r="T262" s="89"/>
      <c r="U262" s="89"/>
      <c r="V262" s="92"/>
      <c r="W262" s="92"/>
    </row>
    <row r="263" spans="14:23" x14ac:dyDescent="0.25">
      <c r="N263" s="89">
        <v>259</v>
      </c>
      <c r="O263" s="89"/>
      <c r="P263" s="89"/>
      <c r="Q263" s="89"/>
      <c r="R263" s="89"/>
      <c r="S263" s="89"/>
      <c r="T263" s="89"/>
      <c r="U263" s="89"/>
      <c r="V263" s="92"/>
      <c r="W263" s="92"/>
    </row>
    <row r="264" spans="14:23" x14ac:dyDescent="0.25">
      <c r="N264" s="89">
        <v>260</v>
      </c>
      <c r="O264" s="89"/>
      <c r="P264" s="89"/>
      <c r="Q264" s="89"/>
      <c r="R264" s="89"/>
      <c r="S264" s="89"/>
      <c r="T264" s="89"/>
      <c r="U264" s="89"/>
      <c r="V264" s="92"/>
      <c r="W264" s="92"/>
    </row>
    <row r="265" spans="14:23" x14ac:dyDescent="0.25">
      <c r="N265" s="89">
        <v>261</v>
      </c>
      <c r="O265" s="89"/>
      <c r="P265" s="89"/>
      <c r="Q265" s="89"/>
      <c r="R265" s="89"/>
      <c r="S265" s="89"/>
      <c r="T265" s="89"/>
      <c r="U265" s="89"/>
      <c r="V265" s="92"/>
      <c r="W265" s="92"/>
    </row>
    <row r="266" spans="14:23" x14ac:dyDescent="0.25">
      <c r="N266" s="89">
        <v>262</v>
      </c>
      <c r="O266" s="89"/>
      <c r="P266" s="89"/>
      <c r="Q266" s="89"/>
      <c r="R266" s="89"/>
      <c r="S266" s="89"/>
      <c r="T266" s="89"/>
      <c r="U266" s="89"/>
      <c r="V266" s="92"/>
      <c r="W266" s="92"/>
    </row>
    <row r="267" spans="14:23" x14ac:dyDescent="0.25">
      <c r="N267" s="89">
        <v>263</v>
      </c>
      <c r="O267" s="89"/>
      <c r="P267" s="89"/>
      <c r="Q267" s="89"/>
      <c r="R267" s="89"/>
      <c r="S267" s="89"/>
      <c r="T267" s="89"/>
      <c r="U267" s="89"/>
      <c r="V267" s="92"/>
      <c r="W267" s="92"/>
    </row>
    <row r="268" spans="14:23" x14ac:dyDescent="0.25">
      <c r="N268" s="89">
        <v>264</v>
      </c>
      <c r="O268" s="89"/>
      <c r="P268" s="89"/>
      <c r="Q268" s="89"/>
      <c r="R268" s="89"/>
      <c r="S268" s="89"/>
      <c r="T268" s="89"/>
      <c r="U268" s="89"/>
      <c r="V268" s="92"/>
      <c r="W268" s="92"/>
    </row>
    <row r="269" spans="14:23" x14ac:dyDescent="0.25">
      <c r="N269" s="89">
        <v>265</v>
      </c>
      <c r="O269" s="89"/>
      <c r="P269" s="89"/>
      <c r="Q269" s="89"/>
      <c r="R269" s="89"/>
      <c r="S269" s="89"/>
      <c r="T269" s="89"/>
      <c r="U269" s="89"/>
      <c r="V269" s="92"/>
      <c r="W269" s="92"/>
    </row>
    <row r="270" spans="14:23" x14ac:dyDescent="0.25">
      <c r="N270" s="89">
        <v>266</v>
      </c>
      <c r="O270" s="89"/>
      <c r="P270" s="89"/>
      <c r="Q270" s="89"/>
      <c r="R270" s="89"/>
      <c r="S270" s="89"/>
      <c r="T270" s="89"/>
      <c r="U270" s="89"/>
      <c r="V270" s="92"/>
      <c r="W270" s="92"/>
    </row>
    <row r="271" spans="14:23" x14ac:dyDescent="0.25">
      <c r="N271" s="89">
        <v>267</v>
      </c>
      <c r="O271" s="89"/>
      <c r="P271" s="89"/>
      <c r="Q271" s="89"/>
      <c r="R271" s="89"/>
      <c r="S271" s="89"/>
      <c r="T271" s="89"/>
      <c r="U271" s="89"/>
      <c r="V271" s="92"/>
      <c r="W271" s="92"/>
    </row>
    <row r="272" spans="14:23" x14ac:dyDescent="0.25">
      <c r="N272" s="89">
        <v>268</v>
      </c>
      <c r="O272" s="89"/>
      <c r="P272" s="89"/>
      <c r="Q272" s="89"/>
      <c r="R272" s="89"/>
      <c r="S272" s="89"/>
      <c r="T272" s="89"/>
      <c r="U272" s="89"/>
      <c r="V272" s="92"/>
      <c r="W272" s="92"/>
    </row>
    <row r="273" spans="14:23" x14ac:dyDescent="0.25">
      <c r="N273" s="89">
        <v>269</v>
      </c>
      <c r="O273" s="89"/>
      <c r="P273" s="89"/>
      <c r="Q273" s="89"/>
      <c r="R273" s="89"/>
      <c r="S273" s="89"/>
      <c r="T273" s="89"/>
      <c r="U273" s="89"/>
      <c r="V273" s="92"/>
      <c r="W273" s="92"/>
    </row>
    <row r="274" spans="14:23" x14ac:dyDescent="0.25">
      <c r="N274" s="89">
        <v>270</v>
      </c>
      <c r="O274" s="89"/>
      <c r="P274" s="89"/>
      <c r="Q274" s="89"/>
      <c r="R274" s="89"/>
      <c r="S274" s="89"/>
      <c r="T274" s="89"/>
      <c r="U274" s="89"/>
      <c r="V274" s="92"/>
      <c r="W274" s="92"/>
    </row>
    <row r="275" spans="14:23" x14ac:dyDescent="0.25">
      <c r="N275" s="89">
        <v>271</v>
      </c>
      <c r="O275" s="89"/>
      <c r="P275" s="89"/>
      <c r="Q275" s="89"/>
      <c r="R275" s="89"/>
      <c r="S275" s="89"/>
      <c r="T275" s="89"/>
      <c r="U275" s="89"/>
      <c r="V275" s="92"/>
      <c r="W275" s="92"/>
    </row>
    <row r="276" spans="14:23" x14ac:dyDescent="0.25">
      <c r="N276" s="89">
        <v>272</v>
      </c>
      <c r="O276" s="89"/>
      <c r="P276" s="89"/>
      <c r="Q276" s="89"/>
      <c r="R276" s="89"/>
      <c r="S276" s="89"/>
      <c r="T276" s="89"/>
      <c r="U276" s="89"/>
      <c r="V276" s="92"/>
      <c r="W276" s="92"/>
    </row>
    <row r="277" spans="14:23" x14ac:dyDescent="0.25">
      <c r="N277" s="89">
        <v>273</v>
      </c>
      <c r="O277" s="89"/>
      <c r="P277" s="89"/>
      <c r="Q277" s="89"/>
      <c r="R277" s="89"/>
      <c r="S277" s="89"/>
      <c r="T277" s="89"/>
      <c r="U277" s="89"/>
      <c r="V277" s="92"/>
      <c r="W277" s="92"/>
    </row>
    <row r="278" spans="14:23" x14ac:dyDescent="0.25">
      <c r="N278" s="89">
        <v>274</v>
      </c>
      <c r="O278" s="89"/>
      <c r="P278" s="89"/>
      <c r="Q278" s="89"/>
      <c r="R278" s="89"/>
      <c r="S278" s="89"/>
      <c r="T278" s="89"/>
      <c r="U278" s="89"/>
      <c r="V278" s="92"/>
      <c r="W278" s="92"/>
    </row>
    <row r="279" spans="14:23" x14ac:dyDescent="0.25">
      <c r="N279" s="89">
        <v>275</v>
      </c>
      <c r="O279" s="89"/>
      <c r="P279" s="89"/>
      <c r="Q279" s="89"/>
      <c r="R279" s="89"/>
      <c r="S279" s="89"/>
      <c r="T279" s="89"/>
      <c r="U279" s="89"/>
      <c r="V279" s="92"/>
      <c r="W279" s="92"/>
    </row>
    <row r="280" spans="14:23" x14ac:dyDescent="0.25">
      <c r="N280" s="89">
        <v>276</v>
      </c>
      <c r="O280" s="89"/>
      <c r="P280" s="89"/>
      <c r="Q280" s="89"/>
      <c r="R280" s="89"/>
      <c r="S280" s="89"/>
      <c r="T280" s="89"/>
      <c r="U280" s="89"/>
      <c r="V280" s="92"/>
      <c r="W280" s="92"/>
    </row>
    <row r="281" spans="14:23" x14ac:dyDescent="0.25">
      <c r="N281" s="89">
        <v>277</v>
      </c>
      <c r="O281" s="89"/>
      <c r="P281" s="89"/>
      <c r="Q281" s="89"/>
      <c r="R281" s="89"/>
      <c r="S281" s="89"/>
      <c r="T281" s="89"/>
      <c r="U281" s="89"/>
      <c r="V281" s="92"/>
      <c r="W281" s="92"/>
    </row>
    <row r="282" spans="14:23" x14ac:dyDescent="0.25">
      <c r="N282" s="89">
        <v>278</v>
      </c>
      <c r="O282" s="89"/>
      <c r="P282" s="89"/>
      <c r="Q282" s="89"/>
      <c r="R282" s="89"/>
      <c r="S282" s="89"/>
      <c r="T282" s="89"/>
      <c r="U282" s="89"/>
      <c r="V282" s="92"/>
      <c r="W282" s="92"/>
    </row>
    <row r="283" spans="14:23" x14ac:dyDescent="0.25">
      <c r="N283" s="89">
        <v>279</v>
      </c>
      <c r="O283" s="89"/>
      <c r="P283" s="89"/>
      <c r="Q283" s="89"/>
      <c r="R283" s="89"/>
      <c r="S283" s="89"/>
      <c r="T283" s="89"/>
      <c r="U283" s="89"/>
      <c r="V283" s="92"/>
      <c r="W283" s="92"/>
    </row>
    <row r="284" spans="14:23" x14ac:dyDescent="0.25">
      <c r="N284" s="89">
        <v>280</v>
      </c>
      <c r="O284" s="89"/>
      <c r="P284" s="89"/>
      <c r="Q284" s="89"/>
      <c r="R284" s="89"/>
      <c r="S284" s="89"/>
      <c r="T284" s="89"/>
      <c r="U284" s="89"/>
      <c r="V284" s="92"/>
      <c r="W284" s="92"/>
    </row>
    <row r="285" spans="14:23" x14ac:dyDescent="0.25">
      <c r="N285" s="89">
        <v>281</v>
      </c>
      <c r="O285" s="89"/>
      <c r="P285" s="89"/>
      <c r="Q285" s="89"/>
      <c r="R285" s="89"/>
      <c r="S285" s="89"/>
      <c r="T285" s="89"/>
      <c r="U285" s="89"/>
      <c r="V285" s="92"/>
      <c r="W285" s="92"/>
    </row>
    <row r="286" spans="14:23" x14ac:dyDescent="0.25">
      <c r="N286" s="89">
        <v>282</v>
      </c>
      <c r="O286" s="89"/>
      <c r="P286" s="89"/>
      <c r="Q286" s="89"/>
      <c r="R286" s="89"/>
      <c r="S286" s="89"/>
      <c r="T286" s="89"/>
      <c r="U286" s="89"/>
      <c r="V286" s="92"/>
      <c r="W286" s="92"/>
    </row>
    <row r="287" spans="14:23" x14ac:dyDescent="0.25">
      <c r="N287" s="89">
        <v>283</v>
      </c>
      <c r="O287" s="89"/>
      <c r="P287" s="89"/>
      <c r="Q287" s="89"/>
      <c r="R287" s="89"/>
      <c r="S287" s="89"/>
      <c r="T287" s="89"/>
      <c r="U287" s="89"/>
      <c r="V287" s="92"/>
      <c r="W287" s="92"/>
    </row>
    <row r="288" spans="14:23" x14ac:dyDescent="0.25">
      <c r="N288" s="89">
        <v>284</v>
      </c>
      <c r="O288" s="89"/>
      <c r="P288" s="89"/>
      <c r="Q288" s="89"/>
      <c r="R288" s="89"/>
      <c r="S288" s="89"/>
      <c r="T288" s="89"/>
      <c r="U288" s="89"/>
      <c r="V288" s="92"/>
      <c r="W288" s="92"/>
    </row>
    <row r="289" spans="14:23" x14ac:dyDescent="0.25">
      <c r="N289" s="89">
        <v>285</v>
      </c>
      <c r="O289" s="89"/>
      <c r="P289" s="89"/>
      <c r="Q289" s="89"/>
      <c r="R289" s="89"/>
      <c r="S289" s="89"/>
      <c r="T289" s="89"/>
      <c r="U289" s="89"/>
      <c r="V289" s="92"/>
      <c r="W289" s="92"/>
    </row>
    <row r="290" spans="14:23" x14ac:dyDescent="0.25">
      <c r="N290" s="89">
        <v>286</v>
      </c>
      <c r="O290" s="89"/>
      <c r="P290" s="89"/>
      <c r="Q290" s="89"/>
      <c r="R290" s="89"/>
      <c r="S290" s="89"/>
      <c r="T290" s="89"/>
      <c r="U290" s="89"/>
      <c r="V290" s="92"/>
      <c r="W290" s="92"/>
    </row>
    <row r="291" spans="14:23" x14ac:dyDescent="0.25">
      <c r="N291" s="89">
        <v>287</v>
      </c>
      <c r="O291" s="89"/>
      <c r="P291" s="89"/>
      <c r="Q291" s="89"/>
      <c r="R291" s="89"/>
      <c r="S291" s="89"/>
      <c r="T291" s="89"/>
      <c r="U291" s="89"/>
      <c r="V291" s="92"/>
      <c r="W291" s="92"/>
    </row>
    <row r="292" spans="14:23" x14ac:dyDescent="0.25">
      <c r="N292" s="89">
        <v>288</v>
      </c>
      <c r="O292" s="89"/>
      <c r="P292" s="89"/>
      <c r="Q292" s="89"/>
      <c r="R292" s="89"/>
      <c r="S292" s="89"/>
      <c r="T292" s="89"/>
      <c r="U292" s="89"/>
      <c r="V292" s="92"/>
      <c r="W292" s="92"/>
    </row>
    <row r="293" spans="14:23" x14ac:dyDescent="0.25">
      <c r="N293" s="89">
        <v>289</v>
      </c>
      <c r="O293" s="89"/>
      <c r="P293" s="89"/>
      <c r="Q293" s="89"/>
      <c r="R293" s="89"/>
      <c r="S293" s="89"/>
      <c r="T293" s="89"/>
      <c r="U293" s="89"/>
      <c r="V293" s="92"/>
      <c r="W293" s="92"/>
    </row>
    <row r="294" spans="14:23" x14ac:dyDescent="0.25">
      <c r="N294" s="89">
        <v>290</v>
      </c>
      <c r="O294" s="89"/>
      <c r="P294" s="89"/>
      <c r="Q294" s="89"/>
      <c r="R294" s="89"/>
      <c r="S294" s="89"/>
      <c r="T294" s="89"/>
      <c r="U294" s="89"/>
      <c r="V294" s="92"/>
      <c r="W294" s="92"/>
    </row>
    <row r="295" spans="14:23" x14ac:dyDescent="0.25">
      <c r="N295" s="89">
        <v>291</v>
      </c>
      <c r="O295" s="89"/>
      <c r="P295" s="89"/>
      <c r="Q295" s="89"/>
      <c r="R295" s="89"/>
      <c r="S295" s="89"/>
      <c r="T295" s="89"/>
      <c r="U295" s="89"/>
      <c r="V295" s="92"/>
      <c r="W295" s="92"/>
    </row>
    <row r="296" spans="14:23" x14ac:dyDescent="0.25">
      <c r="N296" s="89">
        <v>292</v>
      </c>
      <c r="O296" s="89"/>
      <c r="P296" s="89"/>
      <c r="Q296" s="89"/>
      <c r="R296" s="89"/>
      <c r="S296" s="89"/>
      <c r="T296" s="89"/>
      <c r="U296" s="89"/>
      <c r="V296" s="92"/>
      <c r="W296" s="92"/>
    </row>
    <row r="297" spans="14:23" x14ac:dyDescent="0.25">
      <c r="N297" s="89">
        <v>293</v>
      </c>
      <c r="O297" s="89"/>
      <c r="P297" s="89"/>
      <c r="Q297" s="89"/>
      <c r="R297" s="89"/>
      <c r="S297" s="89"/>
      <c r="T297" s="89"/>
      <c r="U297" s="89"/>
      <c r="V297" s="92"/>
      <c r="W297" s="92"/>
    </row>
    <row r="298" spans="14:23" x14ac:dyDescent="0.25">
      <c r="N298" s="89">
        <v>294</v>
      </c>
      <c r="O298" s="89"/>
      <c r="P298" s="89"/>
      <c r="Q298" s="89"/>
      <c r="R298" s="89"/>
      <c r="S298" s="89"/>
      <c r="T298" s="89"/>
      <c r="U298" s="89"/>
      <c r="V298" s="92"/>
      <c r="W298" s="92"/>
    </row>
    <row r="299" spans="14:23" x14ac:dyDescent="0.25">
      <c r="N299" s="89">
        <v>295</v>
      </c>
      <c r="O299" s="89"/>
      <c r="P299" s="89"/>
      <c r="Q299" s="89"/>
      <c r="R299" s="89"/>
      <c r="S299" s="89"/>
      <c r="T299" s="89"/>
      <c r="U299" s="89"/>
      <c r="V299" s="92"/>
      <c r="W299" s="92"/>
    </row>
    <row r="300" spans="14:23" x14ac:dyDescent="0.25">
      <c r="N300" s="89">
        <v>296</v>
      </c>
      <c r="O300" s="89"/>
      <c r="P300" s="89"/>
      <c r="Q300" s="89"/>
      <c r="R300" s="89"/>
      <c r="S300" s="89"/>
      <c r="T300" s="89"/>
      <c r="U300" s="89"/>
      <c r="V300" s="92"/>
      <c r="W300" s="92"/>
    </row>
    <row r="301" spans="14:23" x14ac:dyDescent="0.25">
      <c r="N301" s="89">
        <v>297</v>
      </c>
      <c r="O301" s="89"/>
      <c r="P301" s="89"/>
      <c r="Q301" s="89"/>
      <c r="R301" s="89"/>
      <c r="S301" s="89"/>
      <c r="T301" s="89"/>
      <c r="U301" s="89"/>
      <c r="V301" s="92"/>
      <c r="W301" s="92"/>
    </row>
    <row r="302" spans="14:23" x14ac:dyDescent="0.25">
      <c r="N302" s="89">
        <v>298</v>
      </c>
      <c r="O302" s="89"/>
      <c r="P302" s="89"/>
      <c r="Q302" s="89"/>
      <c r="R302" s="89"/>
      <c r="S302" s="89"/>
      <c r="T302" s="89"/>
      <c r="U302" s="89"/>
      <c r="V302" s="92"/>
      <c r="W302" s="92"/>
    </row>
    <row r="303" spans="14:23" x14ac:dyDescent="0.25">
      <c r="N303" s="89">
        <v>299</v>
      </c>
      <c r="O303" s="89"/>
      <c r="P303" s="89"/>
      <c r="Q303" s="89"/>
      <c r="R303" s="89"/>
      <c r="S303" s="89"/>
      <c r="T303" s="89"/>
      <c r="U303" s="89"/>
      <c r="V303" s="92"/>
      <c r="W303" s="92"/>
    </row>
    <row r="304" spans="14:23" x14ac:dyDescent="0.25">
      <c r="N304" s="89">
        <v>300</v>
      </c>
      <c r="O304" s="89"/>
      <c r="P304" s="89"/>
      <c r="Q304" s="89"/>
      <c r="R304" s="89"/>
      <c r="S304" s="89"/>
      <c r="T304" s="89"/>
      <c r="U304" s="89"/>
      <c r="V304" s="92"/>
      <c r="W304" s="92"/>
    </row>
    <row r="305" spans="14:23" x14ac:dyDescent="0.25">
      <c r="N305" s="89">
        <v>301</v>
      </c>
      <c r="O305" s="89"/>
      <c r="P305" s="89"/>
      <c r="Q305" s="89"/>
      <c r="R305" s="89"/>
      <c r="S305" s="89"/>
      <c r="T305" s="89"/>
      <c r="U305" s="89"/>
      <c r="V305" s="92"/>
      <c r="W305" s="92"/>
    </row>
    <row r="306" spans="14:23" x14ac:dyDescent="0.25">
      <c r="N306" s="89">
        <v>302</v>
      </c>
      <c r="O306" s="89"/>
      <c r="P306" s="89"/>
      <c r="Q306" s="89"/>
      <c r="R306" s="89"/>
      <c r="S306" s="89"/>
      <c r="T306" s="89"/>
      <c r="U306" s="89"/>
      <c r="V306" s="92"/>
      <c r="W306" s="92"/>
    </row>
    <row r="307" spans="14:23" x14ac:dyDescent="0.25">
      <c r="N307" s="89">
        <v>303</v>
      </c>
      <c r="O307" s="89"/>
      <c r="P307" s="89"/>
      <c r="Q307" s="89"/>
      <c r="R307" s="89"/>
      <c r="S307" s="89"/>
      <c r="T307" s="89"/>
      <c r="U307" s="89"/>
      <c r="V307" s="92"/>
      <c r="W307" s="92"/>
    </row>
    <row r="308" spans="14:23" x14ac:dyDescent="0.25">
      <c r="N308" s="89">
        <v>304</v>
      </c>
      <c r="O308" s="89"/>
      <c r="P308" s="89"/>
      <c r="Q308" s="89"/>
      <c r="R308" s="89"/>
      <c r="S308" s="89"/>
      <c r="T308" s="89"/>
      <c r="U308" s="89"/>
      <c r="V308" s="92"/>
      <c r="W308" s="92"/>
    </row>
    <row r="309" spans="14:23" x14ac:dyDescent="0.25">
      <c r="N309" s="89">
        <v>305</v>
      </c>
      <c r="O309" s="89"/>
      <c r="P309" s="89"/>
      <c r="Q309" s="89"/>
      <c r="R309" s="89"/>
      <c r="S309" s="89"/>
      <c r="T309" s="89"/>
      <c r="U309" s="89"/>
      <c r="V309" s="92"/>
      <c r="W309" s="92"/>
    </row>
    <row r="310" spans="14:23" x14ac:dyDescent="0.25">
      <c r="N310" s="89">
        <v>306</v>
      </c>
      <c r="O310" s="89"/>
      <c r="P310" s="89"/>
      <c r="Q310" s="89"/>
      <c r="R310" s="89"/>
      <c r="S310" s="89"/>
      <c r="T310" s="89"/>
      <c r="U310" s="89"/>
      <c r="V310" s="92"/>
      <c r="W310" s="92"/>
    </row>
    <row r="311" spans="14:23" x14ac:dyDescent="0.25">
      <c r="N311" s="89">
        <v>307</v>
      </c>
      <c r="O311" s="89"/>
      <c r="P311" s="89"/>
      <c r="Q311" s="89"/>
      <c r="R311" s="89"/>
      <c r="S311" s="89"/>
      <c r="T311" s="89"/>
      <c r="U311" s="89"/>
      <c r="V311" s="92"/>
      <c r="W311" s="92"/>
    </row>
    <row r="312" spans="14:23" x14ac:dyDescent="0.25">
      <c r="N312" s="89">
        <v>308</v>
      </c>
      <c r="O312" s="89"/>
      <c r="P312" s="89"/>
      <c r="Q312" s="89"/>
      <c r="R312" s="89"/>
      <c r="S312" s="89"/>
      <c r="T312" s="89"/>
      <c r="U312" s="89"/>
      <c r="V312" s="92"/>
      <c r="W312" s="92"/>
    </row>
    <row r="313" spans="14:23" x14ac:dyDescent="0.25">
      <c r="N313" s="89">
        <v>309</v>
      </c>
      <c r="O313" s="89"/>
      <c r="P313" s="89"/>
      <c r="Q313" s="89"/>
      <c r="R313" s="89"/>
      <c r="S313" s="89"/>
      <c r="T313" s="89"/>
      <c r="U313" s="89"/>
      <c r="V313" s="92"/>
      <c r="W313" s="92"/>
    </row>
    <row r="314" spans="14:23" x14ac:dyDescent="0.25">
      <c r="N314" s="89">
        <v>310</v>
      </c>
      <c r="O314" s="89"/>
      <c r="P314" s="89"/>
      <c r="Q314" s="89"/>
      <c r="R314" s="89"/>
      <c r="S314" s="89"/>
      <c r="T314" s="89"/>
      <c r="U314" s="89"/>
      <c r="V314" s="92"/>
      <c r="W314" s="92"/>
    </row>
    <row r="315" spans="14:23" x14ac:dyDescent="0.25">
      <c r="N315" s="89">
        <v>311</v>
      </c>
      <c r="O315" s="89"/>
      <c r="P315" s="89"/>
      <c r="Q315" s="89"/>
      <c r="R315" s="89"/>
      <c r="S315" s="89"/>
      <c r="T315" s="89"/>
      <c r="U315" s="89"/>
      <c r="V315" s="92"/>
      <c r="W315" s="92"/>
    </row>
    <row r="316" spans="14:23" x14ac:dyDescent="0.25">
      <c r="N316" s="89">
        <v>312</v>
      </c>
      <c r="O316" s="89"/>
      <c r="P316" s="89"/>
      <c r="Q316" s="89"/>
      <c r="R316" s="89"/>
      <c r="S316" s="89"/>
      <c r="T316" s="89"/>
      <c r="U316" s="89"/>
      <c r="V316" s="92"/>
      <c r="W316" s="92"/>
    </row>
    <row r="317" spans="14:23" x14ac:dyDescent="0.25">
      <c r="N317" s="89">
        <v>313</v>
      </c>
      <c r="O317" s="89"/>
      <c r="P317" s="89"/>
      <c r="Q317" s="89"/>
      <c r="R317" s="89"/>
      <c r="S317" s="89"/>
      <c r="T317" s="89"/>
      <c r="U317" s="89"/>
      <c r="V317" s="92"/>
      <c r="W317" s="92"/>
    </row>
    <row r="318" spans="14:23" x14ac:dyDescent="0.25">
      <c r="N318" s="89">
        <v>314</v>
      </c>
      <c r="O318" s="89"/>
      <c r="P318" s="89"/>
      <c r="Q318" s="89"/>
      <c r="R318" s="89"/>
      <c r="S318" s="89"/>
      <c r="T318" s="89"/>
      <c r="U318" s="89"/>
      <c r="V318" s="92"/>
      <c r="W318" s="92"/>
    </row>
    <row r="319" spans="14:23" x14ac:dyDescent="0.25">
      <c r="N319" s="89">
        <v>315</v>
      </c>
      <c r="O319" s="89"/>
      <c r="P319" s="89"/>
      <c r="Q319" s="89"/>
      <c r="R319" s="89"/>
      <c r="S319" s="89"/>
      <c r="T319" s="89"/>
      <c r="U319" s="89"/>
      <c r="V319" s="92"/>
      <c r="W319" s="92"/>
    </row>
    <row r="320" spans="14:23" x14ac:dyDescent="0.25">
      <c r="N320" s="89">
        <v>316</v>
      </c>
      <c r="O320" s="89"/>
      <c r="P320" s="89"/>
      <c r="Q320" s="89"/>
      <c r="R320" s="89"/>
      <c r="S320" s="89"/>
      <c r="T320" s="89"/>
      <c r="U320" s="89"/>
      <c r="V320" s="92"/>
      <c r="W320" s="92"/>
    </row>
    <row r="321" spans="14:23" x14ac:dyDescent="0.25">
      <c r="N321" s="89">
        <v>317</v>
      </c>
      <c r="O321" s="89"/>
      <c r="P321" s="89"/>
      <c r="Q321" s="89"/>
      <c r="R321" s="89"/>
      <c r="S321" s="89"/>
      <c r="T321" s="89"/>
      <c r="U321" s="89"/>
      <c r="V321" s="92"/>
      <c r="W321" s="92"/>
    </row>
    <row r="322" spans="14:23" x14ac:dyDescent="0.25">
      <c r="N322" s="89">
        <v>318</v>
      </c>
      <c r="O322" s="89"/>
      <c r="P322" s="89"/>
      <c r="Q322" s="89"/>
      <c r="R322" s="89"/>
      <c r="S322" s="89"/>
      <c r="T322" s="89"/>
      <c r="U322" s="89"/>
      <c r="V322" s="92"/>
      <c r="W322" s="92"/>
    </row>
    <row r="323" spans="14:23" x14ac:dyDescent="0.25">
      <c r="N323" s="89">
        <v>319</v>
      </c>
      <c r="O323" s="89"/>
      <c r="P323" s="89"/>
      <c r="Q323" s="89"/>
      <c r="R323" s="89"/>
      <c r="S323" s="89"/>
      <c r="T323" s="89"/>
      <c r="U323" s="89"/>
      <c r="V323" s="92"/>
      <c r="W323" s="92"/>
    </row>
    <row r="324" spans="14:23" x14ac:dyDescent="0.25">
      <c r="N324" s="89">
        <v>320</v>
      </c>
      <c r="O324" s="89"/>
      <c r="P324" s="89"/>
      <c r="Q324" s="89"/>
      <c r="R324" s="89"/>
      <c r="S324" s="89"/>
      <c r="T324" s="89"/>
      <c r="U324" s="89"/>
      <c r="V324" s="92"/>
      <c r="W324" s="92"/>
    </row>
    <row r="325" spans="14:23" x14ac:dyDescent="0.25">
      <c r="N325" s="89">
        <v>321</v>
      </c>
      <c r="O325" s="89"/>
      <c r="P325" s="89"/>
      <c r="Q325" s="89"/>
      <c r="R325" s="89"/>
      <c r="S325" s="89"/>
      <c r="T325" s="89"/>
      <c r="U325" s="89"/>
      <c r="V325" s="92"/>
      <c r="W325" s="92"/>
    </row>
    <row r="326" spans="14:23" x14ac:dyDescent="0.25">
      <c r="N326" s="89">
        <v>322</v>
      </c>
      <c r="O326" s="89"/>
      <c r="P326" s="89"/>
      <c r="Q326" s="89"/>
      <c r="R326" s="89"/>
      <c r="S326" s="89"/>
      <c r="T326" s="89"/>
      <c r="U326" s="89"/>
      <c r="V326" s="92"/>
      <c r="W326" s="92"/>
    </row>
    <row r="327" spans="14:23" x14ac:dyDescent="0.25">
      <c r="N327" s="89">
        <v>323</v>
      </c>
      <c r="O327" s="89"/>
      <c r="P327" s="89"/>
      <c r="Q327" s="89"/>
      <c r="R327" s="89"/>
      <c r="S327" s="89"/>
      <c r="T327" s="89"/>
      <c r="U327" s="89"/>
      <c r="V327" s="92"/>
      <c r="W327" s="92"/>
    </row>
    <row r="328" spans="14:23" x14ac:dyDescent="0.25">
      <c r="N328" s="89">
        <v>324</v>
      </c>
      <c r="O328" s="89"/>
      <c r="P328" s="89"/>
      <c r="Q328" s="89"/>
      <c r="R328" s="89"/>
      <c r="S328" s="89"/>
      <c r="T328" s="89"/>
      <c r="U328" s="89"/>
      <c r="V328" s="92"/>
      <c r="W328" s="92"/>
    </row>
    <row r="329" spans="14:23" x14ac:dyDescent="0.25">
      <c r="N329" s="89">
        <v>325</v>
      </c>
      <c r="O329" s="89"/>
      <c r="P329" s="89"/>
      <c r="Q329" s="89"/>
      <c r="R329" s="89"/>
      <c r="S329" s="89"/>
      <c r="T329" s="89"/>
      <c r="U329" s="89"/>
      <c r="V329" s="92"/>
      <c r="W329" s="92"/>
    </row>
    <row r="330" spans="14:23" x14ac:dyDescent="0.25">
      <c r="N330" s="89">
        <v>326</v>
      </c>
      <c r="O330" s="89"/>
      <c r="P330" s="89"/>
      <c r="Q330" s="89"/>
      <c r="R330" s="89"/>
      <c r="S330" s="89"/>
      <c r="T330" s="89"/>
      <c r="U330" s="89"/>
      <c r="V330" s="92"/>
      <c r="W330" s="92"/>
    </row>
    <row r="331" spans="14:23" x14ac:dyDescent="0.25">
      <c r="N331" s="89">
        <v>327</v>
      </c>
      <c r="O331" s="89"/>
      <c r="P331" s="89"/>
      <c r="Q331" s="89"/>
      <c r="R331" s="89"/>
      <c r="S331" s="89"/>
      <c r="T331" s="89"/>
      <c r="U331" s="89"/>
      <c r="V331" s="92"/>
      <c r="W331" s="92"/>
    </row>
    <row r="332" spans="14:23" x14ac:dyDescent="0.25">
      <c r="N332" s="89">
        <v>328</v>
      </c>
      <c r="O332" s="89"/>
      <c r="P332" s="89"/>
      <c r="Q332" s="89"/>
      <c r="R332" s="89"/>
      <c r="S332" s="89"/>
      <c r="T332" s="89"/>
      <c r="U332" s="89"/>
      <c r="V332" s="92"/>
      <c r="W332" s="92"/>
    </row>
    <row r="333" spans="14:23" x14ac:dyDescent="0.25">
      <c r="N333" s="89">
        <v>329</v>
      </c>
      <c r="O333" s="89"/>
      <c r="P333" s="89"/>
      <c r="Q333" s="89"/>
      <c r="R333" s="89"/>
      <c r="S333" s="89"/>
      <c r="T333" s="89"/>
      <c r="U333" s="89"/>
      <c r="V333" s="92"/>
      <c r="W333" s="92"/>
    </row>
    <row r="334" spans="14:23" x14ac:dyDescent="0.25">
      <c r="N334" s="89">
        <v>330</v>
      </c>
      <c r="O334" s="89"/>
      <c r="P334" s="89"/>
      <c r="Q334" s="89"/>
      <c r="R334" s="89"/>
      <c r="S334" s="89"/>
      <c r="T334" s="89"/>
      <c r="U334" s="89"/>
      <c r="V334" s="92"/>
      <c r="W334" s="92"/>
    </row>
    <row r="335" spans="14:23" x14ac:dyDescent="0.25">
      <c r="N335" s="89">
        <v>331</v>
      </c>
      <c r="O335" s="89"/>
      <c r="P335" s="89"/>
      <c r="Q335" s="89"/>
      <c r="R335" s="89"/>
      <c r="S335" s="89"/>
      <c r="T335" s="89"/>
      <c r="U335" s="89"/>
      <c r="V335" s="92"/>
      <c r="W335" s="92"/>
    </row>
    <row r="336" spans="14:23" x14ac:dyDescent="0.25">
      <c r="N336" s="89">
        <v>332</v>
      </c>
      <c r="O336" s="89"/>
      <c r="P336" s="89"/>
      <c r="Q336" s="89"/>
      <c r="R336" s="89"/>
      <c r="S336" s="89"/>
      <c r="T336" s="89"/>
      <c r="U336" s="89"/>
      <c r="V336" s="92"/>
      <c r="W336" s="92"/>
    </row>
    <row r="337" spans="14:23" x14ac:dyDescent="0.25">
      <c r="N337" s="89">
        <v>333</v>
      </c>
      <c r="O337" s="89"/>
      <c r="P337" s="89"/>
      <c r="Q337" s="89"/>
      <c r="R337" s="89"/>
      <c r="S337" s="89"/>
      <c r="T337" s="89"/>
      <c r="U337" s="89"/>
      <c r="V337" s="92"/>
      <c r="W337" s="92"/>
    </row>
    <row r="338" spans="14:23" x14ac:dyDescent="0.25">
      <c r="N338" s="89">
        <v>334</v>
      </c>
      <c r="O338" s="89"/>
      <c r="P338" s="89"/>
      <c r="Q338" s="89"/>
      <c r="R338" s="89"/>
      <c r="S338" s="89"/>
      <c r="T338" s="89"/>
      <c r="U338" s="89"/>
      <c r="V338" s="92"/>
      <c r="W338" s="92"/>
    </row>
    <row r="339" spans="14:23" x14ac:dyDescent="0.25">
      <c r="N339" s="89">
        <v>335</v>
      </c>
      <c r="O339" s="89"/>
      <c r="P339" s="89"/>
      <c r="Q339" s="89"/>
      <c r="R339" s="89"/>
      <c r="S339" s="89"/>
      <c r="T339" s="89"/>
      <c r="U339" s="89"/>
      <c r="V339" s="92"/>
      <c r="W339" s="92"/>
    </row>
    <row r="340" spans="14:23" x14ac:dyDescent="0.25">
      <c r="N340" s="89">
        <v>336</v>
      </c>
      <c r="O340" s="89"/>
      <c r="P340" s="89"/>
      <c r="Q340" s="89"/>
      <c r="R340" s="89"/>
      <c r="S340" s="89"/>
      <c r="T340" s="89"/>
      <c r="U340" s="89"/>
      <c r="V340" s="92"/>
      <c r="W340" s="92"/>
    </row>
    <row r="341" spans="14:23" x14ac:dyDescent="0.25">
      <c r="N341" s="89">
        <v>337</v>
      </c>
      <c r="O341" s="89"/>
      <c r="P341" s="89"/>
      <c r="Q341" s="89"/>
      <c r="R341" s="89"/>
      <c r="S341" s="89"/>
      <c r="T341" s="89"/>
      <c r="U341" s="89"/>
      <c r="V341" s="92"/>
      <c r="W341" s="92"/>
    </row>
    <row r="342" spans="14:23" x14ac:dyDescent="0.25">
      <c r="N342" s="89">
        <v>338</v>
      </c>
      <c r="O342" s="89"/>
      <c r="P342" s="89"/>
      <c r="Q342" s="89"/>
      <c r="R342" s="89"/>
      <c r="S342" s="89"/>
      <c r="T342" s="89"/>
      <c r="U342" s="89"/>
      <c r="V342" s="92"/>
      <c r="W342" s="92"/>
    </row>
    <row r="343" spans="14:23" x14ac:dyDescent="0.25">
      <c r="N343" s="89">
        <v>339</v>
      </c>
      <c r="O343" s="89"/>
      <c r="P343" s="89"/>
      <c r="Q343" s="89"/>
      <c r="R343" s="89"/>
      <c r="S343" s="89"/>
      <c r="T343" s="89"/>
      <c r="U343" s="89"/>
      <c r="V343" s="92"/>
      <c r="W343" s="92"/>
    </row>
    <row r="344" spans="14:23" x14ac:dyDescent="0.25">
      <c r="N344" s="89">
        <v>340</v>
      </c>
      <c r="O344" s="89"/>
      <c r="P344" s="89"/>
      <c r="Q344" s="89"/>
      <c r="R344" s="89"/>
      <c r="S344" s="89"/>
      <c r="T344" s="89"/>
      <c r="U344" s="89"/>
      <c r="V344" s="92"/>
      <c r="W344" s="92"/>
    </row>
    <row r="345" spans="14:23" x14ac:dyDescent="0.25">
      <c r="N345" s="89">
        <v>341</v>
      </c>
      <c r="O345" s="89"/>
      <c r="P345" s="89"/>
      <c r="Q345" s="89"/>
      <c r="R345" s="89"/>
      <c r="S345" s="89"/>
      <c r="T345" s="89"/>
      <c r="U345" s="89"/>
      <c r="V345" s="92"/>
      <c r="W345" s="92"/>
    </row>
    <row r="346" spans="14:23" x14ac:dyDescent="0.25">
      <c r="N346" s="89">
        <v>342</v>
      </c>
      <c r="O346" s="89"/>
      <c r="P346" s="89"/>
      <c r="Q346" s="89"/>
      <c r="R346" s="89"/>
      <c r="S346" s="89"/>
      <c r="T346" s="89"/>
      <c r="U346" s="89"/>
      <c r="V346" s="92"/>
      <c r="W346" s="92"/>
    </row>
    <row r="347" spans="14:23" x14ac:dyDescent="0.25">
      <c r="N347" s="89">
        <v>343</v>
      </c>
      <c r="O347" s="89"/>
      <c r="P347" s="89"/>
      <c r="Q347" s="89"/>
      <c r="R347" s="89"/>
      <c r="S347" s="89"/>
      <c r="T347" s="89"/>
      <c r="U347" s="89"/>
      <c r="V347" s="92"/>
      <c r="W347" s="92"/>
    </row>
    <row r="348" spans="14:23" x14ac:dyDescent="0.25">
      <c r="N348" s="89">
        <v>344</v>
      </c>
      <c r="O348" s="89"/>
      <c r="P348" s="89"/>
      <c r="Q348" s="89"/>
      <c r="R348" s="89"/>
      <c r="S348" s="89"/>
      <c r="T348" s="89"/>
      <c r="U348" s="89"/>
      <c r="V348" s="92"/>
      <c r="W348" s="92"/>
    </row>
    <row r="349" spans="14:23" x14ac:dyDescent="0.25">
      <c r="N349" s="89">
        <v>345</v>
      </c>
      <c r="O349" s="89"/>
      <c r="P349" s="89"/>
      <c r="Q349" s="89"/>
      <c r="R349" s="89"/>
      <c r="S349" s="89"/>
      <c r="T349" s="89"/>
      <c r="U349" s="89"/>
      <c r="V349" s="92"/>
      <c r="W349" s="92"/>
    </row>
    <row r="350" spans="14:23" x14ac:dyDescent="0.25">
      <c r="N350" s="89">
        <v>346</v>
      </c>
      <c r="O350" s="89"/>
      <c r="P350" s="89"/>
      <c r="Q350" s="89"/>
      <c r="R350" s="89"/>
      <c r="S350" s="89"/>
      <c r="T350" s="89"/>
      <c r="U350" s="89"/>
      <c r="V350" s="92"/>
      <c r="W350" s="92"/>
    </row>
    <row r="351" spans="14:23" x14ac:dyDescent="0.25">
      <c r="N351" s="89">
        <v>347</v>
      </c>
      <c r="O351" s="89"/>
      <c r="P351" s="89"/>
      <c r="Q351" s="89"/>
      <c r="R351" s="89"/>
      <c r="S351" s="89"/>
      <c r="T351" s="89"/>
      <c r="U351" s="89"/>
      <c r="V351" s="92"/>
      <c r="W351" s="92"/>
    </row>
    <row r="352" spans="14:23" x14ac:dyDescent="0.25">
      <c r="N352" s="89">
        <v>348</v>
      </c>
      <c r="O352" s="89"/>
      <c r="P352" s="89"/>
      <c r="Q352" s="89"/>
      <c r="R352" s="89"/>
      <c r="S352" s="89"/>
      <c r="T352" s="89"/>
      <c r="U352" s="89"/>
      <c r="V352" s="92"/>
      <c r="W352" s="92"/>
    </row>
    <row r="353" spans="14:23" x14ac:dyDescent="0.25">
      <c r="N353" s="89">
        <v>349</v>
      </c>
      <c r="O353" s="89"/>
      <c r="P353" s="89"/>
      <c r="Q353" s="89"/>
      <c r="R353" s="89"/>
      <c r="S353" s="89"/>
      <c r="T353" s="89"/>
      <c r="U353" s="89"/>
      <c r="V353" s="92"/>
      <c r="W353" s="92"/>
    </row>
    <row r="354" spans="14:23" x14ac:dyDescent="0.25">
      <c r="N354" s="89">
        <v>350</v>
      </c>
      <c r="O354" s="89"/>
      <c r="P354" s="89"/>
      <c r="Q354" s="89"/>
      <c r="R354" s="89"/>
      <c r="S354" s="89"/>
      <c r="T354" s="89"/>
      <c r="U354" s="89"/>
      <c r="V354" s="92"/>
      <c r="W354" s="92"/>
    </row>
    <row r="355" spans="14:23" x14ac:dyDescent="0.25">
      <c r="N355" s="89">
        <v>351</v>
      </c>
      <c r="O355" s="89"/>
      <c r="P355" s="89"/>
      <c r="Q355" s="89"/>
      <c r="R355" s="89"/>
      <c r="S355" s="89"/>
      <c r="T355" s="89"/>
      <c r="U355" s="89"/>
      <c r="V355" s="92"/>
      <c r="W355" s="92"/>
    </row>
    <row r="356" spans="14:23" x14ac:dyDescent="0.25">
      <c r="N356" s="89">
        <v>352</v>
      </c>
      <c r="O356" s="89"/>
      <c r="P356" s="89"/>
      <c r="Q356" s="89"/>
      <c r="R356" s="89"/>
      <c r="S356" s="89"/>
      <c r="T356" s="89"/>
      <c r="U356" s="89"/>
      <c r="V356" s="92"/>
      <c r="W356" s="92"/>
    </row>
    <row r="357" spans="14:23" x14ac:dyDescent="0.25">
      <c r="N357" s="89">
        <v>353</v>
      </c>
      <c r="O357" s="89"/>
      <c r="P357" s="89"/>
      <c r="Q357" s="89"/>
      <c r="R357" s="89"/>
      <c r="S357" s="89"/>
      <c r="T357" s="89"/>
      <c r="U357" s="89"/>
      <c r="V357" s="92"/>
      <c r="W357" s="92"/>
    </row>
    <row r="358" spans="14:23" x14ac:dyDescent="0.25">
      <c r="N358" s="89">
        <v>354</v>
      </c>
      <c r="O358" s="89"/>
      <c r="P358" s="89"/>
      <c r="Q358" s="89"/>
      <c r="R358" s="89"/>
      <c r="S358" s="89"/>
      <c r="T358" s="89"/>
      <c r="U358" s="89"/>
      <c r="V358" s="92"/>
      <c r="W358" s="92"/>
    </row>
    <row r="359" spans="14:23" x14ac:dyDescent="0.25">
      <c r="N359" s="89">
        <v>355</v>
      </c>
      <c r="O359" s="89"/>
      <c r="P359" s="89"/>
      <c r="Q359" s="89"/>
      <c r="R359" s="89"/>
      <c r="S359" s="89"/>
      <c r="T359" s="89"/>
      <c r="U359" s="89"/>
      <c r="V359" s="92"/>
      <c r="W359" s="92"/>
    </row>
    <row r="360" spans="14:23" x14ac:dyDescent="0.25">
      <c r="N360" s="89">
        <v>356</v>
      </c>
      <c r="O360" s="89"/>
      <c r="P360" s="89"/>
      <c r="Q360" s="89"/>
      <c r="R360" s="89"/>
      <c r="S360" s="89"/>
      <c r="T360" s="89"/>
      <c r="U360" s="89"/>
      <c r="V360" s="92"/>
      <c r="W360" s="92"/>
    </row>
    <row r="361" spans="14:23" x14ac:dyDescent="0.25">
      <c r="N361" s="89">
        <v>357</v>
      </c>
      <c r="O361" s="89"/>
      <c r="P361" s="89"/>
      <c r="Q361" s="89"/>
      <c r="R361" s="89"/>
      <c r="S361" s="89"/>
      <c r="T361" s="89"/>
      <c r="U361" s="89"/>
      <c r="V361" s="92"/>
      <c r="W361" s="92"/>
    </row>
    <row r="362" spans="14:23" x14ac:dyDescent="0.25">
      <c r="N362" s="89">
        <v>358</v>
      </c>
      <c r="O362" s="89"/>
      <c r="P362" s="89"/>
      <c r="Q362" s="89"/>
      <c r="R362" s="89"/>
      <c r="S362" s="89"/>
      <c r="T362" s="89"/>
      <c r="U362" s="89"/>
      <c r="V362" s="92"/>
      <c r="W362" s="92"/>
    </row>
    <row r="363" spans="14:23" x14ac:dyDescent="0.25">
      <c r="N363" s="89">
        <v>359</v>
      </c>
      <c r="O363" s="89"/>
      <c r="P363" s="89"/>
      <c r="Q363" s="89"/>
      <c r="R363" s="89"/>
      <c r="S363" s="89"/>
      <c r="T363" s="89"/>
      <c r="U363" s="89"/>
      <c r="V363" s="92"/>
      <c r="W363" s="92"/>
    </row>
    <row r="364" spans="14:23" x14ac:dyDescent="0.25">
      <c r="N364" s="89">
        <v>360</v>
      </c>
      <c r="O364" s="89"/>
      <c r="P364" s="89"/>
      <c r="Q364" s="89"/>
      <c r="R364" s="89"/>
      <c r="S364" s="89"/>
      <c r="T364" s="89"/>
      <c r="U364" s="89"/>
      <c r="V364" s="92"/>
      <c r="W364" s="92"/>
    </row>
    <row r="365" spans="14:23" x14ac:dyDescent="0.25">
      <c r="N365" s="89">
        <v>361</v>
      </c>
      <c r="O365" s="89"/>
      <c r="P365" s="89"/>
      <c r="Q365" s="89"/>
      <c r="R365" s="89"/>
      <c r="S365" s="89"/>
      <c r="T365" s="89"/>
      <c r="U365" s="89"/>
      <c r="V365" s="92"/>
      <c r="W365" s="92"/>
    </row>
    <row r="366" spans="14:23" x14ac:dyDescent="0.25">
      <c r="N366" s="89">
        <v>362</v>
      </c>
      <c r="O366" s="89"/>
      <c r="P366" s="89"/>
      <c r="Q366" s="89"/>
      <c r="R366" s="89"/>
      <c r="S366" s="89"/>
      <c r="T366" s="89"/>
      <c r="U366" s="89"/>
      <c r="V366" s="92"/>
      <c r="W366" s="92"/>
    </row>
    <row r="367" spans="14:23" x14ac:dyDescent="0.25">
      <c r="N367" s="89">
        <v>363</v>
      </c>
      <c r="O367" s="89"/>
      <c r="P367" s="89"/>
      <c r="Q367" s="89"/>
      <c r="R367" s="89"/>
      <c r="S367" s="89"/>
      <c r="T367" s="89"/>
      <c r="U367" s="89"/>
      <c r="V367" s="92"/>
      <c r="W367" s="92"/>
    </row>
    <row r="368" spans="14:23" x14ac:dyDescent="0.25">
      <c r="N368" s="89">
        <v>364</v>
      </c>
      <c r="O368" s="89"/>
      <c r="P368" s="89"/>
      <c r="Q368" s="89"/>
      <c r="R368" s="89"/>
      <c r="S368" s="89"/>
      <c r="T368" s="89"/>
      <c r="U368" s="89"/>
      <c r="V368" s="92"/>
      <c r="W368" s="92"/>
    </row>
    <row r="369" spans="14:23" x14ac:dyDescent="0.25">
      <c r="N369" s="89">
        <v>365</v>
      </c>
      <c r="O369" s="89"/>
      <c r="P369" s="89"/>
      <c r="Q369" s="89"/>
      <c r="R369" s="89"/>
      <c r="S369" s="89"/>
      <c r="T369" s="89"/>
      <c r="U369" s="89"/>
      <c r="V369" s="92"/>
      <c r="W369" s="92"/>
    </row>
  </sheetData>
  <phoneticPr fontId="7"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vt:i4>
      </vt:variant>
    </vt:vector>
  </HeadingPairs>
  <TitlesOfParts>
    <vt:vector size="10" baseType="lpstr">
      <vt:lpstr>第1题</vt:lpstr>
      <vt:lpstr>第2题</vt:lpstr>
      <vt:lpstr>第3题</vt:lpstr>
      <vt:lpstr>第4题</vt:lpstr>
      <vt:lpstr>第5题</vt:lpstr>
      <vt:lpstr>第6题</vt:lpstr>
      <vt:lpstr>第7题</vt:lpstr>
      <vt:lpstr>第8题</vt:lpstr>
      <vt:lpstr>第9题</vt:lpstr>
      <vt:lpstr>第2题!提取</vt:lpstr>
    </vt:vector>
  </TitlesOfParts>
  <Company>上海财经大学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CaoFeng</dc:creator>
  <cp:lastModifiedBy>端木辰</cp:lastModifiedBy>
  <dcterms:created xsi:type="dcterms:W3CDTF">2010-12-28T07:11:34Z</dcterms:created>
  <dcterms:modified xsi:type="dcterms:W3CDTF">2024-11-10T05:38:25Z</dcterms:modified>
</cp:coreProperties>
</file>