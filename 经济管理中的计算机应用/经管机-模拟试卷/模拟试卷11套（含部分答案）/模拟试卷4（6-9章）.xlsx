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0490" windowHeight="7770" tabRatio="911"/>
  </bookViews>
  <sheets>
    <sheet name="考试须知" sheetId="17" r:id="rId1"/>
    <sheet name="第1题" sheetId="31" r:id="rId2"/>
    <sheet name="第2题" sheetId="39" r:id="rId3"/>
    <sheet name="第3題" sheetId="40" r:id="rId4"/>
    <sheet name="第4题" sheetId="41" r:id="rId5"/>
    <sheet name="第5题" sheetId="42" r:id="rId6"/>
    <sheet name="第6题" sheetId="43" r:id="rId7"/>
    <sheet name="第7题" sheetId="44" r:id="rId8"/>
    <sheet name="第8题" sheetId="45" r:id="rId9"/>
  </sheets>
  <definedNames>
    <definedName name="BudgetTab">#REF!</definedName>
  </definedNames>
  <calcPr calcId="152511"/>
</workbook>
</file>

<file path=xl/calcChain.xml><?xml version="1.0" encoding="utf-8"?>
<calcChain xmlns="http://schemas.openxmlformats.org/spreadsheetml/2006/main">
  <c r="C6" i="41" l="1"/>
  <c r="D6" i="31" l="1"/>
  <c r="J15" i="17" l="1"/>
</calcChain>
</file>

<file path=xl/sharedStrings.xml><?xml version="1.0" encoding="utf-8"?>
<sst xmlns="http://schemas.openxmlformats.org/spreadsheetml/2006/main" count="107" uniqueCount="103">
  <si>
    <t>学号</t>
    <phoneticPr fontId="3" type="noConversion"/>
  </si>
  <si>
    <t>姓名</t>
    <phoneticPr fontId="3" type="noConversion"/>
  </si>
  <si>
    <t>未考</t>
    <phoneticPr fontId="3" type="noConversion"/>
  </si>
  <si>
    <t>题目</t>
    <phoneticPr fontId="3" type="noConversion"/>
  </si>
  <si>
    <t>得分</t>
    <phoneticPr fontId="3" type="noConversion"/>
  </si>
  <si>
    <r>
      <t>第</t>
    </r>
    <r>
      <rPr>
        <sz val="12"/>
        <rFont val="Arial"/>
        <family val="2"/>
      </rPr>
      <t>1</t>
    </r>
    <r>
      <rPr>
        <sz val="12"/>
        <rFont val="宋体"/>
        <family val="3"/>
        <charset val="134"/>
      </rPr>
      <t>题</t>
    </r>
    <phoneticPr fontId="3" type="noConversion"/>
  </si>
  <si>
    <r>
      <t>第</t>
    </r>
    <r>
      <rPr>
        <sz val="12"/>
        <rFont val="Arial"/>
        <family val="2"/>
      </rPr>
      <t>2</t>
    </r>
    <r>
      <rPr>
        <sz val="12"/>
        <rFont val="宋体"/>
        <family val="3"/>
        <charset val="134"/>
      </rPr>
      <t>题</t>
    </r>
    <phoneticPr fontId="3" type="noConversion"/>
  </si>
  <si>
    <r>
      <t>第</t>
    </r>
    <r>
      <rPr>
        <sz val="12"/>
        <rFont val="Arial"/>
        <family val="2"/>
      </rPr>
      <t>3</t>
    </r>
    <r>
      <rPr>
        <sz val="12"/>
        <rFont val="宋体"/>
        <family val="3"/>
        <charset val="134"/>
      </rPr>
      <t>题</t>
    </r>
    <phoneticPr fontId="3" type="noConversion"/>
  </si>
  <si>
    <r>
      <t>第</t>
    </r>
    <r>
      <rPr>
        <sz val="12"/>
        <rFont val="Arial"/>
        <family val="2"/>
      </rPr>
      <t>4</t>
    </r>
    <r>
      <rPr>
        <sz val="12"/>
        <rFont val="宋体"/>
        <family val="3"/>
        <charset val="134"/>
      </rPr>
      <t>题</t>
    </r>
    <phoneticPr fontId="3" type="noConversion"/>
  </si>
  <si>
    <r>
      <t>第</t>
    </r>
    <r>
      <rPr>
        <sz val="12"/>
        <rFont val="Arial"/>
        <family val="2"/>
      </rPr>
      <t>5</t>
    </r>
    <r>
      <rPr>
        <sz val="12"/>
        <rFont val="宋体"/>
        <family val="3"/>
        <charset val="134"/>
      </rPr>
      <t>题</t>
    </r>
    <phoneticPr fontId="3" type="noConversion"/>
  </si>
  <si>
    <r>
      <t>第</t>
    </r>
    <r>
      <rPr>
        <sz val="12"/>
        <rFont val="Arial"/>
        <family val="2"/>
      </rPr>
      <t>6题</t>
    </r>
    <r>
      <rPr>
        <sz val="12"/>
        <rFont val="宋体"/>
        <family val="3"/>
        <charset val="134"/>
      </rPr>
      <t/>
    </r>
  </si>
  <si>
    <r>
      <t>第</t>
    </r>
    <r>
      <rPr>
        <sz val="12"/>
        <rFont val="Arial"/>
        <family val="2"/>
      </rPr>
      <t>7题</t>
    </r>
    <r>
      <rPr>
        <sz val="12"/>
        <rFont val="宋体"/>
        <family val="3"/>
        <charset val="134"/>
      </rPr>
      <t/>
    </r>
  </si>
  <si>
    <r>
      <t>第</t>
    </r>
    <r>
      <rPr>
        <sz val="12"/>
        <rFont val="Arial"/>
        <family val="2"/>
      </rPr>
      <t>8题</t>
    </r>
    <r>
      <rPr>
        <sz val="12"/>
        <rFont val="宋体"/>
        <family val="3"/>
        <charset val="134"/>
      </rPr>
      <t/>
    </r>
  </si>
  <si>
    <t>合计</t>
    <phoneticPr fontId="3" type="noConversion"/>
  </si>
  <si>
    <t>每天平均销售量</t>
    <phoneticPr fontId="38" type="noConversion"/>
  </si>
  <si>
    <t>每天的员工</t>
    <phoneticPr fontId="38" type="noConversion"/>
  </si>
  <si>
    <t>固定成本</t>
    <phoneticPr fontId="38" type="noConversion"/>
  </si>
  <si>
    <t>单位库存成本</t>
    <phoneticPr fontId="38" type="noConversion"/>
  </si>
  <si>
    <t>营业人工费用</t>
    <phoneticPr fontId="38" type="noConversion"/>
  </si>
  <si>
    <t>销售收入</t>
    <phoneticPr fontId="38" type="noConversion"/>
  </si>
  <si>
    <t>变动总成本</t>
    <phoneticPr fontId="38" type="noConversion"/>
  </si>
  <si>
    <t>每天的毛利</t>
    <phoneticPr fontId="38" type="noConversion"/>
  </si>
  <si>
    <t>边际贡献率</t>
    <phoneticPr fontId="38" type="noConversion"/>
  </si>
  <si>
    <t>当每天的毛利=0时，要销售商品</t>
    <phoneticPr fontId="38" type="noConversion"/>
  </si>
  <si>
    <t>需求量</t>
    <phoneticPr fontId="39" type="noConversion"/>
  </si>
  <si>
    <t>购买方案</t>
    <phoneticPr fontId="3" type="noConversion"/>
  </si>
  <si>
    <t>购买单价</t>
    <phoneticPr fontId="39" type="noConversion"/>
  </si>
  <si>
    <t>固定成本</t>
    <phoneticPr fontId="39" type="noConversion"/>
  </si>
  <si>
    <t>购买方案总成本</t>
    <phoneticPr fontId="39" type="noConversion"/>
  </si>
  <si>
    <t>自制方案</t>
    <phoneticPr fontId="3" type="noConversion"/>
  </si>
  <si>
    <t>单位可变成本</t>
    <phoneticPr fontId="39" type="noConversion"/>
  </si>
  <si>
    <t>自制方案总成本</t>
    <phoneticPr fontId="39" type="noConversion"/>
  </si>
  <si>
    <t>两种方案的盈亏平衡点</t>
    <phoneticPr fontId="39" type="noConversion"/>
  </si>
  <si>
    <t>盈亏平衡点处的共同成本</t>
    <phoneticPr fontId="39" type="noConversion"/>
  </si>
  <si>
    <t>结论</t>
    <phoneticPr fontId="39" type="noConversion"/>
  </si>
  <si>
    <t>年需求量</t>
    <phoneticPr fontId="3" type="noConversion"/>
  </si>
  <si>
    <t>每次订货联系成本</t>
    <phoneticPr fontId="3" type="noConversion"/>
  </si>
  <si>
    <t>每次订货运输成本</t>
    <phoneticPr fontId="3" type="noConversion"/>
  </si>
  <si>
    <t>单位年储存成本</t>
    <phoneticPr fontId="3" type="noConversion"/>
  </si>
  <si>
    <t>订货量</t>
    <phoneticPr fontId="3" type="noConversion"/>
  </si>
  <si>
    <t>年订货联系成本</t>
    <phoneticPr fontId="3" type="noConversion"/>
  </si>
  <si>
    <t>年订货运输成本</t>
    <phoneticPr fontId="3" type="noConversion"/>
  </si>
  <si>
    <t>年储存成本</t>
    <phoneticPr fontId="3" type="noConversion"/>
  </si>
  <si>
    <t>年总成本</t>
    <phoneticPr fontId="3" type="noConversion"/>
  </si>
  <si>
    <t>经济订货量</t>
    <phoneticPr fontId="3" type="noConversion"/>
  </si>
  <si>
    <t>EOQ时的年订货联系成本</t>
    <phoneticPr fontId="3" type="noConversion"/>
  </si>
  <si>
    <t>EOQ时的年订货运输成本</t>
    <phoneticPr fontId="3" type="noConversion"/>
  </si>
  <si>
    <t>EOQ时的年储存成本</t>
    <phoneticPr fontId="3" type="noConversion"/>
  </si>
  <si>
    <t>年总成本最小值</t>
    <phoneticPr fontId="3" type="noConversion"/>
  </si>
  <si>
    <t>(万元）</t>
  </si>
  <si>
    <t>投资</t>
  </si>
  <si>
    <t>年限</t>
  </si>
  <si>
    <t>第1年租金</t>
    <phoneticPr fontId="38" type="noConversion"/>
  </si>
  <si>
    <t>第2年租金</t>
  </si>
  <si>
    <t>第3年租金</t>
  </si>
  <si>
    <t>第4年租金</t>
  </si>
  <si>
    <t>第5年租金</t>
  </si>
  <si>
    <t>出售收入</t>
    <phoneticPr fontId="38" type="noConversion"/>
  </si>
  <si>
    <t>贴现率</t>
  </si>
  <si>
    <r>
      <t>5</t>
    </r>
    <r>
      <rPr>
        <sz val="12"/>
        <color indexed="8"/>
        <rFont val="宋体"/>
        <family val="3"/>
        <charset val="134"/>
      </rPr>
      <t>年收入的现值</t>
    </r>
    <phoneticPr fontId="14" type="noConversion"/>
  </si>
  <si>
    <t>内部报酬率</t>
    <phoneticPr fontId="38" type="noConversion"/>
  </si>
  <si>
    <t>等额年还款：</t>
    <phoneticPr fontId="38" type="noConversion"/>
  </si>
  <si>
    <t>银行贷款</t>
  </si>
  <si>
    <t>贷款利率</t>
  </si>
  <si>
    <t>还款年限</t>
  </si>
  <si>
    <t>年还款额</t>
  </si>
  <si>
    <t>等额月还款：</t>
    <phoneticPr fontId="38" type="noConversion"/>
  </si>
  <si>
    <t>月还款额</t>
    <phoneticPr fontId="38" type="noConversion"/>
  </si>
  <si>
    <t>方案名</t>
    <phoneticPr fontId="3" type="noConversion"/>
  </si>
  <si>
    <t>初始投入</t>
    <phoneticPr fontId="3" type="noConversion"/>
  </si>
  <si>
    <t>每年投入</t>
    <phoneticPr fontId="3" type="noConversion"/>
  </si>
  <si>
    <t>每年收入</t>
    <phoneticPr fontId="3" type="noConversion"/>
  </si>
  <si>
    <t>净现值</t>
    <phoneticPr fontId="3" type="noConversion"/>
  </si>
  <si>
    <t>内部报酬率</t>
    <phoneticPr fontId="3" type="noConversion"/>
  </si>
  <si>
    <t>购买进口设备</t>
    <phoneticPr fontId="3" type="noConversion"/>
  </si>
  <si>
    <t>购买国产设备</t>
    <phoneticPr fontId="3" type="noConversion"/>
  </si>
  <si>
    <t>委外加工</t>
  </si>
  <si>
    <t>残值率</t>
    <phoneticPr fontId="3" type="noConversion"/>
  </si>
  <si>
    <t>贴现率</t>
    <phoneticPr fontId="3" type="noConversion"/>
  </si>
  <si>
    <t>项目有效期</t>
    <phoneticPr fontId="3" type="noConversion"/>
  </si>
  <si>
    <t>方案选择结论</t>
    <phoneticPr fontId="3" type="noConversion"/>
  </si>
  <si>
    <t>合理的两方案等价的贴现率：</t>
    <phoneticPr fontId="3" type="noConversion"/>
  </si>
  <si>
    <t>函数法</t>
    <phoneticPr fontId="3" type="noConversion"/>
  </si>
  <si>
    <t>内插附表法</t>
    <phoneticPr fontId="3" type="noConversion"/>
  </si>
  <si>
    <r>
      <rPr>
        <sz val="11"/>
        <rFont val="宋体"/>
        <family val="3"/>
        <charset val="134"/>
      </rPr>
      <t>原料</t>
    </r>
    <r>
      <rPr>
        <sz val="11"/>
        <rFont val="Times New Roman"/>
        <family val="1"/>
      </rPr>
      <t>1</t>
    </r>
    <phoneticPr fontId="3" type="noConversion"/>
  </si>
  <si>
    <r>
      <rPr>
        <sz val="11"/>
        <rFont val="宋体"/>
        <family val="3"/>
        <charset val="134"/>
      </rPr>
      <t>原料</t>
    </r>
    <r>
      <rPr>
        <sz val="11"/>
        <rFont val="Times New Roman"/>
        <family val="1"/>
      </rPr>
      <t>2</t>
    </r>
    <r>
      <rPr>
        <sz val="11"/>
        <color indexed="8"/>
        <rFont val="宋体"/>
        <family val="3"/>
        <charset val="134"/>
      </rPr>
      <t/>
    </r>
    <phoneticPr fontId="3" type="noConversion"/>
  </si>
  <si>
    <r>
      <rPr>
        <sz val="11"/>
        <rFont val="宋体"/>
        <family val="3"/>
        <charset val="134"/>
      </rPr>
      <t>原料</t>
    </r>
    <r>
      <rPr>
        <sz val="11"/>
        <rFont val="Times New Roman"/>
        <family val="1"/>
      </rPr>
      <t>3</t>
    </r>
    <r>
      <rPr>
        <sz val="11"/>
        <color indexed="8"/>
        <rFont val="宋体"/>
        <family val="3"/>
        <charset val="134"/>
      </rPr>
      <t/>
    </r>
    <phoneticPr fontId="3" type="noConversion"/>
  </si>
  <si>
    <t>单位利润</t>
    <phoneticPr fontId="3" type="noConversion"/>
  </si>
  <si>
    <t>产品A</t>
    <phoneticPr fontId="3" type="noConversion"/>
  </si>
  <si>
    <t>产品B</t>
    <phoneticPr fontId="3" type="noConversion"/>
  </si>
  <si>
    <t>甲</t>
    <phoneticPr fontId="38" type="noConversion"/>
  </si>
  <si>
    <t>乙</t>
    <phoneticPr fontId="38" type="noConversion"/>
  </si>
  <si>
    <t>A</t>
    <phoneticPr fontId="38" type="noConversion"/>
  </si>
  <si>
    <t>B</t>
    <phoneticPr fontId="38" type="noConversion"/>
  </si>
  <si>
    <t>C</t>
    <phoneticPr fontId="38" type="noConversion"/>
  </si>
  <si>
    <t>香飘飘奶茶的风险分析</t>
    <phoneticPr fontId="38" type="noConversion"/>
  </si>
  <si>
    <t>网购入原价</t>
    <phoneticPr fontId="38" type="noConversion"/>
  </si>
  <si>
    <t>网购入批发价</t>
    <phoneticPr fontId="38" type="noConversion"/>
  </si>
  <si>
    <t>网批发价的最低购买数量</t>
    <phoneticPr fontId="38" type="noConversion"/>
  </si>
  <si>
    <t>晚上12点前售出价</t>
    <phoneticPr fontId="38" type="noConversion"/>
  </si>
  <si>
    <t>晚上12点后折扣率</t>
    <phoneticPr fontId="38" type="noConversion"/>
  </si>
  <si>
    <t>需求量下限</t>
  </si>
  <si>
    <t>需求量上限</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</si>
</sst>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43" formatCode="_ * #,##0.00_ ;_ * \-#,##0.00_ ;_ * &quot;-&quot;??_ ;_ @_ "/>
    <numFmt numFmtId="176" formatCode="_(* #,##0.00_);_(* \(#,##0.00\);_(* &quot;-&quot;??_);_(@_)"/>
    <numFmt numFmtId="177" formatCode="_-&quot;¥&quot;* #,##0.00_-;\-&quot;¥&quot;* #,##0.00_-;_-&quot;¥&quot;* &quot;-&quot;??_-;_-@_-"/>
    <numFmt numFmtId="178" formatCode="0.0000000_ "/>
    <numFmt numFmtId="179" formatCode="&quot;$&quot;#,##0.00_);\(&quot;$&quot;#,##0.00\)"/>
    <numFmt numFmtId="180" formatCode="0.0"/>
    <numFmt numFmtId="181" formatCode="&quot;$&quot;#,##0.0_);\(&quot;$&quot;#,##0.0\)"/>
    <numFmt numFmtId="182" formatCode="&quot;$&quot;#,##0"/>
    <numFmt numFmtId="183" formatCode="0_ "/>
    <numFmt numFmtId="184" formatCode="0.00_);[Red]\(0.00\)"/>
    <numFmt numFmtId="185" formatCode="0.0%"/>
    <numFmt numFmtId="186" formatCode="0.00_ "/>
    <numFmt numFmtId="187" formatCode="&quot;￥&quot;#,##0.00;[Red]&quot;￥&quot;\-#,##0.00"/>
    <numFmt numFmtId="188" formatCode="0_);[Red]\(0\)"/>
  </numFmts>
  <fonts count="48">
    <font>
      <sz val="11"/>
      <color theme="1"/>
      <name val="宋体"/>
      <charset val="134"/>
      <scheme val="minor"/>
    </font>
    <font>
      <sz val="11"/>
      <color theme="1"/>
      <name val="宋体"/>
      <family val="2"/>
      <charset val="134"/>
      <scheme val="minor"/>
    </font>
    <font>
      <sz val="11"/>
      <color theme="1"/>
      <name val="宋体"/>
      <family val="2"/>
      <charset val="134"/>
      <scheme val="minor"/>
    </font>
    <font>
      <sz val="9"/>
      <name val="宋体"/>
      <family val="3"/>
      <charset val="134"/>
    </font>
    <font>
      <sz val="12"/>
      <name val="宋体"/>
      <family val="3"/>
      <charset val="134"/>
    </font>
    <font>
      <sz val="10"/>
      <name val="宋体"/>
      <family val="3"/>
      <charset val="134"/>
    </font>
    <font>
      <b/>
      <sz val="12"/>
      <name val="宋体"/>
      <family val="3"/>
      <charset val="134"/>
    </font>
    <font>
      <sz val="11"/>
      <name val="黑体"/>
      <family val="3"/>
      <charset val="134"/>
    </font>
    <font>
      <b/>
      <sz val="11"/>
      <name val="Arial"/>
      <family val="2"/>
    </font>
    <font>
      <sz val="11"/>
      <name val="宋体"/>
      <family val="3"/>
      <charset val="134"/>
    </font>
    <font>
      <b/>
      <sz val="11"/>
      <name val="黑体"/>
      <family val="3"/>
      <charset val="134"/>
    </font>
    <font>
      <b/>
      <sz val="11"/>
      <color indexed="10"/>
      <name val="黑体"/>
      <family val="3"/>
      <charset val="134"/>
    </font>
    <font>
      <sz val="11"/>
      <color indexed="10"/>
      <name val="黑体"/>
      <family val="3"/>
      <charset val="134"/>
    </font>
    <font>
      <sz val="12"/>
      <name val="Arial"/>
      <family val="2"/>
    </font>
    <font>
      <sz val="9"/>
      <name val="宋体"/>
      <family val="3"/>
      <charset val="134"/>
      <scheme val="minor"/>
    </font>
    <font>
      <sz val="10"/>
      <name val="Arial"/>
      <family val="2"/>
    </font>
    <font>
      <sz val="11"/>
      <color theme="1"/>
      <name val="宋体"/>
      <family val="3"/>
      <charset val="134"/>
      <scheme val="minor"/>
    </font>
    <font>
      <sz val="11"/>
      <color indexed="8"/>
      <name val="宋体"/>
      <family val="3"/>
      <charset val="134"/>
    </font>
    <font>
      <sz val="11"/>
      <color indexed="9"/>
      <name val="宋体"/>
      <family val="3"/>
      <charset val="134"/>
    </font>
    <font>
      <sz val="11"/>
      <color indexed="20"/>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7"/>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sz val="8"/>
      <name val="Arial"/>
      <family val="2"/>
    </font>
    <font>
      <b/>
      <sz val="11"/>
      <color indexed="63"/>
      <name val="宋体"/>
      <family val="3"/>
      <charset val="134"/>
    </font>
    <font>
      <b/>
      <sz val="18"/>
      <color indexed="56"/>
      <name val="宋体"/>
      <family val="3"/>
      <charset val="134"/>
    </font>
    <font>
      <b/>
      <sz val="11"/>
      <color indexed="8"/>
      <name val="宋体"/>
      <family val="3"/>
      <charset val="134"/>
    </font>
    <font>
      <sz val="11"/>
      <color indexed="10"/>
      <name val="宋体"/>
      <family val="3"/>
      <charset val="134"/>
    </font>
    <font>
      <sz val="11"/>
      <color theme="1"/>
      <name val="宋体"/>
      <family val="2"/>
      <scheme val="minor"/>
    </font>
    <font>
      <b/>
      <sz val="20"/>
      <color indexed="12"/>
      <name val="楷体_GB2312"/>
      <family val="3"/>
      <charset val="134"/>
    </font>
    <font>
      <sz val="11"/>
      <color theme="1"/>
      <name val="宋体"/>
      <family val="3"/>
      <charset val="134"/>
      <scheme val="minor"/>
    </font>
    <font>
      <sz val="9"/>
      <name val="宋体"/>
      <family val="2"/>
      <charset val="134"/>
      <scheme val="minor"/>
    </font>
    <font>
      <b/>
      <i/>
      <sz val="10"/>
      <name val="Arial"/>
      <family val="2"/>
    </font>
    <font>
      <sz val="12"/>
      <color indexed="19"/>
      <name val="宋体"/>
      <family val="3"/>
      <charset val="134"/>
    </font>
    <font>
      <sz val="12"/>
      <color indexed="9"/>
      <name val="宋体"/>
      <family val="3"/>
      <charset val="134"/>
    </font>
    <font>
      <sz val="12"/>
      <color indexed="8"/>
      <name val="宋体"/>
      <family val="3"/>
      <charset val="134"/>
    </font>
    <font>
      <sz val="12"/>
      <color theme="1"/>
      <name val="宋体"/>
      <family val="3"/>
      <charset val="134"/>
      <scheme val="minor"/>
    </font>
    <font>
      <sz val="12"/>
      <color theme="1"/>
      <name val="宋体"/>
      <family val="2"/>
      <charset val="134"/>
      <scheme val="minor"/>
    </font>
    <font>
      <b/>
      <sz val="11"/>
      <name val="Times New Roman"/>
      <family val="1"/>
    </font>
    <font>
      <sz val="11"/>
      <name val="Times New Roman"/>
      <family val="1"/>
    </font>
    <font>
      <b/>
      <sz val="24"/>
      <name val="宋体"/>
      <family val="3"/>
      <charset val="134"/>
    </font>
  </fonts>
  <fills count="41">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theme="5"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9847407452621"/>
        <bgColor indexed="64"/>
      </patternFill>
    </fill>
    <fill>
      <patternFill patternType="solid">
        <fgColor indexed="19"/>
        <bgColor indexed="64"/>
      </patternFill>
    </fill>
    <fill>
      <patternFill patternType="solid">
        <fgColor indexed="9"/>
        <bgColor indexed="64"/>
      </patternFill>
    </fill>
    <fill>
      <patternFill patternType="solid">
        <fgColor indexed="26"/>
        <bgColor indexed="64"/>
      </patternFill>
    </fill>
    <fill>
      <patternFill patternType="solid">
        <fgColor indexed="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indexed="43"/>
        <bgColor indexed="64"/>
      </patternFill>
    </fill>
    <fill>
      <patternFill patternType="solid">
        <fgColor rgb="FFFFFF00"/>
        <bgColor indexed="64"/>
      </patternFill>
    </fill>
    <fill>
      <patternFill patternType="solid">
        <fgColor rgb="FF92D050"/>
        <bgColor indexed="64"/>
      </patternFill>
    </fill>
    <fill>
      <patternFill patternType="solid">
        <fgColor rgb="FFFFFFC1"/>
        <bgColor indexed="64"/>
      </patternFill>
    </fill>
    <fill>
      <patternFill patternType="solid">
        <fgColor theme="0" tint="-0.3499862666707357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36">
    <xf numFmtId="0" fontId="0" fillId="0" borderId="0">
      <alignment vertical="center"/>
    </xf>
    <xf numFmtId="9" fontId="4" fillId="0" borderId="0" applyFont="0" applyFill="0" applyBorder="0" applyAlignment="0" applyProtection="0">
      <alignment vertical="center"/>
    </xf>
    <xf numFmtId="0" fontId="4" fillId="0" borderId="0"/>
    <xf numFmtId="0" fontId="4" fillId="0" borderId="0">
      <alignment vertical="center"/>
    </xf>
    <xf numFmtId="0" fontId="4" fillId="0" borderId="0"/>
    <xf numFmtId="9" fontId="5" fillId="0" borderId="0" applyFont="0" applyFill="0" applyBorder="0" applyAlignment="0" applyProtection="0"/>
    <xf numFmtId="0" fontId="2" fillId="0" borderId="0">
      <alignment vertical="center"/>
    </xf>
    <xf numFmtId="0" fontId="5" fillId="0" borderId="0"/>
    <xf numFmtId="0" fontId="4" fillId="0" borderId="0">
      <alignment vertical="center"/>
    </xf>
    <xf numFmtId="9" fontId="15" fillId="0" borderId="0" applyFont="0" applyFill="0" applyBorder="0" applyAlignment="0" applyProtection="0"/>
    <xf numFmtId="9" fontId="4" fillId="0" borderId="0" applyFont="0" applyFill="0" applyBorder="0" applyAlignment="0" applyProtection="0">
      <alignment vertical="center"/>
    </xf>
    <xf numFmtId="0" fontId="15" fillId="0" borderId="0"/>
    <xf numFmtId="9" fontId="2" fillId="0" borderId="0" applyFont="0" applyFill="0" applyBorder="0" applyAlignment="0" applyProtection="0">
      <alignment vertical="center"/>
    </xf>
    <xf numFmtId="0" fontId="1" fillId="0" borderId="0">
      <alignment vertical="center"/>
    </xf>
    <xf numFmtId="43" fontId="1" fillId="0" borderId="0" applyFont="0" applyFill="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7" fillId="8" borderId="0" applyNumberFormat="0" applyBorder="0" applyAlignment="0" applyProtection="0">
      <alignment vertical="center"/>
    </xf>
    <xf numFmtId="0" fontId="17" fillId="11" borderId="0" applyNumberFormat="0" applyBorder="0" applyAlignment="0" applyProtection="0">
      <alignment vertical="center"/>
    </xf>
    <xf numFmtId="0" fontId="17" fillId="14"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7" fillId="8" borderId="0" applyNumberFormat="0" applyBorder="0" applyAlignment="0" applyProtection="0">
      <alignment vertical="center"/>
    </xf>
    <xf numFmtId="0" fontId="17" fillId="11" borderId="0" applyNumberFormat="0" applyBorder="0" applyAlignment="0" applyProtection="0">
      <alignment vertical="center"/>
    </xf>
    <xf numFmtId="0" fontId="17" fillId="14" borderId="0" applyNumberFormat="0" applyBorder="0" applyAlignment="0" applyProtection="0">
      <alignment vertical="center"/>
    </xf>
    <xf numFmtId="0" fontId="18" fillId="15"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8" fillId="15"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8" fillId="22" borderId="0" applyNumberFormat="0" applyBorder="0" applyAlignment="0" applyProtection="0">
      <alignment vertical="center"/>
    </xf>
    <xf numFmtId="0" fontId="19" fillId="6" borderId="0" applyNumberFormat="0" applyBorder="0" applyAlignment="0" applyProtection="0">
      <alignment vertical="center"/>
    </xf>
    <xf numFmtId="0" fontId="20" fillId="23" borderId="2" applyNumberFormat="0" applyAlignment="0" applyProtection="0">
      <alignment vertical="center"/>
    </xf>
    <xf numFmtId="0" fontId="21" fillId="24" borderId="3" applyNumberFormat="0" applyAlignment="0" applyProtection="0">
      <alignment vertical="center"/>
    </xf>
    <xf numFmtId="176" fontId="15" fillId="0" borderId="0" applyFont="0" applyFill="0" applyBorder="0" applyAlignment="0" applyProtection="0"/>
    <xf numFmtId="0" fontId="22" fillId="0" borderId="0" applyNumberFormat="0" applyFill="0" applyBorder="0" applyAlignment="0" applyProtection="0">
      <alignment vertical="center"/>
    </xf>
    <xf numFmtId="0" fontId="23" fillId="7" borderId="0" applyNumberFormat="0" applyBorder="0" applyAlignment="0" applyProtection="0">
      <alignment vertical="center"/>
    </xf>
    <xf numFmtId="0" fontId="24" fillId="0" borderId="4" applyNumberFormat="0" applyFill="0" applyAlignment="0" applyProtection="0">
      <alignment vertical="center"/>
    </xf>
    <xf numFmtId="0" fontId="25" fillId="0" borderId="5" applyNumberFormat="0" applyFill="0" applyAlignment="0" applyProtection="0">
      <alignment vertical="center"/>
    </xf>
    <xf numFmtId="0" fontId="26" fillId="0" borderId="6" applyNumberFormat="0" applyFill="0" applyAlignment="0" applyProtection="0">
      <alignment vertical="center"/>
    </xf>
    <xf numFmtId="0" fontId="26" fillId="0" borderId="0" applyNumberFormat="0" applyFill="0" applyBorder="0" applyAlignment="0" applyProtection="0">
      <alignment vertical="center"/>
    </xf>
    <xf numFmtId="0" fontId="27" fillId="10" borderId="2" applyNumberFormat="0" applyAlignment="0" applyProtection="0">
      <alignment vertical="center"/>
    </xf>
    <xf numFmtId="0" fontId="28" fillId="0" borderId="7" applyNumberFormat="0" applyFill="0" applyAlignment="0" applyProtection="0">
      <alignment vertical="center"/>
    </xf>
    <xf numFmtId="0" fontId="29" fillId="25" borderId="0" applyNumberFormat="0" applyBorder="0" applyAlignment="0" applyProtection="0">
      <alignment vertical="center"/>
    </xf>
    <xf numFmtId="0" fontId="4" fillId="0" borderId="0"/>
    <xf numFmtId="0" fontId="30" fillId="0" borderId="0"/>
    <xf numFmtId="0" fontId="4" fillId="26" borderId="8" applyNumberFormat="0" applyFont="0" applyAlignment="0" applyProtection="0">
      <alignment vertical="center"/>
    </xf>
    <xf numFmtId="0" fontId="31" fillId="23" borderId="9" applyNumberFormat="0" applyAlignment="0" applyProtection="0">
      <alignment vertical="center"/>
    </xf>
    <xf numFmtId="0" fontId="32" fillId="0" borderId="0" applyNumberFormat="0" applyFill="0" applyBorder="0" applyAlignment="0" applyProtection="0">
      <alignment vertical="center"/>
    </xf>
    <xf numFmtId="0" fontId="33" fillId="0" borderId="10" applyNumberFormat="0" applyFill="0" applyAlignment="0" applyProtection="0">
      <alignment vertical="center"/>
    </xf>
    <xf numFmtId="0" fontId="34" fillId="0" borderId="0" applyNumberFormat="0" applyFill="0" applyBorder="0" applyAlignment="0" applyProtection="0">
      <alignment vertical="center"/>
    </xf>
    <xf numFmtId="9" fontId="4" fillId="0" borderId="0" applyFont="0" applyFill="0" applyBorder="0" applyAlignment="0" applyProtection="0"/>
    <xf numFmtId="9" fontId="1" fillId="0" borderId="0" applyFont="0" applyFill="0" applyBorder="0" applyAlignment="0" applyProtection="0">
      <alignment vertical="center"/>
    </xf>
    <xf numFmtId="9" fontId="35" fillId="0" borderId="0" applyFont="0" applyFill="0" applyBorder="0" applyAlignment="0" applyProtection="0">
      <alignment vertical="center"/>
    </xf>
    <xf numFmtId="9" fontId="5" fillId="0" borderId="0" applyFont="0" applyFill="0" applyBorder="0" applyAlignment="0" applyProtection="0"/>
    <xf numFmtId="9" fontId="35"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0" fontId="24" fillId="0" borderId="4" applyNumberFormat="0" applyFill="0" applyAlignment="0" applyProtection="0">
      <alignment vertical="center"/>
    </xf>
    <xf numFmtId="0" fontId="25" fillId="0" borderId="5" applyNumberFormat="0" applyFill="0" applyAlignment="0" applyProtection="0">
      <alignment vertical="center"/>
    </xf>
    <xf numFmtId="0" fontId="26" fillId="0" borderId="6" applyNumberFormat="0" applyFill="0" applyAlignment="0" applyProtection="0">
      <alignment vertical="center"/>
    </xf>
    <xf numFmtId="0" fontId="26"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9" fillId="6" borderId="0" applyNumberFormat="0" applyBorder="0" applyAlignment="0" applyProtection="0">
      <alignment vertical="center"/>
    </xf>
    <xf numFmtId="0" fontId="16" fillId="0" borderId="0">
      <alignment vertical="center"/>
    </xf>
    <xf numFmtId="0" fontId="1" fillId="0" borderId="0">
      <alignment vertical="center"/>
    </xf>
    <xf numFmtId="0" fontId="4" fillId="0" borderId="0"/>
    <xf numFmtId="0" fontId="4" fillId="0" borderId="0">
      <alignment vertical="center"/>
    </xf>
    <xf numFmtId="0" fontId="4" fillId="0" borderId="0">
      <alignment vertical="center"/>
    </xf>
    <xf numFmtId="0" fontId="15" fillId="0" borderId="0"/>
    <xf numFmtId="0" fontId="15" fillId="0" borderId="0"/>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5" fillId="0" borderId="0"/>
    <xf numFmtId="0" fontId="1" fillId="0" borderId="0">
      <alignment vertical="center"/>
    </xf>
    <xf numFmtId="0" fontId="35" fillId="0" borderId="0"/>
    <xf numFmtId="0" fontId="1" fillId="0" borderId="0">
      <alignment vertical="center"/>
    </xf>
    <xf numFmtId="0" fontId="1" fillId="0" borderId="0">
      <alignment vertical="center"/>
    </xf>
    <xf numFmtId="0" fontId="23" fillId="7" borderId="0" applyNumberFormat="0" applyBorder="0" applyAlignment="0" applyProtection="0">
      <alignment vertical="center"/>
    </xf>
    <xf numFmtId="0" fontId="33" fillId="0" borderId="10" applyNumberFormat="0" applyFill="0" applyAlignment="0" applyProtection="0">
      <alignment vertical="center"/>
    </xf>
    <xf numFmtId="177" fontId="4" fillId="0" borderId="0" applyFont="0" applyFill="0" applyBorder="0" applyAlignment="0" applyProtection="0">
      <alignment vertical="center"/>
    </xf>
    <xf numFmtId="177" fontId="4" fillId="0" borderId="0" applyFont="0" applyFill="0" applyBorder="0" applyAlignment="0" applyProtection="0">
      <alignment vertical="center"/>
    </xf>
    <xf numFmtId="0" fontId="20" fillId="23" borderId="2" applyNumberFormat="0" applyAlignment="0" applyProtection="0">
      <alignment vertical="center"/>
    </xf>
    <xf numFmtId="0" fontId="21" fillId="24" borderId="3" applyNumberFormat="0" applyAlignment="0" applyProtection="0">
      <alignment vertical="center"/>
    </xf>
    <xf numFmtId="0" fontId="22"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8" fillId="0" borderId="7" applyNumberFormat="0" applyFill="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8" fillId="22" borderId="0" applyNumberFormat="0" applyBorder="0" applyAlignment="0" applyProtection="0">
      <alignment vertical="center"/>
    </xf>
    <xf numFmtId="0" fontId="29" fillId="25" borderId="0" applyNumberFormat="0" applyBorder="0" applyAlignment="0" applyProtection="0">
      <alignment vertical="center"/>
    </xf>
    <xf numFmtId="0" fontId="31" fillId="23" borderId="9" applyNumberFormat="0" applyAlignment="0" applyProtection="0">
      <alignment vertical="center"/>
    </xf>
    <xf numFmtId="0" fontId="27" fillId="10" borderId="2" applyNumberFormat="0" applyAlignment="0" applyProtection="0">
      <alignment vertical="center"/>
    </xf>
    <xf numFmtId="0" fontId="4" fillId="26" borderId="8" applyNumberFormat="0" applyFont="0" applyAlignment="0" applyProtection="0">
      <alignment vertical="center"/>
    </xf>
    <xf numFmtId="9" fontId="37" fillId="0" borderId="0" applyFont="0" applyFill="0" applyBorder="0" applyAlignment="0" applyProtection="0">
      <alignment vertical="center"/>
    </xf>
    <xf numFmtId="0" fontId="15" fillId="0" borderId="0"/>
    <xf numFmtId="0" fontId="4" fillId="0" borderId="0"/>
    <xf numFmtId="0" fontId="4" fillId="0" borderId="0"/>
    <xf numFmtId="0" fontId="4" fillId="0" borderId="0"/>
    <xf numFmtId="0" fontId="15" fillId="0" borderId="0"/>
    <xf numFmtId="0" fontId="4" fillId="0" borderId="0">
      <alignment vertical="center"/>
    </xf>
    <xf numFmtId="0" fontId="4" fillId="0" borderId="0">
      <alignment vertical="center"/>
    </xf>
  </cellStyleXfs>
  <cellXfs count="90">
    <xf numFmtId="0" fontId="0" fillId="0" borderId="0" xfId="0">
      <alignment vertical="center"/>
    </xf>
    <xf numFmtId="0" fontId="7" fillId="0" borderId="0" xfId="4" applyFont="1" applyProtection="1">
      <protection hidden="1"/>
    </xf>
    <xf numFmtId="49" fontId="8" fillId="2" borderId="1" xfId="4" applyNumberFormat="1" applyFont="1" applyFill="1" applyBorder="1" applyProtection="1">
      <protection hidden="1"/>
    </xf>
    <xf numFmtId="0" fontId="9" fillId="0" borderId="0" xfId="4" applyFont="1" applyProtection="1">
      <protection hidden="1"/>
    </xf>
    <xf numFmtId="49" fontId="10" fillId="2" borderId="1" xfId="4" applyNumberFormat="1" applyFont="1" applyFill="1" applyBorder="1" applyProtection="1">
      <protection hidden="1"/>
    </xf>
    <xf numFmtId="0" fontId="11" fillId="0" borderId="0" xfId="4" applyFont="1" applyProtection="1">
      <protection hidden="1"/>
    </xf>
    <xf numFmtId="0" fontId="12" fillId="0" borderId="0" xfId="4" applyFont="1" applyProtection="1">
      <protection hidden="1"/>
    </xf>
    <xf numFmtId="0" fontId="6" fillId="3" borderId="1" xfId="4" applyFont="1" applyFill="1" applyBorder="1" applyAlignment="1" applyProtection="1">
      <alignment horizontal="center"/>
      <protection hidden="1"/>
    </xf>
    <xf numFmtId="0" fontId="4" fillId="3" borderId="1" xfId="4" applyFont="1" applyFill="1" applyBorder="1" applyAlignment="1" applyProtection="1">
      <alignment horizontal="center"/>
      <protection hidden="1"/>
    </xf>
    <xf numFmtId="0" fontId="13" fillId="3" borderId="1" xfId="4" applyFont="1" applyFill="1" applyBorder="1" applyAlignment="1" applyProtection="1">
      <alignment horizontal="center"/>
      <protection hidden="1"/>
    </xf>
    <xf numFmtId="0" fontId="4" fillId="4" borderId="1" xfId="4" applyFont="1" applyFill="1" applyBorder="1" applyAlignment="1" applyProtection="1">
      <alignment horizontal="center"/>
      <protection hidden="1"/>
    </xf>
    <xf numFmtId="0" fontId="13" fillId="4" borderId="1" xfId="4" applyFont="1" applyFill="1" applyBorder="1" applyAlignment="1" applyProtection="1">
      <alignment horizontal="center"/>
      <protection hidden="1"/>
    </xf>
    <xf numFmtId="0" fontId="0" fillId="27" borderId="1" xfId="0" applyFill="1" applyBorder="1">
      <alignment vertical="center"/>
    </xf>
    <xf numFmtId="0" fontId="4" fillId="28" borderId="0" xfId="129" applyFont="1" applyFill="1" applyBorder="1"/>
    <xf numFmtId="0" fontId="4" fillId="0" borderId="0" xfId="129" applyFont="1" applyFill="1" applyBorder="1"/>
    <xf numFmtId="0" fontId="4" fillId="0" borderId="0" xfId="129" applyFont="1" applyFill="1"/>
    <xf numFmtId="0" fontId="4" fillId="3" borderId="1" xfId="129" applyFont="1" applyFill="1" applyBorder="1"/>
    <xf numFmtId="0" fontId="4" fillId="29" borderId="1" xfId="129" applyFont="1" applyFill="1" applyBorder="1"/>
    <xf numFmtId="0" fontId="40" fillId="28" borderId="0" xfId="129" applyFont="1" applyFill="1" applyBorder="1"/>
    <xf numFmtId="0" fontId="40" fillId="0" borderId="0" xfId="129" applyFont="1" applyFill="1" applyBorder="1"/>
    <xf numFmtId="0" fontId="41" fillId="28" borderId="0" xfId="129" applyFont="1" applyFill="1" applyBorder="1"/>
    <xf numFmtId="0" fontId="4" fillId="30" borderId="1" xfId="129" applyNumberFormat="1" applyFont="1" applyFill="1" applyBorder="1" applyAlignment="1"/>
    <xf numFmtId="0" fontId="4" fillId="31" borderId="1" xfId="129" applyNumberFormat="1" applyFont="1" applyFill="1" applyBorder="1" applyAlignment="1"/>
    <xf numFmtId="179" fontId="4" fillId="28" borderId="0" xfId="129" applyNumberFormat="1" applyFont="1" applyFill="1" applyBorder="1"/>
    <xf numFmtId="0" fontId="4" fillId="28" borderId="0" xfId="129" applyFont="1" applyFill="1"/>
    <xf numFmtId="0" fontId="4" fillId="31" borderId="1" xfId="129" applyNumberFormat="1" applyFont="1" applyFill="1" applyBorder="1"/>
    <xf numFmtId="0" fontId="4" fillId="28" borderId="0" xfId="129" applyFont="1" applyFill="1" applyBorder="1" applyAlignment="1">
      <alignment horizontal="center"/>
    </xf>
    <xf numFmtId="180" fontId="4" fillId="31" borderId="1" xfId="129" applyNumberFormat="1" applyFont="1" applyFill="1" applyBorder="1"/>
    <xf numFmtId="181" fontId="4" fillId="28" borderId="0" xfId="129" applyNumberFormat="1" applyFont="1" applyFill="1" applyBorder="1" applyAlignment="1">
      <alignment horizontal="center"/>
    </xf>
    <xf numFmtId="182" fontId="4" fillId="31" borderId="1" xfId="129" applyNumberFormat="1" applyFont="1" applyFill="1" applyBorder="1" applyAlignment="1"/>
    <xf numFmtId="0" fontId="4" fillId="0" borderId="0" xfId="129" applyFont="1"/>
    <xf numFmtId="0" fontId="42" fillId="0" borderId="0" xfId="129" applyFont="1" applyFill="1"/>
    <xf numFmtId="0" fontId="0" fillId="32" borderId="1" xfId="0" applyFill="1" applyBorder="1">
      <alignment vertical="center"/>
    </xf>
    <xf numFmtId="178" fontId="0" fillId="32" borderId="1" xfId="128" applyNumberFormat="1" applyFont="1" applyFill="1" applyBorder="1">
      <alignment vertical="center"/>
    </xf>
    <xf numFmtId="0" fontId="0" fillId="33" borderId="0" xfId="0" applyFill="1">
      <alignment vertical="center"/>
    </xf>
    <xf numFmtId="0" fontId="0" fillId="27" borderId="0" xfId="0" applyFill="1">
      <alignment vertical="center"/>
    </xf>
    <xf numFmtId="0" fontId="0" fillId="0" borderId="1" xfId="0" applyFill="1" applyBorder="1">
      <alignment vertical="center"/>
    </xf>
    <xf numFmtId="0" fontId="4" fillId="35" borderId="0" xfId="130" applyFont="1" applyFill="1"/>
    <xf numFmtId="0" fontId="4" fillId="35" borderId="0" xfId="130" applyFont="1" applyFill="1" applyBorder="1"/>
    <xf numFmtId="0" fontId="4" fillId="0" borderId="0" xfId="130" applyFont="1"/>
    <xf numFmtId="0" fontId="4" fillId="34" borderId="1" xfId="131" applyFont="1" applyFill="1" applyBorder="1"/>
    <xf numFmtId="0" fontId="4" fillId="36" borderId="1" xfId="130" applyFont="1" applyFill="1" applyBorder="1"/>
    <xf numFmtId="183" fontId="4" fillId="31" borderId="1" xfId="130" applyNumberFormat="1" applyFont="1" applyFill="1" applyBorder="1"/>
    <xf numFmtId="183" fontId="4" fillId="35" borderId="0" xfId="130" applyNumberFormat="1" applyFont="1" applyFill="1" applyBorder="1"/>
    <xf numFmtId="0" fontId="4" fillId="0" borderId="0" xfId="130" applyFont="1" applyFill="1" applyBorder="1"/>
    <xf numFmtId="0" fontId="43" fillId="0" borderId="0" xfId="0" applyFont="1">
      <alignment vertical="center"/>
    </xf>
    <xf numFmtId="0" fontId="44" fillId="0" borderId="0" xfId="6" applyFont="1">
      <alignment vertical="center"/>
    </xf>
    <xf numFmtId="0" fontId="4" fillId="0" borderId="0" xfId="2" applyFont="1" applyFill="1" applyBorder="1" applyAlignment="1">
      <alignment horizontal="center"/>
    </xf>
    <xf numFmtId="0" fontId="43" fillId="27" borderId="1" xfId="0" applyFont="1" applyFill="1" applyBorder="1">
      <alignment vertical="center"/>
    </xf>
    <xf numFmtId="0" fontId="13" fillId="36" borderId="1" xfId="132" applyFont="1" applyFill="1" applyBorder="1" applyAlignment="1">
      <alignment horizontal="center"/>
    </xf>
    <xf numFmtId="0" fontId="4" fillId="27" borderId="1" xfId="7" applyFont="1" applyFill="1" applyBorder="1"/>
    <xf numFmtId="9" fontId="13" fillId="36" borderId="1" xfId="1" applyFont="1" applyFill="1" applyBorder="1" applyAlignment="1">
      <alignment horizontal="center"/>
    </xf>
    <xf numFmtId="184" fontId="13" fillId="31" borderId="1" xfId="133" applyNumberFormat="1" applyFont="1" applyFill="1" applyBorder="1" applyProtection="1"/>
    <xf numFmtId="0" fontId="4" fillId="0" borderId="0" xfId="7" applyFont="1" applyFill="1" applyBorder="1"/>
    <xf numFmtId="9" fontId="4" fillId="27" borderId="1" xfId="7" applyNumberFormat="1" applyFont="1" applyFill="1" applyBorder="1"/>
    <xf numFmtId="185" fontId="13" fillId="31" borderId="1" xfId="133" applyNumberFormat="1" applyFont="1" applyFill="1" applyBorder="1" applyProtection="1"/>
    <xf numFmtId="185" fontId="13" fillId="36" borderId="1" xfId="1" applyNumberFormat="1" applyFont="1" applyFill="1" applyBorder="1" applyAlignment="1">
      <alignment horizontal="center"/>
    </xf>
    <xf numFmtId="186" fontId="13" fillId="31" borderId="1" xfId="133" applyNumberFormat="1" applyFont="1" applyFill="1" applyBorder="1" applyProtection="1"/>
    <xf numFmtId="0" fontId="9" fillId="0" borderId="0" xfId="8" applyFont="1">
      <alignment vertical="center"/>
    </xf>
    <xf numFmtId="0" fontId="9" fillId="0" borderId="0" xfId="8" applyFont="1" applyAlignment="1">
      <alignment horizontal="center" vertical="center"/>
    </xf>
    <xf numFmtId="187" fontId="9" fillId="0" borderId="0" xfId="8" applyNumberFormat="1" applyFont="1">
      <alignment vertical="center"/>
    </xf>
    <xf numFmtId="9" fontId="9" fillId="0" borderId="0" xfId="8" applyNumberFormat="1" applyFont="1">
      <alignment vertical="center"/>
    </xf>
    <xf numFmtId="10" fontId="9" fillId="0" borderId="0" xfId="8" applyNumberFormat="1" applyFont="1">
      <alignment vertical="center"/>
    </xf>
    <xf numFmtId="9" fontId="9" fillId="0" borderId="0" xfId="128" applyFont="1">
      <alignment vertical="center"/>
    </xf>
    <xf numFmtId="188" fontId="4" fillId="0" borderId="0" xfId="134" applyNumberFormat="1">
      <alignment vertical="center"/>
    </xf>
    <xf numFmtId="0" fontId="9" fillId="0" borderId="0" xfId="135" applyFont="1">
      <alignment vertical="center"/>
    </xf>
    <xf numFmtId="0" fontId="45" fillId="3" borderId="1" xfId="132" applyFont="1" applyFill="1" applyBorder="1" applyAlignment="1">
      <alignment horizontal="center"/>
    </xf>
    <xf numFmtId="0" fontId="46" fillId="3" borderId="1" xfId="132" applyFont="1" applyFill="1" applyBorder="1" applyAlignment="1">
      <alignment horizontal="center"/>
    </xf>
    <xf numFmtId="0" fontId="5" fillId="0" borderId="0" xfId="135" applyFont="1">
      <alignment vertical="center"/>
    </xf>
    <xf numFmtId="0" fontId="4" fillId="0" borderId="0" xfId="134">
      <alignment vertical="center"/>
    </xf>
    <xf numFmtId="0" fontId="9" fillId="39" borderId="1" xfId="71" applyFont="1" applyFill="1" applyBorder="1" applyAlignment="1">
      <alignment horizontal="center"/>
    </xf>
    <xf numFmtId="0" fontId="5" fillId="0" borderId="0" xfId="135" applyFont="1" applyAlignment="1">
      <alignment horizontal="center" vertical="center"/>
    </xf>
    <xf numFmtId="0" fontId="9" fillId="0" borderId="0" xfId="135" applyFont="1" applyAlignment="1">
      <alignment horizontal="center" vertical="center"/>
    </xf>
    <xf numFmtId="0" fontId="0" fillId="40" borderId="1" xfId="0" applyFill="1" applyBorder="1">
      <alignment vertical="center"/>
    </xf>
    <xf numFmtId="0" fontId="0" fillId="0" borderId="1" xfId="0" applyBorder="1">
      <alignment vertical="center"/>
    </xf>
    <xf numFmtId="0" fontId="47" fillId="0" borderId="0" xfId="2" applyFont="1"/>
    <xf numFmtId="0" fontId="4" fillId="0" borderId="0" xfId="2"/>
    <xf numFmtId="0" fontId="4" fillId="0" borderId="1" xfId="2" applyBorder="1"/>
    <xf numFmtId="2" fontId="4" fillId="37" borderId="1" xfId="2" applyNumberFormat="1" applyFill="1" applyBorder="1"/>
    <xf numFmtId="0" fontId="4" fillId="37" borderId="1" xfId="2" applyFill="1" applyBorder="1"/>
    <xf numFmtId="9" fontId="4" fillId="37" borderId="1" xfId="77" applyFill="1" applyBorder="1"/>
    <xf numFmtId="0" fontId="9" fillId="0" borderId="1" xfId="8" applyFont="1" applyBorder="1" applyAlignment="1">
      <alignment horizontal="center" vertical="center"/>
    </xf>
    <xf numFmtId="0" fontId="9" fillId="0" borderId="1" xfId="8" applyFont="1" applyBorder="1">
      <alignment vertical="center"/>
    </xf>
    <xf numFmtId="0" fontId="9" fillId="37" borderId="1" xfId="8" applyFont="1" applyFill="1" applyBorder="1">
      <alignment vertical="center"/>
    </xf>
    <xf numFmtId="187" fontId="9" fillId="38" borderId="1" xfId="8" applyNumberFormat="1" applyFont="1" applyFill="1" applyBorder="1">
      <alignment vertical="center"/>
    </xf>
    <xf numFmtId="9" fontId="9" fillId="38" borderId="1" xfId="8" applyNumberFormat="1" applyFont="1" applyFill="1" applyBorder="1">
      <alignment vertical="center"/>
    </xf>
    <xf numFmtId="9" fontId="9" fillId="37" borderId="1" xfId="8" applyNumberFormat="1" applyFont="1" applyFill="1" applyBorder="1">
      <alignment vertical="center"/>
    </xf>
    <xf numFmtId="0" fontId="9" fillId="38" borderId="1" xfId="8" applyFont="1" applyFill="1" applyBorder="1">
      <alignment vertical="center"/>
    </xf>
    <xf numFmtId="10" fontId="9" fillId="38" borderId="1" xfId="8" applyNumberFormat="1" applyFont="1" applyFill="1" applyBorder="1">
      <alignment vertical="center"/>
    </xf>
    <xf numFmtId="0" fontId="36" fillId="0" borderId="0" xfId="4" applyFont="1" applyAlignment="1" applyProtection="1">
      <alignment horizontal="center" wrapText="1"/>
      <protection hidden="1"/>
    </xf>
  </cellXfs>
  <cellStyles count="136">
    <cellStyle name="20% - Accent1" xfId="15"/>
    <cellStyle name="20% - Accent2" xfId="16"/>
    <cellStyle name="20% - Accent3" xfId="17"/>
    <cellStyle name="20% - Accent4" xfId="18"/>
    <cellStyle name="20% - Accent5" xfId="19"/>
    <cellStyle name="20% - Accent6" xfId="20"/>
    <cellStyle name="20% - 强调文字颜色 1 2" xfId="21"/>
    <cellStyle name="20% - 强调文字颜色 2 2" xfId="22"/>
    <cellStyle name="20% - 强调文字颜色 3 2" xfId="23"/>
    <cellStyle name="20% - 强调文字颜色 4 2" xfId="24"/>
    <cellStyle name="20% - 强调文字颜色 5 2" xfId="25"/>
    <cellStyle name="20% - 强调文字颜色 6 2" xfId="26"/>
    <cellStyle name="40% - Accent1" xfId="27"/>
    <cellStyle name="40% - Accent2" xfId="28"/>
    <cellStyle name="40% - Accent3" xfId="29"/>
    <cellStyle name="40% - Accent4" xfId="30"/>
    <cellStyle name="40% - Accent5" xfId="31"/>
    <cellStyle name="40% - Accent6" xfId="32"/>
    <cellStyle name="40% - 强调文字颜色 1 2" xfId="33"/>
    <cellStyle name="40% - 强调文字颜色 2 2" xfId="34"/>
    <cellStyle name="40% - 强调文字颜色 3 2" xfId="35"/>
    <cellStyle name="40% - 强调文字颜色 4 2" xfId="36"/>
    <cellStyle name="40% - 强调文字颜色 5 2" xfId="37"/>
    <cellStyle name="40% - 强调文字颜色 6 2" xfId="38"/>
    <cellStyle name="60% - Accent1" xfId="39"/>
    <cellStyle name="60% - Accent2" xfId="40"/>
    <cellStyle name="60% - Accent3" xfId="41"/>
    <cellStyle name="60% - Accent4" xfId="42"/>
    <cellStyle name="60% - Accent5" xfId="43"/>
    <cellStyle name="60% - Accent6" xfId="44"/>
    <cellStyle name="60% - 强调文字颜色 1 2" xfId="45"/>
    <cellStyle name="60% - 强调文字颜色 2 2" xfId="46"/>
    <cellStyle name="60% - 强调文字颜色 3 2" xfId="47"/>
    <cellStyle name="60% - 强调文字颜色 4 2" xfId="48"/>
    <cellStyle name="60% - 强调文字颜色 5 2" xfId="49"/>
    <cellStyle name="60% - 强调文字颜色 6 2" xfId="50"/>
    <cellStyle name="Accent1" xfId="51"/>
    <cellStyle name="Accent2" xfId="52"/>
    <cellStyle name="Accent3" xfId="53"/>
    <cellStyle name="Accent4" xfId="54"/>
    <cellStyle name="Accent5" xfId="55"/>
    <cellStyle name="Accent6" xfId="56"/>
    <cellStyle name="Bad" xfId="57"/>
    <cellStyle name="Calculation" xfId="58"/>
    <cellStyle name="Check Cell" xfId="59"/>
    <cellStyle name="Comma_考试题-绘图1" xfId="60"/>
    <cellStyle name="Explanatory Text" xfId="61"/>
    <cellStyle name="Good" xfId="62"/>
    <cellStyle name="Heading 1" xfId="63"/>
    <cellStyle name="Heading 2" xfId="64"/>
    <cellStyle name="Heading 3" xfId="65"/>
    <cellStyle name="Heading 4" xfId="66"/>
    <cellStyle name="Input" xfId="67"/>
    <cellStyle name="Linked Cell" xfId="68"/>
    <cellStyle name="Neutral" xfId="69"/>
    <cellStyle name="Normal 2" xfId="70"/>
    <cellStyle name="Normal_Calculation (3)" xfId="71"/>
    <cellStyle name="Note" xfId="72"/>
    <cellStyle name="Output" xfId="73"/>
    <cellStyle name="Title" xfId="74"/>
    <cellStyle name="Total" xfId="75"/>
    <cellStyle name="Warning Text" xfId="76"/>
    <cellStyle name="百分比" xfId="128" builtinId="5"/>
    <cellStyle name="百分比 2" xfId="1"/>
    <cellStyle name="百分比 2 2" xfId="9"/>
    <cellStyle name="百分比 2 3" xfId="77"/>
    <cellStyle name="百分比 3" xfId="5"/>
    <cellStyle name="百分比 3 2" xfId="10"/>
    <cellStyle name="百分比 4" xfId="12"/>
    <cellStyle name="百分比 4 2" xfId="78"/>
    <cellStyle name="百分比 5" xfId="79"/>
    <cellStyle name="百分比 6" xfId="80"/>
    <cellStyle name="百分比 7" xfId="81"/>
    <cellStyle name="百分比 8" xfId="82"/>
    <cellStyle name="百分比 9" xfId="83"/>
    <cellStyle name="标题 1 2" xfId="84"/>
    <cellStyle name="标题 2 2" xfId="85"/>
    <cellStyle name="标题 3 2" xfId="86"/>
    <cellStyle name="标题 4 2" xfId="87"/>
    <cellStyle name="标题 5" xfId="88"/>
    <cellStyle name="差 2" xfId="89"/>
    <cellStyle name="常规" xfId="0" builtinId="0"/>
    <cellStyle name="常规 10" xfId="90"/>
    <cellStyle name="常规 11" xfId="91"/>
    <cellStyle name="常规 2" xfId="2"/>
    <cellStyle name="常规 2 2" xfId="8"/>
    <cellStyle name="常规 2 2 2" xfId="92"/>
    <cellStyle name="常规 2 3" xfId="93"/>
    <cellStyle name="常规 3" xfId="3"/>
    <cellStyle name="常规 3 2" xfId="7"/>
    <cellStyle name="常规 4" xfId="11"/>
    <cellStyle name="常规 4 2" xfId="94"/>
    <cellStyle name="常规 4 2 2" xfId="95"/>
    <cellStyle name="常规 4 3" xfId="96"/>
    <cellStyle name="常规 5" xfId="6"/>
    <cellStyle name="常规 5 2" xfId="97"/>
    <cellStyle name="常规 5 3" xfId="98"/>
    <cellStyle name="常规 5 3 2" xfId="99"/>
    <cellStyle name="常规 5 4" xfId="100"/>
    <cellStyle name="常规 6" xfId="13"/>
    <cellStyle name="常规 6 2" xfId="101"/>
    <cellStyle name="常规 6 2 2" xfId="102"/>
    <cellStyle name="常规 7" xfId="103"/>
    <cellStyle name="常规 7 2" xfId="104"/>
    <cellStyle name="常规 8" xfId="105"/>
    <cellStyle name="常规 8 2" xfId="106"/>
    <cellStyle name="常规 8 3" xfId="107"/>
    <cellStyle name="常规 9" xfId="108"/>
    <cellStyle name="常规_0 第4题-题目陈" xfId="135"/>
    <cellStyle name="常规_ks1" xfId="4"/>
    <cellStyle name="常规_第1套第5题答案" xfId="131"/>
    <cellStyle name="常规_第1套第6题答案" xfId="130"/>
    <cellStyle name="常规_第二套答案" xfId="134"/>
    <cellStyle name="常规_第五章试题" xfId="132"/>
    <cellStyle name="常规_回归1" xfId="133"/>
    <cellStyle name="常规_盈亏平衡第2题答案" xfId="129"/>
    <cellStyle name="好 2" xfId="109"/>
    <cellStyle name="汇总 2" xfId="110"/>
    <cellStyle name="货币 2" xfId="111"/>
    <cellStyle name="货币 3" xfId="112"/>
    <cellStyle name="计算 2" xfId="113"/>
    <cellStyle name="检查单元格 2" xfId="114"/>
    <cellStyle name="解释性文本 2" xfId="115"/>
    <cellStyle name="警告文本 2" xfId="116"/>
    <cellStyle name="链接单元格 2" xfId="117"/>
    <cellStyle name="千位分隔 2" xfId="14"/>
    <cellStyle name="强调文字颜色 1 2" xfId="118"/>
    <cellStyle name="强调文字颜色 2 2" xfId="119"/>
    <cellStyle name="强调文字颜色 3 2" xfId="120"/>
    <cellStyle name="强调文字颜色 4 2" xfId="121"/>
    <cellStyle name="强调文字颜色 5 2" xfId="122"/>
    <cellStyle name="强调文字颜色 6 2" xfId="123"/>
    <cellStyle name="适中 2" xfId="124"/>
    <cellStyle name="输出 2" xfId="125"/>
    <cellStyle name="输入 2" xfId="126"/>
    <cellStyle name="注释 2" xfId="12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161925</xdr:colOff>
      <xdr:row>4</xdr:row>
      <xdr:rowOff>76200</xdr:rowOff>
    </xdr:from>
    <xdr:to>
      <xdr:col>7</xdr:col>
      <xdr:colOff>352425</xdr:colOff>
      <xdr:row>16</xdr:row>
      <xdr:rowOff>57150</xdr:rowOff>
    </xdr:to>
    <xdr:sp macro="" textlink="">
      <xdr:nvSpPr>
        <xdr:cNvPr id="15361" name="Text Box 1"/>
        <xdr:cNvSpPr txBox="1">
          <a:spLocks noChangeArrowheads="1"/>
        </xdr:cNvSpPr>
      </xdr:nvSpPr>
      <xdr:spPr bwMode="auto">
        <a:xfrm>
          <a:off x="161925" y="1285875"/>
          <a:ext cx="5886450" cy="2209800"/>
        </a:xfrm>
        <a:prstGeom prst="rect">
          <a:avLst/>
        </a:prstGeom>
        <a:solidFill>
          <a:schemeClr val="accent2">
            <a:lumMod val="20000"/>
            <a:lumOff val="80000"/>
          </a:schemeClr>
        </a:solidFill>
        <a:ln w="9525">
          <a:solidFill>
            <a:srgbClr val="000000"/>
          </a:solidFill>
          <a:miter lim="800000"/>
          <a:headEnd/>
          <a:tailEnd/>
        </a:ln>
        <a:effectLst>
          <a:outerShdw dist="35921" dir="2700000" algn="ctr" rotWithShape="0">
            <a:srgbClr val="808080"/>
          </a:outerShdw>
        </a:effectLst>
      </xdr:spPr>
      <xdr:txBody>
        <a:bodyPr vertOverflow="clip" wrap="square" lIns="36576" tIns="27432" rIns="0" bIns="0" anchor="t" upright="1"/>
        <a:lstStyle/>
        <a:p>
          <a:pPr algn="l" rtl="0">
            <a:lnSpc>
              <a:spcPts val="2000"/>
            </a:lnSpc>
            <a:defRPr sz="1000"/>
          </a:pPr>
          <a:r>
            <a:rPr lang="zh-CN" altLang="en-US" sz="1600" b="1" i="0" strike="noStrike">
              <a:solidFill>
                <a:srgbClr val="0000FF"/>
              </a:solidFill>
              <a:latin typeface="宋体"/>
              <a:ea typeface="宋体"/>
            </a:rPr>
            <a:t>考试注意事项：</a:t>
          </a:r>
          <a:endParaRPr lang="zh-CN" altLang="en-US" sz="1200" b="0" i="0" strike="noStrike">
            <a:solidFill>
              <a:srgbClr val="000000"/>
            </a:solidFill>
            <a:latin typeface="宋体"/>
            <a:ea typeface="宋体"/>
          </a:endParaRPr>
        </a:p>
        <a:p>
          <a:pPr algn="l" rtl="0">
            <a:lnSpc>
              <a:spcPts val="1500"/>
            </a:lnSpc>
            <a:defRPr sz="1000"/>
          </a:pPr>
          <a:r>
            <a:rPr lang="en-US" altLang="zh-CN" sz="1200" b="0" i="0" strike="noStrike">
              <a:solidFill>
                <a:srgbClr val="000000"/>
              </a:solidFill>
              <a:latin typeface="Arial"/>
              <a:cs typeface="Arial"/>
            </a:rPr>
            <a:t>1</a:t>
          </a:r>
          <a:r>
            <a:rPr lang="zh-CN" altLang="en-US" sz="1200" b="0" i="0" strike="noStrike">
              <a:solidFill>
                <a:srgbClr val="000000"/>
              </a:solidFill>
              <a:latin typeface="宋体"/>
              <a:ea typeface="宋体"/>
            </a:rPr>
            <a:t>、</a:t>
          </a:r>
          <a:r>
            <a:rPr lang="zh-CN" altLang="en-US" sz="1200" b="0" i="0" strike="noStrike">
              <a:solidFill>
                <a:srgbClr val="000000"/>
              </a:solidFill>
              <a:latin typeface="Arial"/>
              <a:cs typeface="Arial"/>
            </a:rPr>
            <a:t> </a:t>
          </a:r>
          <a:r>
            <a:rPr lang="zh-CN" altLang="en-US" sz="1200" b="0" i="0" strike="noStrike">
              <a:solidFill>
                <a:srgbClr val="000000"/>
              </a:solidFill>
              <a:latin typeface="宋体"/>
              <a:ea typeface="宋体"/>
            </a:rPr>
            <a:t>严格遵守考试纪律，一旦发现任何违犯考试纪律的情况立即取消考生考试资格。</a:t>
          </a:r>
          <a:endParaRPr lang="zh-CN" altLang="en-US" sz="1200" b="0" i="0" strike="noStrike">
            <a:solidFill>
              <a:srgbClr val="000000"/>
            </a:solidFill>
            <a:latin typeface="Arial"/>
            <a:cs typeface="Arial"/>
          </a:endParaRPr>
        </a:p>
        <a:p>
          <a:pPr algn="l" rtl="0">
            <a:lnSpc>
              <a:spcPts val="1500"/>
            </a:lnSpc>
            <a:defRPr sz="1000"/>
          </a:pPr>
          <a:r>
            <a:rPr lang="en-US" altLang="zh-CN" sz="1200" b="0" i="0" strike="noStrike">
              <a:solidFill>
                <a:srgbClr val="000000"/>
              </a:solidFill>
              <a:latin typeface="Arial"/>
              <a:cs typeface="Arial"/>
            </a:rPr>
            <a:t>2</a:t>
          </a:r>
          <a:r>
            <a:rPr lang="zh-CN" altLang="en-US" sz="1200" b="0" i="0" strike="noStrike">
              <a:solidFill>
                <a:srgbClr val="000000"/>
              </a:solidFill>
              <a:latin typeface="宋体"/>
              <a:ea typeface="宋体"/>
            </a:rPr>
            <a:t>、每位同学完成操作后必须存盘，提交作业时必须先将此文件关闭，才能正确提交。</a:t>
          </a:r>
        </a:p>
        <a:p>
          <a:pPr algn="l" rtl="0">
            <a:defRPr sz="1000"/>
          </a:pPr>
          <a:r>
            <a:rPr lang="en-US" altLang="zh-CN" sz="1200" b="0" i="0" strike="noStrike">
              <a:solidFill>
                <a:srgbClr val="000000"/>
              </a:solidFill>
              <a:latin typeface="Arial"/>
              <a:cs typeface="Arial"/>
            </a:rPr>
            <a:t>3</a:t>
          </a:r>
          <a:r>
            <a:rPr lang="zh-CN" altLang="en-US" sz="1200" b="0" i="0" strike="noStrike">
              <a:solidFill>
                <a:srgbClr val="000000"/>
              </a:solidFill>
              <a:latin typeface="宋体"/>
              <a:ea typeface="宋体"/>
            </a:rPr>
            <a:t>、切记</a:t>
          </a:r>
          <a:r>
            <a:rPr lang="zh-CN" altLang="en-US" sz="1600" b="1" i="0" strike="noStrike">
              <a:solidFill>
                <a:srgbClr val="FF0000"/>
              </a:solidFill>
              <a:latin typeface="宋体"/>
              <a:ea typeface="宋体"/>
            </a:rPr>
            <a:t>经常存盘</a:t>
          </a:r>
          <a:r>
            <a:rPr lang="zh-CN" altLang="en-US" sz="1200" b="0" i="0" strike="noStrike">
              <a:solidFill>
                <a:srgbClr val="000000"/>
              </a:solidFill>
              <a:latin typeface="宋体"/>
              <a:ea typeface="宋体"/>
            </a:rPr>
            <a:t>。由于没有经常存盘而发生在死机时丢失答题结果的情况时后果由考生自负。</a:t>
          </a:r>
        </a:p>
        <a:p>
          <a:pPr algn="l" rtl="0">
            <a:lnSpc>
              <a:spcPts val="1500"/>
            </a:lnSpc>
            <a:defRPr sz="1000"/>
          </a:pPr>
          <a:r>
            <a:rPr lang="en-US" altLang="zh-CN" sz="1200" b="0" i="0" strike="noStrike">
              <a:solidFill>
                <a:srgbClr val="000000"/>
              </a:solidFill>
              <a:latin typeface="Arial"/>
              <a:cs typeface="Arial"/>
            </a:rPr>
            <a:t>4</a:t>
          </a:r>
          <a:r>
            <a:rPr lang="zh-CN" altLang="en-US" sz="1200" b="0" i="0" strike="noStrike">
              <a:solidFill>
                <a:srgbClr val="000000"/>
              </a:solidFill>
              <a:latin typeface="宋体"/>
              <a:ea typeface="宋体"/>
            </a:rPr>
            <a:t>、随时查看在硬盘上保存的文件的体积是否变得太大，如果太大了那一定是自己操作上发生了问题，应立即设法加以解决，不要等到最后交卷时才发现此类问题。</a:t>
          </a:r>
        </a:p>
        <a:p>
          <a:pPr algn="l" rtl="0">
            <a:lnSpc>
              <a:spcPts val="1500"/>
            </a:lnSpc>
            <a:defRPr sz="1000"/>
          </a:pPr>
          <a:r>
            <a:rPr lang="en-US" altLang="zh-CN" sz="1200" b="0" i="0" strike="noStrike">
              <a:solidFill>
                <a:srgbClr val="000000"/>
              </a:solidFill>
              <a:latin typeface="Arial"/>
              <a:cs typeface="Arial"/>
            </a:rPr>
            <a:t>5</a:t>
          </a:r>
          <a:r>
            <a:rPr lang="zh-CN" altLang="en-US" sz="1200" b="0" i="0" strike="noStrike">
              <a:solidFill>
                <a:srgbClr val="000000"/>
              </a:solidFill>
              <a:latin typeface="宋体"/>
              <a:ea typeface="宋体"/>
            </a:rPr>
            <a:t>、每个工作表中的题目文字框如果妨碍做题，可以将它移开。</a:t>
          </a:r>
        </a:p>
        <a:p>
          <a:pPr algn="l" rtl="0">
            <a:lnSpc>
              <a:spcPts val="1500"/>
            </a:lnSpc>
            <a:defRPr sz="1000"/>
          </a:pPr>
          <a:r>
            <a:rPr lang="en-US" altLang="zh-CN" sz="1200" b="0" i="0" strike="noStrike">
              <a:solidFill>
                <a:srgbClr val="000000"/>
              </a:solidFill>
              <a:latin typeface="Arial"/>
              <a:cs typeface="Arial"/>
            </a:rPr>
            <a:t>6</a:t>
          </a:r>
          <a:r>
            <a:rPr lang="zh-CN" altLang="en-US" sz="1200" b="0" i="0" strike="noStrike">
              <a:solidFill>
                <a:srgbClr val="000000"/>
              </a:solidFill>
              <a:latin typeface="宋体"/>
              <a:ea typeface="宋体"/>
            </a:rPr>
            <a:t>、绘制图形以实现功能为主，字体、大小和颜色等不同不扣分。</a:t>
          </a:r>
        </a:p>
        <a:p>
          <a:pPr algn="l" rtl="0">
            <a:lnSpc>
              <a:spcPts val="1400"/>
            </a:lnSpc>
            <a:defRPr sz="1000"/>
          </a:pPr>
          <a:r>
            <a:rPr lang="en-US" altLang="zh-CN" sz="1200" b="0" i="0" strike="noStrike">
              <a:solidFill>
                <a:srgbClr val="000000"/>
              </a:solidFill>
              <a:latin typeface="Arial"/>
              <a:cs typeface="Arial"/>
            </a:rPr>
            <a:t>7</a:t>
          </a:r>
          <a:r>
            <a:rPr lang="zh-CN" altLang="en-US" sz="1200" b="0" i="0" strike="noStrike">
              <a:solidFill>
                <a:srgbClr val="000000"/>
              </a:solidFill>
              <a:latin typeface="宋体"/>
              <a:ea typeface="宋体"/>
            </a:rPr>
            <a:t>、若删除此工作表按零分计。</a:t>
          </a:r>
        </a:p>
        <a:p>
          <a:pPr algn="l" rtl="0">
            <a:lnSpc>
              <a:spcPts val="1400"/>
            </a:lnSpc>
            <a:defRPr sz="1000"/>
          </a:pPr>
          <a:endParaRPr lang="zh-CN" altLang="en-US" sz="1200" b="0" i="0" strike="noStrike">
            <a:solidFill>
              <a:srgbClr val="000000"/>
            </a:solidFill>
            <a:latin typeface="宋体"/>
            <a:ea typeface="宋体"/>
          </a:endParaRPr>
        </a:p>
      </xdr:txBody>
    </xdr:sp>
    <xdr:clientData/>
  </xdr:twoCellAnchor>
  <xdr:twoCellAnchor editAs="oneCell">
    <xdr:from>
      <xdr:col>0</xdr:col>
      <xdr:colOff>381000</xdr:colOff>
      <xdr:row>16</xdr:row>
      <xdr:rowOff>152400</xdr:rowOff>
    </xdr:from>
    <xdr:to>
      <xdr:col>7</xdr:col>
      <xdr:colOff>26670</xdr:colOff>
      <xdr:row>23</xdr:row>
      <xdr:rowOff>41910</xdr:rowOff>
    </xdr:to>
    <xdr:pic>
      <xdr:nvPicPr>
        <xdr:cNvPr id="2" name="图片 1"/>
        <xdr:cNvPicPr>
          <a:picLocks noChangeAspect="1"/>
        </xdr:cNvPicPr>
      </xdr:nvPicPr>
      <xdr:blipFill>
        <a:blip xmlns:r="http://schemas.openxmlformats.org/officeDocument/2006/relationships" r:embed="rId1"/>
        <a:stretch>
          <a:fillRect/>
        </a:stretch>
      </xdr:blipFill>
      <xdr:spPr>
        <a:xfrm>
          <a:off x="381000" y="3733800"/>
          <a:ext cx="5341620" cy="10896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209550</xdr:colOff>
      <xdr:row>1</xdr:row>
      <xdr:rowOff>0</xdr:rowOff>
    </xdr:from>
    <xdr:to>
      <xdr:col>9</xdr:col>
      <xdr:colOff>495300</xdr:colOff>
      <xdr:row>15</xdr:row>
      <xdr:rowOff>95250</xdr:rowOff>
    </xdr:to>
    <xdr:sp macro="" textlink="">
      <xdr:nvSpPr>
        <xdr:cNvPr id="2" name="文本框 1"/>
        <xdr:cNvSpPr txBox="1"/>
      </xdr:nvSpPr>
      <xdr:spPr>
        <a:xfrm>
          <a:off x="3838575" y="171450"/>
          <a:ext cx="3028950" cy="249555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t>第</a:t>
          </a:r>
          <a:r>
            <a:rPr lang="en-US" altLang="zh-CN" sz="1200" b="1"/>
            <a:t>1</a:t>
          </a:r>
          <a:r>
            <a:rPr lang="zh-CN" altLang="en-US" sz="1200" b="1"/>
            <a:t>题（</a:t>
          </a:r>
          <a:r>
            <a:rPr lang="en-US" altLang="zh-CN" sz="1200" b="1"/>
            <a:t>10</a:t>
          </a:r>
          <a:r>
            <a:rPr lang="zh-CN" altLang="en-US" sz="1200" b="1"/>
            <a:t>分）：</a:t>
          </a:r>
          <a:r>
            <a:rPr lang="zh-CN" altLang="en-US" sz="1100"/>
            <a:t>某超市的每天的仓储成本为</a:t>
          </a:r>
          <a:r>
            <a:rPr lang="en-US" altLang="zh-CN" sz="1100"/>
            <a:t>500</a:t>
          </a:r>
          <a:r>
            <a:rPr lang="zh-CN" altLang="en-US" sz="1100"/>
            <a:t>元，而营业的单位人工费用</a:t>
          </a:r>
          <a:r>
            <a:rPr lang="en-US" altLang="zh-CN" sz="1100"/>
            <a:t>150</a:t>
          </a:r>
          <a:r>
            <a:rPr lang="zh-CN" altLang="en-US" sz="1100"/>
            <a:t>元，十个工作人员，每月（</a:t>
          </a:r>
          <a:r>
            <a:rPr lang="en-US" altLang="zh-CN" sz="1100"/>
            <a:t>30</a:t>
          </a:r>
          <a:r>
            <a:rPr lang="zh-CN" altLang="en-US" sz="1100"/>
            <a:t>天计）的固定总成本为</a:t>
          </a:r>
          <a:r>
            <a:rPr lang="en-US" altLang="zh-CN" sz="1100"/>
            <a:t>30000</a:t>
          </a:r>
          <a:r>
            <a:rPr lang="zh-CN" altLang="en-US" sz="1100"/>
            <a:t>元，如果每天销售</a:t>
          </a:r>
          <a:r>
            <a:rPr lang="en-US" altLang="zh-CN" sz="1100"/>
            <a:t>2100</a:t>
          </a:r>
          <a:r>
            <a:rPr lang="zh-CN" altLang="en-US" sz="1100"/>
            <a:t>件商品，销售收入为商品销量的</a:t>
          </a:r>
          <a:r>
            <a:rPr lang="en-US" altLang="zh-CN" sz="1100"/>
            <a:t>1.5</a:t>
          </a:r>
          <a:r>
            <a:rPr lang="zh-CN" altLang="en-US" sz="1100"/>
            <a:t>倍，求：</a:t>
          </a:r>
          <a:endParaRPr lang="en-US" altLang="zh-CN" sz="1100"/>
        </a:p>
        <a:p>
          <a:r>
            <a:rPr lang="zh-CN" altLang="en-US" sz="1100"/>
            <a:t>（</a:t>
          </a:r>
          <a:r>
            <a:rPr lang="en-US" altLang="zh-CN" sz="1100"/>
            <a:t>1</a:t>
          </a:r>
          <a:r>
            <a:rPr lang="zh-CN" altLang="en-US" sz="1100"/>
            <a:t>）每天的销售收入；</a:t>
          </a:r>
          <a:endParaRPr lang="en-US" altLang="zh-CN" sz="1100"/>
        </a:p>
        <a:p>
          <a:r>
            <a:rPr lang="zh-CN" altLang="en-US" sz="1100"/>
            <a:t>（</a:t>
          </a:r>
          <a:r>
            <a:rPr lang="en-US" altLang="zh-CN" sz="1100"/>
            <a:t>2</a:t>
          </a:r>
          <a:r>
            <a:rPr lang="zh-CN" altLang="en-US" sz="1100"/>
            <a:t>）变动总成本；</a:t>
          </a:r>
          <a:endParaRPr lang="en-US" altLang="zh-CN" sz="1100"/>
        </a:p>
        <a:p>
          <a:r>
            <a:rPr lang="zh-CN" altLang="en-US" sz="1100"/>
            <a:t>（</a:t>
          </a:r>
          <a:r>
            <a:rPr lang="en-US" altLang="zh-CN" sz="1100"/>
            <a:t>3</a:t>
          </a:r>
          <a:r>
            <a:rPr lang="zh-CN" altLang="en-US" sz="1100"/>
            <a:t>）每天营业的毛利；</a:t>
          </a:r>
          <a:endParaRPr lang="en-US" altLang="zh-CN" sz="1100"/>
        </a:p>
        <a:p>
          <a:r>
            <a:rPr lang="zh-CN" altLang="en-US" sz="1100"/>
            <a:t>（</a:t>
          </a:r>
          <a:r>
            <a:rPr lang="en-US" altLang="zh-CN" sz="1100"/>
            <a:t>4</a:t>
          </a:r>
          <a:r>
            <a:rPr lang="zh-CN" altLang="en-US" sz="1100"/>
            <a:t>）边际贡献率；</a:t>
          </a:r>
          <a:endParaRPr lang="en-US" altLang="zh-CN" sz="1100"/>
        </a:p>
        <a:p>
          <a:r>
            <a:rPr lang="zh-CN" altLang="en-US" sz="1100"/>
            <a:t>（</a:t>
          </a:r>
          <a:r>
            <a:rPr lang="en-US" altLang="zh-CN" sz="1100"/>
            <a:t>5</a:t>
          </a:r>
          <a:r>
            <a:rPr lang="zh-CN" altLang="en-US" sz="1100"/>
            <a:t>）若要保证每天不赔不赚，需要销售多少件商品？（结果填写在</a:t>
          </a:r>
          <a:r>
            <a:rPr lang="en-US" altLang="zh-CN" sz="1100"/>
            <a:t>D15</a:t>
          </a:r>
          <a:r>
            <a:rPr lang="zh-CN" altLang="en-US" sz="1100"/>
            <a:t>的单元格中）</a:t>
          </a:r>
          <a:endParaRPr lang="en-US" altLang="zh-CN" sz="1100"/>
        </a:p>
        <a:p>
          <a:endParaRPr lang="zh-CN"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400051</xdr:colOff>
      <xdr:row>0</xdr:row>
      <xdr:rowOff>161925</xdr:rowOff>
    </xdr:from>
    <xdr:to>
      <xdr:col>14</xdr:col>
      <xdr:colOff>85726</xdr:colOff>
      <xdr:row>35</xdr:row>
      <xdr:rowOff>47625</xdr:rowOff>
    </xdr:to>
    <xdr:grpSp>
      <xdr:nvGrpSpPr>
        <xdr:cNvPr id="2" name="Group 9"/>
        <xdr:cNvGrpSpPr>
          <a:grpSpLocks/>
        </xdr:cNvGrpSpPr>
      </xdr:nvGrpSpPr>
      <xdr:grpSpPr bwMode="auto">
        <a:xfrm>
          <a:off x="3952876" y="161925"/>
          <a:ext cx="4895850" cy="6219825"/>
          <a:chOff x="397" y="21"/>
          <a:chExt cx="551" cy="653"/>
        </a:xfrm>
      </xdr:grpSpPr>
      <xdr:sp macro="" textlink="">
        <xdr:nvSpPr>
          <xdr:cNvPr id="3" name="Text Box 12"/>
          <xdr:cNvSpPr txBox="1">
            <a:spLocks noChangeArrowheads="1"/>
          </xdr:cNvSpPr>
        </xdr:nvSpPr>
        <xdr:spPr bwMode="auto">
          <a:xfrm>
            <a:off x="397" y="21"/>
            <a:ext cx="551" cy="653"/>
          </a:xfrm>
          <a:prstGeom prst="rect">
            <a:avLst/>
          </a:prstGeom>
          <a:solidFill>
            <a:srgbClr val="CCFFFF"/>
          </a:solidFill>
          <a:ln w="9525">
            <a:solidFill>
              <a:srgbClr val="000000"/>
            </a:solidFill>
            <a:miter lim="800000"/>
            <a:headEnd/>
            <a:tailEnd/>
          </a:ln>
        </xdr:spPr>
        <xdr:txBody>
          <a:bodyPr vertOverflow="clip" wrap="square" lIns="90000" tIns="46800" rIns="90000" bIns="4680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2</a:t>
            </a:r>
            <a:r>
              <a:rPr lang="zh-CN" altLang="en-US" sz="1100" b="1" i="0" u="none" strike="noStrike" baseline="0">
                <a:solidFill>
                  <a:srgbClr val="000000"/>
                </a:solidFill>
                <a:latin typeface="宋体"/>
                <a:ea typeface="宋体"/>
              </a:rPr>
              <a:t>题 （</a:t>
            </a:r>
            <a:r>
              <a:rPr lang="en-US" altLang="zh-CN" sz="1100" b="1" i="0" u="none" strike="noStrike" baseline="0">
                <a:solidFill>
                  <a:srgbClr val="000000"/>
                </a:solidFill>
                <a:latin typeface="宋体"/>
                <a:ea typeface="宋体"/>
              </a:rPr>
              <a:t>14</a:t>
            </a:r>
            <a:r>
              <a:rPr lang="zh-CN" altLang="en-US" sz="1100" b="1" i="0" u="none" strike="noStrike" baseline="0">
                <a:solidFill>
                  <a:srgbClr val="000000"/>
                </a:solidFill>
                <a:latin typeface="宋体"/>
                <a:ea typeface="宋体"/>
              </a:rPr>
              <a:t>分）</a:t>
            </a:r>
            <a:r>
              <a:rPr lang="zh-CN" altLang="en-US" sz="1000" b="1"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某公司需要一种零件</a:t>
            </a:r>
            <a:r>
              <a:rPr lang="en-US" altLang="zh-CN" sz="1100" b="0" i="0" u="none" strike="noStrike" baseline="0">
                <a:solidFill>
                  <a:srgbClr val="000000"/>
                </a:solidFill>
                <a:latin typeface="宋体"/>
                <a:ea typeface="宋体"/>
              </a:rPr>
              <a:t>,</a:t>
            </a:r>
            <a:r>
              <a:rPr lang="zh-CN" altLang="en-US" sz="1100" b="0" i="0" u="none" strike="noStrike" baseline="0">
                <a:solidFill>
                  <a:srgbClr val="000000"/>
                </a:solidFill>
                <a:latin typeface="宋体"/>
                <a:ea typeface="宋体"/>
              </a:rPr>
              <a:t>有购买和自制两种方案可供选择。相关参数为：购买方案的固定成本为</a:t>
            </a:r>
            <a:r>
              <a:rPr lang="en-US" altLang="zh-CN" sz="1100" b="0" i="0" u="none" strike="noStrike" baseline="0">
                <a:solidFill>
                  <a:srgbClr val="000000"/>
                </a:solidFill>
                <a:latin typeface="宋体"/>
                <a:ea typeface="宋体"/>
              </a:rPr>
              <a:t>10000</a:t>
            </a:r>
            <a:r>
              <a:rPr lang="zh-CN" altLang="en-US" sz="1100" b="0" i="0" u="none" strike="noStrike" baseline="0">
                <a:solidFill>
                  <a:srgbClr val="000000"/>
                </a:solidFill>
                <a:latin typeface="宋体"/>
                <a:ea typeface="宋体"/>
              </a:rPr>
              <a:t>元，单位购买价格为</a:t>
            </a: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元；自制元件方案的固定成本为</a:t>
            </a:r>
            <a:r>
              <a:rPr lang="en-US" altLang="zh-CN" sz="1100" b="0" i="0" u="none" strike="noStrike" baseline="0">
                <a:solidFill>
                  <a:srgbClr val="000000"/>
                </a:solidFill>
                <a:latin typeface="宋体"/>
                <a:ea typeface="宋体"/>
              </a:rPr>
              <a:t>60000</a:t>
            </a:r>
            <a:r>
              <a:rPr lang="zh-CN" altLang="en-US" sz="1100" b="0" i="0" u="none" strike="noStrike" baseline="0">
                <a:solidFill>
                  <a:srgbClr val="000000"/>
                </a:solidFill>
                <a:latin typeface="宋体"/>
                <a:ea typeface="宋体"/>
              </a:rPr>
              <a:t>元，单位可变成本为</a:t>
            </a:r>
            <a:r>
              <a:rPr lang="en-US" altLang="zh-CN" sz="1100" b="0" i="0" u="none" strike="noStrike" baseline="0">
                <a:solidFill>
                  <a:srgbClr val="000000"/>
                </a:solidFill>
                <a:latin typeface="宋体"/>
                <a:ea typeface="宋体"/>
              </a:rPr>
              <a:t>0.33</a:t>
            </a:r>
            <a:r>
              <a:rPr lang="zh-CN" altLang="en-US" sz="1100" b="0" i="0" u="none" strike="noStrike" baseline="0">
                <a:solidFill>
                  <a:srgbClr val="000000"/>
                </a:solidFill>
                <a:latin typeface="宋体"/>
                <a:ea typeface="宋体"/>
              </a:rPr>
              <a:t>元。假定零件的需求量为</a:t>
            </a:r>
            <a:r>
              <a:rPr lang="en-US" altLang="zh-CN" sz="1100" b="0" i="0" u="none" strike="noStrike" baseline="0">
                <a:solidFill>
                  <a:srgbClr val="000000"/>
                </a:solidFill>
                <a:latin typeface="宋体"/>
                <a:ea typeface="宋体"/>
              </a:rPr>
              <a:t>200000</a:t>
            </a:r>
            <a:r>
              <a:rPr lang="zh-CN" altLang="en-US" sz="1100" b="0" i="0" u="none" strike="noStrike" baseline="0">
                <a:solidFill>
                  <a:srgbClr val="000000"/>
                </a:solidFill>
                <a:latin typeface="宋体"/>
                <a:ea typeface="宋体"/>
              </a:rPr>
              <a:t>，要求：</a:t>
            </a:r>
          </a:p>
          <a:p>
            <a:pPr algn="l" rtl="0">
              <a:defRPr sz="1000"/>
            </a:pP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）分别计算两种方案的总成本；</a:t>
            </a:r>
          </a:p>
          <a:p>
            <a:pPr algn="l" rtl="0">
              <a:defRPr sz="1000"/>
            </a:pP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）计算两种方案的相对盈亏平衡点及相对盈亏平衡点处的共同成本；</a:t>
            </a:r>
          </a:p>
          <a:p>
            <a:pPr algn="l" rtl="0">
              <a:defRPr sz="1000"/>
            </a:pPr>
            <a:r>
              <a:rPr lang="en-US" altLang="zh-CN" sz="1100" b="0" i="0" u="none" strike="noStrike" baseline="0">
                <a:solidFill>
                  <a:srgbClr val="000000"/>
                </a:solidFill>
                <a:latin typeface="宋体"/>
                <a:ea typeface="宋体"/>
              </a:rPr>
              <a:t>3</a:t>
            </a:r>
            <a:r>
              <a:rPr lang="zh-CN" altLang="en-US" sz="1100" b="0" i="0" u="none" strike="noStrike" baseline="0">
                <a:solidFill>
                  <a:srgbClr val="000000"/>
                </a:solidFill>
                <a:latin typeface="宋体"/>
                <a:ea typeface="宋体"/>
              </a:rPr>
              <a:t>）给出决策结论：“优选方案是自制”或“优选方案是购买”；</a:t>
            </a:r>
          </a:p>
          <a:p>
            <a:pPr algn="l" rtl="0">
              <a:defRPr sz="1000"/>
            </a:pPr>
            <a:r>
              <a:rPr lang="en-US" altLang="zh-CN" sz="1100" b="0" i="0" u="none" strike="noStrike" baseline="0">
                <a:solidFill>
                  <a:srgbClr val="000000"/>
                </a:solidFill>
                <a:latin typeface="宋体"/>
                <a:ea typeface="宋体"/>
              </a:rPr>
              <a:t>4</a:t>
            </a:r>
            <a:r>
              <a:rPr lang="zh-CN" altLang="en-US" sz="1100" b="0" i="0" u="none" strike="noStrike" baseline="0">
                <a:solidFill>
                  <a:srgbClr val="000000"/>
                </a:solidFill>
                <a:latin typeface="宋体"/>
                <a:ea typeface="宋体"/>
              </a:rPr>
              <a:t>）以需求量为自变量绘制购买与自制两种方案的总成本图表；</a:t>
            </a:r>
          </a:p>
          <a:p>
            <a:pPr algn="l" rtl="0">
              <a:defRPr sz="1000"/>
            </a:pPr>
            <a:r>
              <a:rPr lang="en-US" altLang="zh-CN" sz="1100" b="0" i="0" u="none" strike="noStrike" baseline="0">
                <a:solidFill>
                  <a:srgbClr val="000000"/>
                </a:solidFill>
                <a:latin typeface="宋体"/>
                <a:ea typeface="宋体"/>
              </a:rPr>
              <a:t>5</a:t>
            </a:r>
            <a:r>
              <a:rPr lang="zh-CN" altLang="en-US" sz="1100" b="0" i="0" u="none" strike="noStrike" baseline="0">
                <a:solidFill>
                  <a:srgbClr val="000000"/>
                </a:solidFill>
                <a:latin typeface="宋体"/>
                <a:ea typeface="宋体"/>
              </a:rPr>
              <a:t>）在图中添加一个微调器，使得购买元件方案中的购买单格从</a:t>
            </a:r>
            <a:r>
              <a:rPr lang="en-US" altLang="zh-CN" sz="1100" b="0" i="0" u="none" strike="noStrike" baseline="0">
                <a:solidFill>
                  <a:srgbClr val="000000"/>
                </a:solidFill>
                <a:latin typeface="宋体"/>
                <a:ea typeface="宋体"/>
              </a:rPr>
              <a:t>0.5</a:t>
            </a:r>
            <a:r>
              <a:rPr lang="zh-CN" altLang="en-US" sz="1100" b="0" i="0" u="none" strike="noStrike" baseline="0">
                <a:solidFill>
                  <a:srgbClr val="000000"/>
                </a:solidFill>
                <a:latin typeface="宋体"/>
                <a:ea typeface="宋体"/>
              </a:rPr>
              <a:t>按步长</a:t>
            </a:r>
            <a:r>
              <a:rPr lang="en-US" altLang="zh-CN" sz="1100" b="0" i="0" u="none" strike="noStrike" baseline="0">
                <a:solidFill>
                  <a:srgbClr val="000000"/>
                </a:solidFill>
                <a:latin typeface="宋体"/>
                <a:ea typeface="宋体"/>
              </a:rPr>
              <a:t>0.05</a:t>
            </a:r>
            <a:r>
              <a:rPr lang="zh-CN" altLang="en-US" sz="1100" b="0" i="0" u="none" strike="noStrike" baseline="0">
                <a:solidFill>
                  <a:srgbClr val="000000"/>
                </a:solidFill>
                <a:latin typeface="宋体"/>
                <a:ea typeface="宋体"/>
              </a:rPr>
              <a:t>变化到</a:t>
            </a: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，并在图上添加一组随单价变化所引起的相对盈亏平衡点处的成本变化的运动轨迹，用红色空心点反映各档相对盈亏平衡点处的成本，用红色实心点子表示当前单价所对应的相对盈亏平衡点处的成本</a:t>
            </a:r>
            <a:r>
              <a:rPr lang="zh-CN" altLang="en-US" sz="1000" b="0" i="0" u="none" strike="noStrike" baseline="0">
                <a:solidFill>
                  <a:srgbClr val="000000"/>
                </a:solidFill>
                <a:latin typeface="宋体"/>
                <a:ea typeface="宋体"/>
              </a:rPr>
              <a:t>。</a:t>
            </a:r>
          </a:p>
          <a:p>
            <a:pPr algn="l" rtl="0">
              <a:lnSpc>
                <a:spcPts val="1300"/>
              </a:lnSpc>
              <a:defRPr sz="1000"/>
            </a:pPr>
            <a:r>
              <a:rPr lang="zh-CN" altLang="en-US" sz="1100" b="0" i="0" u="none" strike="noStrike" baseline="0">
                <a:solidFill>
                  <a:srgbClr val="000000"/>
                </a:solidFill>
                <a:latin typeface="宋体"/>
                <a:ea typeface="宋体"/>
              </a:rPr>
              <a:t>第</a:t>
            </a:r>
            <a:r>
              <a:rPr lang="en-US" altLang="zh-CN" sz="1100" b="0" i="0" u="none" strike="noStrike" baseline="0">
                <a:solidFill>
                  <a:srgbClr val="000000"/>
                </a:solidFill>
                <a:latin typeface="宋体"/>
                <a:ea typeface="宋体"/>
              </a:rPr>
              <a:t>4</a:t>
            </a:r>
            <a:r>
              <a:rPr lang="zh-CN" altLang="en-US" sz="1100" b="0" i="0" u="none" strike="noStrike" baseline="0">
                <a:solidFill>
                  <a:srgbClr val="000000"/>
                </a:solidFill>
                <a:latin typeface="宋体"/>
                <a:ea typeface="宋体"/>
              </a:rPr>
              <a:t>）和</a:t>
            </a:r>
            <a:r>
              <a:rPr lang="en-US" altLang="zh-CN" sz="1100" b="0" i="0" u="none" strike="noStrike" baseline="0">
                <a:solidFill>
                  <a:srgbClr val="000000"/>
                </a:solidFill>
                <a:latin typeface="宋体"/>
                <a:ea typeface="宋体"/>
              </a:rPr>
              <a:t>5</a:t>
            </a:r>
            <a:r>
              <a:rPr lang="zh-CN" altLang="en-US" sz="1100" b="0" i="0" u="none" strike="noStrike" baseline="0">
                <a:solidFill>
                  <a:srgbClr val="000000"/>
                </a:solidFill>
                <a:latin typeface="宋体"/>
                <a:ea typeface="宋体"/>
              </a:rPr>
              <a:t>）中绘制的图形效果如下：</a:t>
            </a:r>
          </a:p>
        </xdr:txBody>
      </xdr:sp>
      <xdr:pic>
        <xdr:nvPicPr>
          <xdr:cNvPr id="4" name="图片 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4" y="273"/>
            <a:ext cx="513" cy="3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330847</xdr:colOff>
      <xdr:row>4</xdr:row>
      <xdr:rowOff>147310</xdr:rowOff>
    </xdr:from>
    <xdr:to>
      <xdr:col>15</xdr:col>
      <xdr:colOff>465106</xdr:colOff>
      <xdr:row>30</xdr:row>
      <xdr:rowOff>26721</xdr:rowOff>
    </xdr:to>
    <xdr:grpSp>
      <xdr:nvGrpSpPr>
        <xdr:cNvPr id="7" name="组合 6"/>
        <xdr:cNvGrpSpPr/>
      </xdr:nvGrpSpPr>
      <xdr:grpSpPr>
        <a:xfrm>
          <a:off x="3740797" y="871210"/>
          <a:ext cx="6992259" cy="4584761"/>
          <a:chOff x="3521722" y="194935"/>
          <a:chExt cx="6992259" cy="4584761"/>
        </a:xfrm>
      </xdr:grpSpPr>
      <xdr:sp macro="" textlink="">
        <xdr:nvSpPr>
          <xdr:cNvPr id="3" name="Text Box 8"/>
          <xdr:cNvSpPr txBox="1">
            <a:spLocks noChangeArrowheads="1"/>
          </xdr:cNvSpPr>
        </xdr:nvSpPr>
        <xdr:spPr bwMode="auto">
          <a:xfrm>
            <a:off x="3521722" y="194935"/>
            <a:ext cx="6992259" cy="4584761"/>
          </a:xfrm>
          <a:prstGeom prst="rect">
            <a:avLst/>
          </a:prstGeom>
          <a:solidFill>
            <a:schemeClr val="accent6">
              <a:lumMod val="20000"/>
              <a:lumOff val="80000"/>
            </a:schemeClr>
          </a:solidFill>
          <a:ln w="9525">
            <a:solidFill>
              <a:srgbClr val="000000"/>
            </a:solidFill>
            <a:miter lim="800000"/>
            <a:headEnd/>
            <a:tailEnd/>
          </a:ln>
        </xdr:spPr>
        <xdr:txBody>
          <a:bodyPr vertOverflow="clip" wrap="square" lIns="27432" tIns="18288" rIns="0" bIns="0" anchor="t" upright="1"/>
          <a:lstStyle/>
          <a:p>
            <a:pPr algn="l" rtl="0">
              <a:lnSpc>
                <a:spcPts val="1200"/>
              </a:lnSpc>
              <a:defRPr sz="1000"/>
            </a:pPr>
            <a:endParaRPr lang="en-US" altLang="zh-CN" sz="1200" b="1" i="0" u="none" strike="noStrike" baseline="0">
              <a:solidFill>
                <a:srgbClr val="000000"/>
              </a:solidFill>
              <a:latin typeface="宋体"/>
              <a:ea typeface="宋体"/>
            </a:endParaRPr>
          </a:p>
          <a:p>
            <a:pPr algn="l" rtl="0">
              <a:lnSpc>
                <a:spcPts val="1200"/>
              </a:lnSpc>
              <a:defRPr sz="1000"/>
            </a:pPr>
            <a:r>
              <a:rPr lang="zh-CN" altLang="en-US" sz="1200" b="1" i="0" u="none" strike="noStrike" baseline="0">
                <a:solidFill>
                  <a:srgbClr val="000000"/>
                </a:solidFill>
                <a:latin typeface="宋体"/>
                <a:ea typeface="宋体"/>
              </a:rPr>
              <a:t>第</a:t>
            </a:r>
            <a:r>
              <a:rPr lang="en-US" altLang="zh-CN" sz="1200" b="1" i="0" u="none" strike="noStrike" baseline="0">
                <a:solidFill>
                  <a:srgbClr val="000000"/>
                </a:solidFill>
                <a:latin typeface="宋体"/>
                <a:ea typeface="宋体"/>
              </a:rPr>
              <a:t>3</a:t>
            </a:r>
            <a:r>
              <a:rPr lang="zh-CN" altLang="en-US" sz="1200" b="1" i="0" u="none" strike="noStrike" baseline="0">
                <a:solidFill>
                  <a:srgbClr val="000000"/>
                </a:solidFill>
                <a:latin typeface="宋体"/>
                <a:ea typeface="宋体"/>
              </a:rPr>
              <a:t>题（</a:t>
            </a:r>
            <a:r>
              <a:rPr lang="en-US" altLang="zh-CN" sz="1200" b="1" i="0" u="none" strike="noStrike" baseline="0">
                <a:solidFill>
                  <a:srgbClr val="000000"/>
                </a:solidFill>
                <a:latin typeface="宋体"/>
                <a:ea typeface="宋体"/>
              </a:rPr>
              <a:t>15</a:t>
            </a:r>
            <a:r>
              <a:rPr lang="zh-CN" altLang="en-US" sz="1200" b="1" i="0" u="none" strike="noStrike" baseline="0">
                <a:solidFill>
                  <a:srgbClr val="000000"/>
                </a:solidFill>
                <a:latin typeface="宋体"/>
                <a:ea typeface="宋体"/>
              </a:rPr>
              <a:t>分）</a:t>
            </a:r>
            <a:r>
              <a:rPr lang="zh-CN" altLang="en-US" sz="1200" b="0" i="0" u="none" strike="noStrike" baseline="0">
                <a:solidFill>
                  <a:srgbClr val="000000"/>
                </a:solidFill>
                <a:latin typeface="宋体"/>
                <a:ea typeface="宋体"/>
              </a:rPr>
              <a:t>已知胜超公司原材料采购的年需求量为</a:t>
            </a:r>
            <a:r>
              <a:rPr lang="en-US" altLang="zh-CN" sz="1200" b="0" i="0" u="none" strike="noStrike" baseline="0">
                <a:solidFill>
                  <a:srgbClr val="000000"/>
                </a:solidFill>
                <a:latin typeface="宋体"/>
                <a:ea typeface="宋体"/>
              </a:rPr>
              <a:t>60000</a:t>
            </a:r>
            <a:r>
              <a:rPr lang="zh-CN" altLang="en-US" sz="1200" b="0" i="0" u="none" strike="noStrike" baseline="0">
                <a:solidFill>
                  <a:srgbClr val="000000"/>
                </a:solidFill>
                <a:latin typeface="宋体"/>
                <a:ea typeface="宋体"/>
              </a:rPr>
              <a:t>，每次订货时的联系成本为</a:t>
            </a:r>
            <a:r>
              <a:rPr lang="en-US" altLang="zh-CN" sz="1200" b="0" i="0" u="none" strike="noStrike" baseline="0">
                <a:solidFill>
                  <a:srgbClr val="000000"/>
                </a:solidFill>
                <a:latin typeface="宋体"/>
                <a:ea typeface="宋体"/>
              </a:rPr>
              <a:t>60</a:t>
            </a:r>
            <a:r>
              <a:rPr lang="zh-CN" altLang="en-US" sz="1200" b="0" i="0" u="none" strike="noStrike" baseline="0">
                <a:solidFill>
                  <a:srgbClr val="000000"/>
                </a:solidFill>
                <a:latin typeface="宋体"/>
                <a:ea typeface="宋体"/>
              </a:rPr>
              <a:t>，因企业材料的特殊性必须单独运输，每次订货时的运输成本为</a:t>
            </a:r>
            <a:r>
              <a:rPr lang="en-US" altLang="zh-CN" sz="1200" b="0" i="0" u="none" strike="noStrike" baseline="0">
                <a:solidFill>
                  <a:srgbClr val="000000"/>
                </a:solidFill>
                <a:latin typeface="宋体"/>
                <a:ea typeface="宋体"/>
              </a:rPr>
              <a:t>200</a:t>
            </a:r>
            <a:r>
              <a:rPr lang="zh-CN" altLang="en-US" sz="1200" b="0" i="0" u="none" strike="noStrike" baseline="0">
                <a:solidFill>
                  <a:srgbClr val="000000"/>
                </a:solidFill>
                <a:latin typeface="宋体"/>
                <a:ea typeface="宋体"/>
              </a:rPr>
              <a:t>，该材料单位年储存成本为</a:t>
            </a:r>
            <a:r>
              <a:rPr lang="en-US" altLang="zh-CN" sz="1200" b="0" i="0" u="none" strike="noStrike" baseline="0">
                <a:solidFill>
                  <a:srgbClr val="000000"/>
                </a:solidFill>
                <a:latin typeface="宋体"/>
                <a:ea typeface="宋体"/>
              </a:rPr>
              <a:t>1</a:t>
            </a:r>
            <a:r>
              <a:rPr lang="zh-CN" altLang="en-US" sz="1200" b="0" i="0" u="none" strike="noStrike" baseline="0">
                <a:solidFill>
                  <a:srgbClr val="000000"/>
                </a:solidFill>
                <a:latin typeface="宋体"/>
                <a:ea typeface="宋体"/>
              </a:rPr>
              <a:t>。假设一次订货量为</a:t>
            </a:r>
            <a:r>
              <a:rPr lang="en-US" altLang="zh-CN" sz="1200" b="0" i="0" u="none" strike="noStrike" baseline="0">
                <a:solidFill>
                  <a:srgbClr val="000000"/>
                </a:solidFill>
                <a:latin typeface="宋体"/>
                <a:ea typeface="宋体"/>
              </a:rPr>
              <a:t>3000</a:t>
            </a:r>
            <a:r>
              <a:rPr lang="zh-CN" altLang="en-US" sz="1200" b="0" i="0" u="none" strike="noStrike" baseline="0">
                <a:solidFill>
                  <a:srgbClr val="000000"/>
                </a:solidFill>
                <a:latin typeface="宋体"/>
                <a:ea typeface="宋体"/>
              </a:rPr>
              <a:t>。</a:t>
            </a:r>
            <a:endParaRPr lang="en-US" altLang="zh-CN" sz="1200" b="0" i="0" u="none" strike="noStrike" baseline="0">
              <a:solidFill>
                <a:srgbClr val="000000"/>
              </a:solidFill>
              <a:latin typeface="宋体"/>
              <a:ea typeface="宋体"/>
            </a:endParaRPr>
          </a:p>
          <a:p>
            <a:pPr algn="l" rtl="0">
              <a:lnSpc>
                <a:spcPts val="1200"/>
              </a:lnSpc>
              <a:defRPr sz="1000"/>
            </a:pPr>
            <a:r>
              <a:rPr lang="zh-CN" altLang="en-US" sz="1200" b="0" i="0" u="none" strike="noStrike" baseline="0">
                <a:solidFill>
                  <a:srgbClr val="000000"/>
                </a:solidFill>
                <a:latin typeface="宋体"/>
                <a:ea typeface="宋体"/>
              </a:rPr>
              <a:t>在本工作表中完成如下操作：</a:t>
            </a:r>
          </a:p>
          <a:p>
            <a:pPr algn="l" rtl="0">
              <a:lnSpc>
                <a:spcPts val="1200"/>
              </a:lnSpc>
              <a:defRPr sz="1000"/>
            </a:pPr>
            <a:r>
              <a:rPr lang="en-US" altLang="zh-CN" sz="1200" b="0" i="0" u="none" strike="noStrike" baseline="0">
                <a:solidFill>
                  <a:srgbClr val="000000"/>
                </a:solidFill>
                <a:latin typeface="宋体"/>
                <a:ea typeface="宋体"/>
              </a:rPr>
              <a:t>1</a:t>
            </a:r>
            <a:r>
              <a:rPr lang="zh-CN" altLang="en-US" sz="1200" b="0" i="0" u="none" strike="noStrike" baseline="0">
                <a:solidFill>
                  <a:srgbClr val="000000"/>
                </a:solidFill>
                <a:latin typeface="宋体"/>
                <a:ea typeface="宋体"/>
              </a:rPr>
              <a:t>、计算年订货联系成本、年订货运输成本、年储存成本、年总成本；</a:t>
            </a:r>
          </a:p>
          <a:p>
            <a:pPr algn="l" rtl="0">
              <a:lnSpc>
                <a:spcPts val="1200"/>
              </a:lnSpc>
              <a:defRPr sz="1000"/>
            </a:pPr>
            <a:r>
              <a:rPr lang="en-US" altLang="zh-CN" sz="1200" b="0" i="0" u="none" strike="noStrike" baseline="0">
                <a:solidFill>
                  <a:srgbClr val="000000"/>
                </a:solidFill>
                <a:latin typeface="宋体"/>
                <a:ea typeface="宋体"/>
              </a:rPr>
              <a:t>2</a:t>
            </a:r>
            <a:r>
              <a:rPr lang="zh-CN" altLang="en-US" sz="1200" b="0" i="0" u="none" strike="noStrike" baseline="0">
                <a:solidFill>
                  <a:srgbClr val="000000"/>
                </a:solidFill>
                <a:latin typeface="宋体"/>
                <a:ea typeface="宋体"/>
              </a:rPr>
              <a:t>、计算经济订货量及经济订货量时的年订货联系成本、年订货运输成本、年储存成本及年总成本；</a:t>
            </a:r>
          </a:p>
          <a:p>
            <a:pPr algn="l" rtl="0">
              <a:lnSpc>
                <a:spcPts val="1200"/>
              </a:lnSpc>
              <a:defRPr sz="1000"/>
            </a:pPr>
            <a:r>
              <a:rPr lang="en-US" altLang="zh-CN" sz="1200" b="0" i="0" u="none" strike="noStrike" baseline="0">
                <a:solidFill>
                  <a:srgbClr val="000000"/>
                </a:solidFill>
                <a:latin typeface="宋体"/>
                <a:ea typeface="宋体"/>
              </a:rPr>
              <a:t>3</a:t>
            </a:r>
            <a:r>
              <a:rPr lang="zh-CN" altLang="en-US" sz="1200" b="0" i="0" u="none" strike="noStrike" baseline="0">
                <a:solidFill>
                  <a:srgbClr val="000000"/>
                </a:solidFill>
                <a:latin typeface="宋体"/>
                <a:ea typeface="宋体"/>
              </a:rPr>
              <a:t>、如样图所示，画出订货量在</a:t>
            </a:r>
            <a:r>
              <a:rPr lang="en-US" altLang="zh-CN" sz="1200" b="0" i="0" u="none" strike="noStrike" baseline="0">
                <a:solidFill>
                  <a:srgbClr val="000000"/>
                </a:solidFill>
                <a:latin typeface="宋体"/>
                <a:ea typeface="宋体"/>
              </a:rPr>
              <a:t>1000-22000</a:t>
            </a:r>
            <a:r>
              <a:rPr lang="zh-CN" altLang="en-US" sz="1200" b="0" i="0" u="none" strike="noStrike" baseline="0">
                <a:solidFill>
                  <a:srgbClr val="000000"/>
                </a:solidFill>
                <a:latin typeface="宋体"/>
                <a:ea typeface="宋体"/>
              </a:rPr>
              <a:t>间变化时，年总成本的变化图形；</a:t>
            </a:r>
          </a:p>
          <a:p>
            <a:pPr algn="l" rtl="0">
              <a:lnSpc>
                <a:spcPts val="1200"/>
              </a:lnSpc>
              <a:defRPr sz="1000"/>
            </a:pPr>
            <a:r>
              <a:rPr lang="en-US" altLang="zh-CN" sz="1200" b="0" i="0" u="none" strike="noStrike" baseline="0">
                <a:solidFill>
                  <a:srgbClr val="000000"/>
                </a:solidFill>
                <a:latin typeface="宋体"/>
                <a:ea typeface="宋体"/>
              </a:rPr>
              <a:t>4</a:t>
            </a:r>
            <a:r>
              <a:rPr lang="zh-CN" altLang="en-US" sz="1200" b="0" i="0" u="none" strike="noStrike" baseline="0">
                <a:solidFill>
                  <a:srgbClr val="000000"/>
                </a:solidFill>
                <a:latin typeface="宋体"/>
                <a:ea typeface="宋体"/>
              </a:rPr>
              <a:t>、采用列表框控件选择年需求量在</a:t>
            </a:r>
            <a:r>
              <a:rPr lang="en-US" altLang="zh-CN" sz="1200" b="0" i="0" u="none" strike="noStrike" baseline="0">
                <a:solidFill>
                  <a:srgbClr val="000000"/>
                </a:solidFill>
                <a:latin typeface="宋体"/>
                <a:ea typeface="宋体"/>
              </a:rPr>
              <a:t>40000</a:t>
            </a:r>
            <a:r>
              <a:rPr lang="zh-CN" altLang="en-US" sz="1200" b="0" i="0" u="none" strike="noStrike" baseline="0">
                <a:solidFill>
                  <a:srgbClr val="000000"/>
                </a:solidFill>
                <a:latin typeface="宋体"/>
                <a:ea typeface="宋体"/>
              </a:rPr>
              <a:t>、</a:t>
            </a:r>
            <a:r>
              <a:rPr lang="en-US" altLang="zh-CN" sz="1200" b="0" i="0" u="none" strike="noStrike" baseline="0">
                <a:solidFill>
                  <a:srgbClr val="000000"/>
                </a:solidFill>
                <a:latin typeface="宋体"/>
                <a:ea typeface="宋体"/>
              </a:rPr>
              <a:t>46000</a:t>
            </a:r>
            <a:r>
              <a:rPr lang="zh-CN" altLang="en-US" sz="1200" b="0" i="0" u="none" strike="noStrike" baseline="0">
                <a:solidFill>
                  <a:srgbClr val="000000"/>
                </a:solidFill>
                <a:latin typeface="宋体"/>
                <a:ea typeface="宋体"/>
              </a:rPr>
              <a:t>、</a:t>
            </a:r>
            <a:r>
              <a:rPr lang="en-US" altLang="zh-CN" sz="1200" b="0" i="0" u="none" strike="noStrike" baseline="0">
                <a:solidFill>
                  <a:srgbClr val="000000"/>
                </a:solidFill>
                <a:latin typeface="宋体"/>
                <a:ea typeface="宋体"/>
              </a:rPr>
              <a:t>50000</a:t>
            </a:r>
            <a:r>
              <a:rPr lang="zh-CN" altLang="en-US" sz="1200" b="0" i="0" u="none" strike="noStrike" baseline="0">
                <a:solidFill>
                  <a:srgbClr val="000000"/>
                </a:solidFill>
                <a:latin typeface="宋体"/>
                <a:ea typeface="宋体"/>
              </a:rPr>
              <a:t>、</a:t>
            </a:r>
            <a:r>
              <a:rPr lang="en-US" altLang="zh-CN" sz="1200" b="0" i="0" u="none" strike="noStrike" baseline="0">
                <a:solidFill>
                  <a:srgbClr val="000000"/>
                </a:solidFill>
                <a:latin typeface="宋体"/>
                <a:ea typeface="宋体"/>
              </a:rPr>
              <a:t>53000</a:t>
            </a:r>
            <a:r>
              <a:rPr lang="zh-CN" altLang="en-US" sz="1200" b="0" i="0" u="none" strike="noStrike" baseline="0">
                <a:solidFill>
                  <a:srgbClr val="000000"/>
                </a:solidFill>
                <a:latin typeface="宋体"/>
                <a:ea typeface="宋体"/>
              </a:rPr>
              <a:t>、</a:t>
            </a:r>
            <a:r>
              <a:rPr lang="en-US" altLang="zh-CN" sz="1200" b="0" i="0" u="none" strike="noStrike" baseline="0">
                <a:solidFill>
                  <a:srgbClr val="000000"/>
                </a:solidFill>
                <a:latin typeface="宋体"/>
                <a:ea typeface="宋体"/>
              </a:rPr>
              <a:t>60000</a:t>
            </a:r>
            <a:r>
              <a:rPr lang="zh-CN" altLang="en-US" sz="1200" b="0" i="0" u="none" strike="noStrike" baseline="0">
                <a:solidFill>
                  <a:srgbClr val="000000"/>
                </a:solidFill>
                <a:latin typeface="宋体"/>
                <a:ea typeface="宋体"/>
              </a:rPr>
              <a:t>、</a:t>
            </a:r>
            <a:r>
              <a:rPr lang="en-US" altLang="zh-CN" sz="1200" b="0" i="0" u="none" strike="noStrike" baseline="0">
                <a:solidFill>
                  <a:srgbClr val="000000"/>
                </a:solidFill>
                <a:latin typeface="宋体"/>
                <a:ea typeface="宋体"/>
              </a:rPr>
              <a:t>70000</a:t>
            </a:r>
            <a:r>
              <a:rPr lang="zh-CN" altLang="en-US" sz="1200" b="0" i="0" u="none" strike="noStrike" baseline="0">
                <a:solidFill>
                  <a:srgbClr val="000000"/>
                </a:solidFill>
                <a:latin typeface="宋体"/>
                <a:ea typeface="宋体"/>
              </a:rPr>
              <a:t>六种情况下变化，在图形中反映经过每次年总成本曲线最低点连线的红色空心点子；</a:t>
            </a:r>
          </a:p>
          <a:p>
            <a:pPr algn="l" rtl="0">
              <a:lnSpc>
                <a:spcPts val="1200"/>
              </a:lnSpc>
              <a:defRPr sz="1000"/>
            </a:pPr>
            <a:r>
              <a:rPr lang="en-US" altLang="zh-CN" sz="1200" b="0" i="0" u="none" strike="noStrike" baseline="0">
                <a:solidFill>
                  <a:srgbClr val="000000"/>
                </a:solidFill>
                <a:latin typeface="宋体"/>
                <a:ea typeface="宋体"/>
              </a:rPr>
              <a:t>5</a:t>
            </a:r>
            <a:r>
              <a:rPr lang="zh-CN" altLang="en-US" sz="1200" b="0" i="0" u="none" strike="noStrike" baseline="0">
                <a:solidFill>
                  <a:srgbClr val="000000"/>
                </a:solidFill>
                <a:latin typeface="宋体"/>
                <a:ea typeface="宋体"/>
              </a:rPr>
              <a:t>、添加经过所选年需求量值时，经过总成本曲线最低点的折角红色参考线，该交点以红色实心点子表示；</a:t>
            </a:r>
          </a:p>
          <a:p>
            <a:pPr algn="l" rtl="0">
              <a:lnSpc>
                <a:spcPts val="1200"/>
              </a:lnSpc>
              <a:defRPr sz="1000"/>
            </a:pPr>
            <a:r>
              <a:rPr lang="en-US" altLang="zh-CN" sz="1200" b="0" i="0" u="none" strike="noStrike" baseline="0">
                <a:solidFill>
                  <a:srgbClr val="000000"/>
                </a:solidFill>
                <a:latin typeface="宋体"/>
                <a:ea typeface="宋体"/>
              </a:rPr>
              <a:t>6</a:t>
            </a:r>
            <a:r>
              <a:rPr lang="zh-CN" altLang="en-US" sz="1200" b="0" i="0" u="none" strike="noStrike" baseline="0">
                <a:solidFill>
                  <a:srgbClr val="000000"/>
                </a:solidFill>
                <a:latin typeface="宋体"/>
                <a:ea typeface="宋体"/>
              </a:rPr>
              <a:t>、以文本框显示“年需求量</a:t>
            </a:r>
            <a:r>
              <a:rPr lang="en-US" altLang="zh-CN" sz="1200" b="0" i="0" u="none" strike="noStrike" baseline="0">
                <a:solidFill>
                  <a:srgbClr val="000000"/>
                </a:solidFill>
                <a:latin typeface="宋体"/>
                <a:ea typeface="宋体"/>
              </a:rPr>
              <a:t>=XXXXX</a:t>
            </a:r>
            <a:r>
              <a:rPr lang="zh-CN" altLang="en-US" sz="1200" b="0" i="0" u="none" strike="noStrike" baseline="0">
                <a:solidFill>
                  <a:srgbClr val="000000"/>
                </a:solidFill>
                <a:latin typeface="宋体"/>
                <a:ea typeface="宋体"/>
              </a:rPr>
              <a:t>时，最优年总成本</a:t>
            </a:r>
            <a:r>
              <a:rPr lang="en-US" altLang="zh-CN" sz="1200" b="0" i="0" u="none" strike="noStrike" baseline="0">
                <a:solidFill>
                  <a:srgbClr val="000000"/>
                </a:solidFill>
                <a:latin typeface="宋体"/>
                <a:ea typeface="宋体"/>
              </a:rPr>
              <a:t>=YYYYYYYY”</a:t>
            </a:r>
            <a:r>
              <a:rPr lang="zh-CN" altLang="en-US" sz="1200" b="0" i="0" u="none" strike="noStrike" baseline="0">
                <a:solidFill>
                  <a:srgbClr val="000000"/>
                </a:solidFill>
                <a:latin typeface="宋体"/>
                <a:ea typeface="宋体"/>
              </a:rPr>
              <a:t>的决策结论文字。</a:t>
            </a:r>
          </a:p>
          <a:p>
            <a:pPr algn="l" rtl="0">
              <a:defRPr sz="1000"/>
            </a:pPr>
            <a:endParaRPr lang="zh-CN" altLang="en-US" sz="1200" b="0" i="0" u="none" strike="noStrike" baseline="0">
              <a:solidFill>
                <a:srgbClr val="000000"/>
              </a:solidFill>
              <a:latin typeface="宋体"/>
              <a:ea typeface="宋体"/>
            </a:endParaRPr>
          </a:p>
          <a:p>
            <a:pPr algn="l" rtl="0">
              <a:defRPr sz="1000"/>
            </a:pPr>
            <a:endParaRPr lang="zh-CN" altLang="en-US" sz="1200" b="0" i="0" u="none" strike="noStrike" baseline="0">
              <a:solidFill>
                <a:srgbClr val="000000"/>
              </a:solidFill>
              <a:latin typeface="宋体"/>
              <a:ea typeface="宋体"/>
            </a:endParaRPr>
          </a:p>
          <a:p>
            <a:pPr algn="l" rtl="0">
              <a:defRPr sz="1000"/>
            </a:pPr>
            <a:endParaRPr lang="zh-CN" altLang="en-US" sz="1200" b="0" i="0" u="none" strike="noStrike" baseline="0">
              <a:solidFill>
                <a:srgbClr val="000000"/>
              </a:solidFill>
              <a:latin typeface="宋体"/>
              <a:ea typeface="宋体"/>
            </a:endParaRPr>
          </a:p>
          <a:p>
            <a:pPr algn="l" rtl="0">
              <a:lnSpc>
                <a:spcPts val="1300"/>
              </a:lnSpc>
              <a:defRPr sz="1000"/>
            </a:pPr>
            <a:endParaRPr lang="zh-CN" altLang="en-US" sz="1200" b="0" i="0" u="none" strike="noStrike" baseline="0">
              <a:solidFill>
                <a:srgbClr val="000000"/>
              </a:solidFill>
              <a:latin typeface="宋体"/>
              <a:ea typeface="宋体"/>
            </a:endParaRPr>
          </a:p>
          <a:p>
            <a:pPr algn="l" rtl="0">
              <a:defRPr sz="1000"/>
            </a:pPr>
            <a:endParaRPr lang="zh-CN" altLang="en-US" sz="1200" b="0" i="0" u="none" strike="noStrike" baseline="0">
              <a:solidFill>
                <a:srgbClr val="000000"/>
              </a:solidFill>
              <a:latin typeface="宋体"/>
              <a:ea typeface="宋体"/>
            </a:endParaRPr>
          </a:p>
          <a:p>
            <a:pPr algn="l" rtl="0">
              <a:lnSpc>
                <a:spcPts val="1300"/>
              </a:lnSpc>
              <a:defRPr sz="1000"/>
            </a:pPr>
            <a:endParaRPr lang="zh-CN" altLang="en-US" sz="1200" b="0" i="0" u="none" strike="noStrike" baseline="0">
              <a:solidFill>
                <a:srgbClr val="000000"/>
              </a:solidFill>
              <a:latin typeface="宋体"/>
              <a:ea typeface="宋体"/>
            </a:endParaRPr>
          </a:p>
          <a:p>
            <a:pPr algn="l" rtl="0">
              <a:defRPr sz="1000"/>
            </a:pPr>
            <a:endParaRPr lang="zh-CN" altLang="en-US" sz="1200" b="0" i="0" u="none" strike="noStrike" baseline="0">
              <a:solidFill>
                <a:srgbClr val="000000"/>
              </a:solidFill>
              <a:latin typeface="宋体"/>
              <a:ea typeface="宋体"/>
            </a:endParaRPr>
          </a:p>
          <a:p>
            <a:pPr algn="l" rtl="0">
              <a:lnSpc>
                <a:spcPts val="1300"/>
              </a:lnSpc>
              <a:defRPr sz="1000"/>
            </a:pPr>
            <a:endParaRPr lang="zh-CN" altLang="en-US" sz="1200" b="0" i="0" u="none" strike="noStrike" baseline="0">
              <a:solidFill>
                <a:srgbClr val="000000"/>
              </a:solidFill>
              <a:latin typeface="宋体"/>
              <a:ea typeface="宋体"/>
            </a:endParaRPr>
          </a:p>
          <a:p>
            <a:pPr algn="l" rtl="0">
              <a:lnSpc>
                <a:spcPts val="1300"/>
              </a:lnSpc>
              <a:defRPr sz="1000"/>
            </a:pPr>
            <a:endParaRPr lang="zh-CN" altLang="en-US" sz="1200" b="0" i="0" u="none" strike="noStrike" baseline="0">
              <a:solidFill>
                <a:srgbClr val="000000"/>
              </a:solidFill>
              <a:latin typeface="宋体"/>
              <a:ea typeface="宋体"/>
            </a:endParaRPr>
          </a:p>
          <a:p>
            <a:pPr algn="l" rtl="0">
              <a:defRPr sz="1000"/>
            </a:pPr>
            <a:endParaRPr lang="zh-CN" altLang="en-US" sz="1200" b="0" i="0" u="none" strike="noStrike" baseline="0">
              <a:solidFill>
                <a:srgbClr val="000000"/>
              </a:solidFill>
              <a:latin typeface="宋体"/>
              <a:ea typeface="宋体"/>
            </a:endParaRPr>
          </a:p>
          <a:p>
            <a:pPr algn="l" rtl="0">
              <a:lnSpc>
                <a:spcPts val="1300"/>
              </a:lnSpc>
              <a:defRPr sz="1000"/>
            </a:pPr>
            <a:endParaRPr lang="zh-CN" altLang="en-US" sz="1200" b="0" i="0" u="none" strike="noStrike" baseline="0">
              <a:solidFill>
                <a:srgbClr val="000000"/>
              </a:solidFill>
              <a:latin typeface="宋体"/>
              <a:ea typeface="宋体"/>
            </a:endParaRPr>
          </a:p>
          <a:p>
            <a:pPr algn="l" rtl="0">
              <a:defRPr sz="1000"/>
            </a:pPr>
            <a:endParaRPr lang="zh-CN" altLang="en-US" sz="1200" b="0" i="0" u="none" strike="noStrike" baseline="0">
              <a:solidFill>
                <a:srgbClr val="000000"/>
              </a:solidFill>
              <a:latin typeface="宋体"/>
              <a:ea typeface="宋体"/>
            </a:endParaRPr>
          </a:p>
          <a:p>
            <a:pPr algn="l" rtl="0">
              <a:lnSpc>
                <a:spcPts val="1300"/>
              </a:lnSpc>
              <a:defRPr sz="1000"/>
            </a:pPr>
            <a:endParaRPr lang="zh-CN" altLang="en-US" sz="1200" b="0" i="0" u="none" strike="noStrike" baseline="0">
              <a:solidFill>
                <a:srgbClr val="000000"/>
              </a:solidFill>
              <a:latin typeface="宋体"/>
              <a:ea typeface="宋体"/>
            </a:endParaRPr>
          </a:p>
          <a:p>
            <a:pPr algn="l" rtl="0">
              <a:lnSpc>
                <a:spcPts val="1300"/>
              </a:lnSpc>
              <a:defRPr sz="1000"/>
            </a:pPr>
            <a:endParaRPr lang="zh-CN" altLang="en-US" sz="1200" b="0" i="0" u="none" strike="noStrike" baseline="0">
              <a:solidFill>
                <a:srgbClr val="000000"/>
              </a:solidFill>
              <a:latin typeface="宋体"/>
              <a:ea typeface="宋体"/>
            </a:endParaRPr>
          </a:p>
          <a:p>
            <a:pPr algn="l" rtl="0">
              <a:defRPr sz="1000"/>
            </a:pPr>
            <a:endParaRPr lang="zh-CN" altLang="en-US" sz="1200" b="0" i="0" u="none" strike="noStrike" baseline="0">
              <a:solidFill>
                <a:srgbClr val="000000"/>
              </a:solidFill>
              <a:latin typeface="宋体"/>
              <a:ea typeface="宋体"/>
            </a:endParaRPr>
          </a:p>
          <a:p>
            <a:pPr algn="l" rtl="0">
              <a:lnSpc>
                <a:spcPts val="1300"/>
              </a:lnSpc>
              <a:defRPr sz="1000"/>
            </a:pPr>
            <a:endParaRPr lang="zh-CN" altLang="en-US" sz="1200" b="0" i="0" u="none" strike="noStrike" baseline="0">
              <a:solidFill>
                <a:srgbClr val="000000"/>
              </a:solidFill>
              <a:latin typeface="宋体"/>
              <a:ea typeface="宋体"/>
            </a:endParaRPr>
          </a:p>
          <a:p>
            <a:pPr algn="l" rtl="0">
              <a:lnSpc>
                <a:spcPts val="1300"/>
              </a:lnSpc>
              <a:defRPr sz="1000"/>
            </a:pPr>
            <a:endParaRPr lang="zh-CN" altLang="en-US" sz="1200" b="0" i="0" u="none" strike="noStrike" baseline="0">
              <a:solidFill>
                <a:srgbClr val="000000"/>
              </a:solidFill>
              <a:latin typeface="宋体"/>
              <a:ea typeface="宋体"/>
            </a:endParaRPr>
          </a:p>
        </xdr:txBody>
      </xdr:sp>
      <xdr:pic>
        <xdr:nvPicPr>
          <xdr:cNvPr id="4" name="图片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64157" y="2324668"/>
            <a:ext cx="6634329" cy="239237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247483</xdr:colOff>
      <xdr:row>1</xdr:row>
      <xdr:rowOff>175260</xdr:rowOff>
    </xdr:from>
    <xdr:to>
      <xdr:col>8</xdr:col>
      <xdr:colOff>114300</xdr:colOff>
      <xdr:row>14</xdr:row>
      <xdr:rowOff>123825</xdr:rowOff>
    </xdr:to>
    <xdr:sp macro="" textlink="">
      <xdr:nvSpPr>
        <xdr:cNvPr id="2" name="Text Box 1"/>
        <xdr:cNvSpPr txBox="1">
          <a:spLocks noChangeArrowheads="1"/>
        </xdr:cNvSpPr>
      </xdr:nvSpPr>
      <xdr:spPr bwMode="auto">
        <a:xfrm>
          <a:off x="2419183" y="356235"/>
          <a:ext cx="3210092" cy="2396490"/>
        </a:xfrm>
        <a:prstGeom prst="rect">
          <a:avLst/>
        </a:prstGeom>
        <a:solidFill>
          <a:schemeClr val="accent2">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200"/>
            </a:lnSpc>
            <a:defRPr sz="1000"/>
          </a:pPr>
          <a:endParaRPr lang="en-US" altLang="zh-CN" sz="1200" b="1" i="0" u="none" strike="noStrike" baseline="0">
            <a:solidFill>
              <a:srgbClr val="000000"/>
            </a:solidFill>
            <a:latin typeface="+mn-ea"/>
            <a:ea typeface="+mn-ea"/>
          </a:endParaRPr>
        </a:p>
        <a:p>
          <a:pPr algn="l" rtl="0">
            <a:lnSpc>
              <a:spcPts val="1200"/>
            </a:lnSpc>
            <a:defRPr sz="1000"/>
          </a:pPr>
          <a:r>
            <a:rPr lang="zh-CN" altLang="en-US" sz="1200" b="1" i="0" u="none" strike="noStrike" baseline="0">
              <a:solidFill>
                <a:srgbClr val="000000"/>
              </a:solidFill>
              <a:latin typeface="+mn-ea"/>
              <a:ea typeface="+mn-ea"/>
            </a:rPr>
            <a:t>第</a:t>
          </a:r>
          <a:r>
            <a:rPr lang="en-US" altLang="zh-CN" sz="1200" b="1" i="0" u="none" strike="noStrike" baseline="0">
              <a:solidFill>
                <a:srgbClr val="000000"/>
              </a:solidFill>
              <a:latin typeface="+mn-ea"/>
              <a:ea typeface="+mn-ea"/>
            </a:rPr>
            <a:t>4</a:t>
          </a:r>
          <a:r>
            <a:rPr lang="zh-CN" altLang="en-US" sz="1200" b="1" i="0" u="none" strike="noStrike" baseline="0">
              <a:solidFill>
                <a:srgbClr val="000000"/>
              </a:solidFill>
              <a:latin typeface="+mn-ea"/>
              <a:ea typeface="+mn-ea"/>
            </a:rPr>
            <a:t>题（</a:t>
          </a:r>
          <a:r>
            <a:rPr lang="en-US" altLang="zh-CN" sz="1200" b="1" i="0" u="none" strike="noStrike" baseline="0">
              <a:solidFill>
                <a:srgbClr val="000000"/>
              </a:solidFill>
              <a:latin typeface="+mn-ea"/>
              <a:ea typeface="+mn-ea"/>
            </a:rPr>
            <a:t>10</a:t>
          </a:r>
          <a:r>
            <a:rPr lang="zh-CN" altLang="en-US" sz="1200" b="1" i="0" u="none" strike="noStrike" baseline="0">
              <a:solidFill>
                <a:srgbClr val="000000"/>
              </a:solidFill>
              <a:latin typeface="+mn-ea"/>
              <a:ea typeface="+mn-ea"/>
            </a:rPr>
            <a:t>分）：</a:t>
          </a:r>
          <a:r>
            <a:rPr lang="zh-CN" altLang="en-US" sz="1200" b="0" i="0" u="none" strike="noStrike" baseline="0">
              <a:solidFill>
                <a:srgbClr val="000000"/>
              </a:solidFill>
              <a:latin typeface="+mn-ea"/>
              <a:ea typeface="+mn-ea"/>
            </a:rPr>
            <a:t>某投资者投资</a:t>
          </a:r>
          <a:r>
            <a:rPr lang="en-US" altLang="zh-CN" sz="1200" b="0" i="0" u="none" strike="noStrike" baseline="0">
              <a:solidFill>
                <a:srgbClr val="000000"/>
              </a:solidFill>
              <a:latin typeface="+mn-ea"/>
              <a:ea typeface="+mn-ea"/>
            </a:rPr>
            <a:t>500</a:t>
          </a:r>
          <a:r>
            <a:rPr lang="zh-CN" altLang="en-US" sz="1200" b="0" i="0" u="none" strike="noStrike" baseline="0">
              <a:solidFill>
                <a:srgbClr val="000000"/>
              </a:solidFill>
              <a:latin typeface="+mn-ea"/>
              <a:ea typeface="+mn-ea"/>
            </a:rPr>
            <a:t>万建造一座旅游酒店。该</a:t>
          </a:r>
          <a:r>
            <a:rPr lang="zh-CN" altLang="zh-CN" sz="1000" b="0" i="0" baseline="0">
              <a:effectLst/>
              <a:latin typeface="+mn-lt"/>
              <a:ea typeface="+mn-ea"/>
              <a:cs typeface="+mn-cs"/>
            </a:rPr>
            <a:t>酒店</a:t>
          </a:r>
          <a:r>
            <a:rPr lang="zh-CN" altLang="en-US" sz="1200" b="0" i="0" u="none" strike="noStrike" baseline="0">
              <a:solidFill>
                <a:srgbClr val="000000"/>
              </a:solidFill>
              <a:latin typeface="+mn-ea"/>
              <a:ea typeface="+mn-ea"/>
            </a:rPr>
            <a:t>在建成后的</a:t>
          </a:r>
          <a:r>
            <a:rPr lang="en-US" altLang="zh-CN" sz="1200" b="0" i="0" u="none" strike="noStrike" baseline="0">
              <a:solidFill>
                <a:srgbClr val="000000"/>
              </a:solidFill>
              <a:latin typeface="+mn-ea"/>
              <a:ea typeface="+mn-ea"/>
            </a:rPr>
            <a:t>5</a:t>
          </a:r>
          <a:r>
            <a:rPr lang="zh-CN" altLang="en-US" sz="1200" b="0" i="0" u="none" strike="noStrike" baseline="0">
              <a:solidFill>
                <a:srgbClr val="000000"/>
              </a:solidFill>
              <a:latin typeface="+mn-ea"/>
              <a:ea typeface="+mn-ea"/>
            </a:rPr>
            <a:t>年内经营，预计每年收入为第</a:t>
          </a:r>
          <a:r>
            <a:rPr lang="en-US" altLang="zh-CN" sz="1200" b="0" i="0" u="none" strike="noStrike" baseline="0">
              <a:solidFill>
                <a:srgbClr val="000000"/>
              </a:solidFill>
              <a:latin typeface="+mn-ea"/>
              <a:ea typeface="+mn-ea"/>
            </a:rPr>
            <a:t>1</a:t>
          </a:r>
          <a:r>
            <a:rPr lang="zh-CN" altLang="en-US" sz="1200" b="0" i="0" u="none" strike="noStrike" baseline="0">
              <a:solidFill>
                <a:srgbClr val="000000"/>
              </a:solidFill>
              <a:latin typeface="+mn-ea"/>
              <a:ea typeface="+mn-ea"/>
            </a:rPr>
            <a:t>年</a:t>
          </a:r>
          <a:r>
            <a:rPr lang="en-US" altLang="zh-CN" sz="1200" b="0" i="0" u="none" strike="noStrike" baseline="0">
              <a:solidFill>
                <a:srgbClr val="000000"/>
              </a:solidFill>
              <a:latin typeface="+mn-ea"/>
              <a:ea typeface="+mn-ea"/>
            </a:rPr>
            <a:t>50</a:t>
          </a:r>
          <a:r>
            <a:rPr lang="zh-CN" altLang="en-US" sz="1200" b="0" i="0" u="none" strike="noStrike" baseline="0">
              <a:solidFill>
                <a:srgbClr val="000000"/>
              </a:solidFill>
              <a:latin typeface="+mn-ea"/>
              <a:ea typeface="+mn-ea"/>
            </a:rPr>
            <a:t>万，以后每年增加</a:t>
          </a:r>
          <a:r>
            <a:rPr lang="en-US" altLang="zh-CN" sz="1200" b="0" i="0" u="none" strike="noStrike" baseline="0">
              <a:solidFill>
                <a:srgbClr val="000000"/>
              </a:solidFill>
              <a:latin typeface="+mn-ea"/>
              <a:ea typeface="+mn-ea"/>
            </a:rPr>
            <a:t>10</a:t>
          </a:r>
          <a:r>
            <a:rPr lang="zh-CN" altLang="en-US" sz="1200" b="0" i="0" u="none" strike="noStrike" baseline="0">
              <a:solidFill>
                <a:srgbClr val="000000"/>
              </a:solidFill>
              <a:latin typeface="+mn-ea"/>
              <a:ea typeface="+mn-ea"/>
            </a:rPr>
            <a:t>万，</a:t>
          </a:r>
          <a:r>
            <a:rPr lang="en-US" altLang="zh-CN" sz="1200" b="0" i="0" u="none" strike="noStrike" baseline="0">
              <a:solidFill>
                <a:srgbClr val="000000"/>
              </a:solidFill>
              <a:latin typeface="+mn-ea"/>
              <a:ea typeface="+mn-ea"/>
            </a:rPr>
            <a:t>5</a:t>
          </a:r>
          <a:r>
            <a:rPr lang="zh-CN" altLang="en-US" sz="1200" b="0" i="0" u="none" strike="noStrike" baseline="0">
              <a:solidFill>
                <a:srgbClr val="000000"/>
              </a:solidFill>
              <a:latin typeface="+mn-ea"/>
              <a:ea typeface="+mn-ea"/>
            </a:rPr>
            <a:t>年末出售收入</a:t>
          </a:r>
          <a:r>
            <a:rPr lang="en-US" altLang="zh-CN" sz="1200" b="0" i="0" u="none" strike="noStrike" baseline="0">
              <a:solidFill>
                <a:srgbClr val="000000"/>
              </a:solidFill>
              <a:latin typeface="+mn-ea"/>
              <a:ea typeface="+mn-ea"/>
            </a:rPr>
            <a:t>300</a:t>
          </a:r>
          <a:r>
            <a:rPr lang="zh-CN" altLang="en-US" sz="1200" b="0" i="0" u="none" strike="noStrike" baseline="0">
              <a:solidFill>
                <a:srgbClr val="000000"/>
              </a:solidFill>
              <a:latin typeface="+mn-ea"/>
              <a:ea typeface="+mn-ea"/>
            </a:rPr>
            <a:t>万元。要求：</a:t>
          </a:r>
        </a:p>
        <a:p>
          <a:pPr algn="l" rtl="0">
            <a:lnSpc>
              <a:spcPts val="1200"/>
            </a:lnSpc>
            <a:defRPr sz="1000"/>
          </a:pPr>
          <a:r>
            <a:rPr lang="en-US" altLang="zh-CN" sz="1200" b="0" i="0" u="none" strike="noStrike" baseline="0">
              <a:solidFill>
                <a:srgbClr val="000000"/>
              </a:solidFill>
              <a:latin typeface="+mn-ea"/>
              <a:ea typeface="+mn-ea"/>
            </a:rPr>
            <a:t>1</a:t>
          </a:r>
          <a:r>
            <a:rPr lang="zh-CN" altLang="en-US" sz="1200" b="0" i="0" u="none" strike="noStrike" baseline="0">
              <a:solidFill>
                <a:srgbClr val="000000"/>
              </a:solidFill>
              <a:latin typeface="+mn-ea"/>
              <a:ea typeface="+mn-ea"/>
            </a:rPr>
            <a:t>、</a:t>
          </a:r>
          <a:r>
            <a:rPr lang="zh-CN" altLang="zh-CN" sz="1200" b="0" i="0">
              <a:effectLst/>
              <a:latin typeface="+mn-ea"/>
              <a:ea typeface="+mn-ea"/>
              <a:cs typeface="+mn-cs"/>
            </a:rPr>
            <a:t>用财务函数计算，</a:t>
          </a:r>
          <a:r>
            <a:rPr lang="zh-CN" altLang="en-US" sz="1200" b="0" i="0" u="none" strike="noStrike" baseline="0">
              <a:solidFill>
                <a:srgbClr val="000000"/>
              </a:solidFill>
              <a:latin typeface="+mn-ea"/>
              <a:ea typeface="+mn-ea"/>
            </a:rPr>
            <a:t>若年贴现率为</a:t>
          </a:r>
          <a:r>
            <a:rPr lang="en-US" altLang="zh-CN" sz="1200" b="0" i="0" u="none" strike="noStrike" baseline="0">
              <a:solidFill>
                <a:srgbClr val="000000"/>
              </a:solidFill>
              <a:latin typeface="+mn-ea"/>
              <a:ea typeface="+mn-ea"/>
            </a:rPr>
            <a:t>6%</a:t>
          </a:r>
          <a:r>
            <a:rPr lang="zh-CN" altLang="en-US" sz="1200" b="0" i="0" u="none" strike="noStrike" baseline="0">
              <a:solidFill>
                <a:srgbClr val="000000"/>
              </a:solidFill>
              <a:latin typeface="+mn-ea"/>
              <a:ea typeface="+mn-ea"/>
            </a:rPr>
            <a:t>，</a:t>
          </a:r>
          <a:r>
            <a:rPr lang="en-US" altLang="zh-CN" sz="1200" b="0" i="0" u="none" strike="noStrike" baseline="0">
              <a:solidFill>
                <a:srgbClr val="000000"/>
              </a:solidFill>
              <a:latin typeface="+mn-ea"/>
              <a:ea typeface="+mn-ea"/>
            </a:rPr>
            <a:t>5</a:t>
          </a:r>
          <a:r>
            <a:rPr lang="zh-CN" altLang="en-US" sz="1200" b="0" i="0" u="none" strike="noStrike" baseline="0">
              <a:solidFill>
                <a:srgbClr val="000000"/>
              </a:solidFill>
              <a:latin typeface="+mn-ea"/>
              <a:ea typeface="+mn-ea"/>
            </a:rPr>
            <a:t>年内经营收收入的现值为多少</a:t>
          </a:r>
          <a:r>
            <a:rPr lang="en-US" altLang="zh-CN" sz="1200" b="0" i="0" u="none" strike="noStrike" baseline="0">
              <a:solidFill>
                <a:srgbClr val="000000"/>
              </a:solidFill>
              <a:latin typeface="+mn-ea"/>
              <a:ea typeface="+mn-ea"/>
            </a:rPr>
            <a:t>?</a:t>
          </a:r>
        </a:p>
        <a:p>
          <a:pPr algn="l" rtl="0">
            <a:lnSpc>
              <a:spcPts val="1200"/>
            </a:lnSpc>
            <a:defRPr sz="1000"/>
          </a:pPr>
          <a:r>
            <a:rPr lang="en-US" altLang="zh-CN" sz="1200" b="0" i="0" u="none" strike="noStrike" baseline="0">
              <a:solidFill>
                <a:srgbClr val="000000"/>
              </a:solidFill>
              <a:latin typeface="+mn-ea"/>
              <a:ea typeface="+mn-ea"/>
            </a:rPr>
            <a:t>2</a:t>
          </a:r>
          <a:r>
            <a:rPr lang="zh-CN" altLang="en-US" sz="1200" b="0" i="0" u="none" strike="noStrike" baseline="0">
              <a:solidFill>
                <a:srgbClr val="000000"/>
              </a:solidFill>
              <a:latin typeface="+mn-ea"/>
              <a:ea typeface="+mn-ea"/>
            </a:rPr>
            <a:t>、考虑</a:t>
          </a:r>
          <a:r>
            <a:rPr lang="en-US" altLang="zh-CN" sz="1200" b="0" i="0" u="none" strike="noStrike" baseline="0">
              <a:solidFill>
                <a:srgbClr val="000000"/>
              </a:solidFill>
              <a:latin typeface="+mn-ea"/>
              <a:ea typeface="+mn-ea"/>
            </a:rPr>
            <a:t>5</a:t>
          </a:r>
          <a:r>
            <a:rPr lang="zh-CN" altLang="en-US" sz="1200" b="0" i="0" u="none" strike="noStrike" baseline="0">
              <a:solidFill>
                <a:srgbClr val="000000"/>
              </a:solidFill>
              <a:latin typeface="+mn-ea"/>
              <a:ea typeface="+mn-ea"/>
            </a:rPr>
            <a:t>年的投资回报期，计算该项目的内部报酬率。</a:t>
          </a:r>
          <a:endParaRPr lang="en-US" altLang="zh-CN" sz="1200" b="0" i="0" u="none" strike="noStrike" baseline="0">
            <a:solidFill>
              <a:srgbClr val="000000"/>
            </a:solidFill>
            <a:latin typeface="+mn-ea"/>
            <a:ea typeface="+mn-ea"/>
          </a:endParaRPr>
        </a:p>
        <a:p>
          <a:pPr algn="l" rtl="0">
            <a:lnSpc>
              <a:spcPts val="1200"/>
            </a:lnSpc>
            <a:defRPr sz="1000"/>
          </a:pPr>
          <a:r>
            <a:rPr lang="en-US" altLang="zh-CN" sz="1200" b="0" i="0" baseline="0">
              <a:effectLst/>
              <a:latin typeface="+mn-ea"/>
              <a:ea typeface="+mn-ea"/>
              <a:cs typeface="+mn-cs"/>
            </a:rPr>
            <a:t>3</a:t>
          </a:r>
          <a:r>
            <a:rPr lang="zh-CN" altLang="zh-CN" sz="1200" b="0" i="0" baseline="0">
              <a:effectLst/>
              <a:latin typeface="+mn-ea"/>
              <a:ea typeface="+mn-ea"/>
              <a:cs typeface="+mn-cs"/>
            </a:rPr>
            <a:t>、</a:t>
          </a:r>
          <a:r>
            <a:rPr lang="zh-CN" altLang="en-US" sz="1200" b="0" i="0" baseline="0">
              <a:effectLst/>
              <a:latin typeface="+mn-ea"/>
              <a:ea typeface="+mn-ea"/>
              <a:cs typeface="+mn-cs"/>
            </a:rPr>
            <a:t>若</a:t>
          </a:r>
          <a:r>
            <a:rPr lang="zh-CN" altLang="zh-CN" sz="1200" b="0" i="0" baseline="0">
              <a:effectLst/>
              <a:latin typeface="+mn-ea"/>
              <a:ea typeface="+mn-ea"/>
              <a:cs typeface="+mn-cs"/>
            </a:rPr>
            <a:t>投资金额中的</a:t>
          </a:r>
          <a:r>
            <a:rPr lang="en-US" altLang="zh-CN" sz="1200" b="0" i="0" baseline="0">
              <a:effectLst/>
              <a:latin typeface="+mn-ea"/>
              <a:ea typeface="+mn-ea"/>
              <a:cs typeface="+mn-cs"/>
            </a:rPr>
            <a:t>400</a:t>
          </a:r>
          <a:r>
            <a:rPr lang="zh-CN" altLang="zh-CN" sz="1200" b="0" i="0" baseline="0">
              <a:effectLst/>
              <a:latin typeface="+mn-ea"/>
              <a:ea typeface="+mn-ea"/>
              <a:cs typeface="+mn-cs"/>
            </a:rPr>
            <a:t>万向银行申请</a:t>
          </a:r>
          <a:r>
            <a:rPr lang="en-US" altLang="zh-CN" sz="1200" b="0" i="0" baseline="0">
              <a:effectLst/>
              <a:latin typeface="+mn-ea"/>
              <a:ea typeface="+mn-ea"/>
              <a:cs typeface="+mn-cs"/>
            </a:rPr>
            <a:t>5</a:t>
          </a:r>
          <a:r>
            <a:rPr lang="zh-CN" altLang="zh-CN" sz="1200" b="0" i="0" baseline="0">
              <a:effectLst/>
              <a:latin typeface="+mn-ea"/>
              <a:ea typeface="+mn-ea"/>
              <a:cs typeface="+mn-cs"/>
            </a:rPr>
            <a:t>年期贷款，银行等额贷款的</a:t>
          </a:r>
          <a:r>
            <a:rPr lang="zh-CN" altLang="en-US" sz="1200" b="0" i="0" baseline="0">
              <a:effectLst/>
              <a:latin typeface="+mn-ea"/>
              <a:ea typeface="+mn-ea"/>
              <a:cs typeface="+mn-cs"/>
            </a:rPr>
            <a:t>年</a:t>
          </a:r>
          <a:r>
            <a:rPr lang="zh-CN" altLang="zh-CN" sz="1200" b="0" i="0" baseline="0">
              <a:effectLst/>
              <a:latin typeface="+mn-ea"/>
              <a:ea typeface="+mn-ea"/>
              <a:cs typeface="+mn-cs"/>
            </a:rPr>
            <a:t>利率为</a:t>
          </a:r>
          <a:r>
            <a:rPr lang="en-US" altLang="zh-CN" sz="1200" b="0" i="0" baseline="0">
              <a:effectLst/>
              <a:latin typeface="+mn-ea"/>
              <a:ea typeface="+mn-ea"/>
              <a:cs typeface="+mn-cs"/>
            </a:rPr>
            <a:t>5%</a:t>
          </a:r>
          <a:r>
            <a:rPr lang="zh-CN" altLang="zh-CN" sz="1200" b="0" i="0" baseline="0">
              <a:effectLst/>
              <a:latin typeface="+mn-ea"/>
              <a:ea typeface="+mn-ea"/>
              <a:cs typeface="+mn-cs"/>
            </a:rPr>
            <a:t>，</a:t>
          </a:r>
          <a:r>
            <a:rPr lang="zh-CN" altLang="en-US" sz="1200" b="0" i="0" baseline="0">
              <a:effectLst/>
              <a:latin typeface="+mn-ea"/>
              <a:ea typeface="+mn-ea"/>
              <a:cs typeface="+mn-cs"/>
            </a:rPr>
            <a:t>计算按年还等额还款的年还款额。</a:t>
          </a:r>
          <a:endParaRPr lang="en-US" altLang="zh-CN" sz="1200" b="0" i="0" baseline="0">
            <a:effectLst/>
            <a:latin typeface="+mn-ea"/>
            <a:ea typeface="+mn-ea"/>
            <a:cs typeface="+mn-cs"/>
          </a:endParaRPr>
        </a:p>
        <a:p>
          <a:pPr marL="0" marR="0" indent="0" algn="l" defTabSz="914400" rtl="0" eaLnBrk="1" fontAlgn="auto" latinLnBrk="0" hangingPunct="1">
            <a:lnSpc>
              <a:spcPts val="1200"/>
            </a:lnSpc>
            <a:spcBef>
              <a:spcPts val="0"/>
            </a:spcBef>
            <a:spcAft>
              <a:spcPts val="0"/>
            </a:spcAft>
            <a:buClrTx/>
            <a:buSzTx/>
            <a:buFontTx/>
            <a:buNone/>
            <a:tabLst/>
            <a:defRPr sz="1000"/>
          </a:pPr>
          <a:r>
            <a:rPr lang="en-US" altLang="zh-CN" sz="1200" b="0" i="0" baseline="0">
              <a:effectLst/>
              <a:latin typeface="+mn-ea"/>
              <a:ea typeface="+mn-ea"/>
              <a:cs typeface="+mn-cs"/>
            </a:rPr>
            <a:t>4</a:t>
          </a:r>
          <a:r>
            <a:rPr lang="zh-CN" altLang="en-US" sz="1200" b="0" i="0" baseline="0">
              <a:effectLst/>
              <a:latin typeface="+mn-ea"/>
              <a:ea typeface="+mn-ea"/>
              <a:cs typeface="+mn-cs"/>
            </a:rPr>
            <a:t>、</a:t>
          </a:r>
          <a:r>
            <a:rPr lang="zh-CN" altLang="zh-CN" sz="1200" b="0" i="0" baseline="0">
              <a:effectLst/>
              <a:latin typeface="+mn-lt"/>
              <a:ea typeface="+mn-ea"/>
              <a:cs typeface="+mn-cs"/>
            </a:rPr>
            <a:t>若投资金额中的</a:t>
          </a:r>
          <a:r>
            <a:rPr lang="en-US" altLang="zh-CN" sz="1200" b="0" i="0" baseline="0">
              <a:effectLst/>
              <a:latin typeface="+mn-lt"/>
              <a:ea typeface="+mn-ea"/>
              <a:cs typeface="+mn-cs"/>
            </a:rPr>
            <a:t>400</a:t>
          </a:r>
          <a:r>
            <a:rPr lang="zh-CN" altLang="zh-CN" sz="1200" b="0" i="0" baseline="0">
              <a:effectLst/>
              <a:latin typeface="+mn-lt"/>
              <a:ea typeface="+mn-ea"/>
              <a:cs typeface="+mn-cs"/>
            </a:rPr>
            <a:t>万向银行申请</a:t>
          </a:r>
          <a:r>
            <a:rPr lang="en-US" altLang="zh-CN" sz="1200" b="0" i="0" baseline="0">
              <a:effectLst/>
              <a:latin typeface="+mn-lt"/>
              <a:ea typeface="+mn-ea"/>
              <a:cs typeface="+mn-cs"/>
            </a:rPr>
            <a:t>5</a:t>
          </a:r>
          <a:r>
            <a:rPr lang="zh-CN" altLang="zh-CN" sz="1200" b="0" i="0" baseline="0">
              <a:effectLst/>
              <a:latin typeface="+mn-lt"/>
              <a:ea typeface="+mn-ea"/>
              <a:cs typeface="+mn-cs"/>
            </a:rPr>
            <a:t>年期贷款，银行等额贷款的年利率为</a:t>
          </a:r>
          <a:r>
            <a:rPr lang="en-US" altLang="zh-CN" sz="1200" b="0" i="0" baseline="0">
              <a:effectLst/>
              <a:latin typeface="+mn-lt"/>
              <a:ea typeface="+mn-ea"/>
              <a:cs typeface="+mn-cs"/>
            </a:rPr>
            <a:t>5%</a:t>
          </a:r>
          <a:r>
            <a:rPr lang="zh-CN" altLang="zh-CN" sz="1200" b="0" i="0" baseline="0">
              <a:effectLst/>
              <a:latin typeface="+mn-lt"/>
              <a:ea typeface="+mn-ea"/>
              <a:cs typeface="+mn-cs"/>
            </a:rPr>
            <a:t>，计算按</a:t>
          </a:r>
          <a:r>
            <a:rPr lang="zh-CN" altLang="en-US" sz="1200" b="0" i="0" baseline="0">
              <a:effectLst/>
              <a:latin typeface="+mn-lt"/>
              <a:ea typeface="+mn-ea"/>
              <a:cs typeface="+mn-cs"/>
            </a:rPr>
            <a:t>月</a:t>
          </a:r>
          <a:r>
            <a:rPr lang="zh-CN" altLang="zh-CN" sz="1200" b="0" i="0" baseline="0">
              <a:effectLst/>
              <a:latin typeface="+mn-lt"/>
              <a:ea typeface="+mn-ea"/>
              <a:cs typeface="+mn-cs"/>
            </a:rPr>
            <a:t>等额还款的</a:t>
          </a:r>
          <a:r>
            <a:rPr lang="zh-CN" altLang="en-US" sz="1200" b="0" i="0" baseline="0">
              <a:effectLst/>
              <a:latin typeface="+mn-lt"/>
              <a:ea typeface="+mn-ea"/>
              <a:cs typeface="+mn-cs"/>
            </a:rPr>
            <a:t>月</a:t>
          </a:r>
          <a:r>
            <a:rPr lang="zh-CN" altLang="zh-CN" sz="1200" b="0" i="0" baseline="0">
              <a:effectLst/>
              <a:latin typeface="+mn-lt"/>
              <a:ea typeface="+mn-ea"/>
              <a:cs typeface="+mn-cs"/>
            </a:rPr>
            <a:t>还款额。</a:t>
          </a:r>
          <a:endParaRPr lang="zh-CN" altLang="en-US" sz="1200" b="0" i="0" u="none" strike="noStrike" baseline="0">
            <a:solidFill>
              <a:srgbClr val="000000"/>
            </a:solidFill>
            <a:latin typeface="+mn-ea"/>
            <a:ea typeface="+mn-ea"/>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219075</xdr:colOff>
      <xdr:row>5</xdr:row>
      <xdr:rowOff>123825</xdr:rowOff>
    </xdr:from>
    <xdr:to>
      <xdr:col>9</xdr:col>
      <xdr:colOff>228600</xdr:colOff>
      <xdr:row>23</xdr:row>
      <xdr:rowOff>38100</xdr:rowOff>
    </xdr:to>
    <xdr:sp macro="" textlink="">
      <xdr:nvSpPr>
        <xdr:cNvPr id="2" name="Text Box 2"/>
        <xdr:cNvSpPr txBox="1">
          <a:spLocks noChangeArrowheads="1"/>
        </xdr:cNvSpPr>
      </xdr:nvSpPr>
      <xdr:spPr bwMode="auto">
        <a:xfrm>
          <a:off x="2076450" y="981075"/>
          <a:ext cx="5019675" cy="3000375"/>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zh-CN" altLang="en-US" sz="1100" b="1" i="0" strike="noStrike">
              <a:solidFill>
                <a:srgbClr val="000000"/>
              </a:solidFill>
              <a:latin typeface="宋体"/>
              <a:ea typeface="宋体"/>
            </a:rPr>
            <a:t>第</a:t>
          </a:r>
          <a:r>
            <a:rPr lang="en-US" altLang="zh-CN" sz="1100" b="1" i="0" strike="noStrike">
              <a:solidFill>
                <a:srgbClr val="000000"/>
              </a:solidFill>
              <a:latin typeface="Times New Roman"/>
              <a:ea typeface="宋体"/>
              <a:cs typeface="Times New Roman"/>
            </a:rPr>
            <a:t>5</a:t>
          </a:r>
          <a:r>
            <a:rPr lang="zh-CN" altLang="en-US" sz="1100" b="1" i="0" strike="noStrike">
              <a:solidFill>
                <a:srgbClr val="000000"/>
              </a:solidFill>
              <a:latin typeface="宋体"/>
              <a:ea typeface="宋体"/>
            </a:rPr>
            <a:t>题（</a:t>
          </a:r>
          <a:r>
            <a:rPr lang="en-US" altLang="zh-CN" sz="1100" b="1" i="0" strike="noStrike">
              <a:solidFill>
                <a:srgbClr val="000000"/>
              </a:solidFill>
              <a:latin typeface="宋体"/>
              <a:ea typeface="宋体"/>
            </a:rPr>
            <a:t>13</a:t>
          </a:r>
          <a:r>
            <a:rPr lang="zh-CN" altLang="en-US" sz="1100" b="1" i="0" strike="noStrike">
              <a:solidFill>
                <a:srgbClr val="000000"/>
              </a:solidFill>
              <a:latin typeface="宋体"/>
              <a:ea typeface="宋体"/>
            </a:rPr>
            <a:t>分）</a:t>
          </a:r>
          <a:r>
            <a:rPr lang="zh-CN" altLang="en-US" sz="1100" b="0" i="0" strike="noStrike">
              <a:solidFill>
                <a:srgbClr val="000000"/>
              </a:solidFill>
              <a:latin typeface="Times New Roman"/>
              <a:cs typeface="Times New Roman"/>
            </a:rPr>
            <a:t> </a:t>
          </a:r>
          <a:r>
            <a:rPr lang="zh-CN" altLang="en-US" sz="1100" b="0" i="0" strike="noStrike">
              <a:solidFill>
                <a:srgbClr val="000000"/>
              </a:solidFill>
              <a:latin typeface="宋体"/>
              <a:ea typeface="宋体"/>
            </a:rPr>
            <a:t>某企业拟进行生产扩能，第</a:t>
          </a:r>
          <a:r>
            <a:rPr lang="en-US" altLang="zh-CN" sz="1100" b="0" i="0" strike="noStrike">
              <a:solidFill>
                <a:srgbClr val="000000"/>
              </a:solidFill>
              <a:latin typeface="Times New Roman"/>
              <a:cs typeface="Times New Roman"/>
            </a:rPr>
            <a:t>0</a:t>
          </a:r>
          <a:r>
            <a:rPr lang="zh-CN" altLang="en-US" sz="1100" b="0" i="0" strike="noStrike">
              <a:solidFill>
                <a:srgbClr val="000000"/>
              </a:solidFill>
              <a:latin typeface="宋体"/>
              <a:ea typeface="宋体"/>
            </a:rPr>
            <a:t>年的投资面临着三种选择：方案</a:t>
          </a:r>
          <a:r>
            <a:rPr lang="en-US" altLang="zh-CN" sz="1100" b="0" i="0" strike="noStrike">
              <a:solidFill>
                <a:srgbClr val="000000"/>
              </a:solidFill>
              <a:latin typeface="Times New Roman"/>
              <a:cs typeface="Times New Roman"/>
            </a:rPr>
            <a:t>A</a:t>
          </a:r>
          <a:r>
            <a:rPr lang="zh-CN" altLang="en-US" sz="1100" b="0" i="0" strike="noStrike">
              <a:solidFill>
                <a:srgbClr val="000000"/>
              </a:solidFill>
              <a:latin typeface="宋体"/>
              <a:ea typeface="宋体"/>
            </a:rPr>
            <a:t>，购买美国设备；方案</a:t>
          </a:r>
          <a:r>
            <a:rPr lang="en-US" altLang="zh-CN" sz="1100" b="0" i="0" strike="noStrike">
              <a:solidFill>
                <a:srgbClr val="000000"/>
              </a:solidFill>
              <a:latin typeface="Times New Roman"/>
              <a:cs typeface="Times New Roman"/>
            </a:rPr>
            <a:t>B</a:t>
          </a:r>
          <a:r>
            <a:rPr lang="zh-CN" altLang="en-US" sz="1100" b="0" i="0" strike="noStrike">
              <a:solidFill>
                <a:srgbClr val="000000"/>
              </a:solidFill>
              <a:latin typeface="宋体"/>
              <a:ea typeface="宋体"/>
            </a:rPr>
            <a:t>，购买欧洲设备；方案</a:t>
          </a:r>
          <a:r>
            <a:rPr lang="en-US" altLang="zh-CN" sz="1100" b="0" i="0" strike="noStrike">
              <a:solidFill>
                <a:srgbClr val="000000"/>
              </a:solidFill>
              <a:latin typeface="Times New Roman"/>
              <a:cs typeface="Times New Roman"/>
            </a:rPr>
            <a:t>C</a:t>
          </a:r>
          <a:r>
            <a:rPr lang="zh-CN" altLang="en-US" sz="1100" b="0" i="0" strike="noStrike">
              <a:solidFill>
                <a:srgbClr val="000000"/>
              </a:solidFill>
              <a:latin typeface="宋体"/>
              <a:ea typeface="宋体"/>
            </a:rPr>
            <a:t>，不购买设备，采取委外加工。三种方案的有效期为</a:t>
          </a:r>
          <a:r>
            <a:rPr lang="en-US" altLang="zh-CN" sz="1100" b="0" i="0" strike="noStrike">
              <a:solidFill>
                <a:srgbClr val="000000"/>
              </a:solidFill>
              <a:latin typeface="宋体"/>
              <a:ea typeface="宋体"/>
            </a:rPr>
            <a:t>10</a:t>
          </a:r>
          <a:r>
            <a:rPr lang="zh-CN" altLang="en-US" sz="1100" b="0" i="0" strike="noStrike">
              <a:solidFill>
                <a:srgbClr val="000000"/>
              </a:solidFill>
              <a:latin typeface="宋体"/>
              <a:ea typeface="宋体"/>
            </a:rPr>
            <a:t>年。方案</a:t>
          </a:r>
          <a:r>
            <a:rPr lang="en-US" altLang="zh-CN" sz="1100" b="0" i="0" strike="noStrike">
              <a:solidFill>
                <a:srgbClr val="000000"/>
              </a:solidFill>
              <a:latin typeface="Times New Roman"/>
              <a:cs typeface="Times New Roman"/>
            </a:rPr>
            <a:t>A</a:t>
          </a:r>
          <a:r>
            <a:rPr lang="zh-CN" altLang="en-US" sz="1100" b="0" i="0" strike="noStrike">
              <a:solidFill>
                <a:srgbClr val="000000"/>
              </a:solidFill>
              <a:latin typeface="宋体"/>
              <a:ea typeface="宋体"/>
            </a:rPr>
            <a:t>初始投入</a:t>
          </a:r>
          <a:r>
            <a:rPr lang="en-US" altLang="zh-CN" sz="1100" b="0" i="0" strike="noStrike">
              <a:solidFill>
                <a:srgbClr val="000000"/>
              </a:solidFill>
              <a:latin typeface="Times New Roman"/>
              <a:cs typeface="Times New Roman"/>
            </a:rPr>
            <a:t>650</a:t>
          </a:r>
          <a:r>
            <a:rPr lang="zh-CN" altLang="en-US" sz="1100" b="0" i="0" strike="noStrike">
              <a:solidFill>
                <a:srgbClr val="000000"/>
              </a:solidFill>
              <a:latin typeface="宋体"/>
              <a:ea typeface="宋体"/>
            </a:rPr>
            <a:t>，随后每年获得收入</a:t>
          </a:r>
          <a:r>
            <a:rPr lang="en-US" altLang="zh-CN" sz="1100" b="0" i="0" strike="noStrike">
              <a:solidFill>
                <a:srgbClr val="000000"/>
              </a:solidFill>
              <a:latin typeface="Times New Roman"/>
              <a:cs typeface="Times New Roman"/>
            </a:rPr>
            <a:t>115</a:t>
          </a:r>
          <a:r>
            <a:rPr lang="zh-CN" altLang="en-US" sz="1100" b="0" i="0" strike="noStrike">
              <a:solidFill>
                <a:srgbClr val="000000"/>
              </a:solidFill>
              <a:latin typeface="宋体"/>
              <a:ea typeface="宋体"/>
            </a:rPr>
            <a:t>。方案</a:t>
          </a:r>
          <a:r>
            <a:rPr lang="en-US" altLang="zh-CN" sz="1100" b="0" i="0" strike="noStrike">
              <a:solidFill>
                <a:srgbClr val="000000"/>
              </a:solidFill>
              <a:latin typeface="Times New Roman"/>
              <a:cs typeface="Times New Roman"/>
            </a:rPr>
            <a:t>B</a:t>
          </a:r>
          <a:r>
            <a:rPr lang="zh-CN" altLang="en-US" sz="1100" b="0" i="0" strike="noStrike">
              <a:solidFill>
                <a:srgbClr val="000000"/>
              </a:solidFill>
              <a:latin typeface="宋体"/>
              <a:ea typeface="宋体"/>
            </a:rPr>
            <a:t>初始投入</a:t>
          </a:r>
          <a:r>
            <a:rPr lang="en-US" altLang="zh-CN" sz="1100" b="0" i="0" strike="noStrike">
              <a:solidFill>
                <a:srgbClr val="000000"/>
              </a:solidFill>
              <a:latin typeface="宋体"/>
              <a:ea typeface="宋体"/>
            </a:rPr>
            <a:t>45</a:t>
          </a:r>
          <a:r>
            <a:rPr lang="en-US" altLang="zh-CN" sz="1100" b="0" i="0" strike="noStrike">
              <a:solidFill>
                <a:srgbClr val="000000"/>
              </a:solidFill>
              <a:latin typeface="Times New Roman"/>
              <a:cs typeface="Times New Roman"/>
            </a:rPr>
            <a:t>0</a:t>
          </a:r>
          <a:r>
            <a:rPr lang="zh-CN" altLang="en-US" sz="1100" b="0" i="0" strike="noStrike">
              <a:solidFill>
                <a:srgbClr val="000000"/>
              </a:solidFill>
              <a:latin typeface="宋体"/>
              <a:ea typeface="宋体"/>
            </a:rPr>
            <a:t>，随后每年获得收入</a:t>
          </a:r>
          <a:r>
            <a:rPr lang="en-US" altLang="zh-CN" sz="1100" b="0" i="0" strike="noStrike">
              <a:solidFill>
                <a:srgbClr val="000000"/>
              </a:solidFill>
              <a:latin typeface="宋体"/>
              <a:ea typeface="宋体"/>
            </a:rPr>
            <a:t>85</a:t>
          </a:r>
          <a:r>
            <a:rPr lang="zh-CN" altLang="en-US" sz="1100" b="0" i="0" strike="noStrike">
              <a:solidFill>
                <a:srgbClr val="000000"/>
              </a:solidFill>
              <a:latin typeface="宋体"/>
              <a:ea typeface="宋体"/>
            </a:rPr>
            <a:t>。方案</a:t>
          </a:r>
          <a:r>
            <a:rPr lang="en-US" altLang="zh-CN" sz="1100" b="0" i="0" strike="noStrike">
              <a:solidFill>
                <a:srgbClr val="000000"/>
              </a:solidFill>
              <a:latin typeface="Times New Roman"/>
              <a:cs typeface="Times New Roman"/>
            </a:rPr>
            <a:t>C</a:t>
          </a:r>
          <a:r>
            <a:rPr lang="zh-CN" altLang="en-US" sz="1100" b="0" i="0" strike="noStrike">
              <a:solidFill>
                <a:srgbClr val="000000"/>
              </a:solidFill>
              <a:latin typeface="宋体"/>
              <a:ea typeface="宋体"/>
            </a:rPr>
            <a:t>初始投入</a:t>
          </a:r>
          <a:r>
            <a:rPr lang="en-US" altLang="zh-CN" sz="1100" b="0" i="0" strike="noStrike">
              <a:solidFill>
                <a:srgbClr val="000000"/>
              </a:solidFill>
              <a:latin typeface="宋体"/>
              <a:ea typeface="宋体"/>
            </a:rPr>
            <a:t>260</a:t>
          </a:r>
          <a:r>
            <a:rPr lang="zh-CN" altLang="en-US" sz="1100" b="0" i="0" strike="noStrike">
              <a:solidFill>
                <a:srgbClr val="000000"/>
              </a:solidFill>
              <a:latin typeface="宋体"/>
              <a:ea typeface="宋体"/>
            </a:rPr>
            <a:t>，随后每年还要再投入</a:t>
          </a:r>
          <a:r>
            <a:rPr lang="en-US" altLang="zh-CN" sz="1100" b="0" i="0" strike="noStrike">
              <a:solidFill>
                <a:srgbClr val="000000"/>
              </a:solidFill>
              <a:latin typeface="Times New Roman"/>
              <a:cs typeface="Times New Roman"/>
            </a:rPr>
            <a:t>40</a:t>
          </a:r>
          <a:r>
            <a:rPr lang="zh-CN" altLang="en-US" sz="1100" b="0" i="0" strike="noStrike">
              <a:solidFill>
                <a:srgbClr val="000000"/>
              </a:solidFill>
              <a:latin typeface="宋体"/>
              <a:ea typeface="宋体"/>
            </a:rPr>
            <a:t>，每年获得收入</a:t>
          </a:r>
          <a:r>
            <a:rPr lang="en-US" altLang="zh-CN" sz="1100" b="0" i="0" strike="noStrike">
              <a:solidFill>
                <a:srgbClr val="000000"/>
              </a:solidFill>
              <a:latin typeface="宋体"/>
              <a:ea typeface="宋体"/>
            </a:rPr>
            <a:t>90</a:t>
          </a:r>
          <a:r>
            <a:rPr lang="zh-CN" altLang="en-US" sz="1100" b="0" i="0" strike="noStrike">
              <a:solidFill>
                <a:srgbClr val="000000"/>
              </a:solidFill>
              <a:latin typeface="宋体"/>
              <a:ea typeface="宋体"/>
            </a:rPr>
            <a:t>。假定贴现率为</a:t>
          </a:r>
          <a:r>
            <a:rPr lang="en-US" altLang="zh-CN" sz="1100" b="0" i="0" strike="noStrike">
              <a:solidFill>
                <a:srgbClr val="000000"/>
              </a:solidFill>
              <a:latin typeface="Times New Roman"/>
              <a:cs typeface="Times New Roman"/>
            </a:rPr>
            <a:t>8</a:t>
          </a:r>
          <a:r>
            <a:rPr lang="zh-CN" altLang="en-US" sz="1100" b="0" i="0" strike="noStrike">
              <a:solidFill>
                <a:srgbClr val="000000"/>
              </a:solidFill>
              <a:latin typeface="宋体"/>
              <a:ea typeface="宋体"/>
            </a:rPr>
            <a:t>％，残值率为</a:t>
          </a:r>
          <a:r>
            <a:rPr lang="en-US" altLang="zh-CN" sz="1100" b="0" i="0" strike="noStrike">
              <a:solidFill>
                <a:srgbClr val="000000"/>
              </a:solidFill>
              <a:latin typeface="Times New Roman"/>
              <a:cs typeface="Times New Roman"/>
            </a:rPr>
            <a:t>10%(</a:t>
          </a:r>
          <a:r>
            <a:rPr lang="zh-CN" altLang="en-US" sz="1100" b="0" i="0" strike="noStrike">
              <a:solidFill>
                <a:srgbClr val="000000"/>
              </a:solidFill>
              <a:latin typeface="宋体"/>
              <a:ea typeface="宋体"/>
            </a:rPr>
            <a:t>设备残值</a:t>
          </a:r>
          <a:r>
            <a:rPr lang="en-US" altLang="zh-CN" sz="1100" b="0" i="0" strike="noStrike">
              <a:solidFill>
                <a:srgbClr val="000000"/>
              </a:solidFill>
              <a:latin typeface="Times New Roman"/>
              <a:cs typeface="Times New Roman"/>
            </a:rPr>
            <a:t>=</a:t>
          </a:r>
          <a:r>
            <a:rPr lang="zh-CN" altLang="en-US" sz="1100" b="0" i="0" strike="noStrike">
              <a:solidFill>
                <a:srgbClr val="000000"/>
              </a:solidFill>
              <a:latin typeface="Times New Roman"/>
              <a:cs typeface="Times New Roman"/>
            </a:rPr>
            <a:t>设备</a:t>
          </a:r>
          <a:r>
            <a:rPr lang="zh-CN" altLang="en-US" sz="1100" b="0" i="0" strike="noStrike">
              <a:solidFill>
                <a:srgbClr val="000000"/>
              </a:solidFill>
              <a:latin typeface="宋体"/>
              <a:ea typeface="宋体"/>
            </a:rPr>
            <a:t>初始投入</a:t>
          </a:r>
          <a:r>
            <a:rPr lang="zh-CN" altLang="en-US" sz="1100" b="0" i="0" strike="noStrike">
              <a:solidFill>
                <a:srgbClr val="000000"/>
              </a:solidFill>
              <a:latin typeface="Times New Roman"/>
              <a:cs typeface="Times New Roman"/>
            </a:rPr>
            <a:t>*</a:t>
          </a:r>
          <a:r>
            <a:rPr lang="zh-CN" altLang="en-US" sz="1100" b="0" i="0" strike="noStrike">
              <a:solidFill>
                <a:srgbClr val="000000"/>
              </a:solidFill>
              <a:latin typeface="宋体"/>
              <a:ea typeface="宋体"/>
            </a:rPr>
            <a:t>残值率</a:t>
          </a:r>
          <a:r>
            <a:rPr lang="en-US" altLang="zh-CN" sz="1100" b="0" i="0" strike="noStrike">
              <a:solidFill>
                <a:srgbClr val="000000"/>
              </a:solidFill>
              <a:latin typeface="Times New Roman"/>
              <a:cs typeface="Times New Roman"/>
            </a:rPr>
            <a:t>)</a:t>
          </a:r>
          <a:r>
            <a:rPr lang="zh-CN" altLang="en-US" sz="1100" b="0" i="0" strike="noStrike">
              <a:solidFill>
                <a:srgbClr val="000000"/>
              </a:solidFill>
              <a:latin typeface="宋体"/>
              <a:ea typeface="宋体"/>
            </a:rPr>
            <a:t>。要求：</a:t>
          </a:r>
        </a:p>
        <a:p>
          <a:pPr algn="l" rtl="0">
            <a:defRPr sz="1000"/>
          </a:pPr>
          <a:r>
            <a:rPr lang="en-US" altLang="zh-CN" sz="1100" b="0" i="0" strike="noStrike">
              <a:solidFill>
                <a:srgbClr val="000000"/>
              </a:solidFill>
              <a:latin typeface="Times New Roman"/>
              <a:cs typeface="Times New Roman"/>
            </a:rPr>
            <a:t>1</a:t>
          </a:r>
          <a:r>
            <a:rPr lang="zh-CN" altLang="en-US" sz="1100" b="0" i="0" strike="noStrike">
              <a:solidFill>
                <a:srgbClr val="000000"/>
              </a:solidFill>
              <a:latin typeface="宋体"/>
              <a:ea typeface="宋体"/>
            </a:rPr>
            <a:t>、在本工作表中建立一个对三种方案进行比较的模型，在</a:t>
          </a:r>
          <a:r>
            <a:rPr lang="en-US" altLang="zh-CN" sz="1100" b="1" i="0" strike="noStrike">
              <a:solidFill>
                <a:srgbClr val="000000"/>
              </a:solidFill>
              <a:latin typeface="宋体"/>
              <a:ea typeface="宋体"/>
            </a:rPr>
            <a:t>E3:F5</a:t>
          </a:r>
          <a:r>
            <a:rPr lang="zh-CN" altLang="en-US" sz="1100" b="0" i="0" strike="noStrike">
              <a:solidFill>
                <a:srgbClr val="000000"/>
              </a:solidFill>
              <a:latin typeface="宋体"/>
              <a:ea typeface="宋体"/>
            </a:rPr>
            <a:t>单元计算出三种方案的净现值和内部报酬率。</a:t>
          </a:r>
        </a:p>
        <a:p>
          <a:pPr algn="l" rtl="0">
            <a:defRPr sz="1000"/>
          </a:pPr>
          <a:r>
            <a:rPr lang="en-US" altLang="zh-CN" sz="1100" b="0" i="0" strike="noStrike">
              <a:solidFill>
                <a:srgbClr val="000000"/>
              </a:solidFill>
              <a:latin typeface="Times New Roman"/>
              <a:cs typeface="Times New Roman"/>
            </a:rPr>
            <a:t>2</a:t>
          </a:r>
          <a:r>
            <a:rPr lang="zh-CN" altLang="en-US" sz="1100" b="0" i="0" strike="noStrike">
              <a:solidFill>
                <a:srgbClr val="000000"/>
              </a:solidFill>
              <a:latin typeface="宋体"/>
              <a:ea typeface="宋体"/>
            </a:rPr>
            <a:t>、使用</a:t>
          </a:r>
          <a:r>
            <a:rPr lang="en-US" altLang="zh-CN" sz="1100" b="0" i="0" strike="noStrike">
              <a:solidFill>
                <a:srgbClr val="000000"/>
              </a:solidFill>
              <a:latin typeface="Times New Roman"/>
              <a:cs typeface="Times New Roman"/>
            </a:rPr>
            <a:t>Excel</a:t>
          </a:r>
          <a:r>
            <a:rPr lang="zh-CN" altLang="en-US" sz="1100" b="0" i="0" strike="noStrike">
              <a:solidFill>
                <a:srgbClr val="000000"/>
              </a:solidFill>
              <a:latin typeface="宋体"/>
              <a:ea typeface="宋体"/>
            </a:rPr>
            <a:t>的函数，在</a:t>
          </a:r>
          <a:r>
            <a:rPr lang="en-US" altLang="zh-CN" sz="1100" b="1" i="0" strike="noStrike">
              <a:solidFill>
                <a:srgbClr val="000000"/>
              </a:solidFill>
              <a:latin typeface="宋体"/>
              <a:ea typeface="宋体"/>
            </a:rPr>
            <a:t>B11</a:t>
          </a:r>
          <a:r>
            <a:rPr lang="zh-CN" altLang="en-US" sz="1100" b="0" i="0" strike="noStrike">
              <a:solidFill>
                <a:srgbClr val="000000"/>
              </a:solidFill>
              <a:latin typeface="宋体"/>
              <a:ea typeface="宋体"/>
            </a:rPr>
            <a:t>单元给出“方案</a:t>
          </a:r>
          <a:r>
            <a:rPr lang="en-US" altLang="zh-CN" sz="1100" b="0" i="0" strike="noStrike">
              <a:solidFill>
                <a:srgbClr val="000000"/>
              </a:solidFill>
              <a:latin typeface="Times New Roman"/>
              <a:cs typeface="Times New Roman"/>
            </a:rPr>
            <a:t>X</a:t>
          </a:r>
          <a:r>
            <a:rPr lang="zh-CN" altLang="en-US" sz="1100" b="0" i="0" strike="noStrike">
              <a:solidFill>
                <a:srgbClr val="000000"/>
              </a:solidFill>
              <a:latin typeface="宋体"/>
              <a:ea typeface="宋体"/>
            </a:rPr>
            <a:t>有利”或“无项目可投”这样的结论（其中“</a:t>
          </a:r>
          <a:r>
            <a:rPr lang="en-US" altLang="zh-CN" sz="1100" b="0" i="0" strike="noStrike">
              <a:solidFill>
                <a:srgbClr val="000000"/>
              </a:solidFill>
              <a:latin typeface="Times New Roman"/>
              <a:cs typeface="Times New Roman"/>
            </a:rPr>
            <a:t>X</a:t>
          </a:r>
          <a:r>
            <a:rPr lang="en-US" altLang="zh-CN" sz="1100" b="0" i="0" strike="noStrike">
              <a:solidFill>
                <a:srgbClr val="000000"/>
              </a:solidFill>
              <a:latin typeface="宋体"/>
              <a:ea typeface="宋体"/>
            </a:rPr>
            <a:t>”</a:t>
          </a:r>
          <a:r>
            <a:rPr lang="zh-CN" altLang="en-US" sz="1100" b="0" i="0" strike="noStrike">
              <a:solidFill>
                <a:srgbClr val="000000"/>
              </a:solidFill>
              <a:latin typeface="宋体"/>
              <a:ea typeface="宋体"/>
            </a:rPr>
            <a:t>为三种方案名）。</a:t>
          </a:r>
        </a:p>
        <a:p>
          <a:pPr algn="l" rtl="0">
            <a:defRPr sz="1000"/>
          </a:pPr>
          <a:r>
            <a:rPr lang="en-US" altLang="zh-CN" sz="1100" b="0" i="0" strike="noStrike">
              <a:solidFill>
                <a:srgbClr val="000000"/>
              </a:solidFill>
              <a:latin typeface="Times New Roman"/>
              <a:cs typeface="Times New Roman"/>
            </a:rPr>
            <a:t>3</a:t>
          </a:r>
          <a:r>
            <a:rPr lang="zh-CN" altLang="en-US" sz="1100" b="0" i="0" strike="noStrike">
              <a:solidFill>
                <a:srgbClr val="000000"/>
              </a:solidFill>
              <a:latin typeface="宋体"/>
              <a:ea typeface="宋体"/>
            </a:rPr>
            <a:t>、画出贴现率在</a:t>
          </a:r>
          <a:r>
            <a:rPr lang="en-US" altLang="zh-CN" sz="1100" b="0" i="0" strike="noStrike">
              <a:solidFill>
                <a:srgbClr val="000000"/>
              </a:solidFill>
              <a:latin typeface="Times New Roman"/>
              <a:cs typeface="Times New Roman"/>
            </a:rPr>
            <a:t>5%-20%</a:t>
          </a:r>
          <a:r>
            <a:rPr lang="zh-CN" altLang="en-US" sz="1100" b="0" i="0" strike="noStrike">
              <a:solidFill>
                <a:srgbClr val="000000"/>
              </a:solidFill>
              <a:latin typeface="宋体"/>
              <a:ea typeface="宋体"/>
            </a:rPr>
            <a:t>范围变化时，三个方案的净现值变化曲线。</a:t>
          </a:r>
        </a:p>
        <a:p>
          <a:pPr algn="l" rtl="0">
            <a:defRPr sz="1000"/>
          </a:pPr>
          <a:r>
            <a:rPr lang="en-US" altLang="zh-CN" sz="1100" b="0" i="0" strike="noStrike">
              <a:solidFill>
                <a:srgbClr val="000000"/>
              </a:solidFill>
              <a:latin typeface="Times New Roman"/>
              <a:cs typeface="Times New Roman"/>
            </a:rPr>
            <a:t>4</a:t>
          </a:r>
          <a:r>
            <a:rPr lang="zh-CN" altLang="en-US" sz="1100" b="0" i="0" strike="noStrike">
              <a:solidFill>
                <a:srgbClr val="000000"/>
              </a:solidFill>
              <a:latin typeface="宋体"/>
              <a:ea typeface="宋体"/>
            </a:rPr>
            <a:t>、观察上图，作为对于公司投资的合理建议，利用财务函数在</a:t>
          </a:r>
          <a:r>
            <a:rPr lang="en-US" altLang="zh-CN" sz="1100" b="1" i="0" strike="noStrike">
              <a:solidFill>
                <a:srgbClr val="000000"/>
              </a:solidFill>
              <a:latin typeface="宋体"/>
              <a:ea typeface="宋体"/>
            </a:rPr>
            <a:t>B14</a:t>
          </a:r>
          <a:r>
            <a:rPr lang="zh-CN" altLang="en-US" sz="1100" b="0" i="0" strike="noStrike">
              <a:solidFill>
                <a:srgbClr val="000000"/>
              </a:solidFill>
              <a:latin typeface="宋体"/>
              <a:ea typeface="宋体"/>
            </a:rPr>
            <a:t>单元求得其中两个方案等效的合理贴现率，用内插附表的方法在</a:t>
          </a:r>
          <a:r>
            <a:rPr lang="en-US" altLang="zh-CN" sz="1100" b="1" i="0" strike="noStrike">
              <a:solidFill>
                <a:srgbClr val="000000"/>
              </a:solidFill>
              <a:latin typeface="宋体"/>
              <a:ea typeface="宋体"/>
            </a:rPr>
            <a:t>B15</a:t>
          </a:r>
          <a:r>
            <a:rPr lang="zh-CN" altLang="en-US" sz="1100" b="0" i="0" strike="noStrike">
              <a:solidFill>
                <a:srgbClr val="000000"/>
              </a:solidFill>
              <a:latin typeface="宋体"/>
              <a:ea typeface="宋体"/>
            </a:rPr>
            <a:t>单元再次求得上述两个方案等效的合理贴现率。</a:t>
          </a:r>
          <a:endParaRPr lang="en-US" altLang="zh-CN" sz="1100" b="0" i="0" strike="noStrike">
            <a:solidFill>
              <a:srgbClr val="000000"/>
            </a:solidFill>
            <a:latin typeface="宋体"/>
            <a:ea typeface="宋体"/>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100" b="0" i="0">
              <a:latin typeface="+mn-lt"/>
              <a:ea typeface="+mn-ea"/>
              <a:cs typeface="+mn-cs"/>
            </a:rPr>
            <a:t>5</a:t>
          </a:r>
          <a:r>
            <a:rPr lang="zh-CN" altLang="en-US" sz="1100" b="0" i="0">
              <a:latin typeface="+mn-lt"/>
              <a:ea typeface="+mn-ea"/>
              <a:cs typeface="+mn-cs"/>
            </a:rPr>
            <a:t>、在图中添加经过当前贴现率的辅助直线，用微调项调整贴现率在</a:t>
          </a:r>
          <a:r>
            <a:rPr lang="en-US" sz="1100" b="0" i="0">
              <a:latin typeface="+mn-lt"/>
              <a:ea typeface="+mn-ea"/>
              <a:cs typeface="+mn-cs"/>
            </a:rPr>
            <a:t>5%-20%</a:t>
          </a:r>
          <a:r>
            <a:rPr lang="zh-CN" altLang="en-US" sz="1100" b="0" i="0">
              <a:latin typeface="+mn-lt"/>
              <a:ea typeface="+mn-ea"/>
              <a:cs typeface="+mn-cs"/>
            </a:rPr>
            <a:t>间以</a:t>
          </a:r>
          <a:r>
            <a:rPr lang="en-US" sz="1100" b="0" i="0">
              <a:latin typeface="+mn-lt"/>
              <a:ea typeface="+mn-ea"/>
              <a:cs typeface="+mn-cs"/>
            </a:rPr>
            <a:t>1%</a:t>
          </a:r>
          <a:r>
            <a:rPr lang="zh-CN" altLang="en-US" sz="1100" b="0" i="0">
              <a:latin typeface="+mn-lt"/>
              <a:ea typeface="+mn-ea"/>
              <a:cs typeface="+mn-cs"/>
            </a:rPr>
            <a:t>为步长变化，反映动态变化图形，并显示方案结论。</a:t>
          </a:r>
          <a:endParaRPr lang="zh-CN" sz="1100"/>
        </a:p>
        <a:p>
          <a:pPr algn="l" rtl="0">
            <a:defRPr sz="1000"/>
          </a:pPr>
          <a:endParaRPr lang="zh-CN" altLang="en-US" sz="1000" b="0" i="0" strike="noStrike">
            <a:solidFill>
              <a:srgbClr val="000000"/>
            </a:solidFill>
            <a:latin typeface="宋体"/>
            <a:ea typeface="宋体"/>
          </a:endParaRPr>
        </a:p>
        <a:p>
          <a:pPr algn="l" rtl="0">
            <a:defRPr sz="1000"/>
          </a:pPr>
          <a:endParaRPr lang="zh-CN" altLang="en-US" sz="1000" b="0" i="0" strike="noStrike">
            <a:solidFill>
              <a:srgbClr val="000000"/>
            </a:solidFill>
            <a:latin typeface="宋体"/>
            <a:ea typeface="宋体"/>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47625</xdr:colOff>
      <xdr:row>7</xdr:row>
      <xdr:rowOff>76201</xdr:rowOff>
    </xdr:from>
    <xdr:to>
      <xdr:col>7</xdr:col>
      <xdr:colOff>123825</xdr:colOff>
      <xdr:row>18</xdr:row>
      <xdr:rowOff>114301</xdr:rowOff>
    </xdr:to>
    <xdr:sp macro="" textlink="">
      <xdr:nvSpPr>
        <xdr:cNvPr id="2" name="Text Box 2"/>
        <xdr:cNvSpPr txBox="1">
          <a:spLocks noChangeArrowheads="1"/>
        </xdr:cNvSpPr>
      </xdr:nvSpPr>
      <xdr:spPr bwMode="auto">
        <a:xfrm>
          <a:off x="1143000" y="1323976"/>
          <a:ext cx="3629025" cy="1771650"/>
        </a:xfrm>
        <a:prstGeom prst="rect">
          <a:avLst/>
        </a:prstGeom>
        <a:solidFill>
          <a:schemeClr val="accent5">
            <a:lumMod val="20000"/>
            <a:lumOff val="80000"/>
          </a:schemeClr>
        </a:solidFill>
        <a:ln w="9525">
          <a:solidFill>
            <a:srgbClr val="000000"/>
          </a:solidFill>
          <a:miter lim="800000"/>
          <a:headEnd/>
          <a:tailEnd/>
        </a:ln>
      </xdr:spPr>
      <xdr:txBody>
        <a:bodyPr vertOverflow="clip" wrap="square" lIns="36576" tIns="18288" rIns="0" bIns="0" anchor="t" upright="1"/>
        <a:lstStyle/>
        <a:p>
          <a:pPr algn="l" rtl="0">
            <a:lnSpc>
              <a:spcPct val="150000"/>
            </a:lnSpc>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6</a:t>
          </a:r>
          <a:r>
            <a:rPr lang="zh-CN" altLang="en-US" sz="1100" b="1" i="0" u="none" strike="noStrike" baseline="0">
              <a:solidFill>
                <a:srgbClr val="000000"/>
              </a:solidFill>
              <a:latin typeface="宋体"/>
              <a:ea typeface="宋体"/>
            </a:rPr>
            <a:t>题（</a:t>
          </a:r>
          <a:r>
            <a:rPr lang="en-US" altLang="zh-CN" sz="1100" b="1" i="0" u="none" strike="noStrike" baseline="0">
              <a:solidFill>
                <a:srgbClr val="000000"/>
              </a:solidFill>
              <a:latin typeface="宋体"/>
              <a:ea typeface="宋体"/>
            </a:rPr>
            <a:t>10</a:t>
          </a:r>
          <a:r>
            <a:rPr lang="zh-CN" altLang="en-US" sz="1100" b="1" i="0" u="none" strike="noStrike" baseline="0">
              <a:solidFill>
                <a:srgbClr val="000000"/>
              </a:solidFill>
              <a:latin typeface="宋体"/>
              <a:ea typeface="宋体"/>
            </a:rPr>
            <a:t>分） </a:t>
          </a:r>
          <a:r>
            <a:rPr lang="zh-CN" altLang="en-US" sz="1100" b="0" i="0" u="none" strike="noStrike" baseline="0">
              <a:solidFill>
                <a:srgbClr val="000000"/>
              </a:solidFill>
              <a:latin typeface="宋体"/>
              <a:ea typeface="宋体"/>
              <a:cs typeface="+mn-cs"/>
            </a:rPr>
            <a:t>工厂要生产</a:t>
          </a:r>
          <a:r>
            <a:rPr lang="zh-CN" altLang="en-US" sz="1100" b="0" i="0" u="none" strike="noStrike" baseline="0">
              <a:solidFill>
                <a:srgbClr val="000000"/>
              </a:solidFill>
              <a:latin typeface="宋体"/>
              <a:ea typeface="宋体"/>
            </a:rPr>
            <a:t>产品</a:t>
          </a:r>
          <a:r>
            <a:rPr lang="en-US" altLang="zh-CN" sz="1100" b="0" i="0" u="none" strike="noStrike" baseline="0">
              <a:solidFill>
                <a:srgbClr val="000000"/>
              </a:solidFill>
              <a:latin typeface="宋体"/>
              <a:ea typeface="宋体"/>
            </a:rPr>
            <a:t>A</a:t>
          </a:r>
          <a:r>
            <a:rPr lang="zh-CN" altLang="en-US" sz="1100" b="0" i="0" u="none" strike="noStrike" baseline="0">
              <a:solidFill>
                <a:srgbClr val="000000"/>
              </a:solidFill>
              <a:latin typeface="宋体"/>
              <a:ea typeface="宋体"/>
            </a:rPr>
            <a:t>和产品</a:t>
          </a:r>
          <a:r>
            <a:rPr lang="en-US" altLang="zh-CN" sz="1100" b="0" i="0" u="none" strike="noStrike" baseline="0">
              <a:solidFill>
                <a:srgbClr val="000000"/>
              </a:solidFill>
              <a:latin typeface="宋体"/>
              <a:ea typeface="宋体"/>
            </a:rPr>
            <a:t>B</a:t>
          </a:r>
          <a:r>
            <a:rPr lang="zh-CN" altLang="en-US" sz="1100" b="0" i="0" u="none" strike="noStrike" baseline="0">
              <a:solidFill>
                <a:srgbClr val="000000"/>
              </a:solidFill>
              <a:latin typeface="宋体"/>
              <a:ea typeface="宋体"/>
            </a:rPr>
            <a:t>，它们均含有原料</a:t>
          </a: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、原料</a:t>
          </a: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和原料</a:t>
          </a:r>
          <a:r>
            <a:rPr lang="en-US" altLang="zh-CN" sz="1100" b="0" i="0" u="none" strike="noStrike" baseline="0">
              <a:solidFill>
                <a:srgbClr val="000000"/>
              </a:solidFill>
              <a:latin typeface="宋体"/>
              <a:ea typeface="宋体"/>
            </a:rPr>
            <a:t>3</a:t>
          </a:r>
          <a:r>
            <a:rPr lang="zh-CN" altLang="en-US" sz="1100" b="0" i="0" u="none" strike="noStrike" baseline="0">
              <a:solidFill>
                <a:srgbClr val="000000"/>
              </a:solidFill>
              <a:latin typeface="宋体"/>
              <a:ea typeface="宋体"/>
            </a:rPr>
            <a:t>，两种产品含三种原料的单位数量和单位利润如表格所示，现有</a:t>
          </a:r>
          <a:r>
            <a:rPr lang="zh-CN" altLang="zh-CN" sz="1100" b="0" i="0" u="none" strike="noStrike" baseline="0">
              <a:solidFill>
                <a:srgbClr val="000000"/>
              </a:solidFill>
              <a:latin typeface="宋体"/>
              <a:ea typeface="宋体"/>
              <a:cs typeface="+mn-cs"/>
            </a:rPr>
            <a:t>原料</a:t>
          </a:r>
          <a:r>
            <a:rPr lang="en-US" altLang="zh-CN" sz="1100" b="0" i="0" u="none" strike="noStrike" baseline="0">
              <a:solidFill>
                <a:srgbClr val="000000"/>
              </a:solidFill>
              <a:latin typeface="宋体"/>
              <a:ea typeface="宋体"/>
              <a:cs typeface="+mn-cs"/>
            </a:rPr>
            <a:t>1</a:t>
          </a:r>
          <a:r>
            <a:rPr lang="zh-CN" altLang="zh-CN" sz="1100" b="0" i="0" u="none" strike="noStrike" baseline="0">
              <a:solidFill>
                <a:srgbClr val="000000"/>
              </a:solidFill>
              <a:latin typeface="宋体"/>
              <a:ea typeface="宋体"/>
              <a:cs typeface="+mn-cs"/>
            </a:rPr>
            <a:t>、原料</a:t>
          </a:r>
          <a:r>
            <a:rPr lang="en-US" altLang="zh-CN" sz="1100" b="0" i="0" u="none" strike="noStrike" baseline="0">
              <a:solidFill>
                <a:srgbClr val="000000"/>
              </a:solidFill>
              <a:latin typeface="宋体"/>
              <a:ea typeface="宋体"/>
              <a:cs typeface="+mn-cs"/>
            </a:rPr>
            <a:t>2</a:t>
          </a:r>
          <a:r>
            <a:rPr lang="zh-CN" altLang="zh-CN" sz="1100" b="0" i="0" u="none" strike="noStrike" baseline="0">
              <a:solidFill>
                <a:srgbClr val="000000"/>
              </a:solidFill>
              <a:latin typeface="宋体"/>
              <a:ea typeface="宋体"/>
              <a:cs typeface="+mn-cs"/>
            </a:rPr>
            <a:t>和原料</a:t>
          </a:r>
          <a:r>
            <a:rPr lang="en-US" altLang="zh-CN" sz="1100" b="0" i="0" u="none" strike="noStrike" baseline="0">
              <a:solidFill>
                <a:srgbClr val="000000"/>
              </a:solidFill>
              <a:latin typeface="宋体"/>
              <a:ea typeface="宋体"/>
              <a:cs typeface="+mn-cs"/>
            </a:rPr>
            <a:t>3</a:t>
          </a:r>
          <a:r>
            <a:rPr lang="zh-CN" altLang="en-US" sz="1100" b="0" i="0" u="none" strike="noStrike" baseline="0">
              <a:solidFill>
                <a:srgbClr val="000000"/>
              </a:solidFill>
              <a:latin typeface="宋体"/>
              <a:ea typeface="宋体"/>
              <a:cs typeface="+mn-cs"/>
            </a:rPr>
            <a:t>的总数分别为</a:t>
          </a:r>
          <a:r>
            <a:rPr lang="en-US" altLang="zh-CN" sz="1100" b="0" i="0" u="none" strike="noStrike" baseline="0">
              <a:solidFill>
                <a:srgbClr val="000000"/>
              </a:solidFill>
              <a:latin typeface="宋体"/>
              <a:ea typeface="宋体"/>
              <a:cs typeface="+mn-cs"/>
            </a:rPr>
            <a:t>300</a:t>
          </a:r>
          <a:r>
            <a:rPr lang="zh-CN" altLang="en-US" sz="1100" b="0" i="0" u="none" strike="noStrike" baseline="0">
              <a:solidFill>
                <a:srgbClr val="000000"/>
              </a:solidFill>
              <a:latin typeface="宋体"/>
              <a:ea typeface="宋体"/>
              <a:cs typeface="+mn-cs"/>
            </a:rPr>
            <a:t>、</a:t>
          </a:r>
          <a:r>
            <a:rPr lang="en-US" altLang="zh-CN" sz="1100" b="0" i="0" u="none" strike="noStrike" baseline="0">
              <a:solidFill>
                <a:srgbClr val="000000"/>
              </a:solidFill>
              <a:latin typeface="宋体"/>
              <a:ea typeface="宋体"/>
              <a:cs typeface="+mn-cs"/>
            </a:rPr>
            <a:t>230</a:t>
          </a:r>
          <a:r>
            <a:rPr lang="zh-CN" altLang="en-US" sz="1100" b="0" i="0" u="none" strike="noStrike" baseline="0">
              <a:solidFill>
                <a:srgbClr val="000000"/>
              </a:solidFill>
              <a:latin typeface="宋体"/>
              <a:ea typeface="宋体"/>
              <a:cs typeface="+mn-cs"/>
            </a:rPr>
            <a:t>和</a:t>
          </a:r>
          <a:r>
            <a:rPr lang="en-US" altLang="zh-CN" sz="1100" b="0" i="0" u="none" strike="noStrike" baseline="0">
              <a:solidFill>
                <a:srgbClr val="000000"/>
              </a:solidFill>
              <a:latin typeface="宋体"/>
              <a:ea typeface="宋体"/>
              <a:cs typeface="+mn-cs"/>
            </a:rPr>
            <a:t>420</a:t>
          </a:r>
          <a:r>
            <a:rPr lang="zh-CN" altLang="zh-CN" sz="1100" b="0" i="0" u="none" strike="noStrike" baseline="0">
              <a:solidFill>
                <a:srgbClr val="000000"/>
              </a:solidFill>
              <a:latin typeface="宋体"/>
              <a:ea typeface="宋体"/>
              <a:cs typeface="+mn-cs"/>
            </a:rPr>
            <a:t>，</a:t>
          </a:r>
          <a:r>
            <a:rPr lang="zh-CN" altLang="en-US" sz="1100" b="0" i="0" u="none" strike="noStrike" baseline="0">
              <a:solidFill>
                <a:srgbClr val="000000"/>
              </a:solidFill>
              <a:latin typeface="宋体"/>
              <a:ea typeface="宋体"/>
              <a:cs typeface="+mn-cs"/>
            </a:rPr>
            <a:t>请</a:t>
          </a:r>
          <a:r>
            <a:rPr lang="zh-CN" altLang="en-US" sz="1100" b="0" i="0" u="none" strike="noStrike" baseline="0">
              <a:solidFill>
                <a:srgbClr val="000000"/>
              </a:solidFill>
              <a:latin typeface="宋体"/>
              <a:ea typeface="宋体"/>
            </a:rPr>
            <a:t>用规划求解工具：</a:t>
          </a:r>
        </a:p>
        <a:p>
          <a:pPr algn="l" rtl="0">
            <a:lnSpc>
              <a:spcPct val="150000"/>
            </a:lnSpc>
            <a:defRPr sz="1000"/>
          </a:pP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）求解两种产品各生产多少时获得的总利润最大？</a:t>
          </a:r>
        </a:p>
        <a:p>
          <a:pPr algn="l" rtl="0">
            <a:lnSpc>
              <a:spcPct val="150000"/>
            </a:lnSpc>
            <a:defRPr sz="1000"/>
          </a:pPr>
          <a:r>
            <a:rPr lang="zh-CN" altLang="en-US" sz="1100" b="0" i="0" u="none" strike="noStrike" baseline="0">
              <a:solidFill>
                <a:srgbClr val="000000"/>
              </a:solidFill>
              <a:latin typeface="宋体"/>
              <a:ea typeface="宋体"/>
            </a:rPr>
            <a:t>（</a:t>
          </a: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）把规划求解模型参数保存在</a:t>
          </a:r>
          <a:r>
            <a:rPr lang="en-US" altLang="zh-CN" sz="1100" b="0" i="0" u="none" strike="noStrike" baseline="0">
              <a:solidFill>
                <a:srgbClr val="000000"/>
              </a:solidFill>
              <a:latin typeface="宋体"/>
              <a:ea typeface="宋体"/>
            </a:rPr>
            <a:t>A1</a:t>
          </a:r>
          <a:r>
            <a:rPr lang="zh-CN" altLang="en-US" sz="1100" b="0" i="0" u="none" strike="noStrike" baseline="0">
              <a:solidFill>
                <a:srgbClr val="000000"/>
              </a:solidFill>
              <a:latin typeface="宋体"/>
              <a:ea typeface="宋体"/>
            </a:rPr>
            <a:t>开始的单元格处。</a:t>
          </a:r>
          <a:endParaRPr lang="zh-CN" altLang="en-US" sz="1000" b="0" i="0" u="none" strike="noStrike" baseline="0">
            <a:solidFill>
              <a:srgbClr val="000000"/>
            </a:solidFill>
            <a:latin typeface="宋体"/>
            <a:ea typeface="宋体"/>
          </a:endParaRPr>
        </a:p>
        <a:p>
          <a:pPr algn="l" rtl="0">
            <a:lnSpc>
              <a:spcPts val="1200"/>
            </a:lnSpc>
            <a:defRPr sz="1000"/>
          </a:pPr>
          <a:endParaRPr lang="zh-CN" altLang="en-US" sz="1000" b="0" i="0" u="none" strike="noStrike" baseline="0">
            <a:solidFill>
              <a:srgbClr val="000000"/>
            </a:solidFill>
            <a:latin typeface="宋体"/>
            <a:ea typeface="宋体"/>
          </a:endParaRPr>
        </a:p>
        <a:p>
          <a:pPr algn="l" rtl="0">
            <a:lnSpc>
              <a:spcPts val="1200"/>
            </a:lnSpc>
            <a:defRPr sz="1000"/>
          </a:pPr>
          <a:endParaRPr lang="zh-CN" altLang="en-US" sz="1000" b="0" i="0" u="none" strike="noStrike" baseline="0">
            <a:solidFill>
              <a:srgbClr val="000000"/>
            </a:solidFill>
            <a:latin typeface="宋体"/>
            <a:ea typeface="宋体"/>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323850</xdr:colOff>
      <xdr:row>0</xdr:row>
      <xdr:rowOff>161925</xdr:rowOff>
    </xdr:from>
    <xdr:to>
      <xdr:col>9</xdr:col>
      <xdr:colOff>466725</xdr:colOff>
      <xdr:row>8</xdr:row>
      <xdr:rowOff>104775</xdr:rowOff>
    </xdr:to>
    <xdr:sp macro="" textlink="">
      <xdr:nvSpPr>
        <xdr:cNvPr id="2" name="TextBox 1"/>
        <xdr:cNvSpPr txBox="1"/>
      </xdr:nvSpPr>
      <xdr:spPr>
        <a:xfrm>
          <a:off x="1009650" y="161925"/>
          <a:ext cx="5629275" cy="131445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t>第</a:t>
          </a:r>
          <a:r>
            <a:rPr lang="en-US" altLang="zh-CN" sz="1200" b="1"/>
            <a:t>7</a:t>
          </a:r>
          <a:r>
            <a:rPr lang="zh-CN" altLang="en-US" sz="1200" b="1"/>
            <a:t>题（</a:t>
          </a:r>
          <a:r>
            <a:rPr lang="en-US" altLang="zh-CN" sz="1200" b="1"/>
            <a:t>13</a:t>
          </a:r>
          <a:r>
            <a:rPr lang="zh-CN" altLang="en-US" sz="1200" b="1"/>
            <a:t>分）</a:t>
          </a:r>
          <a:r>
            <a:rPr lang="zh-CN" altLang="en-US" sz="1200"/>
            <a:t>某工厂要在</a:t>
          </a:r>
          <a:r>
            <a:rPr lang="en-US" altLang="zh-CN" sz="1200"/>
            <a:t>A</a:t>
          </a:r>
          <a:r>
            <a:rPr lang="zh-CN" altLang="en-US" sz="1200"/>
            <a:t>、</a:t>
          </a:r>
          <a:r>
            <a:rPr lang="en-US" altLang="zh-CN" sz="1200"/>
            <a:t>B</a:t>
          </a:r>
          <a:r>
            <a:rPr lang="zh-CN" altLang="en-US" sz="1200"/>
            <a:t>、</a:t>
          </a:r>
          <a:r>
            <a:rPr lang="en-US" altLang="zh-CN" sz="1200"/>
            <a:t>C</a:t>
          </a:r>
          <a:r>
            <a:rPr lang="zh-CN" altLang="en-US" sz="1200"/>
            <a:t>三条流水线上生产甲、乙两种新产品。经测算，每生产以单位甲产品需要占用流水线</a:t>
          </a:r>
          <a:r>
            <a:rPr lang="en-US" altLang="zh-CN" sz="1200"/>
            <a:t>A</a:t>
          </a:r>
          <a:r>
            <a:rPr lang="zh-CN" altLang="en-US" sz="1200"/>
            <a:t>的</a:t>
          </a:r>
          <a:r>
            <a:rPr lang="en-US" altLang="zh-CN" sz="1200"/>
            <a:t>1</a:t>
          </a:r>
          <a:r>
            <a:rPr lang="zh-CN" altLang="en-US" sz="1200"/>
            <a:t>工时，占用流水线</a:t>
          </a:r>
          <a:r>
            <a:rPr lang="en-US" altLang="zh-CN" sz="1200"/>
            <a:t>B</a:t>
          </a:r>
          <a:r>
            <a:rPr lang="zh-CN" altLang="en-US" sz="1200"/>
            <a:t>的</a:t>
          </a:r>
          <a:r>
            <a:rPr lang="en-US" altLang="zh-CN" sz="1200"/>
            <a:t>3</a:t>
          </a:r>
          <a:r>
            <a:rPr lang="zh-CN" altLang="en-US" sz="1200"/>
            <a:t>工时；每生产乙产品需要占用流水线</a:t>
          </a:r>
          <a:r>
            <a:rPr lang="en-US" altLang="zh-CN" sz="1200"/>
            <a:t>B</a:t>
          </a:r>
          <a:r>
            <a:rPr lang="zh-CN" altLang="en-US" sz="1200"/>
            <a:t>的</a:t>
          </a:r>
          <a:r>
            <a:rPr lang="en-US" altLang="zh-CN" sz="1200"/>
            <a:t>2</a:t>
          </a:r>
          <a:r>
            <a:rPr lang="zh-CN" altLang="en-US" sz="1200"/>
            <a:t>工时，占用流水线</a:t>
          </a:r>
          <a:r>
            <a:rPr lang="en-US" altLang="zh-CN" sz="1200"/>
            <a:t>C</a:t>
          </a:r>
          <a:r>
            <a:rPr lang="zh-CN" altLang="en-US" sz="1200"/>
            <a:t>的</a:t>
          </a:r>
          <a:r>
            <a:rPr lang="en-US" altLang="zh-CN" sz="1200"/>
            <a:t>2</a:t>
          </a:r>
          <a:r>
            <a:rPr lang="zh-CN" altLang="en-US" sz="1200"/>
            <a:t>工时。而流水线</a:t>
          </a:r>
          <a:r>
            <a:rPr lang="en-US" altLang="zh-CN" sz="1200"/>
            <a:t>A</a:t>
          </a:r>
          <a:r>
            <a:rPr lang="zh-CN" altLang="en-US" sz="1200"/>
            <a:t>、</a:t>
          </a:r>
          <a:r>
            <a:rPr lang="en-US" altLang="zh-CN" sz="1200"/>
            <a:t>B</a:t>
          </a:r>
          <a:r>
            <a:rPr lang="zh-CN" altLang="en-US" sz="1200"/>
            <a:t>、</a:t>
          </a:r>
          <a:r>
            <a:rPr lang="en-US" altLang="zh-CN" sz="1200"/>
            <a:t>C</a:t>
          </a:r>
          <a:r>
            <a:rPr lang="zh-CN" altLang="en-US" sz="1200"/>
            <a:t>每天可用于生产这两种新产品的时间分别是</a:t>
          </a:r>
          <a:r>
            <a:rPr lang="en-US" altLang="zh-CN" sz="1200"/>
            <a:t>4</a:t>
          </a:r>
          <a:r>
            <a:rPr lang="zh-CN" altLang="en-US" sz="1200"/>
            <a:t>工时、</a:t>
          </a:r>
          <a:r>
            <a:rPr lang="en-US" altLang="zh-CN" sz="1200"/>
            <a:t>18</a:t>
          </a:r>
          <a:r>
            <a:rPr lang="zh-CN" altLang="en-US" sz="1200"/>
            <a:t>工时、</a:t>
          </a:r>
          <a:r>
            <a:rPr lang="en-US" altLang="zh-CN" sz="1200"/>
            <a:t>12</a:t>
          </a:r>
          <a:r>
            <a:rPr lang="zh-CN" altLang="en-US" sz="1200"/>
            <a:t>工时。已知一单位的甲产品的利润为</a:t>
          </a:r>
          <a:r>
            <a:rPr lang="en-US" altLang="zh-CN" sz="1200"/>
            <a:t>300</a:t>
          </a:r>
          <a:r>
            <a:rPr lang="zh-CN" altLang="en-US" sz="1200"/>
            <a:t>元，一单位的乙产品的利润为</a:t>
          </a:r>
          <a:r>
            <a:rPr lang="en-US" altLang="zh-CN" sz="1200"/>
            <a:t>500</a:t>
          </a:r>
          <a:r>
            <a:rPr lang="zh-CN" altLang="en-US" sz="1200"/>
            <a:t>元。问工厂应当如何安排这两种新产品的生产计划，以获得最大的利润？并将模型保存在</a:t>
          </a:r>
          <a:r>
            <a:rPr lang="en-US" altLang="zh-CN" sz="1200"/>
            <a:t>A2</a:t>
          </a:r>
          <a:r>
            <a:rPr lang="zh-CN" altLang="en-US" sz="1200"/>
            <a:t>开始的单元格中。</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9524</xdr:colOff>
      <xdr:row>9</xdr:row>
      <xdr:rowOff>133349</xdr:rowOff>
    </xdr:from>
    <xdr:to>
      <xdr:col>6</xdr:col>
      <xdr:colOff>542925</xdr:colOff>
      <xdr:row>28</xdr:row>
      <xdr:rowOff>161925</xdr:rowOff>
    </xdr:to>
    <xdr:grpSp>
      <xdr:nvGrpSpPr>
        <xdr:cNvPr id="4" name="组合 3"/>
        <xdr:cNvGrpSpPr/>
      </xdr:nvGrpSpPr>
      <xdr:grpSpPr>
        <a:xfrm>
          <a:off x="266699" y="1847849"/>
          <a:ext cx="6534151" cy="3286126"/>
          <a:chOff x="266699" y="1847849"/>
          <a:chExt cx="6534151" cy="3286126"/>
        </a:xfrm>
      </xdr:grpSpPr>
      <xdr:sp macro="" textlink="">
        <xdr:nvSpPr>
          <xdr:cNvPr id="2" name="TextBox 1"/>
          <xdr:cNvSpPr txBox="1"/>
        </xdr:nvSpPr>
        <xdr:spPr>
          <a:xfrm>
            <a:off x="266699" y="1847849"/>
            <a:ext cx="6534151" cy="3286126"/>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b="1"/>
              <a:t>第</a:t>
            </a:r>
            <a:r>
              <a:rPr lang="en-US" altLang="zh-CN" sz="1100" b="1"/>
              <a:t>8</a:t>
            </a:r>
            <a:r>
              <a:rPr lang="zh-CN" altLang="en-US" sz="1100" b="1"/>
              <a:t>题（</a:t>
            </a:r>
            <a:r>
              <a:rPr lang="en-US" altLang="zh-CN" sz="1100" b="1"/>
              <a:t>15</a:t>
            </a:r>
            <a:r>
              <a:rPr lang="zh-CN" altLang="en-US" sz="1100" b="1"/>
              <a:t>分）</a:t>
            </a:r>
            <a:r>
              <a:rPr lang="zh-CN" altLang="en-US" sz="1100"/>
              <a:t>大学生小曼在校科创中心创业，她为学校夜自习学生提供小饿小困时的香飘飘奶茶服务。在学校每天晚上</a:t>
            </a:r>
            <a:r>
              <a:rPr lang="en-US" altLang="zh-CN" sz="1100"/>
              <a:t>6</a:t>
            </a:r>
            <a:r>
              <a:rPr lang="zh-CN" altLang="en-US" sz="1100"/>
              <a:t>点到</a:t>
            </a:r>
            <a:r>
              <a:rPr lang="en-US" altLang="zh-CN" sz="1100"/>
              <a:t>12</a:t>
            </a:r>
            <a:r>
              <a:rPr lang="zh-CN" altLang="en-US" sz="1100"/>
              <a:t>点特定时间，她必须提前几个小时在网上专卖店订购一种叫做“香飘飘奶茶”的产品，每瓶的购入价是</a:t>
            </a:r>
            <a:r>
              <a:rPr lang="en-US" altLang="zh-CN" sz="1100"/>
              <a:t>2.9</a:t>
            </a:r>
            <a:r>
              <a:rPr lang="zh-CN" altLang="en-US" sz="1100"/>
              <a:t>元，但是每次订购数量大于等于</a:t>
            </a:r>
            <a:r>
              <a:rPr lang="en-US" altLang="zh-CN" sz="1100"/>
              <a:t>230</a:t>
            </a:r>
            <a:r>
              <a:rPr lang="zh-CN" altLang="en-US" sz="1100"/>
              <a:t>瓶时，每瓶的购入价是</a:t>
            </a:r>
            <a:r>
              <a:rPr lang="en-US" altLang="zh-CN" sz="1100"/>
              <a:t>2.8</a:t>
            </a:r>
            <a:r>
              <a:rPr lang="zh-CN" altLang="en-US" sz="1100"/>
              <a:t>元，售出价是</a:t>
            </a:r>
            <a:r>
              <a:rPr lang="en-US" altLang="zh-CN" sz="1100"/>
              <a:t>3.5</a:t>
            </a:r>
            <a:r>
              <a:rPr lang="zh-CN" altLang="en-US" sz="1100"/>
              <a:t>元。在晚上</a:t>
            </a:r>
            <a:r>
              <a:rPr lang="en-US" altLang="zh-CN" sz="1100"/>
              <a:t>12</a:t>
            </a:r>
            <a:r>
              <a:rPr lang="zh-CN" altLang="en-US" sz="1100"/>
              <a:t>点过后未售出的任何一瓶都按</a:t>
            </a:r>
            <a:r>
              <a:rPr lang="en-US" altLang="zh-CN" sz="1100"/>
              <a:t>60%</a:t>
            </a:r>
            <a:r>
              <a:rPr lang="zh-CN" altLang="en-US" sz="1100"/>
              <a:t>打折，且总是容易全部售出。在过去，每天售出的瓶数是介于</a:t>
            </a:r>
            <a:r>
              <a:rPr lang="en-US" altLang="zh-CN" sz="1100"/>
              <a:t>120</a:t>
            </a:r>
            <a:r>
              <a:rPr lang="zh-CN" altLang="en-US" sz="1100"/>
              <a:t>瓶和</a:t>
            </a:r>
            <a:r>
              <a:rPr lang="en-US" altLang="zh-CN" sz="1100"/>
              <a:t>270</a:t>
            </a:r>
            <a:r>
              <a:rPr lang="zh-CN" altLang="en-US" sz="1100"/>
              <a:t>瓶之间的均匀分布，没有明显的增加或减少趋势。小曼的两难问题是确定为学生订购多少瓶奶茶（订购数量以</a:t>
            </a:r>
            <a:r>
              <a:rPr lang="en-US" altLang="zh-CN" sz="1100"/>
              <a:t>10</a:t>
            </a:r>
            <a:r>
              <a:rPr lang="zh-CN" altLang="en-US" sz="1100"/>
              <a:t>瓶奶茶之差为订购区别）。若需求超过进货数量，小曼将失去获利机会；另一方面，若购进的瓶数太多，小曼将因其折扣价低于成本而损失一笔钱。请建模并通过蒙特卡洛模拟做</a:t>
            </a:r>
            <a:r>
              <a:rPr lang="en-US" altLang="zh-CN" sz="1100"/>
              <a:t>100</a:t>
            </a:r>
            <a:r>
              <a:rPr lang="zh-CN" altLang="en-US" sz="1100"/>
              <a:t>次试验、绘制图形为小曼确定最优订货量</a:t>
            </a:r>
            <a:r>
              <a:rPr lang="zh-CN" altLang="zh-CN" sz="1100">
                <a:solidFill>
                  <a:schemeClr val="dk1"/>
                </a:solidFill>
                <a:effectLst/>
                <a:latin typeface="+mn-lt"/>
                <a:ea typeface="+mn-ea"/>
                <a:cs typeface="+mn-cs"/>
              </a:rPr>
              <a:t>及其利润</a:t>
            </a:r>
            <a:r>
              <a:rPr lang="zh-CN" altLang="en-US" sz="1100"/>
              <a:t>。</a:t>
            </a:r>
          </a:p>
          <a:p>
            <a:endParaRPr lang="zh-CN" altLang="en-US" sz="1100"/>
          </a:p>
        </xdr:txBody>
      </xdr:sp>
      <xdr:pic>
        <xdr:nvPicPr>
          <xdr:cNvPr id="3" name="图片 2"/>
          <xdr:cNvPicPr>
            <a:picLocks noChangeAspect="1"/>
          </xdr:cNvPicPr>
        </xdr:nvPicPr>
        <xdr:blipFill>
          <a:blip xmlns:r="http://schemas.openxmlformats.org/officeDocument/2006/relationships" r:embed="rId1"/>
          <a:stretch>
            <a:fillRect/>
          </a:stretch>
        </xdr:blipFill>
        <xdr:spPr>
          <a:xfrm>
            <a:off x="1400175" y="3333750"/>
            <a:ext cx="4628572" cy="1704975"/>
          </a:xfrm>
          <a:prstGeom prst="rect">
            <a:avLst/>
          </a:prstGeom>
        </xdr:spPr>
      </xdr:pic>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5"/>
  <sheetViews>
    <sheetView showGridLines="0" tabSelected="1" topLeftCell="A3" workbookViewId="0">
      <selection activeCell="I25" sqref="I25"/>
    </sheetView>
  </sheetViews>
  <sheetFormatPr defaultRowHeight="13.5"/>
  <cols>
    <col min="1" max="1" width="9" style="3"/>
    <col min="2" max="2" width="16.875" style="3" customWidth="1"/>
    <col min="3" max="4" width="9" style="3"/>
    <col min="5" max="5" width="12.875" style="3" customWidth="1"/>
    <col min="6" max="16384" width="9" style="3"/>
  </cols>
  <sheetData>
    <row r="1" spans="1:256" ht="15">
      <c r="A1" s="1" t="s">
        <v>0</v>
      </c>
      <c r="B1" s="2"/>
      <c r="D1" s="1" t="s">
        <v>1</v>
      </c>
      <c r="E1" s="4"/>
      <c r="G1" s="5"/>
      <c r="IV1" s="6" t="s">
        <v>2</v>
      </c>
    </row>
    <row r="4" spans="1:256" ht="50.25" customHeight="1">
      <c r="A4" s="89"/>
      <c r="B4" s="89"/>
      <c r="C4" s="89"/>
      <c r="D4" s="89"/>
      <c r="E4" s="89"/>
      <c r="F4" s="89"/>
      <c r="G4" s="89"/>
      <c r="H4" s="89"/>
      <c r="I4" s="89"/>
      <c r="J4" s="89"/>
    </row>
    <row r="6" spans="1:256" ht="14.25">
      <c r="I6" s="7" t="s">
        <v>3</v>
      </c>
      <c r="J6" s="7" t="s">
        <v>4</v>
      </c>
    </row>
    <row r="7" spans="1:256" ht="15">
      <c r="I7" s="10" t="s">
        <v>5</v>
      </c>
      <c r="J7" s="11">
        <v>10</v>
      </c>
    </row>
    <row r="8" spans="1:256" ht="15">
      <c r="I8" s="8" t="s">
        <v>6</v>
      </c>
      <c r="J8" s="9">
        <v>14</v>
      </c>
    </row>
    <row r="9" spans="1:256" ht="15">
      <c r="I9" s="10" t="s">
        <v>7</v>
      </c>
      <c r="J9" s="11">
        <v>15</v>
      </c>
    </row>
    <row r="10" spans="1:256" ht="15">
      <c r="I10" s="8" t="s">
        <v>8</v>
      </c>
      <c r="J10" s="9">
        <v>10</v>
      </c>
    </row>
    <row r="11" spans="1:256" ht="15">
      <c r="I11" s="10" t="s">
        <v>9</v>
      </c>
      <c r="J11" s="11">
        <v>13</v>
      </c>
    </row>
    <row r="12" spans="1:256" ht="15">
      <c r="I12" s="8" t="s">
        <v>10</v>
      </c>
      <c r="J12" s="9">
        <v>10</v>
      </c>
    </row>
    <row r="13" spans="1:256" ht="15">
      <c r="I13" s="10" t="s">
        <v>11</v>
      </c>
      <c r="J13" s="11">
        <v>13</v>
      </c>
    </row>
    <row r="14" spans="1:256" ht="15">
      <c r="I14" s="8" t="s">
        <v>12</v>
      </c>
      <c r="J14" s="9">
        <v>15</v>
      </c>
    </row>
    <row r="15" spans="1:256" ht="15">
      <c r="I15" s="10" t="s">
        <v>13</v>
      </c>
      <c r="J15" s="11">
        <f>SUM(J7:J14)</f>
        <v>100</v>
      </c>
    </row>
  </sheetData>
  <mergeCells count="1">
    <mergeCell ref="A4:J4"/>
  </mergeCells>
  <phoneticPr fontId="3" type="noConversion"/>
  <pageMargins left="0.75" right="0.75" top="1" bottom="1" header="0.5" footer="0.5"/>
  <pageSetup paperSize="9" orientation="portrait"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6"/>
  <sheetViews>
    <sheetView zoomScaleNormal="100" workbookViewId="0">
      <selection activeCell="D21" sqref="D21"/>
    </sheetView>
  </sheetViews>
  <sheetFormatPr defaultRowHeight="13.5"/>
  <cols>
    <col min="1" max="1" width="2.75" customWidth="1"/>
    <col min="2" max="2" width="2.5" customWidth="1"/>
    <col min="3" max="3" width="27.5" customWidth="1"/>
    <col min="4" max="4" width="11.625" bestFit="1" customWidth="1"/>
    <col min="5" max="5" width="3.25" customWidth="1"/>
  </cols>
  <sheetData>
    <row r="2" spans="2:5">
      <c r="B2" s="34"/>
      <c r="C2" s="34"/>
      <c r="D2" s="34"/>
      <c r="E2" s="34"/>
    </row>
    <row r="3" spans="2:5">
      <c r="B3" s="34"/>
      <c r="C3" s="12" t="s">
        <v>14</v>
      </c>
      <c r="D3" s="36">
        <v>2100</v>
      </c>
      <c r="E3" s="34"/>
    </row>
    <row r="4" spans="2:5">
      <c r="B4" s="34"/>
      <c r="C4" s="12" t="s">
        <v>15</v>
      </c>
      <c r="D4" s="32"/>
      <c r="E4" s="34"/>
    </row>
    <row r="5" spans="2:5">
      <c r="B5" s="34"/>
      <c r="C5" s="34"/>
      <c r="D5" s="34"/>
      <c r="E5" s="34"/>
    </row>
    <row r="6" spans="2:5">
      <c r="B6" s="34"/>
      <c r="C6" s="12" t="s">
        <v>16</v>
      </c>
      <c r="D6" s="36">
        <f>30000/30</f>
        <v>1000</v>
      </c>
      <c r="E6" s="34"/>
    </row>
    <row r="7" spans="2:5">
      <c r="B7" s="34"/>
      <c r="C7" s="12" t="s">
        <v>17</v>
      </c>
      <c r="D7" s="36">
        <v>500</v>
      </c>
      <c r="E7" s="34"/>
    </row>
    <row r="8" spans="2:5">
      <c r="B8" s="34"/>
      <c r="C8" s="12" t="s">
        <v>18</v>
      </c>
      <c r="D8" s="32"/>
      <c r="E8" s="34"/>
    </row>
    <row r="9" spans="2:5">
      <c r="B9" s="34"/>
      <c r="C9" s="35"/>
      <c r="D9" s="34"/>
      <c r="E9" s="34"/>
    </row>
    <row r="10" spans="2:5">
      <c r="B10" s="34"/>
      <c r="C10" s="12" t="s">
        <v>19</v>
      </c>
      <c r="D10" s="32"/>
      <c r="E10" s="34"/>
    </row>
    <row r="11" spans="2:5">
      <c r="B11" s="34"/>
      <c r="C11" s="12" t="s">
        <v>20</v>
      </c>
      <c r="D11" s="32"/>
      <c r="E11" s="34"/>
    </row>
    <row r="12" spans="2:5">
      <c r="B12" s="34"/>
      <c r="C12" s="12" t="s">
        <v>21</v>
      </c>
      <c r="D12" s="32"/>
      <c r="E12" s="34"/>
    </row>
    <row r="13" spans="2:5">
      <c r="B13" s="34"/>
      <c r="C13" s="12" t="s">
        <v>22</v>
      </c>
      <c r="D13" s="33"/>
      <c r="E13" s="34"/>
    </row>
    <row r="14" spans="2:5">
      <c r="B14" s="34"/>
      <c r="C14" s="34"/>
      <c r="D14" s="34"/>
      <c r="E14" s="34"/>
    </row>
    <row r="15" spans="2:5">
      <c r="B15" s="34"/>
      <c r="C15" s="12" t="s">
        <v>23</v>
      </c>
      <c r="D15" s="32"/>
      <c r="E15" s="34"/>
    </row>
    <row r="16" spans="2:5">
      <c r="B16" s="34"/>
      <c r="C16" s="34"/>
      <c r="D16" s="34"/>
      <c r="E16" s="34"/>
    </row>
  </sheetData>
  <phoneticPr fontId="14"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9"/>
  <sheetViews>
    <sheetView topLeftCell="B1" workbookViewId="0">
      <selection activeCell="C23" sqref="C23"/>
    </sheetView>
  </sheetViews>
  <sheetFormatPr defaultColWidth="7.75" defaultRowHeight="14.25"/>
  <cols>
    <col min="1" max="1" width="2.875" style="15" customWidth="1"/>
    <col min="2" max="2" width="2" style="15" customWidth="1"/>
    <col min="3" max="3" width="22.75" style="15" customWidth="1"/>
    <col min="4" max="4" width="17" style="15" bestFit="1" customWidth="1"/>
    <col min="5" max="5" width="2" style="15" customWidth="1"/>
    <col min="6" max="6" width="6.375" style="15" customWidth="1"/>
    <col min="7" max="16384" width="7.75" style="15"/>
  </cols>
  <sheetData>
    <row r="2" spans="2:6">
      <c r="B2" s="13"/>
      <c r="C2" s="13"/>
      <c r="D2" s="13"/>
      <c r="E2" s="13"/>
      <c r="F2" s="14"/>
    </row>
    <row r="3" spans="2:6">
      <c r="B3" s="13"/>
      <c r="C3" s="16" t="s">
        <v>24</v>
      </c>
      <c r="D3" s="17">
        <v>200000</v>
      </c>
      <c r="E3" s="18">
        <v>2300</v>
      </c>
      <c r="F3" s="19"/>
    </row>
    <row r="4" spans="2:6">
      <c r="B4" s="13"/>
      <c r="C4" s="20" t="s">
        <v>25</v>
      </c>
      <c r="D4" s="13"/>
      <c r="E4" s="18"/>
      <c r="F4" s="19"/>
    </row>
    <row r="5" spans="2:6">
      <c r="B5" s="13"/>
      <c r="C5" s="16" t="s">
        <v>26</v>
      </c>
      <c r="D5" s="21">
        <v>1</v>
      </c>
      <c r="E5" s="18"/>
      <c r="F5" s="19"/>
    </row>
    <row r="6" spans="2:6">
      <c r="B6" s="13"/>
      <c r="C6" s="16" t="s">
        <v>27</v>
      </c>
      <c r="D6" s="21">
        <v>10000</v>
      </c>
      <c r="E6" s="18"/>
      <c r="F6" s="19"/>
    </row>
    <row r="7" spans="2:6">
      <c r="B7" s="13"/>
      <c r="C7" s="16" t="s">
        <v>28</v>
      </c>
      <c r="D7" s="22"/>
      <c r="E7" s="18"/>
      <c r="F7" s="19"/>
    </row>
    <row r="8" spans="2:6">
      <c r="B8" s="13"/>
      <c r="C8" s="20" t="s">
        <v>29</v>
      </c>
      <c r="D8" s="23"/>
      <c r="E8" s="13"/>
      <c r="F8" s="14"/>
    </row>
    <row r="9" spans="2:6">
      <c r="B9" s="13"/>
      <c r="C9" s="16" t="s">
        <v>30</v>
      </c>
      <c r="D9" s="21">
        <v>0.33</v>
      </c>
      <c r="E9" s="13"/>
      <c r="F9" s="14"/>
    </row>
    <row r="10" spans="2:6">
      <c r="B10" s="13"/>
      <c r="C10" s="16" t="s">
        <v>27</v>
      </c>
      <c r="D10" s="21">
        <v>60000</v>
      </c>
      <c r="E10" s="24"/>
    </row>
    <row r="11" spans="2:6">
      <c r="B11" s="13"/>
      <c r="C11" s="16" t="s">
        <v>31</v>
      </c>
      <c r="D11" s="25"/>
      <c r="E11" s="13"/>
      <c r="F11" s="14"/>
    </row>
    <row r="12" spans="2:6">
      <c r="B12" s="13"/>
      <c r="C12" s="24"/>
      <c r="D12" s="26"/>
      <c r="E12" s="13"/>
      <c r="F12" s="14"/>
    </row>
    <row r="13" spans="2:6">
      <c r="B13" s="13"/>
      <c r="C13" s="16" t="s">
        <v>32</v>
      </c>
      <c r="D13" s="27"/>
      <c r="E13" s="13"/>
      <c r="F13" s="14"/>
    </row>
    <row r="14" spans="2:6">
      <c r="B14" s="24"/>
      <c r="C14" s="16" t="s">
        <v>33</v>
      </c>
      <c r="D14" s="22"/>
      <c r="E14" s="24"/>
    </row>
    <row r="15" spans="2:6">
      <c r="B15" s="24"/>
      <c r="C15" s="24"/>
      <c r="D15" s="28"/>
      <c r="E15" s="24"/>
    </row>
    <row r="16" spans="2:6">
      <c r="B16" s="24"/>
      <c r="C16" s="16" t="s">
        <v>34</v>
      </c>
      <c r="D16" s="29"/>
      <c r="E16" s="24"/>
    </row>
    <row r="17" spans="2:6">
      <c r="B17" s="24"/>
      <c r="C17" s="24"/>
      <c r="D17" s="28"/>
      <c r="E17" s="24"/>
    </row>
    <row r="18" spans="2:6">
      <c r="C18" s="30"/>
      <c r="D18" s="30"/>
    </row>
    <row r="19" spans="2:6">
      <c r="F19" s="31"/>
    </row>
  </sheetData>
  <phoneticPr fontId="14"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9"/>
  <sheetViews>
    <sheetView workbookViewId="0">
      <selection activeCell="D27" sqref="D27"/>
    </sheetView>
  </sheetViews>
  <sheetFormatPr defaultRowHeight="14.25"/>
  <cols>
    <col min="1" max="1" width="2.25" style="39" customWidth="1"/>
    <col min="2" max="2" width="3" style="39" customWidth="1"/>
    <col min="3" max="3" width="23.875" style="44" bestFit="1" customWidth="1"/>
    <col min="4" max="4" width="11.625" style="44" customWidth="1"/>
    <col min="5" max="5" width="4" style="44" customWidth="1"/>
    <col min="6" max="16384" width="9" style="39"/>
  </cols>
  <sheetData>
    <row r="2" spans="2:5">
      <c r="B2" s="37"/>
      <c r="C2" s="38"/>
      <c r="D2" s="38"/>
      <c r="E2" s="38"/>
    </row>
    <row r="3" spans="2:5">
      <c r="B3" s="37"/>
      <c r="C3" s="40" t="s">
        <v>35</v>
      </c>
      <c r="D3" s="41">
        <v>60000</v>
      </c>
      <c r="E3" s="38"/>
    </row>
    <row r="4" spans="2:5">
      <c r="B4" s="37"/>
      <c r="C4" s="40" t="s">
        <v>36</v>
      </c>
      <c r="D4" s="41">
        <v>60</v>
      </c>
      <c r="E4" s="38"/>
    </row>
    <row r="5" spans="2:5">
      <c r="B5" s="37"/>
      <c r="C5" s="40" t="s">
        <v>37</v>
      </c>
      <c r="D5" s="41">
        <v>200</v>
      </c>
      <c r="E5" s="38"/>
    </row>
    <row r="6" spans="2:5">
      <c r="B6" s="37"/>
      <c r="C6" s="40" t="s">
        <v>38</v>
      </c>
      <c r="D6" s="41">
        <v>1</v>
      </c>
      <c r="E6" s="38"/>
    </row>
    <row r="7" spans="2:5">
      <c r="B7" s="37"/>
      <c r="C7" s="38"/>
      <c r="D7" s="38"/>
      <c r="E7" s="38"/>
    </row>
    <row r="8" spans="2:5">
      <c r="B8" s="37"/>
      <c r="C8" s="40" t="s">
        <v>39</v>
      </c>
      <c r="D8" s="41">
        <v>3000</v>
      </c>
      <c r="E8" s="38"/>
    </row>
    <row r="9" spans="2:5">
      <c r="B9" s="37"/>
      <c r="C9" s="40" t="s">
        <v>40</v>
      </c>
      <c r="D9" s="42"/>
      <c r="E9" s="38"/>
    </row>
    <row r="10" spans="2:5">
      <c r="B10" s="37"/>
      <c r="C10" s="40" t="s">
        <v>41</v>
      </c>
      <c r="D10" s="42"/>
      <c r="E10" s="38"/>
    </row>
    <row r="11" spans="2:5">
      <c r="B11" s="37"/>
      <c r="C11" s="40" t="s">
        <v>42</v>
      </c>
      <c r="D11" s="42"/>
      <c r="E11" s="38"/>
    </row>
    <row r="12" spans="2:5">
      <c r="B12" s="37"/>
      <c r="C12" s="40" t="s">
        <v>43</v>
      </c>
      <c r="D12" s="42"/>
      <c r="E12" s="38"/>
    </row>
    <row r="13" spans="2:5">
      <c r="B13" s="37"/>
      <c r="C13" s="38"/>
      <c r="D13" s="43"/>
      <c r="E13" s="38"/>
    </row>
    <row r="14" spans="2:5">
      <c r="B14" s="37"/>
      <c r="C14" s="40" t="s">
        <v>44</v>
      </c>
      <c r="D14" s="42"/>
      <c r="E14" s="38"/>
    </row>
    <row r="15" spans="2:5">
      <c r="B15" s="37"/>
      <c r="C15" s="40" t="s">
        <v>45</v>
      </c>
      <c r="D15" s="42"/>
      <c r="E15" s="38"/>
    </row>
    <row r="16" spans="2:5">
      <c r="B16" s="37"/>
      <c r="C16" s="40" t="s">
        <v>46</v>
      </c>
      <c r="D16" s="42"/>
      <c r="E16" s="38"/>
    </row>
    <row r="17" spans="2:5">
      <c r="B17" s="37"/>
      <c r="C17" s="40" t="s">
        <v>47</v>
      </c>
      <c r="D17" s="42"/>
      <c r="E17" s="38"/>
    </row>
    <row r="18" spans="2:5">
      <c r="B18" s="37"/>
      <c r="C18" s="40" t="s">
        <v>48</v>
      </c>
      <c r="D18" s="42"/>
      <c r="E18" s="38"/>
    </row>
    <row r="19" spans="2:5">
      <c r="B19" s="37"/>
      <c r="C19" s="38"/>
      <c r="D19" s="38"/>
      <c r="E19" s="38"/>
    </row>
  </sheetData>
  <phoneticPr fontId="1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7"/>
  <sheetViews>
    <sheetView workbookViewId="0">
      <selection activeCell="K14" sqref="K14"/>
    </sheetView>
  </sheetViews>
  <sheetFormatPr defaultColWidth="9" defaultRowHeight="14.25"/>
  <cols>
    <col min="1" max="1" width="2.25" style="45" customWidth="1"/>
    <col min="2" max="2" width="15" style="45" bestFit="1" customWidth="1"/>
    <col min="3" max="3" width="11.25" style="45" customWidth="1"/>
    <col min="4" max="4" width="9" style="45"/>
    <col min="5" max="5" width="3.5" style="45" bestFit="1" customWidth="1"/>
    <col min="6" max="6" width="13" style="45" bestFit="1" customWidth="1"/>
    <col min="7" max="7" width="9.375" style="45" bestFit="1" customWidth="1"/>
    <col min="8" max="8" width="9" style="45"/>
    <col min="9" max="9" width="9.375" style="45" bestFit="1" customWidth="1"/>
    <col min="10" max="10" width="13" style="45" bestFit="1" customWidth="1"/>
    <col min="11" max="16384" width="9" style="45"/>
  </cols>
  <sheetData>
    <row r="2" spans="2:12">
      <c r="C2" s="45" t="s">
        <v>49</v>
      </c>
      <c r="K2" s="46"/>
      <c r="L2" s="47"/>
    </row>
    <row r="3" spans="2:12" ht="15">
      <c r="B3" s="48" t="s">
        <v>50</v>
      </c>
      <c r="C3" s="49">
        <v>500</v>
      </c>
      <c r="K3" s="46"/>
      <c r="L3" s="47"/>
    </row>
    <row r="4" spans="2:12" ht="15">
      <c r="B4" s="48" t="s">
        <v>51</v>
      </c>
      <c r="C4" s="49">
        <v>5</v>
      </c>
      <c r="K4" s="46"/>
      <c r="L4" s="47"/>
    </row>
    <row r="5" spans="2:12" ht="15">
      <c r="B5" s="48" t="s">
        <v>52</v>
      </c>
      <c r="C5" s="49">
        <v>50</v>
      </c>
      <c r="K5" s="46"/>
      <c r="L5" s="47"/>
    </row>
    <row r="6" spans="2:12" ht="15">
      <c r="B6" s="48" t="s">
        <v>53</v>
      </c>
      <c r="C6" s="49">
        <f>C5+10</f>
        <v>60</v>
      </c>
      <c r="K6" s="46"/>
      <c r="L6" s="47"/>
    </row>
    <row r="7" spans="2:12" ht="15">
      <c r="B7" s="48" t="s">
        <v>54</v>
      </c>
      <c r="C7" s="49"/>
      <c r="K7" s="46"/>
      <c r="L7" s="47"/>
    </row>
    <row r="8" spans="2:12" ht="15">
      <c r="B8" s="48" t="s">
        <v>55</v>
      </c>
      <c r="C8" s="49"/>
      <c r="K8" s="46"/>
      <c r="L8" s="47"/>
    </row>
    <row r="9" spans="2:12" ht="15">
      <c r="B9" s="48" t="s">
        <v>56</v>
      </c>
      <c r="C9" s="49"/>
      <c r="K9" s="46"/>
      <c r="L9" s="47"/>
    </row>
    <row r="10" spans="2:12" ht="15">
      <c r="B10" s="48" t="s">
        <v>57</v>
      </c>
      <c r="C10" s="49">
        <v>300</v>
      </c>
    </row>
    <row r="11" spans="2:12">
      <c r="D11" s="46"/>
    </row>
    <row r="12" spans="2:12" ht="15">
      <c r="B12" s="50" t="s">
        <v>58</v>
      </c>
      <c r="C12" s="51">
        <v>0.06</v>
      </c>
      <c r="D12" s="46"/>
    </row>
    <row r="13" spans="2:12" ht="15">
      <c r="B13" s="50" t="s">
        <v>59</v>
      </c>
      <c r="C13" s="52"/>
      <c r="D13" s="46"/>
    </row>
    <row r="14" spans="2:12">
      <c r="B14" s="53"/>
      <c r="C14" s="53"/>
      <c r="E14" s="46"/>
      <c r="F14" s="46"/>
      <c r="G14" s="46"/>
      <c r="H14" s="46"/>
      <c r="I14" s="46"/>
      <c r="J14" s="47"/>
    </row>
    <row r="15" spans="2:12" ht="15">
      <c r="B15" s="54" t="s">
        <v>60</v>
      </c>
      <c r="C15" s="55"/>
      <c r="E15" s="46"/>
      <c r="F15" s="46"/>
      <c r="G15" s="46"/>
      <c r="H15" s="46"/>
      <c r="I15" s="46"/>
      <c r="J15" s="46"/>
      <c r="K15" s="46"/>
      <c r="L15" s="47"/>
    </row>
    <row r="16" spans="2:12">
      <c r="B16" s="53"/>
      <c r="C16" s="53"/>
      <c r="K16" s="46"/>
      <c r="L16" s="47"/>
    </row>
    <row r="17" spans="2:12">
      <c r="B17" s="45" t="s">
        <v>61</v>
      </c>
      <c r="K17" s="46"/>
      <c r="L17" s="47"/>
    </row>
    <row r="18" spans="2:12" ht="15">
      <c r="B18" s="50" t="s">
        <v>62</v>
      </c>
      <c r="C18" s="49">
        <v>400</v>
      </c>
      <c r="L18" s="47"/>
    </row>
    <row r="19" spans="2:12" ht="15">
      <c r="B19" s="50" t="s">
        <v>63</v>
      </c>
      <c r="C19" s="56">
        <v>0.05</v>
      </c>
    </row>
    <row r="20" spans="2:12" ht="15">
      <c r="B20" s="50" t="s">
        <v>64</v>
      </c>
      <c r="C20" s="49">
        <v>5</v>
      </c>
    </row>
    <row r="21" spans="2:12" ht="15">
      <c r="B21" s="50" t="s">
        <v>65</v>
      </c>
      <c r="C21" s="57"/>
    </row>
    <row r="23" spans="2:12">
      <c r="B23" s="45" t="s">
        <v>66</v>
      </c>
    </row>
    <row r="24" spans="2:12" ht="15">
      <c r="B24" s="50" t="s">
        <v>62</v>
      </c>
      <c r="C24" s="49">
        <v>400</v>
      </c>
    </row>
    <row r="25" spans="2:12" ht="15">
      <c r="B25" s="50" t="s">
        <v>63</v>
      </c>
      <c r="C25" s="56">
        <v>0.05</v>
      </c>
    </row>
    <row r="26" spans="2:12" ht="15">
      <c r="B26" s="50" t="s">
        <v>64</v>
      </c>
      <c r="C26" s="49">
        <v>5</v>
      </c>
    </row>
    <row r="27" spans="2:12" ht="15">
      <c r="B27" s="50" t="s">
        <v>67</v>
      </c>
      <c r="C27" s="57"/>
    </row>
  </sheetData>
  <phoneticPr fontId="1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workbookViewId="0">
      <selection activeCell="A20" sqref="A20"/>
    </sheetView>
  </sheetViews>
  <sheetFormatPr defaultRowHeight="13.5"/>
  <cols>
    <col min="1" max="1" width="16.25" style="58" customWidth="1"/>
    <col min="2" max="2" width="8.125" style="58" customWidth="1"/>
    <col min="3" max="4" width="9" style="58"/>
    <col min="5" max="5" width="11.25" style="58" customWidth="1"/>
    <col min="6" max="6" width="9.5" style="58" bestFit="1" customWidth="1"/>
    <col min="7" max="12" width="9" style="58"/>
    <col min="13" max="13" width="9" style="58" customWidth="1"/>
    <col min="14" max="14" width="9" style="58"/>
    <col min="15" max="16" width="9.5" style="58" bestFit="1" customWidth="1"/>
    <col min="17" max="261" width="9" style="58"/>
    <col min="262" max="262" width="21.5" style="58" customWidth="1"/>
    <col min="263" max="263" width="8.125" style="58" customWidth="1"/>
    <col min="264" max="265" width="9" style="58"/>
    <col min="266" max="266" width="11.25" style="58" customWidth="1"/>
    <col min="267" max="267" width="9.5" style="58" bestFit="1" customWidth="1"/>
    <col min="268" max="268" width="9" style="58"/>
    <col min="269" max="269" width="9" style="58" customWidth="1"/>
    <col min="270" max="270" width="9" style="58"/>
    <col min="271" max="272" width="9.5" style="58" bestFit="1" customWidth="1"/>
    <col min="273" max="517" width="9" style="58"/>
    <col min="518" max="518" width="21.5" style="58" customWidth="1"/>
    <col min="519" max="519" width="8.125" style="58" customWidth="1"/>
    <col min="520" max="521" width="9" style="58"/>
    <col min="522" max="522" width="11.25" style="58" customWidth="1"/>
    <col min="523" max="523" width="9.5" style="58" bestFit="1" customWidth="1"/>
    <col min="524" max="524" width="9" style="58"/>
    <col min="525" max="525" width="9" style="58" customWidth="1"/>
    <col min="526" max="526" width="9" style="58"/>
    <col min="527" max="528" width="9.5" style="58" bestFit="1" customWidth="1"/>
    <col min="529" max="773" width="9" style="58"/>
    <col min="774" max="774" width="21.5" style="58" customWidth="1"/>
    <col min="775" max="775" width="8.125" style="58" customWidth="1"/>
    <col min="776" max="777" width="9" style="58"/>
    <col min="778" max="778" width="11.25" style="58" customWidth="1"/>
    <col min="779" max="779" width="9.5" style="58" bestFit="1" customWidth="1"/>
    <col min="780" max="780" width="9" style="58"/>
    <col min="781" max="781" width="9" style="58" customWidth="1"/>
    <col min="782" max="782" width="9" style="58"/>
    <col min="783" max="784" width="9.5" style="58" bestFit="1" customWidth="1"/>
    <col min="785" max="1029" width="9" style="58"/>
    <col min="1030" max="1030" width="21.5" style="58" customWidth="1"/>
    <col min="1031" max="1031" width="8.125" style="58" customWidth="1"/>
    <col min="1032" max="1033" width="9" style="58"/>
    <col min="1034" max="1034" width="11.25" style="58" customWidth="1"/>
    <col min="1035" max="1035" width="9.5" style="58" bestFit="1" customWidth="1"/>
    <col min="1036" max="1036" width="9" style="58"/>
    <col min="1037" max="1037" width="9" style="58" customWidth="1"/>
    <col min="1038" max="1038" width="9" style="58"/>
    <col min="1039" max="1040" width="9.5" style="58" bestFit="1" customWidth="1"/>
    <col min="1041" max="1285" width="9" style="58"/>
    <col min="1286" max="1286" width="21.5" style="58" customWidth="1"/>
    <col min="1287" max="1287" width="8.125" style="58" customWidth="1"/>
    <col min="1288" max="1289" width="9" style="58"/>
    <col min="1290" max="1290" width="11.25" style="58" customWidth="1"/>
    <col min="1291" max="1291" width="9.5" style="58" bestFit="1" customWidth="1"/>
    <col min="1292" max="1292" width="9" style="58"/>
    <col min="1293" max="1293" width="9" style="58" customWidth="1"/>
    <col min="1294" max="1294" width="9" style="58"/>
    <col min="1295" max="1296" width="9.5" style="58" bestFit="1" customWidth="1"/>
    <col min="1297" max="1541" width="9" style="58"/>
    <col min="1542" max="1542" width="21.5" style="58" customWidth="1"/>
    <col min="1543" max="1543" width="8.125" style="58" customWidth="1"/>
    <col min="1544" max="1545" width="9" style="58"/>
    <col min="1546" max="1546" width="11.25" style="58" customWidth="1"/>
    <col min="1547" max="1547" width="9.5" style="58" bestFit="1" customWidth="1"/>
    <col min="1548" max="1548" width="9" style="58"/>
    <col min="1549" max="1549" width="9" style="58" customWidth="1"/>
    <col min="1550" max="1550" width="9" style="58"/>
    <col min="1551" max="1552" width="9.5" style="58" bestFit="1" customWidth="1"/>
    <col min="1553" max="1797" width="9" style="58"/>
    <col min="1798" max="1798" width="21.5" style="58" customWidth="1"/>
    <col min="1799" max="1799" width="8.125" style="58" customWidth="1"/>
    <col min="1800" max="1801" width="9" style="58"/>
    <col min="1802" max="1802" width="11.25" style="58" customWidth="1"/>
    <col min="1803" max="1803" width="9.5" style="58" bestFit="1" customWidth="1"/>
    <col min="1804" max="1804" width="9" style="58"/>
    <col min="1805" max="1805" width="9" style="58" customWidth="1"/>
    <col min="1806" max="1806" width="9" style="58"/>
    <col min="1807" max="1808" width="9.5" style="58" bestFit="1" customWidth="1"/>
    <col min="1809" max="2053" width="9" style="58"/>
    <col min="2054" max="2054" width="21.5" style="58" customWidth="1"/>
    <col min="2055" max="2055" width="8.125" style="58" customWidth="1"/>
    <col min="2056" max="2057" width="9" style="58"/>
    <col min="2058" max="2058" width="11.25" style="58" customWidth="1"/>
    <col min="2059" max="2059" width="9.5" style="58" bestFit="1" customWidth="1"/>
    <col min="2060" max="2060" width="9" style="58"/>
    <col min="2061" max="2061" width="9" style="58" customWidth="1"/>
    <col min="2062" max="2062" width="9" style="58"/>
    <col min="2063" max="2064" width="9.5" style="58" bestFit="1" customWidth="1"/>
    <col min="2065" max="2309" width="9" style="58"/>
    <col min="2310" max="2310" width="21.5" style="58" customWidth="1"/>
    <col min="2311" max="2311" width="8.125" style="58" customWidth="1"/>
    <col min="2312" max="2313" width="9" style="58"/>
    <col min="2314" max="2314" width="11.25" style="58" customWidth="1"/>
    <col min="2315" max="2315" width="9.5" style="58" bestFit="1" customWidth="1"/>
    <col min="2316" max="2316" width="9" style="58"/>
    <col min="2317" max="2317" width="9" style="58" customWidth="1"/>
    <col min="2318" max="2318" width="9" style="58"/>
    <col min="2319" max="2320" width="9.5" style="58" bestFit="1" customWidth="1"/>
    <col min="2321" max="2565" width="9" style="58"/>
    <col min="2566" max="2566" width="21.5" style="58" customWidth="1"/>
    <col min="2567" max="2567" width="8.125" style="58" customWidth="1"/>
    <col min="2568" max="2569" width="9" style="58"/>
    <col min="2570" max="2570" width="11.25" style="58" customWidth="1"/>
    <col min="2571" max="2571" width="9.5" style="58" bestFit="1" customWidth="1"/>
    <col min="2572" max="2572" width="9" style="58"/>
    <col min="2573" max="2573" width="9" style="58" customWidth="1"/>
    <col min="2574" max="2574" width="9" style="58"/>
    <col min="2575" max="2576" width="9.5" style="58" bestFit="1" customWidth="1"/>
    <col min="2577" max="2821" width="9" style="58"/>
    <col min="2822" max="2822" width="21.5" style="58" customWidth="1"/>
    <col min="2823" max="2823" width="8.125" style="58" customWidth="1"/>
    <col min="2824" max="2825" width="9" style="58"/>
    <col min="2826" max="2826" width="11.25" style="58" customWidth="1"/>
    <col min="2827" max="2827" width="9.5" style="58" bestFit="1" customWidth="1"/>
    <col min="2828" max="2828" width="9" style="58"/>
    <col min="2829" max="2829" width="9" style="58" customWidth="1"/>
    <col min="2830" max="2830" width="9" style="58"/>
    <col min="2831" max="2832" width="9.5" style="58" bestFit="1" customWidth="1"/>
    <col min="2833" max="3077" width="9" style="58"/>
    <col min="3078" max="3078" width="21.5" style="58" customWidth="1"/>
    <col min="3079" max="3079" width="8.125" style="58" customWidth="1"/>
    <col min="3080" max="3081" width="9" style="58"/>
    <col min="3082" max="3082" width="11.25" style="58" customWidth="1"/>
    <col min="3083" max="3083" width="9.5" style="58" bestFit="1" customWidth="1"/>
    <col min="3084" max="3084" width="9" style="58"/>
    <col min="3085" max="3085" width="9" style="58" customWidth="1"/>
    <col min="3086" max="3086" width="9" style="58"/>
    <col min="3087" max="3088" width="9.5" style="58" bestFit="1" customWidth="1"/>
    <col min="3089" max="3333" width="9" style="58"/>
    <col min="3334" max="3334" width="21.5" style="58" customWidth="1"/>
    <col min="3335" max="3335" width="8.125" style="58" customWidth="1"/>
    <col min="3336" max="3337" width="9" style="58"/>
    <col min="3338" max="3338" width="11.25" style="58" customWidth="1"/>
    <col min="3339" max="3339" width="9.5" style="58" bestFit="1" customWidth="1"/>
    <col min="3340" max="3340" width="9" style="58"/>
    <col min="3341" max="3341" width="9" style="58" customWidth="1"/>
    <col min="3342" max="3342" width="9" style="58"/>
    <col min="3343" max="3344" width="9.5" style="58" bestFit="1" customWidth="1"/>
    <col min="3345" max="3589" width="9" style="58"/>
    <col min="3590" max="3590" width="21.5" style="58" customWidth="1"/>
    <col min="3591" max="3591" width="8.125" style="58" customWidth="1"/>
    <col min="3592" max="3593" width="9" style="58"/>
    <col min="3594" max="3594" width="11.25" style="58" customWidth="1"/>
    <col min="3595" max="3595" width="9.5" style="58" bestFit="1" customWidth="1"/>
    <col min="3596" max="3596" width="9" style="58"/>
    <col min="3597" max="3597" width="9" style="58" customWidth="1"/>
    <col min="3598" max="3598" width="9" style="58"/>
    <col min="3599" max="3600" width="9.5" style="58" bestFit="1" customWidth="1"/>
    <col min="3601" max="3845" width="9" style="58"/>
    <col min="3846" max="3846" width="21.5" style="58" customWidth="1"/>
    <col min="3847" max="3847" width="8.125" style="58" customWidth="1"/>
    <col min="3848" max="3849" width="9" style="58"/>
    <col min="3850" max="3850" width="11.25" style="58" customWidth="1"/>
    <col min="3851" max="3851" width="9.5" style="58" bestFit="1" customWidth="1"/>
    <col min="3852" max="3852" width="9" style="58"/>
    <col min="3853" max="3853" width="9" style="58" customWidth="1"/>
    <col min="3854" max="3854" width="9" style="58"/>
    <col min="3855" max="3856" width="9.5" style="58" bestFit="1" customWidth="1"/>
    <col min="3857" max="4101" width="9" style="58"/>
    <col min="4102" max="4102" width="21.5" style="58" customWidth="1"/>
    <col min="4103" max="4103" width="8.125" style="58" customWidth="1"/>
    <col min="4104" max="4105" width="9" style="58"/>
    <col min="4106" max="4106" width="11.25" style="58" customWidth="1"/>
    <col min="4107" max="4107" width="9.5" style="58" bestFit="1" customWidth="1"/>
    <col min="4108" max="4108" width="9" style="58"/>
    <col min="4109" max="4109" width="9" style="58" customWidth="1"/>
    <col min="4110" max="4110" width="9" style="58"/>
    <col min="4111" max="4112" width="9.5" style="58" bestFit="1" customWidth="1"/>
    <col min="4113" max="4357" width="9" style="58"/>
    <col min="4358" max="4358" width="21.5" style="58" customWidth="1"/>
    <col min="4359" max="4359" width="8.125" style="58" customWidth="1"/>
    <col min="4360" max="4361" width="9" style="58"/>
    <col min="4362" max="4362" width="11.25" style="58" customWidth="1"/>
    <col min="4363" max="4363" width="9.5" style="58" bestFit="1" customWidth="1"/>
    <col min="4364" max="4364" width="9" style="58"/>
    <col min="4365" max="4365" width="9" style="58" customWidth="1"/>
    <col min="4366" max="4366" width="9" style="58"/>
    <col min="4367" max="4368" width="9.5" style="58" bestFit="1" customWidth="1"/>
    <col min="4369" max="4613" width="9" style="58"/>
    <col min="4614" max="4614" width="21.5" style="58" customWidth="1"/>
    <col min="4615" max="4615" width="8.125" style="58" customWidth="1"/>
    <col min="4616" max="4617" width="9" style="58"/>
    <col min="4618" max="4618" width="11.25" style="58" customWidth="1"/>
    <col min="4619" max="4619" width="9.5" style="58" bestFit="1" customWidth="1"/>
    <col min="4620" max="4620" width="9" style="58"/>
    <col min="4621" max="4621" width="9" style="58" customWidth="1"/>
    <col min="4622" max="4622" width="9" style="58"/>
    <col min="4623" max="4624" width="9.5" style="58" bestFit="1" customWidth="1"/>
    <col min="4625" max="4869" width="9" style="58"/>
    <col min="4870" max="4870" width="21.5" style="58" customWidth="1"/>
    <col min="4871" max="4871" width="8.125" style="58" customWidth="1"/>
    <col min="4872" max="4873" width="9" style="58"/>
    <col min="4874" max="4874" width="11.25" style="58" customWidth="1"/>
    <col min="4875" max="4875" width="9.5" style="58" bestFit="1" customWidth="1"/>
    <col min="4876" max="4876" width="9" style="58"/>
    <col min="4877" max="4877" width="9" style="58" customWidth="1"/>
    <col min="4878" max="4878" width="9" style="58"/>
    <col min="4879" max="4880" width="9.5" style="58" bestFit="1" customWidth="1"/>
    <col min="4881" max="5125" width="9" style="58"/>
    <col min="5126" max="5126" width="21.5" style="58" customWidth="1"/>
    <col min="5127" max="5127" width="8.125" style="58" customWidth="1"/>
    <col min="5128" max="5129" width="9" style="58"/>
    <col min="5130" max="5130" width="11.25" style="58" customWidth="1"/>
    <col min="5131" max="5131" width="9.5" style="58" bestFit="1" customWidth="1"/>
    <col min="5132" max="5132" width="9" style="58"/>
    <col min="5133" max="5133" width="9" style="58" customWidth="1"/>
    <col min="5134" max="5134" width="9" style="58"/>
    <col min="5135" max="5136" width="9.5" style="58" bestFit="1" customWidth="1"/>
    <col min="5137" max="5381" width="9" style="58"/>
    <col min="5382" max="5382" width="21.5" style="58" customWidth="1"/>
    <col min="5383" max="5383" width="8.125" style="58" customWidth="1"/>
    <col min="5384" max="5385" width="9" style="58"/>
    <col min="5386" max="5386" width="11.25" style="58" customWidth="1"/>
    <col min="5387" max="5387" width="9.5" style="58" bestFit="1" customWidth="1"/>
    <col min="5388" max="5388" width="9" style="58"/>
    <col min="5389" max="5389" width="9" style="58" customWidth="1"/>
    <col min="5390" max="5390" width="9" style="58"/>
    <col min="5391" max="5392" width="9.5" style="58" bestFit="1" customWidth="1"/>
    <col min="5393" max="5637" width="9" style="58"/>
    <col min="5638" max="5638" width="21.5" style="58" customWidth="1"/>
    <col min="5639" max="5639" width="8.125" style="58" customWidth="1"/>
    <col min="5640" max="5641" width="9" style="58"/>
    <col min="5642" max="5642" width="11.25" style="58" customWidth="1"/>
    <col min="5643" max="5643" width="9.5" style="58" bestFit="1" customWidth="1"/>
    <col min="5644" max="5644" width="9" style="58"/>
    <col min="5645" max="5645" width="9" style="58" customWidth="1"/>
    <col min="5646" max="5646" width="9" style="58"/>
    <col min="5647" max="5648" width="9.5" style="58" bestFit="1" customWidth="1"/>
    <col min="5649" max="5893" width="9" style="58"/>
    <col min="5894" max="5894" width="21.5" style="58" customWidth="1"/>
    <col min="5895" max="5895" width="8.125" style="58" customWidth="1"/>
    <col min="5896" max="5897" width="9" style="58"/>
    <col min="5898" max="5898" width="11.25" style="58" customWidth="1"/>
    <col min="5899" max="5899" width="9.5" style="58" bestFit="1" customWidth="1"/>
    <col min="5900" max="5900" width="9" style="58"/>
    <col min="5901" max="5901" width="9" style="58" customWidth="1"/>
    <col min="5902" max="5902" width="9" style="58"/>
    <col min="5903" max="5904" width="9.5" style="58" bestFit="1" customWidth="1"/>
    <col min="5905" max="6149" width="9" style="58"/>
    <col min="6150" max="6150" width="21.5" style="58" customWidth="1"/>
    <col min="6151" max="6151" width="8.125" style="58" customWidth="1"/>
    <col min="6152" max="6153" width="9" style="58"/>
    <col min="6154" max="6154" width="11.25" style="58" customWidth="1"/>
    <col min="6155" max="6155" width="9.5" style="58" bestFit="1" customWidth="1"/>
    <col min="6156" max="6156" width="9" style="58"/>
    <col min="6157" max="6157" width="9" style="58" customWidth="1"/>
    <col min="6158" max="6158" width="9" style="58"/>
    <col min="6159" max="6160" width="9.5" style="58" bestFit="1" customWidth="1"/>
    <col min="6161" max="6405" width="9" style="58"/>
    <col min="6406" max="6406" width="21.5" style="58" customWidth="1"/>
    <col min="6407" max="6407" width="8.125" style="58" customWidth="1"/>
    <col min="6408" max="6409" width="9" style="58"/>
    <col min="6410" max="6410" width="11.25" style="58" customWidth="1"/>
    <col min="6411" max="6411" width="9.5" style="58" bestFit="1" customWidth="1"/>
    <col min="6412" max="6412" width="9" style="58"/>
    <col min="6413" max="6413" width="9" style="58" customWidth="1"/>
    <col min="6414" max="6414" width="9" style="58"/>
    <col min="6415" max="6416" width="9.5" style="58" bestFit="1" customWidth="1"/>
    <col min="6417" max="6661" width="9" style="58"/>
    <col min="6662" max="6662" width="21.5" style="58" customWidth="1"/>
    <col min="6663" max="6663" width="8.125" style="58" customWidth="1"/>
    <col min="6664" max="6665" width="9" style="58"/>
    <col min="6666" max="6666" width="11.25" style="58" customWidth="1"/>
    <col min="6667" max="6667" width="9.5" style="58" bestFit="1" customWidth="1"/>
    <col min="6668" max="6668" width="9" style="58"/>
    <col min="6669" max="6669" width="9" style="58" customWidth="1"/>
    <col min="6670" max="6670" width="9" style="58"/>
    <col min="6671" max="6672" width="9.5" style="58" bestFit="1" customWidth="1"/>
    <col min="6673" max="6917" width="9" style="58"/>
    <col min="6918" max="6918" width="21.5" style="58" customWidth="1"/>
    <col min="6919" max="6919" width="8.125" style="58" customWidth="1"/>
    <col min="6920" max="6921" width="9" style="58"/>
    <col min="6922" max="6922" width="11.25" style="58" customWidth="1"/>
    <col min="6923" max="6923" width="9.5" style="58" bestFit="1" customWidth="1"/>
    <col min="6924" max="6924" width="9" style="58"/>
    <col min="6925" max="6925" width="9" style="58" customWidth="1"/>
    <col min="6926" max="6926" width="9" style="58"/>
    <col min="6927" max="6928" width="9.5" style="58" bestFit="1" customWidth="1"/>
    <col min="6929" max="7173" width="9" style="58"/>
    <col min="7174" max="7174" width="21.5" style="58" customWidth="1"/>
    <col min="7175" max="7175" width="8.125" style="58" customWidth="1"/>
    <col min="7176" max="7177" width="9" style="58"/>
    <col min="7178" max="7178" width="11.25" style="58" customWidth="1"/>
    <col min="7179" max="7179" width="9.5" style="58" bestFit="1" customWidth="1"/>
    <col min="7180" max="7180" width="9" style="58"/>
    <col min="7181" max="7181" width="9" style="58" customWidth="1"/>
    <col min="7182" max="7182" width="9" style="58"/>
    <col min="7183" max="7184" width="9.5" style="58" bestFit="1" customWidth="1"/>
    <col min="7185" max="7429" width="9" style="58"/>
    <col min="7430" max="7430" width="21.5" style="58" customWidth="1"/>
    <col min="7431" max="7431" width="8.125" style="58" customWidth="1"/>
    <col min="7432" max="7433" width="9" style="58"/>
    <col min="7434" max="7434" width="11.25" style="58" customWidth="1"/>
    <col min="7435" max="7435" width="9.5" style="58" bestFit="1" customWidth="1"/>
    <col min="7436" max="7436" width="9" style="58"/>
    <col min="7437" max="7437" width="9" style="58" customWidth="1"/>
    <col min="7438" max="7438" width="9" style="58"/>
    <col min="7439" max="7440" width="9.5" style="58" bestFit="1" customWidth="1"/>
    <col min="7441" max="7685" width="9" style="58"/>
    <col min="7686" max="7686" width="21.5" style="58" customWidth="1"/>
    <col min="7687" max="7687" width="8.125" style="58" customWidth="1"/>
    <col min="7688" max="7689" width="9" style="58"/>
    <col min="7690" max="7690" width="11.25" style="58" customWidth="1"/>
    <col min="7691" max="7691" width="9.5" style="58" bestFit="1" customWidth="1"/>
    <col min="7692" max="7692" width="9" style="58"/>
    <col min="7693" max="7693" width="9" style="58" customWidth="1"/>
    <col min="7694" max="7694" width="9" style="58"/>
    <col min="7695" max="7696" width="9.5" style="58" bestFit="1" customWidth="1"/>
    <col min="7697" max="7941" width="9" style="58"/>
    <col min="7942" max="7942" width="21.5" style="58" customWidth="1"/>
    <col min="7943" max="7943" width="8.125" style="58" customWidth="1"/>
    <col min="7944" max="7945" width="9" style="58"/>
    <col min="7946" max="7946" width="11.25" style="58" customWidth="1"/>
    <col min="7947" max="7947" width="9.5" style="58" bestFit="1" customWidth="1"/>
    <col min="7948" max="7948" width="9" style="58"/>
    <col min="7949" max="7949" width="9" style="58" customWidth="1"/>
    <col min="7950" max="7950" width="9" style="58"/>
    <col min="7951" max="7952" width="9.5" style="58" bestFit="1" customWidth="1"/>
    <col min="7953" max="8197" width="9" style="58"/>
    <col min="8198" max="8198" width="21.5" style="58" customWidth="1"/>
    <col min="8199" max="8199" width="8.125" style="58" customWidth="1"/>
    <col min="8200" max="8201" width="9" style="58"/>
    <col min="8202" max="8202" width="11.25" style="58" customWidth="1"/>
    <col min="8203" max="8203" width="9.5" style="58" bestFit="1" customWidth="1"/>
    <col min="8204" max="8204" width="9" style="58"/>
    <col min="8205" max="8205" width="9" style="58" customWidth="1"/>
    <col min="8206" max="8206" width="9" style="58"/>
    <col min="8207" max="8208" width="9.5" style="58" bestFit="1" customWidth="1"/>
    <col min="8209" max="8453" width="9" style="58"/>
    <col min="8454" max="8454" width="21.5" style="58" customWidth="1"/>
    <col min="8455" max="8455" width="8.125" style="58" customWidth="1"/>
    <col min="8456" max="8457" width="9" style="58"/>
    <col min="8458" max="8458" width="11.25" style="58" customWidth="1"/>
    <col min="8459" max="8459" width="9.5" style="58" bestFit="1" customWidth="1"/>
    <col min="8460" max="8460" width="9" style="58"/>
    <col min="8461" max="8461" width="9" style="58" customWidth="1"/>
    <col min="8462" max="8462" width="9" style="58"/>
    <col min="8463" max="8464" width="9.5" style="58" bestFit="1" customWidth="1"/>
    <col min="8465" max="8709" width="9" style="58"/>
    <col min="8710" max="8710" width="21.5" style="58" customWidth="1"/>
    <col min="8711" max="8711" width="8.125" style="58" customWidth="1"/>
    <col min="8712" max="8713" width="9" style="58"/>
    <col min="8714" max="8714" width="11.25" style="58" customWidth="1"/>
    <col min="8715" max="8715" width="9.5" style="58" bestFit="1" customWidth="1"/>
    <col min="8716" max="8716" width="9" style="58"/>
    <col min="8717" max="8717" width="9" style="58" customWidth="1"/>
    <col min="8718" max="8718" width="9" style="58"/>
    <col min="8719" max="8720" width="9.5" style="58" bestFit="1" customWidth="1"/>
    <col min="8721" max="8965" width="9" style="58"/>
    <col min="8966" max="8966" width="21.5" style="58" customWidth="1"/>
    <col min="8967" max="8967" width="8.125" style="58" customWidth="1"/>
    <col min="8968" max="8969" width="9" style="58"/>
    <col min="8970" max="8970" width="11.25" style="58" customWidth="1"/>
    <col min="8971" max="8971" width="9.5" style="58" bestFit="1" customWidth="1"/>
    <col min="8972" max="8972" width="9" style="58"/>
    <col min="8973" max="8973" width="9" style="58" customWidth="1"/>
    <col min="8974" max="8974" width="9" style="58"/>
    <col min="8975" max="8976" width="9.5" style="58" bestFit="1" customWidth="1"/>
    <col min="8977" max="9221" width="9" style="58"/>
    <col min="9222" max="9222" width="21.5" style="58" customWidth="1"/>
    <col min="9223" max="9223" width="8.125" style="58" customWidth="1"/>
    <col min="9224" max="9225" width="9" style="58"/>
    <col min="9226" max="9226" width="11.25" style="58" customWidth="1"/>
    <col min="9227" max="9227" width="9.5" style="58" bestFit="1" customWidth="1"/>
    <col min="9228" max="9228" width="9" style="58"/>
    <col min="9229" max="9229" width="9" style="58" customWidth="1"/>
    <col min="9230" max="9230" width="9" style="58"/>
    <col min="9231" max="9232" width="9.5" style="58" bestFit="1" customWidth="1"/>
    <col min="9233" max="9477" width="9" style="58"/>
    <col min="9478" max="9478" width="21.5" style="58" customWidth="1"/>
    <col min="9479" max="9479" width="8.125" style="58" customWidth="1"/>
    <col min="9480" max="9481" width="9" style="58"/>
    <col min="9482" max="9482" width="11.25" style="58" customWidth="1"/>
    <col min="9483" max="9483" width="9.5" style="58" bestFit="1" customWidth="1"/>
    <col min="9484" max="9484" width="9" style="58"/>
    <col min="9485" max="9485" width="9" style="58" customWidth="1"/>
    <col min="9486" max="9486" width="9" style="58"/>
    <col min="9487" max="9488" width="9.5" style="58" bestFit="1" customWidth="1"/>
    <col min="9489" max="9733" width="9" style="58"/>
    <col min="9734" max="9734" width="21.5" style="58" customWidth="1"/>
    <col min="9735" max="9735" width="8.125" style="58" customWidth="1"/>
    <col min="9736" max="9737" width="9" style="58"/>
    <col min="9738" max="9738" width="11.25" style="58" customWidth="1"/>
    <col min="9739" max="9739" width="9.5" style="58" bestFit="1" customWidth="1"/>
    <col min="9740" max="9740" width="9" style="58"/>
    <col min="9741" max="9741" width="9" style="58" customWidth="1"/>
    <col min="9742" max="9742" width="9" style="58"/>
    <col min="9743" max="9744" width="9.5" style="58" bestFit="1" customWidth="1"/>
    <col min="9745" max="9989" width="9" style="58"/>
    <col min="9990" max="9990" width="21.5" style="58" customWidth="1"/>
    <col min="9991" max="9991" width="8.125" style="58" customWidth="1"/>
    <col min="9992" max="9993" width="9" style="58"/>
    <col min="9994" max="9994" width="11.25" style="58" customWidth="1"/>
    <col min="9995" max="9995" width="9.5" style="58" bestFit="1" customWidth="1"/>
    <col min="9996" max="9996" width="9" style="58"/>
    <col min="9997" max="9997" width="9" style="58" customWidth="1"/>
    <col min="9998" max="9998" width="9" style="58"/>
    <col min="9999" max="10000" width="9.5" style="58" bestFit="1" customWidth="1"/>
    <col min="10001" max="10245" width="9" style="58"/>
    <col min="10246" max="10246" width="21.5" style="58" customWidth="1"/>
    <col min="10247" max="10247" width="8.125" style="58" customWidth="1"/>
    <col min="10248" max="10249" width="9" style="58"/>
    <col min="10250" max="10250" width="11.25" style="58" customWidth="1"/>
    <col min="10251" max="10251" width="9.5" style="58" bestFit="1" customWidth="1"/>
    <col min="10252" max="10252" width="9" style="58"/>
    <col min="10253" max="10253" width="9" style="58" customWidth="1"/>
    <col min="10254" max="10254" width="9" style="58"/>
    <col min="10255" max="10256" width="9.5" style="58" bestFit="1" customWidth="1"/>
    <col min="10257" max="10501" width="9" style="58"/>
    <col min="10502" max="10502" width="21.5" style="58" customWidth="1"/>
    <col min="10503" max="10503" width="8.125" style="58" customWidth="1"/>
    <col min="10504" max="10505" width="9" style="58"/>
    <col min="10506" max="10506" width="11.25" style="58" customWidth="1"/>
    <col min="10507" max="10507" width="9.5" style="58" bestFit="1" customWidth="1"/>
    <col min="10508" max="10508" width="9" style="58"/>
    <col min="10509" max="10509" width="9" style="58" customWidth="1"/>
    <col min="10510" max="10510" width="9" style="58"/>
    <col min="10511" max="10512" width="9.5" style="58" bestFit="1" customWidth="1"/>
    <col min="10513" max="10757" width="9" style="58"/>
    <col min="10758" max="10758" width="21.5" style="58" customWidth="1"/>
    <col min="10759" max="10759" width="8.125" style="58" customWidth="1"/>
    <col min="10760" max="10761" width="9" style="58"/>
    <col min="10762" max="10762" width="11.25" style="58" customWidth="1"/>
    <col min="10763" max="10763" width="9.5" style="58" bestFit="1" customWidth="1"/>
    <col min="10764" max="10764" width="9" style="58"/>
    <col min="10765" max="10765" width="9" style="58" customWidth="1"/>
    <col min="10766" max="10766" width="9" style="58"/>
    <col min="10767" max="10768" width="9.5" style="58" bestFit="1" customWidth="1"/>
    <col min="10769" max="11013" width="9" style="58"/>
    <col min="11014" max="11014" width="21.5" style="58" customWidth="1"/>
    <col min="11015" max="11015" width="8.125" style="58" customWidth="1"/>
    <col min="11016" max="11017" width="9" style="58"/>
    <col min="11018" max="11018" width="11.25" style="58" customWidth="1"/>
    <col min="11019" max="11019" width="9.5" style="58" bestFit="1" customWidth="1"/>
    <col min="11020" max="11020" width="9" style="58"/>
    <col min="11021" max="11021" width="9" style="58" customWidth="1"/>
    <col min="11022" max="11022" width="9" style="58"/>
    <col min="11023" max="11024" width="9.5" style="58" bestFit="1" customWidth="1"/>
    <col min="11025" max="11269" width="9" style="58"/>
    <col min="11270" max="11270" width="21.5" style="58" customWidth="1"/>
    <col min="11271" max="11271" width="8.125" style="58" customWidth="1"/>
    <col min="11272" max="11273" width="9" style="58"/>
    <col min="11274" max="11274" width="11.25" style="58" customWidth="1"/>
    <col min="11275" max="11275" width="9.5" style="58" bestFit="1" customWidth="1"/>
    <col min="11276" max="11276" width="9" style="58"/>
    <col min="11277" max="11277" width="9" style="58" customWidth="1"/>
    <col min="11278" max="11278" width="9" style="58"/>
    <col min="11279" max="11280" width="9.5" style="58" bestFit="1" customWidth="1"/>
    <col min="11281" max="11525" width="9" style="58"/>
    <col min="11526" max="11526" width="21.5" style="58" customWidth="1"/>
    <col min="11527" max="11527" width="8.125" style="58" customWidth="1"/>
    <col min="11528" max="11529" width="9" style="58"/>
    <col min="11530" max="11530" width="11.25" style="58" customWidth="1"/>
    <col min="11531" max="11531" width="9.5" style="58" bestFit="1" customWidth="1"/>
    <col min="11532" max="11532" width="9" style="58"/>
    <col min="11533" max="11533" width="9" style="58" customWidth="1"/>
    <col min="11534" max="11534" width="9" style="58"/>
    <col min="11535" max="11536" width="9.5" style="58" bestFit="1" customWidth="1"/>
    <col min="11537" max="11781" width="9" style="58"/>
    <col min="11782" max="11782" width="21.5" style="58" customWidth="1"/>
    <col min="11783" max="11783" width="8.125" style="58" customWidth="1"/>
    <col min="11784" max="11785" width="9" style="58"/>
    <col min="11786" max="11786" width="11.25" style="58" customWidth="1"/>
    <col min="11787" max="11787" width="9.5" style="58" bestFit="1" customWidth="1"/>
    <col min="11788" max="11788" width="9" style="58"/>
    <col min="11789" max="11789" width="9" style="58" customWidth="1"/>
    <col min="11790" max="11790" width="9" style="58"/>
    <col min="11791" max="11792" width="9.5" style="58" bestFit="1" customWidth="1"/>
    <col min="11793" max="12037" width="9" style="58"/>
    <col min="12038" max="12038" width="21.5" style="58" customWidth="1"/>
    <col min="12039" max="12039" width="8.125" style="58" customWidth="1"/>
    <col min="12040" max="12041" width="9" style="58"/>
    <col min="12042" max="12042" width="11.25" style="58" customWidth="1"/>
    <col min="12043" max="12043" width="9.5" style="58" bestFit="1" customWidth="1"/>
    <col min="12044" max="12044" width="9" style="58"/>
    <col min="12045" max="12045" width="9" style="58" customWidth="1"/>
    <col min="12046" max="12046" width="9" style="58"/>
    <col min="12047" max="12048" width="9.5" style="58" bestFit="1" customWidth="1"/>
    <col min="12049" max="12293" width="9" style="58"/>
    <col min="12294" max="12294" width="21.5" style="58" customWidth="1"/>
    <col min="12295" max="12295" width="8.125" style="58" customWidth="1"/>
    <col min="12296" max="12297" width="9" style="58"/>
    <col min="12298" max="12298" width="11.25" style="58" customWidth="1"/>
    <col min="12299" max="12299" width="9.5" style="58" bestFit="1" customWidth="1"/>
    <col min="12300" max="12300" width="9" style="58"/>
    <col min="12301" max="12301" width="9" style="58" customWidth="1"/>
    <col min="12302" max="12302" width="9" style="58"/>
    <col min="12303" max="12304" width="9.5" style="58" bestFit="1" customWidth="1"/>
    <col min="12305" max="12549" width="9" style="58"/>
    <col min="12550" max="12550" width="21.5" style="58" customWidth="1"/>
    <col min="12551" max="12551" width="8.125" style="58" customWidth="1"/>
    <col min="12552" max="12553" width="9" style="58"/>
    <col min="12554" max="12554" width="11.25" style="58" customWidth="1"/>
    <col min="12555" max="12555" width="9.5" style="58" bestFit="1" customWidth="1"/>
    <col min="12556" max="12556" width="9" style="58"/>
    <col min="12557" max="12557" width="9" style="58" customWidth="1"/>
    <col min="12558" max="12558" width="9" style="58"/>
    <col min="12559" max="12560" width="9.5" style="58" bestFit="1" customWidth="1"/>
    <col min="12561" max="12805" width="9" style="58"/>
    <col min="12806" max="12806" width="21.5" style="58" customWidth="1"/>
    <col min="12807" max="12807" width="8.125" style="58" customWidth="1"/>
    <col min="12808" max="12809" width="9" style="58"/>
    <col min="12810" max="12810" width="11.25" style="58" customWidth="1"/>
    <col min="12811" max="12811" width="9.5" style="58" bestFit="1" customWidth="1"/>
    <col min="12812" max="12812" width="9" style="58"/>
    <col min="12813" max="12813" width="9" style="58" customWidth="1"/>
    <col min="12814" max="12814" width="9" style="58"/>
    <col min="12815" max="12816" width="9.5" style="58" bestFit="1" customWidth="1"/>
    <col min="12817" max="13061" width="9" style="58"/>
    <col min="13062" max="13062" width="21.5" style="58" customWidth="1"/>
    <col min="13063" max="13063" width="8.125" style="58" customWidth="1"/>
    <col min="13064" max="13065" width="9" style="58"/>
    <col min="13066" max="13066" width="11.25" style="58" customWidth="1"/>
    <col min="13067" max="13067" width="9.5" style="58" bestFit="1" customWidth="1"/>
    <col min="13068" max="13068" width="9" style="58"/>
    <col min="13069" max="13069" width="9" style="58" customWidth="1"/>
    <col min="13070" max="13070" width="9" style="58"/>
    <col min="13071" max="13072" width="9.5" style="58" bestFit="1" customWidth="1"/>
    <col min="13073" max="13317" width="9" style="58"/>
    <col min="13318" max="13318" width="21.5" style="58" customWidth="1"/>
    <col min="13319" max="13319" width="8.125" style="58" customWidth="1"/>
    <col min="13320" max="13321" width="9" style="58"/>
    <col min="13322" max="13322" width="11.25" style="58" customWidth="1"/>
    <col min="13323" max="13323" width="9.5" style="58" bestFit="1" customWidth="1"/>
    <col min="13324" max="13324" width="9" style="58"/>
    <col min="13325" max="13325" width="9" style="58" customWidth="1"/>
    <col min="13326" max="13326" width="9" style="58"/>
    <col min="13327" max="13328" width="9.5" style="58" bestFit="1" customWidth="1"/>
    <col min="13329" max="13573" width="9" style="58"/>
    <col min="13574" max="13574" width="21.5" style="58" customWidth="1"/>
    <col min="13575" max="13575" width="8.125" style="58" customWidth="1"/>
    <col min="13576" max="13577" width="9" style="58"/>
    <col min="13578" max="13578" width="11.25" style="58" customWidth="1"/>
    <col min="13579" max="13579" width="9.5" style="58" bestFit="1" customWidth="1"/>
    <col min="13580" max="13580" width="9" style="58"/>
    <col min="13581" max="13581" width="9" style="58" customWidth="1"/>
    <col min="13582" max="13582" width="9" style="58"/>
    <col min="13583" max="13584" width="9.5" style="58" bestFit="1" customWidth="1"/>
    <col min="13585" max="13829" width="9" style="58"/>
    <col min="13830" max="13830" width="21.5" style="58" customWidth="1"/>
    <col min="13831" max="13831" width="8.125" style="58" customWidth="1"/>
    <col min="13832" max="13833" width="9" style="58"/>
    <col min="13834" max="13834" width="11.25" style="58" customWidth="1"/>
    <col min="13835" max="13835" width="9.5" style="58" bestFit="1" customWidth="1"/>
    <col min="13836" max="13836" width="9" style="58"/>
    <col min="13837" max="13837" width="9" style="58" customWidth="1"/>
    <col min="13838" max="13838" width="9" style="58"/>
    <col min="13839" max="13840" width="9.5" style="58" bestFit="1" customWidth="1"/>
    <col min="13841" max="14085" width="9" style="58"/>
    <col min="14086" max="14086" width="21.5" style="58" customWidth="1"/>
    <col min="14087" max="14087" width="8.125" style="58" customWidth="1"/>
    <col min="14088" max="14089" width="9" style="58"/>
    <col min="14090" max="14090" width="11.25" style="58" customWidth="1"/>
    <col min="14091" max="14091" width="9.5" style="58" bestFit="1" customWidth="1"/>
    <col min="14092" max="14092" width="9" style="58"/>
    <col min="14093" max="14093" width="9" style="58" customWidth="1"/>
    <col min="14094" max="14094" width="9" style="58"/>
    <col min="14095" max="14096" width="9.5" style="58" bestFit="1" customWidth="1"/>
    <col min="14097" max="14341" width="9" style="58"/>
    <col min="14342" max="14342" width="21.5" style="58" customWidth="1"/>
    <col min="14343" max="14343" width="8.125" style="58" customWidth="1"/>
    <col min="14344" max="14345" width="9" style="58"/>
    <col min="14346" max="14346" width="11.25" style="58" customWidth="1"/>
    <col min="14347" max="14347" width="9.5" style="58" bestFit="1" customWidth="1"/>
    <col min="14348" max="14348" width="9" style="58"/>
    <col min="14349" max="14349" width="9" style="58" customWidth="1"/>
    <col min="14350" max="14350" width="9" style="58"/>
    <col min="14351" max="14352" width="9.5" style="58" bestFit="1" customWidth="1"/>
    <col min="14353" max="14597" width="9" style="58"/>
    <col min="14598" max="14598" width="21.5" style="58" customWidth="1"/>
    <col min="14599" max="14599" width="8.125" style="58" customWidth="1"/>
    <col min="14600" max="14601" width="9" style="58"/>
    <col min="14602" max="14602" width="11.25" style="58" customWidth="1"/>
    <col min="14603" max="14603" width="9.5" style="58" bestFit="1" customWidth="1"/>
    <col min="14604" max="14604" width="9" style="58"/>
    <col min="14605" max="14605" width="9" style="58" customWidth="1"/>
    <col min="14606" max="14606" width="9" style="58"/>
    <col min="14607" max="14608" width="9.5" style="58" bestFit="1" customWidth="1"/>
    <col min="14609" max="14853" width="9" style="58"/>
    <col min="14854" max="14854" width="21.5" style="58" customWidth="1"/>
    <col min="14855" max="14855" width="8.125" style="58" customWidth="1"/>
    <col min="14856" max="14857" width="9" style="58"/>
    <col min="14858" max="14858" width="11.25" style="58" customWidth="1"/>
    <col min="14859" max="14859" width="9.5" style="58" bestFit="1" customWidth="1"/>
    <col min="14860" max="14860" width="9" style="58"/>
    <col min="14861" max="14861" width="9" style="58" customWidth="1"/>
    <col min="14862" max="14862" width="9" style="58"/>
    <col min="14863" max="14864" width="9.5" style="58" bestFit="1" customWidth="1"/>
    <col min="14865" max="15109" width="9" style="58"/>
    <col min="15110" max="15110" width="21.5" style="58" customWidth="1"/>
    <col min="15111" max="15111" width="8.125" style="58" customWidth="1"/>
    <col min="15112" max="15113" width="9" style="58"/>
    <col min="15114" max="15114" width="11.25" style="58" customWidth="1"/>
    <col min="15115" max="15115" width="9.5" style="58" bestFit="1" customWidth="1"/>
    <col min="15116" max="15116" width="9" style="58"/>
    <col min="15117" max="15117" width="9" style="58" customWidth="1"/>
    <col min="15118" max="15118" width="9" style="58"/>
    <col min="15119" max="15120" width="9.5" style="58" bestFit="1" customWidth="1"/>
    <col min="15121" max="15365" width="9" style="58"/>
    <col min="15366" max="15366" width="21.5" style="58" customWidth="1"/>
    <col min="15367" max="15367" width="8.125" style="58" customWidth="1"/>
    <col min="15368" max="15369" width="9" style="58"/>
    <col min="15370" max="15370" width="11.25" style="58" customWidth="1"/>
    <col min="15371" max="15371" width="9.5" style="58" bestFit="1" customWidth="1"/>
    <col min="15372" max="15372" width="9" style="58"/>
    <col min="15373" max="15373" width="9" style="58" customWidth="1"/>
    <col min="15374" max="15374" width="9" style="58"/>
    <col min="15375" max="15376" width="9.5" style="58" bestFit="1" customWidth="1"/>
    <col min="15377" max="15621" width="9" style="58"/>
    <col min="15622" max="15622" width="21.5" style="58" customWidth="1"/>
    <col min="15623" max="15623" width="8.125" style="58" customWidth="1"/>
    <col min="15624" max="15625" width="9" style="58"/>
    <col min="15626" max="15626" width="11.25" style="58" customWidth="1"/>
    <col min="15627" max="15627" width="9.5" style="58" bestFit="1" customWidth="1"/>
    <col min="15628" max="15628" width="9" style="58"/>
    <col min="15629" max="15629" width="9" style="58" customWidth="1"/>
    <col min="15630" max="15630" width="9" style="58"/>
    <col min="15631" max="15632" width="9.5" style="58" bestFit="1" customWidth="1"/>
    <col min="15633" max="15877" width="9" style="58"/>
    <col min="15878" max="15878" width="21.5" style="58" customWidth="1"/>
    <col min="15879" max="15879" width="8.125" style="58" customWidth="1"/>
    <col min="15880" max="15881" width="9" style="58"/>
    <col min="15882" max="15882" width="11.25" style="58" customWidth="1"/>
    <col min="15883" max="15883" width="9.5" style="58" bestFit="1" customWidth="1"/>
    <col min="15884" max="15884" width="9" style="58"/>
    <col min="15885" max="15885" width="9" style="58" customWidth="1"/>
    <col min="15886" max="15886" width="9" style="58"/>
    <col min="15887" max="15888" width="9.5" style="58" bestFit="1" customWidth="1"/>
    <col min="15889" max="16133" width="9" style="58"/>
    <col min="16134" max="16134" width="21.5" style="58" customWidth="1"/>
    <col min="16135" max="16135" width="8.125" style="58" customWidth="1"/>
    <col min="16136" max="16137" width="9" style="58"/>
    <col min="16138" max="16138" width="11.25" style="58" customWidth="1"/>
    <col min="16139" max="16139" width="9.5" style="58" bestFit="1" customWidth="1"/>
    <col min="16140" max="16140" width="9" style="58"/>
    <col min="16141" max="16141" width="9" style="58" customWidth="1"/>
    <col min="16142" max="16142" width="9" style="58"/>
    <col min="16143" max="16144" width="9.5" style="58" bestFit="1" customWidth="1"/>
    <col min="16145" max="16384" width="9" style="58"/>
  </cols>
  <sheetData>
    <row r="1" spans="1:16">
      <c r="B1" s="59"/>
      <c r="C1" s="59"/>
      <c r="D1" s="59"/>
      <c r="N1" s="60"/>
      <c r="O1" s="60"/>
      <c r="P1" s="60"/>
    </row>
    <row r="2" spans="1:16">
      <c r="A2" s="81" t="s">
        <v>68</v>
      </c>
      <c r="B2" s="81" t="s">
        <v>69</v>
      </c>
      <c r="C2" s="81" t="s">
        <v>70</v>
      </c>
      <c r="D2" s="81" t="s">
        <v>71</v>
      </c>
      <c r="E2" s="81" t="s">
        <v>72</v>
      </c>
      <c r="F2" s="82" t="s">
        <v>73</v>
      </c>
      <c r="M2" s="61"/>
    </row>
    <row r="3" spans="1:16">
      <c r="A3" s="82" t="s">
        <v>74</v>
      </c>
      <c r="B3" s="83">
        <v>650</v>
      </c>
      <c r="C3" s="83"/>
      <c r="D3" s="83">
        <v>115</v>
      </c>
      <c r="E3" s="84"/>
      <c r="F3" s="85"/>
      <c r="M3" s="61"/>
    </row>
    <row r="4" spans="1:16">
      <c r="A4" s="82" t="s">
        <v>75</v>
      </c>
      <c r="B4" s="83">
        <v>450</v>
      </c>
      <c r="C4" s="83"/>
      <c r="D4" s="83">
        <v>85</v>
      </c>
      <c r="E4" s="84"/>
      <c r="F4" s="85"/>
      <c r="M4" s="61"/>
    </row>
    <row r="5" spans="1:16">
      <c r="A5" s="82" t="s">
        <v>76</v>
      </c>
      <c r="B5" s="83">
        <v>280</v>
      </c>
      <c r="C5" s="83">
        <v>40</v>
      </c>
      <c r="D5" s="83">
        <v>90</v>
      </c>
      <c r="E5" s="84"/>
      <c r="F5" s="85"/>
      <c r="M5" s="61"/>
    </row>
    <row r="6" spans="1:16">
      <c r="M6" s="61"/>
    </row>
    <row r="7" spans="1:16">
      <c r="A7" s="82" t="s">
        <v>77</v>
      </c>
      <c r="B7" s="86">
        <v>0.1</v>
      </c>
      <c r="M7" s="61"/>
    </row>
    <row r="8" spans="1:16">
      <c r="A8" s="82" t="s">
        <v>78</v>
      </c>
      <c r="B8" s="86">
        <v>0.08</v>
      </c>
      <c r="M8" s="61"/>
    </row>
    <row r="9" spans="1:16">
      <c r="A9" s="82" t="s">
        <v>79</v>
      </c>
      <c r="B9" s="83">
        <v>8</v>
      </c>
      <c r="M9" s="61"/>
    </row>
    <row r="10" spans="1:16">
      <c r="M10" s="61"/>
    </row>
    <row r="11" spans="1:16">
      <c r="A11" s="82" t="s">
        <v>80</v>
      </c>
      <c r="B11" s="87"/>
      <c r="H11" s="61"/>
      <c r="I11" s="61"/>
      <c r="J11" s="61"/>
      <c r="K11" s="61"/>
      <c r="M11" s="61"/>
    </row>
    <row r="12" spans="1:16">
      <c r="M12" s="61"/>
    </row>
    <row r="13" spans="1:16">
      <c r="A13" s="82" t="s">
        <v>81</v>
      </c>
      <c r="B13" s="82"/>
      <c r="M13" s="61"/>
    </row>
    <row r="14" spans="1:16">
      <c r="A14" s="82" t="s">
        <v>82</v>
      </c>
      <c r="B14" s="88"/>
      <c r="M14" s="61"/>
    </row>
    <row r="15" spans="1:16">
      <c r="A15" s="82" t="s">
        <v>83</v>
      </c>
      <c r="B15" s="88"/>
      <c r="M15" s="61"/>
    </row>
    <row r="16" spans="1:16">
      <c r="M16" s="61"/>
    </row>
    <row r="17" spans="13:14">
      <c r="M17" s="61"/>
    </row>
    <row r="19" spans="13:14">
      <c r="M19" s="61"/>
    </row>
    <row r="20" spans="13:14">
      <c r="M20" s="62"/>
    </row>
    <row r="21" spans="13:14">
      <c r="M21" s="61"/>
    </row>
    <row r="23" spans="13:14">
      <c r="N23" s="63"/>
    </row>
    <row r="24" spans="13:14">
      <c r="N24" s="63"/>
    </row>
  </sheetData>
  <phoneticPr fontId="14" type="noConversion"/>
  <printOptions horizontalCentered="1"/>
  <pageMargins left="0.23622047244094491" right="0.23622047244094491" top="0.74803149606299213" bottom="0.74803149606299213" header="0.31496062992125984" footer="0.31496062992125984"/>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4"/>
  <sheetViews>
    <sheetView workbookViewId="0">
      <selection activeCell="I27" sqref="I27"/>
    </sheetView>
  </sheetViews>
  <sheetFormatPr defaultRowHeight="12.75" customHeight="1"/>
  <cols>
    <col min="1" max="1" width="9" style="68"/>
    <col min="2" max="2" width="5.375" style="68" customWidth="1"/>
    <col min="3" max="3" width="8.875" style="68" customWidth="1"/>
    <col min="4" max="6" width="9.375" style="71" customWidth="1"/>
    <col min="7" max="7" width="9.625" style="68" customWidth="1"/>
    <col min="8" max="8" width="9.25" style="68" bestFit="1" customWidth="1"/>
    <col min="9" max="9" width="8.125" style="68" bestFit="1" customWidth="1"/>
    <col min="10" max="10" width="8.5" style="68" bestFit="1" customWidth="1"/>
    <col min="11" max="16384" width="9" style="68"/>
  </cols>
  <sheetData>
    <row r="1" spans="2:7" ht="15">
      <c r="B1" s="64"/>
      <c r="C1" s="65"/>
      <c r="D1" s="66" t="s">
        <v>84</v>
      </c>
      <c r="E1" s="66" t="s">
        <v>85</v>
      </c>
      <c r="F1" s="66" t="s">
        <v>86</v>
      </c>
      <c r="G1" s="67" t="s">
        <v>87</v>
      </c>
    </row>
    <row r="2" spans="2:7" ht="15">
      <c r="B2" s="69"/>
      <c r="C2" s="67" t="s">
        <v>88</v>
      </c>
      <c r="D2" s="70">
        <v>5</v>
      </c>
      <c r="E2" s="70">
        <v>4</v>
      </c>
      <c r="F2" s="70">
        <v>9</v>
      </c>
      <c r="G2" s="70">
        <v>12</v>
      </c>
    </row>
    <row r="3" spans="2:7" ht="15">
      <c r="B3" s="69"/>
      <c r="C3" s="67" t="s">
        <v>89</v>
      </c>
      <c r="D3" s="70">
        <v>7</v>
      </c>
      <c r="E3" s="70">
        <v>5</v>
      </c>
      <c r="F3" s="70">
        <v>6</v>
      </c>
      <c r="G3" s="70">
        <v>15</v>
      </c>
    </row>
    <row r="4" spans="2:7" ht="14.25">
      <c r="B4" s="64"/>
    </row>
    <row r="5" spans="2:7" ht="12"/>
    <row r="6" spans="2:7" ht="13.5">
      <c r="G6" s="65"/>
    </row>
    <row r="7" spans="2:7" ht="13.5">
      <c r="C7" s="65"/>
      <c r="D7" s="72"/>
      <c r="E7" s="72"/>
      <c r="F7" s="72"/>
      <c r="G7" s="65"/>
    </row>
    <row r="8" spans="2:7" ht="12"/>
    <row r="9" spans="2:7" ht="12"/>
    <row r="11" spans="2:7" ht="12"/>
    <row r="12" spans="2:7" ht="12"/>
    <row r="14" spans="2:7" ht="12"/>
  </sheetData>
  <phoneticPr fontId="1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2:F15"/>
  <sheetViews>
    <sheetView workbookViewId="0">
      <selection activeCell="G25" sqref="G25"/>
    </sheetView>
  </sheetViews>
  <sheetFormatPr defaultRowHeight="13.5"/>
  <sheetData>
    <row r="12" spans="4:6">
      <c r="E12" s="73" t="s">
        <v>90</v>
      </c>
      <c r="F12" s="73" t="s">
        <v>91</v>
      </c>
    </row>
    <row r="13" spans="4:6">
      <c r="D13" s="73" t="s">
        <v>92</v>
      </c>
      <c r="E13" s="74"/>
      <c r="F13" s="74"/>
    </row>
    <row r="14" spans="4:6">
      <c r="D14" s="73" t="s">
        <v>93</v>
      </c>
      <c r="E14" s="74"/>
      <c r="F14" s="74"/>
    </row>
    <row r="15" spans="4:6">
      <c r="D15" s="73" t="s">
        <v>94</v>
      </c>
      <c r="E15" s="74"/>
      <c r="F15" s="74"/>
    </row>
  </sheetData>
  <phoneticPr fontId="14" type="noConversion"/>
  <pageMargins left="0.25" right="0.25"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9"/>
  <sheetViews>
    <sheetView topLeftCell="A16" workbookViewId="0">
      <selection activeCell="H20" sqref="H20"/>
    </sheetView>
  </sheetViews>
  <sheetFormatPr defaultRowHeight="13.5"/>
  <cols>
    <col min="1" max="1" width="3.375" customWidth="1"/>
    <col min="2" max="2" width="42.75" customWidth="1"/>
  </cols>
  <sheetData>
    <row r="1" spans="2:3" ht="31.5">
      <c r="B1" s="75" t="s">
        <v>95</v>
      </c>
      <c r="C1" s="76"/>
    </row>
    <row r="2" spans="2:3" ht="3.75" customHeight="1">
      <c r="B2" s="76"/>
      <c r="C2" s="76"/>
    </row>
    <row r="3" spans="2:3" ht="14.25">
      <c r="B3" s="77" t="s">
        <v>96</v>
      </c>
      <c r="C3" s="78">
        <v>2.9</v>
      </c>
    </row>
    <row r="4" spans="2:3" ht="14.25">
      <c r="B4" s="77" t="s">
        <v>97</v>
      </c>
      <c r="C4" s="78">
        <v>2.8</v>
      </c>
    </row>
    <row r="5" spans="2:3" ht="14.25">
      <c r="B5" s="77" t="s">
        <v>98</v>
      </c>
      <c r="C5" s="79">
        <v>230</v>
      </c>
    </row>
    <row r="6" spans="2:3" ht="14.25">
      <c r="B6" s="77" t="s">
        <v>99</v>
      </c>
      <c r="C6" s="78">
        <v>3.5</v>
      </c>
    </row>
    <row r="7" spans="2:3" ht="14.25">
      <c r="B7" s="77" t="s">
        <v>100</v>
      </c>
      <c r="C7" s="80">
        <v>0.6</v>
      </c>
    </row>
    <row r="8" spans="2:3" ht="14.25">
      <c r="B8" s="77" t="s">
        <v>101</v>
      </c>
      <c r="C8" s="79">
        <v>120</v>
      </c>
    </row>
    <row r="9" spans="2:3" ht="14.25">
      <c r="B9" s="77" t="s">
        <v>102</v>
      </c>
      <c r="C9" s="79">
        <v>270</v>
      </c>
    </row>
  </sheetData>
  <phoneticPr fontId="1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考试须知</vt:lpstr>
      <vt:lpstr>第1题</vt:lpstr>
      <vt:lpstr>第2题</vt:lpstr>
      <vt:lpstr>第3題</vt:lpstr>
      <vt:lpstr>第4题</vt:lpstr>
      <vt:lpstr>第5题</vt:lpstr>
      <vt:lpstr>第6题</vt:lpstr>
      <vt:lpstr>第7题</vt:lpstr>
      <vt:lpstr>第8题</vt:lpstr>
    </vt:vector>
  </TitlesOfParts>
  <Company>上海财经大学</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CaoFeng</dc:creator>
  <cp:lastModifiedBy>C02</cp:lastModifiedBy>
  <cp:lastPrinted>2016-12-25T13:33:17Z</cp:lastPrinted>
  <dcterms:created xsi:type="dcterms:W3CDTF">2010-12-28T07:11:34Z</dcterms:created>
  <dcterms:modified xsi:type="dcterms:W3CDTF">2017-06-02T02:30:51Z</dcterms:modified>
</cp:coreProperties>
</file>