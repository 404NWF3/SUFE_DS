
<file path=[Content_Types].xml><?xml version="1.0" encoding="utf-8"?>
<Types xmlns="http://schemas.openxmlformats.org/package/2006/content-types">
  <Default Extension="png" ContentType="image/png"/>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20490" windowHeight="7770"/>
  </bookViews>
  <sheets>
    <sheet name="第1题" sheetId="31" r:id="rId1"/>
    <sheet name="第2题" sheetId="39" r:id="rId2"/>
    <sheet name="第3题" sheetId="40" r:id="rId3"/>
    <sheet name="第4题" sheetId="41" r:id="rId4"/>
    <sheet name="第5题" sheetId="42" r:id="rId5"/>
    <sheet name="第6题" sheetId="43" r:id="rId6"/>
    <sheet name="第7题" sheetId="44" r:id="rId7"/>
    <sheet name="第8题" sheetId="45" r:id="rId8"/>
  </sheets>
  <definedNames>
    <definedName name="BudgetTab">#REF!</definedName>
  </definedNames>
  <calcPr calcId="152511"/>
</workbook>
</file>

<file path=xl/calcChain.xml><?xml version="1.0" encoding="utf-8"?>
<calcChain xmlns="http://schemas.openxmlformats.org/spreadsheetml/2006/main">
  <c r="N117" i="45" l="1"/>
  <c r="J117" i="45"/>
  <c r="D9" i="45"/>
  <c r="I3" i="41" l="1"/>
  <c r="D8" i="39" l="1"/>
</calcChain>
</file>

<file path=xl/sharedStrings.xml><?xml version="1.0" encoding="utf-8"?>
<sst xmlns="http://schemas.openxmlformats.org/spreadsheetml/2006/main" count="138" uniqueCount="136">
  <si>
    <t>销量</t>
    <phoneticPr fontId="33" type="noConversion"/>
  </si>
  <si>
    <t>销售单价</t>
    <phoneticPr fontId="33" type="noConversion"/>
  </si>
  <si>
    <t>单位可变成本</t>
    <phoneticPr fontId="33" type="noConversion"/>
  </si>
  <si>
    <t>固定成本</t>
    <phoneticPr fontId="33" type="noConversion"/>
  </si>
  <si>
    <t>总工资</t>
    <phoneticPr fontId="33" type="noConversion"/>
  </si>
  <si>
    <t>办公费用</t>
    <phoneticPr fontId="33" type="noConversion"/>
  </si>
  <si>
    <t>应缴税率</t>
    <phoneticPr fontId="33" type="noConversion"/>
  </si>
  <si>
    <t>产品总成本</t>
    <phoneticPr fontId="33" type="noConversion"/>
  </si>
  <si>
    <t>生产工人工资</t>
    <phoneticPr fontId="33" type="noConversion"/>
  </si>
  <si>
    <t>管理人员工资</t>
    <phoneticPr fontId="33" type="noConversion"/>
  </si>
  <si>
    <t>工资+管理费用</t>
    <phoneticPr fontId="33" type="noConversion"/>
  </si>
  <si>
    <t>应缴税金</t>
    <phoneticPr fontId="33" type="noConversion"/>
  </si>
  <si>
    <t>销售收入</t>
    <phoneticPr fontId="33" type="noConversion"/>
  </si>
  <si>
    <t>税后利润</t>
    <phoneticPr fontId="33" type="noConversion"/>
  </si>
  <si>
    <t>目标利润</t>
    <phoneticPr fontId="33" type="noConversion"/>
  </si>
  <si>
    <t>目标销量</t>
    <phoneticPr fontId="33" type="noConversion"/>
  </si>
  <si>
    <t>销售数量</t>
  </si>
  <si>
    <t>销售单价</t>
    <phoneticPr fontId="4" type="noConversion"/>
  </si>
  <si>
    <t>销售收益</t>
  </si>
  <si>
    <t>工厂甲</t>
    <phoneticPr fontId="4" type="noConversion"/>
  </si>
  <si>
    <t>工厂乙</t>
    <phoneticPr fontId="4" type="noConversion"/>
  </si>
  <si>
    <t>固定成本</t>
  </si>
  <si>
    <t>单位可变成本</t>
  </si>
  <si>
    <t>总成本</t>
  </si>
  <si>
    <t>利润</t>
  </si>
  <si>
    <t>两分厂各自盈亏平衡点</t>
    <phoneticPr fontId="4" type="noConversion"/>
  </si>
  <si>
    <t>两分厂相对盈亏平衡点</t>
    <phoneticPr fontId="4" type="noConversion"/>
  </si>
  <si>
    <t>相对盈亏平衡点处的利润</t>
    <phoneticPr fontId="4" type="noConversion"/>
  </si>
  <si>
    <t>3)中的决策结论</t>
    <phoneticPr fontId="4" type="noConversion"/>
  </si>
  <si>
    <t>5)中销售单价=</t>
    <phoneticPr fontId="4" type="noConversion"/>
  </si>
  <si>
    <t>年需求量</t>
    <phoneticPr fontId="4" type="noConversion"/>
  </si>
  <si>
    <t>折扣阈限值(件)</t>
    <phoneticPr fontId="4" type="noConversion"/>
  </si>
  <si>
    <t>单价折扣率</t>
    <phoneticPr fontId="4" type="noConversion"/>
  </si>
  <si>
    <t>折扣优惠方案标准</t>
    <phoneticPr fontId="4" type="noConversion"/>
  </si>
  <si>
    <t>一次订货的订货成本</t>
    <phoneticPr fontId="4" type="noConversion"/>
  </si>
  <si>
    <r>
      <rPr>
        <sz val="12"/>
        <rFont val="宋体"/>
        <family val="3"/>
        <charset val="134"/>
      </rPr>
      <t>订购量</t>
    </r>
    <r>
      <rPr>
        <sz val="12"/>
        <rFont val="Arial"/>
        <family val="2"/>
      </rPr>
      <t>1500</t>
    </r>
    <r>
      <rPr>
        <sz val="12"/>
        <rFont val="宋体"/>
        <family val="3"/>
        <charset val="134"/>
      </rPr>
      <t>以内无优惠</t>
    </r>
    <phoneticPr fontId="4" type="noConversion"/>
  </si>
  <si>
    <t>单位年储存成本</t>
    <phoneticPr fontId="4" type="noConversion"/>
  </si>
  <si>
    <r>
      <rPr>
        <sz val="12"/>
        <rFont val="宋体"/>
        <family val="3"/>
        <charset val="134"/>
      </rPr>
      <t>订购量大于等于</t>
    </r>
    <r>
      <rPr>
        <sz val="12"/>
        <rFont val="Arial"/>
        <family val="2"/>
      </rPr>
      <t>1500</t>
    </r>
    <r>
      <rPr>
        <sz val="12"/>
        <rFont val="宋体"/>
        <family val="3"/>
        <charset val="134"/>
      </rPr>
      <t>且小于</t>
    </r>
    <r>
      <rPr>
        <sz val="12"/>
        <rFont val="Arial"/>
        <family val="2"/>
      </rPr>
      <t>2000</t>
    </r>
    <r>
      <rPr>
        <sz val="12"/>
        <rFont val="宋体"/>
        <family val="3"/>
        <charset val="134"/>
      </rPr>
      <t>时，</t>
    </r>
    <r>
      <rPr>
        <sz val="12"/>
        <rFont val="Arial"/>
        <family val="2"/>
      </rPr>
      <t>4%</t>
    </r>
    <r>
      <rPr>
        <sz val="12"/>
        <rFont val="宋体"/>
        <family val="3"/>
        <charset val="134"/>
      </rPr>
      <t>的优惠</t>
    </r>
    <phoneticPr fontId="4" type="noConversion"/>
  </si>
  <si>
    <t>名义采购单价</t>
    <phoneticPr fontId="4" type="noConversion"/>
  </si>
  <si>
    <r>
      <rPr>
        <sz val="12"/>
        <rFont val="宋体"/>
        <family val="3"/>
        <charset val="134"/>
      </rPr>
      <t>订购量大于等于</t>
    </r>
    <r>
      <rPr>
        <sz val="12"/>
        <rFont val="Arial"/>
        <family val="2"/>
      </rPr>
      <t>2000</t>
    </r>
    <r>
      <rPr>
        <sz val="12"/>
        <rFont val="宋体"/>
        <family val="3"/>
        <charset val="134"/>
      </rPr>
      <t>且小于</t>
    </r>
    <r>
      <rPr>
        <sz val="12"/>
        <rFont val="Arial"/>
        <family val="2"/>
      </rPr>
      <t>2500</t>
    </r>
    <r>
      <rPr>
        <sz val="12"/>
        <rFont val="宋体"/>
        <family val="3"/>
        <charset val="134"/>
      </rPr>
      <t>时，</t>
    </r>
    <r>
      <rPr>
        <sz val="12"/>
        <rFont val="Arial"/>
        <family val="2"/>
      </rPr>
      <t>12%</t>
    </r>
    <r>
      <rPr>
        <sz val="12"/>
        <rFont val="宋体"/>
        <family val="3"/>
        <charset val="134"/>
      </rPr>
      <t>的优惠</t>
    </r>
    <phoneticPr fontId="4" type="noConversion"/>
  </si>
  <si>
    <t>单价折扣率（OFF）</t>
    <phoneticPr fontId="4" type="noConversion"/>
  </si>
  <si>
    <r>
      <rPr>
        <sz val="12"/>
        <rFont val="宋体"/>
        <family val="3"/>
        <charset val="134"/>
      </rPr>
      <t>订购量大于等于</t>
    </r>
    <r>
      <rPr>
        <sz val="12"/>
        <rFont val="Arial"/>
        <family val="2"/>
      </rPr>
      <t>2500</t>
    </r>
    <r>
      <rPr>
        <sz val="12"/>
        <rFont val="宋体"/>
        <family val="3"/>
        <charset val="134"/>
      </rPr>
      <t>且小于</t>
    </r>
    <r>
      <rPr>
        <sz val="12"/>
        <rFont val="Arial"/>
        <family val="2"/>
      </rPr>
      <t>3000</t>
    </r>
    <r>
      <rPr>
        <sz val="12"/>
        <rFont val="宋体"/>
        <family val="3"/>
        <charset val="134"/>
      </rPr>
      <t>时，</t>
    </r>
    <r>
      <rPr>
        <sz val="12"/>
        <rFont val="Arial"/>
        <family val="2"/>
      </rPr>
      <t>20%</t>
    </r>
    <r>
      <rPr>
        <sz val="12"/>
        <rFont val="宋体"/>
        <family val="3"/>
        <charset val="134"/>
      </rPr>
      <t>的优惠</t>
    </r>
    <phoneticPr fontId="4" type="noConversion"/>
  </si>
  <si>
    <t>实际采购单价</t>
    <phoneticPr fontId="4" type="noConversion"/>
  </si>
  <si>
    <r>
      <rPr>
        <sz val="12"/>
        <rFont val="宋体"/>
        <family val="3"/>
        <charset val="134"/>
      </rPr>
      <t>订购量大于等于</t>
    </r>
    <r>
      <rPr>
        <sz val="12"/>
        <rFont val="Arial"/>
        <family val="2"/>
      </rPr>
      <t>3000</t>
    </r>
    <r>
      <rPr>
        <sz val="12"/>
        <rFont val="宋体"/>
        <family val="3"/>
        <charset val="134"/>
      </rPr>
      <t>时，</t>
    </r>
    <r>
      <rPr>
        <sz val="12"/>
        <rFont val="Arial"/>
        <family val="2"/>
      </rPr>
      <t>30%</t>
    </r>
    <r>
      <rPr>
        <sz val="12"/>
        <rFont val="宋体"/>
        <family val="3"/>
        <charset val="134"/>
      </rPr>
      <t>的优惠</t>
    </r>
    <phoneticPr fontId="4" type="noConversion"/>
  </si>
  <si>
    <t>订货量</t>
    <phoneticPr fontId="4" type="noConversion"/>
  </si>
  <si>
    <t>年订货成本</t>
    <phoneticPr fontId="4" type="noConversion"/>
  </si>
  <si>
    <t>年储存成本</t>
    <phoneticPr fontId="4" type="noConversion"/>
  </si>
  <si>
    <t>年采购成本</t>
    <phoneticPr fontId="4" type="noConversion"/>
  </si>
  <si>
    <t>年总成本</t>
    <phoneticPr fontId="4" type="noConversion"/>
  </si>
  <si>
    <r>
      <t>经济订货量</t>
    </r>
    <r>
      <rPr>
        <sz val="12"/>
        <rFont val="Arial"/>
        <family val="2"/>
      </rPr>
      <t>(EOQ)</t>
    </r>
    <phoneticPr fontId="4" type="noConversion"/>
  </si>
  <si>
    <r>
      <t>EOQ</t>
    </r>
    <r>
      <rPr>
        <sz val="12"/>
        <rFont val="宋体"/>
        <family val="3"/>
        <charset val="134"/>
      </rPr>
      <t>下的年订货成本</t>
    </r>
    <phoneticPr fontId="4" type="noConversion"/>
  </si>
  <si>
    <r>
      <t>EOQ</t>
    </r>
    <r>
      <rPr>
        <sz val="12"/>
        <rFont val="宋体"/>
        <family val="3"/>
        <charset val="134"/>
      </rPr>
      <t>下的年储存成本</t>
    </r>
    <phoneticPr fontId="4" type="noConversion"/>
  </si>
  <si>
    <r>
      <t>EOQ</t>
    </r>
    <r>
      <rPr>
        <sz val="12"/>
        <rFont val="宋体"/>
        <family val="3"/>
        <charset val="134"/>
      </rPr>
      <t>下的年采购成本</t>
    </r>
    <phoneticPr fontId="4" type="noConversion"/>
  </si>
  <si>
    <r>
      <t>EOQ</t>
    </r>
    <r>
      <rPr>
        <sz val="12"/>
        <rFont val="宋体"/>
        <family val="3"/>
        <charset val="134"/>
      </rPr>
      <t>下的年总成本</t>
    </r>
    <phoneticPr fontId="4" type="noConversion"/>
  </si>
  <si>
    <t>贷款额</t>
    <phoneticPr fontId="4" type="noConversion"/>
  </si>
  <si>
    <t>年初欠款余额</t>
    <phoneticPr fontId="4" type="noConversion"/>
  </si>
  <si>
    <t>支付利息</t>
    <phoneticPr fontId="4" type="noConversion"/>
  </si>
  <si>
    <t>归还本金</t>
    <phoneticPr fontId="4" type="noConversion"/>
  </si>
  <si>
    <t>年末欠款余额</t>
    <phoneticPr fontId="4" type="noConversion"/>
  </si>
  <si>
    <t>贷款年限</t>
    <phoneticPr fontId="4" type="noConversion"/>
  </si>
  <si>
    <t>第0年</t>
    <phoneticPr fontId="4" type="noConversion"/>
  </si>
  <si>
    <t>年利率</t>
    <phoneticPr fontId="4" type="noConversion"/>
  </si>
  <si>
    <t>第1年</t>
  </si>
  <si>
    <t>第6年开始的年利率</t>
    <phoneticPr fontId="4" type="noConversion"/>
  </si>
  <si>
    <t>第2年</t>
  </si>
  <si>
    <t>第3年</t>
  </si>
  <si>
    <t>第4年</t>
  </si>
  <si>
    <t>第5年</t>
  </si>
  <si>
    <t>第6年</t>
  </si>
  <si>
    <t>第7年</t>
  </si>
  <si>
    <t>第8年</t>
  </si>
  <si>
    <t>第9年</t>
  </si>
  <si>
    <t>第10年</t>
  </si>
  <si>
    <t>投资额</t>
    <phoneticPr fontId="4" type="noConversion"/>
  </si>
  <si>
    <r>
      <t>第</t>
    </r>
    <r>
      <rPr>
        <sz val="11"/>
        <color theme="1"/>
        <rFont val="宋体"/>
        <family val="3"/>
        <charset val="134"/>
        <scheme val="minor"/>
      </rPr>
      <t>1</t>
    </r>
    <r>
      <rPr>
        <sz val="11"/>
        <rFont val="宋体"/>
        <family val="3"/>
        <charset val="134"/>
      </rPr>
      <t>年利润率</t>
    </r>
    <phoneticPr fontId="4" type="noConversion"/>
  </si>
  <si>
    <t>年成长率</t>
    <phoneticPr fontId="33" type="noConversion"/>
  </si>
  <si>
    <t>出售股权收入</t>
    <phoneticPr fontId="33" type="noConversion"/>
  </si>
  <si>
    <t>净现值</t>
    <phoneticPr fontId="4" type="noConversion"/>
  </si>
  <si>
    <t>内部报酬率</t>
    <phoneticPr fontId="4" type="noConversion"/>
  </si>
  <si>
    <t>零售服务业</t>
    <phoneticPr fontId="4" type="noConversion"/>
  </si>
  <si>
    <t>能源工业</t>
    <phoneticPr fontId="4" type="noConversion"/>
  </si>
  <si>
    <t>房地产业</t>
    <phoneticPr fontId="4" type="noConversion"/>
  </si>
  <si>
    <t>贴现率</t>
  </si>
  <si>
    <t>有效期</t>
    <phoneticPr fontId="4" type="noConversion"/>
  </si>
  <si>
    <t>结论</t>
    <phoneticPr fontId="4" type="noConversion"/>
  </si>
  <si>
    <t>房地产业第1年利润率应为</t>
    <phoneticPr fontId="33" type="noConversion"/>
  </si>
  <si>
    <t>地区A</t>
    <phoneticPr fontId="4" type="noConversion"/>
  </si>
  <si>
    <t>地区B</t>
    <phoneticPr fontId="4" type="noConversion"/>
  </si>
  <si>
    <t>地区C</t>
    <phoneticPr fontId="4" type="noConversion"/>
  </si>
  <si>
    <t>地区D</t>
    <phoneticPr fontId="4" type="noConversion"/>
  </si>
  <si>
    <t>地区E</t>
    <phoneticPr fontId="4" type="noConversion"/>
  </si>
  <si>
    <t>仓库1</t>
    <phoneticPr fontId="4" type="noConversion"/>
  </si>
  <si>
    <t>仓库2</t>
    <phoneticPr fontId="4" type="noConversion"/>
  </si>
  <si>
    <t>仓库3</t>
    <phoneticPr fontId="4" type="noConversion"/>
  </si>
  <si>
    <t>加工装配</t>
    <phoneticPr fontId="33" type="noConversion"/>
  </si>
  <si>
    <t>监测</t>
    <phoneticPr fontId="33" type="noConversion"/>
  </si>
  <si>
    <t>蒙特卡洛投资评价风险模型</t>
  </si>
  <si>
    <t>1.输入区—初始参数</t>
  </si>
  <si>
    <t>日需求先验分布</t>
    <phoneticPr fontId="4" type="noConversion"/>
  </si>
  <si>
    <t>飞机舱位数</t>
    <phoneticPr fontId="4" type="noConversion"/>
  </si>
  <si>
    <t>需求</t>
    <phoneticPr fontId="4" type="noConversion"/>
  </si>
  <si>
    <t>先验</t>
  </si>
  <si>
    <t>累计</t>
  </si>
  <si>
    <t>单次飞行小时下界</t>
    <phoneticPr fontId="4" type="noConversion"/>
  </si>
  <si>
    <t>单次飞行小时上界</t>
    <phoneticPr fontId="4" type="noConversion"/>
  </si>
  <si>
    <t>每飞行1小时机票价格</t>
    <phoneticPr fontId="4" type="noConversion"/>
  </si>
  <si>
    <t>截距正态分布均值</t>
    <phoneticPr fontId="4" type="noConversion"/>
  </si>
  <si>
    <t>机票价格截距正态分布标准差</t>
    <phoneticPr fontId="4" type="noConversion"/>
  </si>
  <si>
    <t>机票价格斜率b</t>
    <phoneticPr fontId="4" type="noConversion"/>
  </si>
  <si>
    <t>贴现率（天）</t>
    <phoneticPr fontId="4" type="noConversion"/>
  </si>
  <si>
    <t>2.生成区</t>
  </si>
  <si>
    <t>单次飞行小时</t>
    <phoneticPr fontId="4" type="noConversion"/>
  </si>
  <si>
    <t>机票价格截距a(整数)</t>
    <phoneticPr fontId="4" type="noConversion"/>
  </si>
  <si>
    <t>4.工作区</t>
    <phoneticPr fontId="4" type="noConversion"/>
  </si>
  <si>
    <t>天数</t>
    <phoneticPr fontId="4" type="noConversion"/>
  </si>
  <si>
    <t>期初</t>
    <phoneticPr fontId="4" type="noConversion"/>
  </si>
  <si>
    <t>实际</t>
    <phoneticPr fontId="4" type="noConversion"/>
  </si>
  <si>
    <t>期末</t>
    <phoneticPr fontId="4" type="noConversion"/>
  </si>
  <si>
    <t>销售价格</t>
    <phoneticPr fontId="4" type="noConversion"/>
  </si>
  <si>
    <t>收益</t>
    <phoneticPr fontId="4" type="noConversion"/>
  </si>
  <si>
    <t>机会</t>
    <phoneticPr fontId="4" type="noConversion"/>
  </si>
  <si>
    <t>5.试验区</t>
    <phoneticPr fontId="4" type="noConversion"/>
  </si>
  <si>
    <t>舱位数</t>
    <phoneticPr fontId="4" type="noConversion"/>
  </si>
  <si>
    <t>需求量</t>
    <phoneticPr fontId="4" type="noConversion"/>
  </si>
  <si>
    <t>销量</t>
    <phoneticPr fontId="4" type="noConversion"/>
  </si>
  <si>
    <t>（整数）</t>
    <phoneticPr fontId="4" type="noConversion"/>
  </si>
  <si>
    <t>收益损失</t>
    <phoneticPr fontId="4" type="noConversion"/>
  </si>
  <si>
    <t>次数</t>
    <phoneticPr fontId="4" type="noConversion"/>
  </si>
  <si>
    <t>收益机会损失</t>
    <phoneticPr fontId="4" type="noConversion"/>
  </si>
  <si>
    <t>4.输出区—最终结果</t>
    <phoneticPr fontId="4" type="noConversion"/>
  </si>
  <si>
    <t>总收益净现值（元）</t>
    <phoneticPr fontId="4" type="noConversion"/>
  </si>
  <si>
    <t>总机会收益损失现值</t>
    <phoneticPr fontId="4" type="noConversion"/>
  </si>
  <si>
    <t>6.决策结论</t>
    <phoneticPr fontId="4" type="noConversion"/>
  </si>
  <si>
    <r>
      <t>100模拟收益净现值均值（元）</t>
    </r>
    <r>
      <rPr>
        <sz val="9"/>
        <rFont val="宋体"/>
        <family val="3"/>
        <charset val="134"/>
      </rPr>
      <t>（保留2位小数）</t>
    </r>
    <phoneticPr fontId="4" type="noConversion"/>
  </si>
  <si>
    <r>
      <t>100模拟机会收益损失净现值最小值（元）</t>
    </r>
    <r>
      <rPr>
        <sz val="9"/>
        <rFont val="宋体"/>
        <family val="3"/>
        <charset val="134"/>
      </rPr>
      <t>（保留2位小数）</t>
    </r>
    <r>
      <rPr>
        <sz val="11"/>
        <color theme="1"/>
        <rFont val="宋体"/>
        <family val="2"/>
        <charset val="134"/>
        <scheme val="minor"/>
      </rPr>
      <t/>
    </r>
    <phoneticPr fontId="4" type="noConversion"/>
  </si>
  <si>
    <r>
      <t>100模拟机会收益损失净现值最大值（元）</t>
    </r>
    <r>
      <rPr>
        <sz val="9"/>
        <rFont val="宋体"/>
        <family val="3"/>
        <charset val="134"/>
      </rPr>
      <t>（保留2位小数）</t>
    </r>
    <r>
      <rPr>
        <sz val="11"/>
        <color theme="1"/>
        <rFont val="宋体"/>
        <family val="2"/>
        <charset val="134"/>
        <scheme val="minor"/>
      </rPr>
      <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</si>
</sst>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8" formatCode="&quot;¥&quot;#,##0.00;[Red]&quot;¥&quot;\-#,##0.00"/>
    <numFmt numFmtId="43" formatCode="_ * #,##0.00_ ;_ * \-#,##0.00_ ;_ * &quot;-&quot;??_ ;_ @_ "/>
    <numFmt numFmtId="176" formatCode="_(* #,##0.00_);_(* \(#,##0.00\);_(* &quot;-&quot;??_);_(@_)"/>
    <numFmt numFmtId="177" formatCode="_-&quot;¥&quot;* #,##0.00_-;\-&quot;¥&quot;* #,##0.00_-;_-&quot;¥&quot;* &quot;-&quot;??_-;_-@_-"/>
    <numFmt numFmtId="178" formatCode="0.0"/>
    <numFmt numFmtId="179" formatCode="&quot;¥&quot;#,##0;[Red]\-&quot;¥&quot;#,##0"/>
    <numFmt numFmtId="180" formatCode="0.0%"/>
    <numFmt numFmtId="181" formatCode="0.000%"/>
    <numFmt numFmtId="182" formatCode="0.0000%"/>
    <numFmt numFmtId="183" formatCode="0_);[Red]\(0\)"/>
    <numFmt numFmtId="184" formatCode="0.0_ "/>
    <numFmt numFmtId="185" formatCode="0_ "/>
    <numFmt numFmtId="186" formatCode="0.00_ "/>
    <numFmt numFmtId="187" formatCode="0.00_);[Red]\(0.00\)"/>
  </numFmts>
  <fonts count="43">
    <font>
      <sz val="11"/>
      <color theme="1"/>
      <name val="宋体"/>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9"/>
      <name val="宋体"/>
      <family val="3"/>
      <charset val="134"/>
    </font>
    <font>
      <sz val="12"/>
      <name val="宋体"/>
      <family val="3"/>
      <charset val="134"/>
    </font>
    <font>
      <sz val="10"/>
      <name val="宋体"/>
      <family val="3"/>
      <charset val="134"/>
    </font>
    <font>
      <b/>
      <sz val="12"/>
      <name val="宋体"/>
      <family val="3"/>
      <charset val="134"/>
    </font>
    <font>
      <sz val="11"/>
      <name val="宋体"/>
      <family val="3"/>
      <charset val="134"/>
    </font>
    <font>
      <sz val="12"/>
      <name val="Arial"/>
      <family val="2"/>
    </font>
    <font>
      <sz val="9"/>
      <name val="宋体"/>
      <family val="3"/>
      <charset val="134"/>
      <scheme val="minor"/>
    </font>
    <font>
      <sz val="10"/>
      <name val="Arial"/>
      <family val="2"/>
    </font>
    <font>
      <sz val="11"/>
      <color theme="1"/>
      <name val="宋体"/>
      <family val="3"/>
      <charset val="134"/>
      <scheme val="minor"/>
    </font>
    <font>
      <sz val="11"/>
      <color indexed="8"/>
      <name val="宋体"/>
      <family val="3"/>
      <charset val="134"/>
    </font>
    <font>
      <sz val="11"/>
      <color indexed="9"/>
      <name val="宋体"/>
      <family val="3"/>
      <charset val="134"/>
    </font>
    <font>
      <sz val="11"/>
      <color indexed="20"/>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7"/>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62"/>
      <name val="宋体"/>
      <family val="3"/>
      <charset val="134"/>
    </font>
    <font>
      <sz val="11"/>
      <color indexed="52"/>
      <name val="宋体"/>
      <family val="3"/>
      <charset val="134"/>
    </font>
    <font>
      <sz val="11"/>
      <color indexed="60"/>
      <name val="宋体"/>
      <family val="3"/>
      <charset val="134"/>
    </font>
    <font>
      <sz val="8"/>
      <name val="Arial"/>
      <family val="2"/>
    </font>
    <font>
      <b/>
      <sz val="11"/>
      <color indexed="63"/>
      <name val="宋体"/>
      <family val="3"/>
      <charset val="134"/>
    </font>
    <font>
      <b/>
      <sz val="18"/>
      <color indexed="56"/>
      <name val="宋体"/>
      <family val="3"/>
      <charset val="134"/>
    </font>
    <font>
      <b/>
      <sz val="11"/>
      <color indexed="8"/>
      <name val="宋体"/>
      <family val="3"/>
      <charset val="134"/>
    </font>
    <font>
      <sz val="11"/>
      <color indexed="10"/>
      <name val="宋体"/>
      <family val="3"/>
      <charset val="134"/>
    </font>
    <font>
      <sz val="11"/>
      <color theme="1"/>
      <name val="宋体"/>
      <family val="2"/>
      <scheme val="minor"/>
    </font>
    <font>
      <sz val="11"/>
      <color theme="1"/>
      <name val="宋体"/>
      <family val="3"/>
      <charset val="134"/>
      <scheme val="minor"/>
    </font>
    <font>
      <sz val="9"/>
      <name val="宋体"/>
      <family val="2"/>
      <charset val="134"/>
      <scheme val="minor"/>
    </font>
    <font>
      <sz val="11"/>
      <color indexed="19"/>
      <name val="宋体"/>
      <family val="3"/>
      <charset val="134"/>
    </font>
    <font>
      <sz val="11"/>
      <color indexed="51"/>
      <name val="宋体"/>
      <family val="3"/>
      <charset val="134"/>
    </font>
    <font>
      <sz val="12"/>
      <color theme="1"/>
      <name val="宋体"/>
      <family val="2"/>
      <charset val="134"/>
      <scheme val="minor"/>
    </font>
    <font>
      <sz val="12"/>
      <color theme="1"/>
      <name val="宋体"/>
      <family val="3"/>
      <charset val="134"/>
      <scheme val="minor"/>
    </font>
    <font>
      <sz val="11"/>
      <name val="宋体"/>
      <family val="2"/>
      <charset val="134"/>
    </font>
    <font>
      <sz val="11"/>
      <name val="Times New Roman"/>
      <family val="1"/>
    </font>
    <font>
      <b/>
      <sz val="22"/>
      <name val="宋体"/>
      <family val="3"/>
      <charset val="134"/>
    </font>
    <font>
      <sz val="11"/>
      <color rgb="FF000000"/>
      <name val="Calibri"/>
      <family val="2"/>
    </font>
    <font>
      <sz val="12"/>
      <color indexed="8"/>
      <name val="宋体"/>
      <family val="3"/>
      <charset val="134"/>
    </font>
  </fonts>
  <fills count="41">
    <fill>
      <patternFill patternType="none"/>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4.9989318521683403E-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theme="6" tint="-0.249977111117893"/>
        <bgColor indexed="64"/>
      </patternFill>
    </fill>
    <fill>
      <patternFill patternType="solid">
        <fgColor indexed="19"/>
        <bgColor indexed="64"/>
      </patternFill>
    </fill>
    <fill>
      <patternFill patternType="solid">
        <fgColor indexed="9"/>
        <bgColor indexed="64"/>
      </patternFill>
    </fill>
    <fill>
      <patternFill patternType="solid">
        <fgColor indexed="26"/>
        <bgColor indexed="64"/>
      </patternFill>
    </fill>
    <fill>
      <patternFill patternType="solid">
        <fgColor indexed="42"/>
        <bgColor indexed="64"/>
      </patternFill>
    </fill>
    <fill>
      <patternFill patternType="solid">
        <fgColor theme="2" tint="-9.9978637043366805E-2"/>
        <bgColor indexed="64"/>
      </patternFill>
    </fill>
    <fill>
      <patternFill patternType="solid">
        <fgColor indexed="43"/>
        <bgColor indexed="64"/>
      </patternFill>
    </fill>
    <fill>
      <patternFill patternType="solid">
        <fgColor theme="0"/>
        <bgColor indexed="64"/>
      </patternFill>
    </fill>
    <fill>
      <patternFill patternType="solid">
        <fgColor rgb="FF92D050"/>
        <bgColor indexed="64"/>
      </patternFill>
    </fill>
    <fill>
      <patternFill patternType="solid">
        <fgColor rgb="FFFFFFC1"/>
        <bgColor indexed="64"/>
      </patternFill>
    </fill>
    <fill>
      <patternFill patternType="solid">
        <fgColor theme="0" tint="-0.34998626667073579"/>
        <bgColor indexed="64"/>
      </patternFill>
    </fill>
    <fill>
      <patternFill patternType="solid">
        <fgColor indexed="4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s>
  <cellStyleXfs count="130">
    <xf numFmtId="0" fontId="0" fillId="0" borderId="0">
      <alignment vertical="center"/>
    </xf>
    <xf numFmtId="9" fontId="5" fillId="0" borderId="0" applyFont="0" applyFill="0" applyBorder="0" applyAlignment="0" applyProtection="0">
      <alignment vertical="center"/>
    </xf>
    <xf numFmtId="0" fontId="5" fillId="0" borderId="0"/>
    <xf numFmtId="0" fontId="5" fillId="0" borderId="0">
      <alignment vertical="center"/>
    </xf>
    <xf numFmtId="9" fontId="6" fillId="0" borderId="0" applyFont="0" applyFill="0" applyBorder="0" applyAlignment="0" applyProtection="0"/>
    <xf numFmtId="0" fontId="3" fillId="0" borderId="0">
      <alignment vertical="center"/>
    </xf>
    <xf numFmtId="0" fontId="6" fillId="0" borderId="0"/>
    <xf numFmtId="0" fontId="5" fillId="0" borderId="0">
      <alignment vertical="center"/>
    </xf>
    <xf numFmtId="9" fontId="11" fillId="0" borderId="0" applyFont="0" applyFill="0" applyBorder="0" applyAlignment="0" applyProtection="0"/>
    <xf numFmtId="9" fontId="5" fillId="0" borderId="0" applyFont="0" applyFill="0" applyBorder="0" applyAlignment="0" applyProtection="0">
      <alignment vertical="center"/>
    </xf>
    <xf numFmtId="0" fontId="11" fillId="0" borderId="0"/>
    <xf numFmtId="9" fontId="3" fillId="0" borderId="0" applyFont="0" applyFill="0" applyBorder="0" applyAlignment="0" applyProtection="0">
      <alignment vertical="center"/>
    </xf>
    <xf numFmtId="0" fontId="2" fillId="0" borderId="0">
      <alignment vertical="center"/>
    </xf>
    <xf numFmtId="43" fontId="2" fillId="0" borderId="0" applyFont="0" applyFill="0" applyBorder="0" applyAlignment="0" applyProtection="0">
      <alignment vertical="center"/>
    </xf>
    <xf numFmtId="0" fontId="13" fillId="3" borderId="0" applyNumberFormat="0" applyBorder="0" applyAlignment="0" applyProtection="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3" borderId="0" applyNumberFormat="0" applyBorder="0" applyAlignment="0" applyProtection="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6" borderId="0" applyNumberFormat="0" applyBorder="0" applyAlignment="0" applyProtection="0">
      <alignment vertical="center"/>
    </xf>
    <xf numFmtId="0" fontId="13" fillId="9" borderId="0" applyNumberFormat="0" applyBorder="0" applyAlignment="0" applyProtection="0">
      <alignment vertical="center"/>
    </xf>
    <xf numFmtId="0" fontId="13" fillId="12"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6" borderId="0" applyNumberFormat="0" applyBorder="0" applyAlignment="0" applyProtection="0">
      <alignment vertical="center"/>
    </xf>
    <xf numFmtId="0" fontId="13" fillId="9" borderId="0" applyNumberFormat="0" applyBorder="0" applyAlignment="0" applyProtection="0">
      <alignment vertical="center"/>
    </xf>
    <xf numFmtId="0" fontId="13" fillId="12" borderId="0" applyNumberFormat="0" applyBorder="0" applyAlignment="0" applyProtection="0">
      <alignment vertical="center"/>
    </xf>
    <xf numFmtId="0" fontId="14" fillId="13" borderId="0" applyNumberFormat="0" applyBorder="0" applyAlignment="0" applyProtection="0">
      <alignment vertical="center"/>
    </xf>
    <xf numFmtId="0" fontId="14" fillId="10" borderId="0" applyNumberFormat="0" applyBorder="0" applyAlignment="0" applyProtection="0">
      <alignment vertical="center"/>
    </xf>
    <xf numFmtId="0" fontId="14" fillId="11"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0" borderId="0" applyNumberFormat="0" applyBorder="0" applyAlignment="0" applyProtection="0">
      <alignment vertical="center"/>
    </xf>
    <xf numFmtId="0" fontId="14" fillId="11"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5" fillId="4" borderId="0" applyNumberFormat="0" applyBorder="0" applyAlignment="0" applyProtection="0">
      <alignment vertical="center"/>
    </xf>
    <xf numFmtId="0" fontId="16" fillId="21" borderId="2" applyNumberFormat="0" applyAlignment="0" applyProtection="0">
      <alignment vertical="center"/>
    </xf>
    <xf numFmtId="0" fontId="17" fillId="22" borderId="3" applyNumberFormat="0" applyAlignment="0" applyProtection="0">
      <alignment vertical="center"/>
    </xf>
    <xf numFmtId="176" fontId="11" fillId="0" borderId="0" applyFont="0" applyFill="0" applyBorder="0" applyAlignment="0" applyProtection="0"/>
    <xf numFmtId="0" fontId="18" fillId="0" borderId="0" applyNumberFormat="0" applyFill="0" applyBorder="0" applyAlignment="0" applyProtection="0">
      <alignment vertical="center"/>
    </xf>
    <xf numFmtId="0" fontId="19" fillId="5" borderId="0" applyNumberFormat="0" applyBorder="0" applyAlignment="0" applyProtection="0">
      <alignment vertical="center"/>
    </xf>
    <xf numFmtId="0" fontId="20" fillId="0" borderId="4" applyNumberFormat="0" applyFill="0" applyAlignment="0" applyProtection="0">
      <alignment vertical="center"/>
    </xf>
    <xf numFmtId="0" fontId="21" fillId="0" borderId="5" applyNumberFormat="0" applyFill="0" applyAlignment="0" applyProtection="0">
      <alignment vertical="center"/>
    </xf>
    <xf numFmtId="0" fontId="22" fillId="0" borderId="6" applyNumberFormat="0" applyFill="0" applyAlignment="0" applyProtection="0">
      <alignment vertical="center"/>
    </xf>
    <xf numFmtId="0" fontId="22" fillId="0" borderId="0" applyNumberFormat="0" applyFill="0" applyBorder="0" applyAlignment="0" applyProtection="0">
      <alignment vertical="center"/>
    </xf>
    <xf numFmtId="0" fontId="23" fillId="8" borderId="2" applyNumberFormat="0" applyAlignment="0" applyProtection="0">
      <alignment vertical="center"/>
    </xf>
    <xf numFmtId="0" fontId="24" fillId="0" borderId="7" applyNumberFormat="0" applyFill="0" applyAlignment="0" applyProtection="0">
      <alignment vertical="center"/>
    </xf>
    <xf numFmtId="0" fontId="25" fillId="23" borderId="0" applyNumberFormat="0" applyBorder="0" applyAlignment="0" applyProtection="0">
      <alignment vertical="center"/>
    </xf>
    <xf numFmtId="0" fontId="5" fillId="0" borderId="0"/>
    <xf numFmtId="0" fontId="26" fillId="0" borderId="0"/>
    <xf numFmtId="0" fontId="5" fillId="24" borderId="8" applyNumberFormat="0" applyFont="0" applyAlignment="0" applyProtection="0">
      <alignment vertical="center"/>
    </xf>
    <xf numFmtId="0" fontId="27" fillId="21" borderId="9" applyNumberFormat="0" applyAlignment="0" applyProtection="0">
      <alignment vertical="center"/>
    </xf>
    <xf numFmtId="0" fontId="28" fillId="0" borderId="0" applyNumberFormat="0" applyFill="0" applyBorder="0" applyAlignment="0" applyProtection="0">
      <alignment vertical="center"/>
    </xf>
    <xf numFmtId="0" fontId="29" fillId="0" borderId="10" applyNumberFormat="0" applyFill="0" applyAlignment="0" applyProtection="0">
      <alignment vertical="center"/>
    </xf>
    <xf numFmtId="0" fontId="30" fillId="0" borderId="0" applyNumberFormat="0" applyFill="0" applyBorder="0" applyAlignment="0" applyProtection="0">
      <alignment vertical="center"/>
    </xf>
    <xf numFmtId="9" fontId="5" fillId="0" borderId="0" applyFont="0" applyFill="0" applyBorder="0" applyAlignment="0" applyProtection="0"/>
    <xf numFmtId="9" fontId="2" fillId="0" borderId="0" applyFont="0" applyFill="0" applyBorder="0" applyAlignment="0" applyProtection="0">
      <alignment vertical="center"/>
    </xf>
    <xf numFmtId="9" fontId="31" fillId="0" borderId="0" applyFont="0" applyFill="0" applyBorder="0" applyAlignment="0" applyProtection="0">
      <alignment vertical="center"/>
    </xf>
    <xf numFmtId="9" fontId="6" fillId="0" borderId="0" applyFont="0" applyFill="0" applyBorder="0" applyAlignment="0" applyProtection="0"/>
    <xf numFmtId="9" fontId="31"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0" fontId="20" fillId="0" borderId="4" applyNumberFormat="0" applyFill="0" applyAlignment="0" applyProtection="0">
      <alignment vertical="center"/>
    </xf>
    <xf numFmtId="0" fontId="21" fillId="0" borderId="5" applyNumberFormat="0" applyFill="0" applyAlignment="0" applyProtection="0">
      <alignment vertical="center"/>
    </xf>
    <xf numFmtId="0" fontId="22" fillId="0" borderId="6" applyNumberFormat="0" applyFill="0" applyAlignment="0" applyProtection="0">
      <alignment vertical="center"/>
    </xf>
    <xf numFmtId="0" fontId="22"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5" fillId="4" borderId="0" applyNumberFormat="0" applyBorder="0" applyAlignment="0" applyProtection="0">
      <alignment vertical="center"/>
    </xf>
    <xf numFmtId="0" fontId="12" fillId="0" borderId="0">
      <alignment vertical="center"/>
    </xf>
    <xf numFmtId="0" fontId="2" fillId="0" borderId="0">
      <alignment vertical="center"/>
    </xf>
    <xf numFmtId="0" fontId="5" fillId="0" borderId="0"/>
    <xf numFmtId="0" fontId="5" fillId="0" borderId="0">
      <alignment vertical="center"/>
    </xf>
    <xf numFmtId="0" fontId="5" fillId="0" borderId="0">
      <alignment vertical="center"/>
    </xf>
    <xf numFmtId="0" fontId="11" fillId="0" borderId="0"/>
    <xf numFmtId="0" fontId="11" fillId="0" borderId="0"/>
    <xf numFmtId="0" fontId="5"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1" fillId="0" borderId="0"/>
    <xf numFmtId="0" fontId="2" fillId="0" borderId="0">
      <alignment vertical="center"/>
    </xf>
    <xf numFmtId="0" fontId="31" fillId="0" borderId="0"/>
    <xf numFmtId="0" fontId="2" fillId="0" borderId="0">
      <alignment vertical="center"/>
    </xf>
    <xf numFmtId="0" fontId="2" fillId="0" borderId="0">
      <alignment vertical="center"/>
    </xf>
    <xf numFmtId="0" fontId="19" fillId="5" borderId="0" applyNumberFormat="0" applyBorder="0" applyAlignment="0" applyProtection="0">
      <alignment vertical="center"/>
    </xf>
    <xf numFmtId="0" fontId="29" fillId="0" borderId="10" applyNumberFormat="0" applyFill="0" applyAlignment="0" applyProtection="0">
      <alignment vertical="center"/>
    </xf>
    <xf numFmtId="177" fontId="5" fillId="0" borderId="0" applyFont="0" applyFill="0" applyBorder="0" applyAlignment="0" applyProtection="0">
      <alignment vertical="center"/>
    </xf>
    <xf numFmtId="177" fontId="5" fillId="0" borderId="0" applyFont="0" applyFill="0" applyBorder="0" applyAlignment="0" applyProtection="0">
      <alignment vertical="center"/>
    </xf>
    <xf numFmtId="0" fontId="16" fillId="21" borderId="2" applyNumberFormat="0" applyAlignment="0" applyProtection="0">
      <alignment vertical="center"/>
    </xf>
    <xf numFmtId="0" fontId="17" fillId="22" borderId="3" applyNumberFormat="0" applyAlignment="0" applyProtection="0">
      <alignment vertical="center"/>
    </xf>
    <xf numFmtId="0" fontId="18"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4" fillId="0" borderId="7" applyNumberFormat="0" applyFill="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25" fillId="23" borderId="0" applyNumberFormat="0" applyBorder="0" applyAlignment="0" applyProtection="0">
      <alignment vertical="center"/>
    </xf>
    <xf numFmtId="0" fontId="27" fillId="21" borderId="9" applyNumberFormat="0" applyAlignment="0" applyProtection="0">
      <alignment vertical="center"/>
    </xf>
    <xf numFmtId="0" fontId="23" fillId="8" borderId="2" applyNumberFormat="0" applyAlignment="0" applyProtection="0">
      <alignment vertical="center"/>
    </xf>
    <xf numFmtId="0" fontId="5" fillId="24" borderId="8" applyNumberFormat="0" applyFont="0" applyAlignment="0" applyProtection="0">
      <alignment vertical="center"/>
    </xf>
    <xf numFmtId="9" fontId="32" fillId="0" borderId="0" applyFont="0" applyFill="0" applyBorder="0" applyAlignment="0" applyProtection="0">
      <alignment vertical="center"/>
    </xf>
    <xf numFmtId="0" fontId="11" fillId="0" borderId="0"/>
    <xf numFmtId="0" fontId="5" fillId="0" borderId="0"/>
  </cellStyleXfs>
  <cellXfs count="149">
    <xf numFmtId="0" fontId="0" fillId="0" borderId="0" xfId="0">
      <alignment vertical="center"/>
    </xf>
    <xf numFmtId="0" fontId="0" fillId="25" borderId="1" xfId="0" applyFill="1" applyBorder="1">
      <alignment vertical="center"/>
    </xf>
    <xf numFmtId="0" fontId="0" fillId="26" borderId="1" xfId="0" applyFill="1" applyBorder="1">
      <alignment vertical="center"/>
    </xf>
    <xf numFmtId="2" fontId="0" fillId="27" borderId="1" xfId="0" applyNumberFormat="1" applyFill="1" applyBorder="1">
      <alignment vertical="center"/>
    </xf>
    <xf numFmtId="10" fontId="0" fillId="27" borderId="1" xfId="127" applyNumberFormat="1" applyFont="1" applyFill="1" applyBorder="1">
      <alignment vertical="center"/>
    </xf>
    <xf numFmtId="2" fontId="0" fillId="28" borderId="1" xfId="0" applyNumberFormat="1" applyFill="1" applyBorder="1">
      <alignment vertical="center"/>
    </xf>
    <xf numFmtId="2" fontId="0" fillId="26" borderId="1" xfId="0" applyNumberFormat="1" applyFill="1" applyBorder="1">
      <alignment vertical="center"/>
    </xf>
    <xf numFmtId="0" fontId="0" fillId="0" borderId="0" xfId="0" applyFill="1">
      <alignment vertical="center"/>
    </xf>
    <xf numFmtId="0" fontId="0" fillId="29" borderId="0" xfId="0" applyFill="1">
      <alignment vertical="center"/>
    </xf>
    <xf numFmtId="0" fontId="0" fillId="29" borderId="0" xfId="0" applyFill="1" applyBorder="1">
      <alignment vertical="center"/>
    </xf>
    <xf numFmtId="10" fontId="0" fillId="29" borderId="0" xfId="127" applyNumberFormat="1" applyFont="1" applyFill="1" applyBorder="1">
      <alignment vertical="center"/>
    </xf>
    <xf numFmtId="0" fontId="0" fillId="25" borderId="11" xfId="0" applyFill="1" applyBorder="1">
      <alignment vertical="center"/>
    </xf>
    <xf numFmtId="2" fontId="0" fillId="28" borderId="11" xfId="0" applyNumberFormat="1" applyFill="1" applyBorder="1">
      <alignment vertical="center"/>
    </xf>
    <xf numFmtId="0" fontId="0" fillId="25" borderId="12" xfId="0" applyFill="1" applyBorder="1">
      <alignment vertical="center"/>
    </xf>
    <xf numFmtId="2" fontId="0" fillId="28" borderId="12" xfId="0" applyNumberFormat="1" applyFill="1" applyBorder="1">
      <alignment vertical="center"/>
    </xf>
    <xf numFmtId="0" fontId="0" fillId="29" borderId="14" xfId="0" applyFill="1" applyBorder="1">
      <alignment vertical="center"/>
    </xf>
    <xf numFmtId="2" fontId="0" fillId="29" borderId="14" xfId="0" applyNumberFormat="1" applyFill="1" applyBorder="1">
      <alignment vertical="center"/>
    </xf>
    <xf numFmtId="0" fontId="8" fillId="0" borderId="0" xfId="128" applyFont="1"/>
    <xf numFmtId="0" fontId="8" fillId="30" borderId="0" xfId="128" applyFont="1" applyFill="1"/>
    <xf numFmtId="0" fontId="8" fillId="0" borderId="0" xfId="128" applyFont="1" applyAlignment="1">
      <alignment horizontal="center"/>
    </xf>
    <xf numFmtId="0" fontId="8" fillId="2" borderId="15" xfId="128" applyFont="1" applyFill="1" applyBorder="1"/>
    <xf numFmtId="0" fontId="8" fillId="2" borderId="16" xfId="128" applyFont="1" applyFill="1" applyBorder="1"/>
    <xf numFmtId="0" fontId="8" fillId="31" borderId="1" xfId="128" applyFont="1" applyFill="1" applyBorder="1"/>
    <xf numFmtId="0" fontId="34" fillId="30" borderId="0" xfId="128" applyFont="1" applyFill="1"/>
    <xf numFmtId="0" fontId="8" fillId="32" borderId="1" xfId="128" applyFont="1" applyFill="1" applyBorder="1"/>
    <xf numFmtId="0" fontId="8" fillId="33" borderId="1" xfId="128" applyFont="1" applyFill="1" applyBorder="1"/>
    <xf numFmtId="0" fontId="34" fillId="30" borderId="0" xfId="128" applyFont="1" applyFill="1" applyBorder="1"/>
    <xf numFmtId="0" fontId="14" fillId="30" borderId="0" xfId="128" applyFont="1" applyFill="1" applyBorder="1" applyAlignment="1">
      <alignment horizontal="center"/>
    </xf>
    <xf numFmtId="0" fontId="8" fillId="2" borderId="1" xfId="128" applyFont="1" applyFill="1" applyBorder="1"/>
    <xf numFmtId="178" fontId="8" fillId="32" borderId="1" xfId="128" applyNumberFormat="1" applyFont="1" applyFill="1" applyBorder="1"/>
    <xf numFmtId="0" fontId="35" fillId="30" borderId="0" xfId="128" applyFont="1" applyFill="1"/>
    <xf numFmtId="0" fontId="8" fillId="2" borderId="17" xfId="128" applyFont="1" applyFill="1" applyBorder="1"/>
    <xf numFmtId="0" fontId="8" fillId="33" borderId="17" xfId="128" applyFont="1" applyFill="1" applyBorder="1"/>
    <xf numFmtId="0" fontId="8" fillId="2" borderId="12" xfId="128" applyFont="1" applyFill="1" applyBorder="1"/>
    <xf numFmtId="178" fontId="8" fillId="33" borderId="12" xfId="128" applyNumberFormat="1" applyFont="1" applyFill="1" applyBorder="1"/>
    <xf numFmtId="178" fontId="8" fillId="33" borderId="1" xfId="128" applyNumberFormat="1" applyFont="1" applyFill="1" applyBorder="1"/>
    <xf numFmtId="0" fontId="8" fillId="0" borderId="0" xfId="128" applyFont="1" applyFill="1"/>
    <xf numFmtId="178" fontId="8" fillId="33" borderId="0" xfId="128" applyNumberFormat="1" applyFont="1" applyFill="1" applyBorder="1"/>
    <xf numFmtId="0" fontId="9" fillId="34" borderId="0" xfId="0" applyFont="1" applyFill="1" applyAlignment="1"/>
    <xf numFmtId="0" fontId="9" fillId="0" borderId="0" xfId="0" applyFont="1" applyAlignment="1"/>
    <xf numFmtId="0" fontId="5" fillId="25" borderId="1" xfId="0" applyFont="1" applyFill="1" applyBorder="1" applyAlignment="1"/>
    <xf numFmtId="1" fontId="9" fillId="35" borderId="1" xfId="0" applyNumberFormat="1" applyFont="1" applyFill="1" applyBorder="1" applyAlignment="1"/>
    <xf numFmtId="0" fontId="5" fillId="2" borderId="1" xfId="0" applyFont="1" applyFill="1" applyBorder="1" applyAlignment="1"/>
    <xf numFmtId="0" fontId="9" fillId="36" borderId="1" xfId="0" applyFont="1" applyFill="1" applyBorder="1" applyAlignment="1"/>
    <xf numFmtId="9" fontId="9" fillId="36" borderId="1" xfId="0" applyNumberFormat="1" applyFont="1" applyFill="1" applyBorder="1" applyAlignment="1"/>
    <xf numFmtId="0" fontId="9" fillId="0" borderId="1" xfId="0" applyFont="1" applyBorder="1" applyAlignment="1"/>
    <xf numFmtId="2" fontId="9" fillId="35" borderId="1" xfId="0" applyNumberFormat="1" applyFont="1" applyFill="1" applyBorder="1" applyAlignment="1"/>
    <xf numFmtId="9" fontId="9" fillId="33" borderId="1" xfId="1" applyNumberFormat="1" applyFont="1" applyFill="1" applyBorder="1" applyAlignment="1"/>
    <xf numFmtId="2" fontId="9" fillId="33" borderId="1" xfId="0" applyNumberFormat="1" applyFont="1" applyFill="1" applyBorder="1" applyAlignment="1"/>
    <xf numFmtId="0" fontId="5" fillId="0" borderId="0" xfId="0" applyFont="1" applyAlignment="1"/>
    <xf numFmtId="178" fontId="9" fillId="34" borderId="0" xfId="0" applyNumberFormat="1" applyFont="1" applyFill="1" applyAlignment="1"/>
    <xf numFmtId="0" fontId="9" fillId="25" borderId="1" xfId="0" applyFont="1" applyFill="1" applyBorder="1" applyAlignment="1"/>
    <xf numFmtId="0" fontId="5" fillId="0" borderId="0" xfId="2" applyFont="1" applyFill="1" applyBorder="1" applyAlignment="1">
      <alignment horizontal="center"/>
    </xf>
    <xf numFmtId="0" fontId="36" fillId="0" borderId="0" xfId="5" applyFont="1">
      <alignment vertical="center"/>
    </xf>
    <xf numFmtId="0" fontId="37" fillId="0" borderId="0" xfId="0" applyFont="1">
      <alignment vertical="center"/>
    </xf>
    <xf numFmtId="0" fontId="8" fillId="2" borderId="1" xfId="0" applyFont="1" applyFill="1" applyBorder="1" applyAlignment="1"/>
    <xf numFmtId="0" fontId="8" fillId="35" borderId="1" xfId="0" applyFont="1" applyFill="1" applyBorder="1" applyAlignment="1"/>
    <xf numFmtId="0" fontId="8" fillId="0" borderId="0" xfId="0" applyFont="1" applyAlignment="1"/>
    <xf numFmtId="0" fontId="8" fillId="2" borderId="1" xfId="0" applyFont="1" applyFill="1" applyBorder="1" applyAlignment="1">
      <alignment horizontal="center"/>
    </xf>
    <xf numFmtId="0" fontId="8" fillId="2" borderId="1" xfId="0" applyFont="1" applyFill="1" applyBorder="1" applyAlignment="1">
      <alignment horizontal="right" vertical="center"/>
    </xf>
    <xf numFmtId="0" fontId="8" fillId="31" borderId="1" xfId="0" applyFont="1" applyFill="1" applyBorder="1" applyAlignment="1"/>
    <xf numFmtId="9" fontId="8" fillId="35" borderId="1" xfId="0" applyNumberFormat="1" applyFont="1" applyFill="1" applyBorder="1" applyAlignment="1"/>
    <xf numFmtId="0" fontId="8" fillId="33" borderId="1" xfId="0" applyFont="1" applyFill="1" applyBorder="1" applyAlignment="1"/>
    <xf numFmtId="8" fontId="8" fillId="33" borderId="1" xfId="0" applyNumberFormat="1" applyFont="1" applyFill="1" applyBorder="1" applyAlignment="1"/>
    <xf numFmtId="179" fontId="8" fillId="33" borderId="1" xfId="0" applyNumberFormat="1" applyFont="1" applyFill="1" applyBorder="1" applyAlignment="1"/>
    <xf numFmtId="0" fontId="0" fillId="0" borderId="0" xfId="0" applyFont="1" applyFill="1" applyBorder="1">
      <alignment vertical="center"/>
    </xf>
    <xf numFmtId="0" fontId="38" fillId="0" borderId="0" xfId="0" applyFont="1" applyFill="1" applyBorder="1" applyAlignment="1"/>
    <xf numFmtId="8" fontId="12" fillId="0" borderId="0" xfId="0" applyNumberFormat="1" applyFont="1" applyFill="1" applyBorder="1">
      <alignment vertical="center"/>
    </xf>
    <xf numFmtId="0" fontId="12" fillId="0" borderId="0"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0" xfId="7" applyFont="1" applyFill="1" applyBorder="1" applyAlignment="1">
      <alignment horizontal="center" vertical="center"/>
    </xf>
    <xf numFmtId="0" fontId="8" fillId="0" borderId="0" xfId="7" applyFont="1" applyFill="1" applyBorder="1">
      <alignment vertical="center"/>
    </xf>
    <xf numFmtId="9" fontId="12" fillId="0" borderId="0" xfId="0" applyNumberFormat="1" applyFont="1" applyFill="1" applyBorder="1">
      <alignment vertical="center"/>
    </xf>
    <xf numFmtId="0" fontId="38" fillId="27" borderId="0" xfId="0" applyFont="1" applyFill="1" applyBorder="1" applyAlignment="1"/>
    <xf numFmtId="10" fontId="12" fillId="27" borderId="0" xfId="0" applyNumberFormat="1" applyFont="1" applyFill="1" applyBorder="1" applyAlignment="1"/>
    <xf numFmtId="180" fontId="12" fillId="27" borderId="0" xfId="127" applyNumberFormat="1" applyFont="1" applyFill="1" applyBorder="1" applyAlignment="1"/>
    <xf numFmtId="8" fontId="12" fillId="37" borderId="0" xfId="0" applyNumberFormat="1" applyFont="1" applyFill="1" applyBorder="1">
      <alignment vertical="center"/>
    </xf>
    <xf numFmtId="181" fontId="12" fillId="37" borderId="0" xfId="0" applyNumberFormat="1" applyFont="1" applyFill="1" applyBorder="1">
      <alignment vertical="center"/>
    </xf>
    <xf numFmtId="10" fontId="12" fillId="27" borderId="0" xfId="0" applyNumberFormat="1" applyFont="1" applyFill="1" applyBorder="1" applyAlignment="1">
      <alignment vertical="center"/>
    </xf>
    <xf numFmtId="180" fontId="12" fillId="27" borderId="0" xfId="127" applyNumberFormat="1" applyFont="1" applyFill="1" applyBorder="1" applyAlignment="1">
      <alignment vertical="center"/>
    </xf>
    <xf numFmtId="180" fontId="12" fillId="0" borderId="0" xfId="0" applyNumberFormat="1" applyFont="1" applyFill="1" applyBorder="1">
      <alignment vertical="center"/>
    </xf>
    <xf numFmtId="181" fontId="0" fillId="0" borderId="0" xfId="127" applyNumberFormat="1" applyFont="1" applyFill="1" applyBorder="1">
      <alignment vertical="center"/>
    </xf>
    <xf numFmtId="0" fontId="8" fillId="0" borderId="0" xfId="0" applyFont="1" applyFill="1" applyBorder="1" applyAlignment="1"/>
    <xf numFmtId="10" fontId="12" fillId="0" borderId="0" xfId="0" applyNumberFormat="1" applyFont="1" applyFill="1" applyBorder="1">
      <alignment vertical="center"/>
    </xf>
    <xf numFmtId="10" fontId="12" fillId="0" borderId="0" xfId="127" applyNumberFormat="1" applyFont="1" applyFill="1" applyBorder="1">
      <alignment vertical="center"/>
    </xf>
    <xf numFmtId="0" fontId="0" fillId="37" borderId="0" xfId="0" applyFont="1" applyFill="1" applyBorder="1">
      <alignment vertical="center"/>
    </xf>
    <xf numFmtId="181" fontId="12" fillId="0" borderId="0" xfId="127" applyNumberFormat="1" applyFont="1" applyFill="1" applyBorder="1">
      <alignment vertical="center"/>
    </xf>
    <xf numFmtId="182" fontId="12" fillId="0" borderId="0" xfId="0" applyNumberFormat="1" applyFont="1" applyFill="1" applyBorder="1">
      <alignment vertical="center"/>
    </xf>
    <xf numFmtId="183" fontId="5" fillId="0" borderId="0" xfId="7" applyNumberFormat="1">
      <alignment vertical="center"/>
    </xf>
    <xf numFmtId="0" fontId="5" fillId="0" borderId="0" xfId="7">
      <alignment vertical="center"/>
    </xf>
    <xf numFmtId="0" fontId="39" fillId="2" borderId="1" xfId="129" applyFont="1" applyFill="1" applyBorder="1" applyAlignment="1">
      <alignment horizontal="center"/>
    </xf>
    <xf numFmtId="0" fontId="8" fillId="38" borderId="1" xfId="70" applyFont="1" applyFill="1" applyBorder="1" applyAlignment="1">
      <alignment horizontal="center"/>
    </xf>
    <xf numFmtId="0" fontId="0" fillId="39" borderId="1" xfId="0" applyFill="1" applyBorder="1">
      <alignment vertical="center"/>
    </xf>
    <xf numFmtId="0" fontId="0" fillId="0" borderId="1" xfId="0" applyBorder="1">
      <alignment vertical="center"/>
    </xf>
    <xf numFmtId="0" fontId="40" fillId="0" borderId="0" xfId="0" applyFont="1" applyAlignment="1"/>
    <xf numFmtId="0" fontId="0" fillId="0" borderId="0" xfId="0" applyAlignment="1"/>
    <xf numFmtId="0" fontId="41" fillId="0" borderId="0" xfId="0" applyFont="1" applyAlignment="1"/>
    <xf numFmtId="0" fontId="7" fillId="31" borderId="0" xfId="0" applyFont="1" applyFill="1" applyAlignment="1"/>
    <xf numFmtId="0" fontId="7" fillId="0" borderId="0" xfId="0" applyFont="1" applyAlignment="1"/>
    <xf numFmtId="0" fontId="0" fillId="2" borderId="15" xfId="0" applyFill="1" applyBorder="1" applyAlignment="1"/>
    <xf numFmtId="0" fontId="0" fillId="2" borderId="14" xfId="0" applyFill="1" applyBorder="1" applyAlignment="1"/>
    <xf numFmtId="0" fontId="0" fillId="35" borderId="1" xfId="0" applyFill="1" applyBorder="1" applyAlignment="1"/>
    <xf numFmtId="0" fontId="0" fillId="2" borderId="1" xfId="0" applyFill="1" applyBorder="1" applyAlignment="1">
      <alignment horizontal="center"/>
    </xf>
    <xf numFmtId="0" fontId="0" fillId="0" borderId="1" xfId="0" applyBorder="1" applyAlignment="1">
      <alignment horizontal="center"/>
    </xf>
    <xf numFmtId="9" fontId="0" fillId="0" borderId="1" xfId="76" applyFont="1" applyBorder="1" applyAlignment="1">
      <alignment horizontal="right"/>
    </xf>
    <xf numFmtId="2" fontId="0" fillId="33" borderId="1" xfId="0" applyNumberFormat="1" applyFill="1" applyBorder="1" applyAlignment="1">
      <alignment horizontal="right"/>
    </xf>
    <xf numFmtId="0" fontId="0" fillId="35" borderId="1" xfId="0" applyFill="1" applyBorder="1" applyAlignment="1">
      <alignment horizontal="center"/>
    </xf>
    <xf numFmtId="184" fontId="0" fillId="35" borderId="1" xfId="76" applyNumberFormat="1" applyFont="1" applyFill="1" applyBorder="1" applyAlignment="1">
      <alignment horizontal="right"/>
    </xf>
    <xf numFmtId="0" fontId="0" fillId="2" borderId="15" xfId="0" applyFill="1" applyBorder="1" applyAlignment="1">
      <alignment horizontal="right"/>
    </xf>
    <xf numFmtId="185" fontId="0" fillId="35" borderId="1" xfId="76" applyNumberFormat="1" applyFont="1" applyFill="1" applyBorder="1"/>
    <xf numFmtId="0" fontId="0" fillId="2" borderId="18" xfId="0" applyFill="1" applyBorder="1" applyAlignment="1">
      <alignment horizontal="left"/>
    </xf>
    <xf numFmtId="0" fontId="0" fillId="2" borderId="13" xfId="0" applyFill="1" applyBorder="1" applyAlignment="1"/>
    <xf numFmtId="0" fontId="0" fillId="2" borderId="15" xfId="0" applyFill="1" applyBorder="1" applyAlignment="1">
      <alignment horizontal="left"/>
    </xf>
    <xf numFmtId="0" fontId="0" fillId="2" borderId="16" xfId="0" applyFill="1" applyBorder="1" applyAlignment="1"/>
    <xf numFmtId="10" fontId="0" fillId="35" borderId="1" xfId="0" applyNumberFormat="1" applyFill="1" applyBorder="1" applyAlignment="1"/>
    <xf numFmtId="0" fontId="7" fillId="31" borderId="0" xfId="0" applyFont="1" applyFill="1" applyBorder="1" applyAlignment="1"/>
    <xf numFmtId="0" fontId="0" fillId="31" borderId="0" xfId="0" applyFill="1" applyAlignment="1"/>
    <xf numFmtId="0" fontId="0" fillId="2" borderId="1" xfId="0" applyFill="1" applyBorder="1" applyAlignment="1">
      <alignment horizontal="right"/>
    </xf>
    <xf numFmtId="186" fontId="42" fillId="33" borderId="1" xfId="0" applyNumberFormat="1" applyFont="1" applyFill="1" applyBorder="1" applyAlignment="1"/>
    <xf numFmtId="186" fontId="0" fillId="0" borderId="0" xfId="0" applyNumberFormat="1" applyAlignment="1"/>
    <xf numFmtId="0" fontId="0" fillId="0" borderId="0" xfId="0" applyFill="1" applyBorder="1" applyAlignment="1">
      <alignment horizontal="right"/>
    </xf>
    <xf numFmtId="186" fontId="42" fillId="0" borderId="0" xfId="0" applyNumberFormat="1" applyFont="1" applyFill="1" applyBorder="1" applyAlignment="1"/>
    <xf numFmtId="0" fontId="0" fillId="0" borderId="0" xfId="0" applyBorder="1" applyAlignment="1"/>
    <xf numFmtId="0" fontId="0" fillId="2" borderId="19" xfId="0" applyFont="1" applyFill="1" applyBorder="1" applyAlignment="1">
      <alignment horizontal="center"/>
    </xf>
    <xf numFmtId="0" fontId="0" fillId="2" borderId="11" xfId="0" applyFont="1" applyFill="1" applyBorder="1" applyAlignment="1">
      <alignment horizontal="center"/>
    </xf>
    <xf numFmtId="0" fontId="0" fillId="2" borderId="20" xfId="0" applyFont="1" applyFill="1" applyBorder="1" applyAlignment="1">
      <alignment horizontal="center"/>
    </xf>
    <xf numFmtId="0" fontId="7" fillId="0" borderId="0" xfId="0" applyFont="1" applyBorder="1" applyAlignment="1"/>
    <xf numFmtId="187" fontId="0" fillId="0" borderId="0" xfId="0" applyNumberFormat="1" applyAlignment="1"/>
    <xf numFmtId="0" fontId="0" fillId="2" borderId="18" xfId="0" applyFont="1" applyFill="1" applyBorder="1" applyAlignment="1">
      <alignment horizontal="center"/>
    </xf>
    <xf numFmtId="0" fontId="0" fillId="2" borderId="12" xfId="0" applyFont="1" applyFill="1" applyBorder="1" applyAlignment="1">
      <alignment horizontal="center"/>
    </xf>
    <xf numFmtId="0" fontId="0" fillId="2" borderId="21" xfId="0" applyFont="1" applyFill="1" applyBorder="1" applyAlignment="1">
      <alignment horizontal="center"/>
    </xf>
    <xf numFmtId="0" fontId="0" fillId="2" borderId="1" xfId="0" applyFont="1" applyFill="1" applyBorder="1" applyAlignment="1">
      <alignment horizontal="center"/>
    </xf>
    <xf numFmtId="0" fontId="0" fillId="35" borderId="22" xfId="0" applyFill="1" applyBorder="1" applyAlignment="1"/>
    <xf numFmtId="0" fontId="0" fillId="40" borderId="22" xfId="0" applyFill="1" applyBorder="1" applyAlignment="1"/>
    <xf numFmtId="0" fontId="0" fillId="40" borderId="22" xfId="0" applyFill="1" applyBorder="1" applyAlignment="1">
      <alignment horizontal="center"/>
    </xf>
    <xf numFmtId="187" fontId="0" fillId="40" borderId="23" xfId="0" applyNumberFormat="1" applyFill="1" applyBorder="1" applyAlignment="1"/>
    <xf numFmtId="187" fontId="0" fillId="40" borderId="11" xfId="0" applyNumberFormat="1" applyFill="1" applyBorder="1" applyAlignment="1"/>
    <xf numFmtId="187" fontId="0" fillId="40" borderId="0" xfId="0" applyNumberFormat="1" applyFill="1" applyBorder="1" applyAlignment="1"/>
    <xf numFmtId="187" fontId="0" fillId="40" borderId="22" xfId="0" applyNumberFormat="1" applyFill="1" applyBorder="1" applyAlignment="1"/>
    <xf numFmtId="0" fontId="0" fillId="2" borderId="1" xfId="0" applyFill="1" applyBorder="1" applyAlignment="1"/>
    <xf numFmtId="0" fontId="0" fillId="2" borderId="0" xfId="0" applyFill="1" applyBorder="1" applyAlignment="1"/>
    <xf numFmtId="187" fontId="0" fillId="40" borderId="13" xfId="0" applyNumberFormat="1" applyFill="1" applyBorder="1" applyAlignment="1"/>
    <xf numFmtId="187" fontId="0" fillId="40" borderId="12" xfId="0" applyNumberFormat="1" applyFill="1" applyBorder="1" applyAlignment="1"/>
    <xf numFmtId="0" fontId="0" fillId="0" borderId="1" xfId="0" applyBorder="1" applyAlignment="1"/>
    <xf numFmtId="178" fontId="0" fillId="40" borderId="1" xfId="0" applyNumberFormat="1" applyFill="1" applyBorder="1" applyAlignment="1">
      <alignment horizontal="right"/>
    </xf>
    <xf numFmtId="184" fontId="0" fillId="0" borderId="1" xfId="0" applyNumberFormat="1" applyBorder="1" applyAlignment="1"/>
    <xf numFmtId="184" fontId="0" fillId="0" borderId="0" xfId="0" applyNumberFormat="1" applyBorder="1" applyAlignment="1"/>
    <xf numFmtId="185" fontId="0" fillId="0" borderId="0" xfId="0" applyNumberFormat="1" applyFill="1" applyBorder="1" applyAlignment="1"/>
    <xf numFmtId="0" fontId="0" fillId="0" borderId="0" xfId="0" applyFill="1" applyBorder="1" applyAlignment="1"/>
  </cellXfs>
  <cellStyles count="130">
    <cellStyle name="20% - Accent1" xfId="14"/>
    <cellStyle name="20% - Accent2" xfId="15"/>
    <cellStyle name="20% - Accent3" xfId="16"/>
    <cellStyle name="20% - Accent4" xfId="17"/>
    <cellStyle name="20% - Accent5" xfId="18"/>
    <cellStyle name="20% - Accent6" xfId="19"/>
    <cellStyle name="20% - 强调文字颜色 1 2" xfId="20"/>
    <cellStyle name="20% - 强调文字颜色 2 2" xfId="21"/>
    <cellStyle name="20% - 强调文字颜色 3 2" xfId="22"/>
    <cellStyle name="20% - 强调文字颜色 4 2" xfId="23"/>
    <cellStyle name="20% - 强调文字颜色 5 2" xfId="24"/>
    <cellStyle name="20% - 强调文字颜色 6 2" xfId="25"/>
    <cellStyle name="40% - Accent1" xfId="26"/>
    <cellStyle name="40% - Accent2" xfId="27"/>
    <cellStyle name="40% - Accent3" xfId="28"/>
    <cellStyle name="40% - Accent4" xfId="29"/>
    <cellStyle name="40% - Accent5" xfId="30"/>
    <cellStyle name="40% - Accent6" xfId="31"/>
    <cellStyle name="40% - 强调文字颜色 1 2" xfId="32"/>
    <cellStyle name="40% - 强调文字颜色 2 2" xfId="33"/>
    <cellStyle name="40% - 强调文字颜色 3 2" xfId="34"/>
    <cellStyle name="40% - 强调文字颜色 4 2" xfId="35"/>
    <cellStyle name="40% - 强调文字颜色 5 2" xfId="36"/>
    <cellStyle name="40% - 强调文字颜色 6 2" xfId="37"/>
    <cellStyle name="60% - Accent1" xfId="38"/>
    <cellStyle name="60% - Accent2" xfId="39"/>
    <cellStyle name="60% - Accent3" xfId="40"/>
    <cellStyle name="60% - Accent4" xfId="41"/>
    <cellStyle name="60% - Accent5" xfId="42"/>
    <cellStyle name="60% - Accent6" xfId="43"/>
    <cellStyle name="60% - 强调文字颜色 1 2" xfId="44"/>
    <cellStyle name="60% - 强调文字颜色 2 2" xfId="45"/>
    <cellStyle name="60% - 强调文字颜色 3 2" xfId="46"/>
    <cellStyle name="60% - 强调文字颜色 4 2" xfId="47"/>
    <cellStyle name="60% - 强调文字颜色 5 2" xfId="48"/>
    <cellStyle name="60% - 强调文字颜色 6 2" xfId="49"/>
    <cellStyle name="Accent1" xfId="50"/>
    <cellStyle name="Accent2" xfId="51"/>
    <cellStyle name="Accent3" xfId="52"/>
    <cellStyle name="Accent4" xfId="53"/>
    <cellStyle name="Accent5" xfId="54"/>
    <cellStyle name="Accent6" xfId="55"/>
    <cellStyle name="Bad" xfId="56"/>
    <cellStyle name="Calculation" xfId="57"/>
    <cellStyle name="Check Cell" xfId="58"/>
    <cellStyle name="Comma_考试题-绘图1" xfId="59"/>
    <cellStyle name="Explanatory Text" xfId="60"/>
    <cellStyle name="Good" xfId="61"/>
    <cellStyle name="Heading 1" xfId="62"/>
    <cellStyle name="Heading 2" xfId="63"/>
    <cellStyle name="Heading 3" xfId="64"/>
    <cellStyle name="Heading 4" xfId="65"/>
    <cellStyle name="Input" xfId="66"/>
    <cellStyle name="Linked Cell" xfId="67"/>
    <cellStyle name="Neutral" xfId="68"/>
    <cellStyle name="Normal 2" xfId="69"/>
    <cellStyle name="Normal_Calculation (3)" xfId="70"/>
    <cellStyle name="Note" xfId="71"/>
    <cellStyle name="Output" xfId="72"/>
    <cellStyle name="Title" xfId="73"/>
    <cellStyle name="Total" xfId="74"/>
    <cellStyle name="Warning Text" xfId="75"/>
    <cellStyle name="百分比" xfId="127" builtinId="5"/>
    <cellStyle name="百分比 2" xfId="1"/>
    <cellStyle name="百分比 2 2" xfId="8"/>
    <cellStyle name="百分比 2 3" xfId="76"/>
    <cellStyle name="百分比 3" xfId="4"/>
    <cellStyle name="百分比 3 2" xfId="9"/>
    <cellStyle name="百分比 4" xfId="11"/>
    <cellStyle name="百分比 4 2" xfId="77"/>
    <cellStyle name="百分比 5" xfId="78"/>
    <cellStyle name="百分比 6" xfId="79"/>
    <cellStyle name="百分比 7" xfId="80"/>
    <cellStyle name="百分比 8" xfId="81"/>
    <cellStyle name="百分比 9" xfId="82"/>
    <cellStyle name="标题 1 2" xfId="83"/>
    <cellStyle name="标题 2 2" xfId="84"/>
    <cellStyle name="标题 3 2" xfId="85"/>
    <cellStyle name="标题 4 2" xfId="86"/>
    <cellStyle name="标题 5" xfId="87"/>
    <cellStyle name="差 2" xfId="88"/>
    <cellStyle name="常规" xfId="0" builtinId="0"/>
    <cellStyle name="常规 10" xfId="89"/>
    <cellStyle name="常规 11" xfId="90"/>
    <cellStyle name="常规 2" xfId="2"/>
    <cellStyle name="常规 2 2" xfId="7"/>
    <cellStyle name="常规 2 2 2" xfId="91"/>
    <cellStyle name="常规 2 3" xfId="92"/>
    <cellStyle name="常规 3" xfId="3"/>
    <cellStyle name="常规 3 2" xfId="6"/>
    <cellStyle name="常规 4" xfId="10"/>
    <cellStyle name="常规 4 2" xfId="93"/>
    <cellStyle name="常规 4 2 2" xfId="94"/>
    <cellStyle name="常规 4 3" xfId="95"/>
    <cellStyle name="常规 5" xfId="5"/>
    <cellStyle name="常规 5 2" xfId="96"/>
    <cellStyle name="常规 5 3" xfId="97"/>
    <cellStyle name="常规 5 3 2" xfId="98"/>
    <cellStyle name="常规 5 4" xfId="99"/>
    <cellStyle name="常规 6" xfId="12"/>
    <cellStyle name="常规 6 2" xfId="100"/>
    <cellStyle name="常规 6 2 2" xfId="101"/>
    <cellStyle name="常规 7" xfId="102"/>
    <cellStyle name="常规 7 2" xfId="103"/>
    <cellStyle name="常规 8" xfId="104"/>
    <cellStyle name="常规 8 2" xfId="105"/>
    <cellStyle name="常规 8 3" xfId="106"/>
    <cellStyle name="常规 9" xfId="107"/>
    <cellStyle name="常规_第五章试题" xfId="129"/>
    <cellStyle name="常规_盈亏平衡第3题答案" xfId="128"/>
    <cellStyle name="好 2" xfId="108"/>
    <cellStyle name="汇总 2" xfId="109"/>
    <cellStyle name="货币 2" xfId="110"/>
    <cellStyle name="货币 3" xfId="111"/>
    <cellStyle name="计算 2" xfId="112"/>
    <cellStyle name="检查单元格 2" xfId="113"/>
    <cellStyle name="解释性文本 2" xfId="114"/>
    <cellStyle name="警告文本 2" xfId="115"/>
    <cellStyle name="链接单元格 2" xfId="116"/>
    <cellStyle name="千位分隔 2" xfId="13"/>
    <cellStyle name="强调文字颜色 1 2" xfId="117"/>
    <cellStyle name="强调文字颜色 2 2" xfId="118"/>
    <cellStyle name="强调文字颜色 3 2" xfId="119"/>
    <cellStyle name="强调文字颜色 4 2" xfId="120"/>
    <cellStyle name="强调文字颜色 5 2" xfId="121"/>
    <cellStyle name="强调文字颜色 6 2" xfId="122"/>
    <cellStyle name="适中 2" xfId="123"/>
    <cellStyle name="输出 2" xfId="124"/>
    <cellStyle name="输入 2" xfId="125"/>
    <cellStyle name="注释 2" xfId="12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5</xdr:col>
      <xdr:colOff>142875</xdr:colOff>
      <xdr:row>0</xdr:row>
      <xdr:rowOff>123825</xdr:rowOff>
    </xdr:from>
    <xdr:to>
      <xdr:col>11</xdr:col>
      <xdr:colOff>428625</xdr:colOff>
      <xdr:row>25</xdr:row>
      <xdr:rowOff>28575</xdr:rowOff>
    </xdr:to>
    <xdr:grpSp>
      <xdr:nvGrpSpPr>
        <xdr:cNvPr id="2" name="组合 1"/>
        <xdr:cNvGrpSpPr/>
      </xdr:nvGrpSpPr>
      <xdr:grpSpPr>
        <a:xfrm>
          <a:off x="2857500" y="123825"/>
          <a:ext cx="4400550" cy="4191000"/>
          <a:chOff x="7981950" y="142875"/>
          <a:chExt cx="4448177" cy="4191000"/>
        </a:xfrm>
      </xdr:grpSpPr>
      <xdr:sp macro="" textlink="">
        <xdr:nvSpPr>
          <xdr:cNvPr id="3" name="文本框 2"/>
          <xdr:cNvSpPr txBox="1"/>
        </xdr:nvSpPr>
        <xdr:spPr>
          <a:xfrm>
            <a:off x="7981950" y="142875"/>
            <a:ext cx="4448177" cy="419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zh-CN" altLang="en-US" sz="1100" b="1"/>
              <a:t>第</a:t>
            </a:r>
            <a:r>
              <a:rPr lang="en-US" altLang="zh-CN" sz="1100" b="1"/>
              <a:t>1</a:t>
            </a:r>
            <a:r>
              <a:rPr lang="zh-CN" altLang="en-US" sz="1100" b="1"/>
              <a:t>题</a:t>
            </a:r>
            <a:r>
              <a:rPr lang="zh-CN" altLang="en-US" sz="1100" b="1" baseline="0"/>
              <a:t> （</a:t>
            </a:r>
            <a:r>
              <a:rPr lang="en-US" altLang="zh-CN" sz="1100" b="1" baseline="0"/>
              <a:t>10</a:t>
            </a:r>
            <a:r>
              <a:rPr lang="zh-CN" altLang="en-US" sz="1100" b="1" baseline="0"/>
              <a:t>分）</a:t>
            </a:r>
            <a:r>
              <a:rPr lang="zh-CN" altLang="en-US" sz="1100"/>
              <a:t>某化工生产企业所生产的产品在市场上的销售单价为</a:t>
            </a:r>
            <a:r>
              <a:rPr lang="en-US" altLang="zh-CN" sz="1100"/>
              <a:t>39</a:t>
            </a:r>
            <a:r>
              <a:rPr lang="zh-CN" altLang="en-US" sz="1100"/>
              <a:t>元</a:t>
            </a:r>
            <a:r>
              <a:rPr lang="en-US" altLang="zh-CN" sz="1100"/>
              <a:t>/</a:t>
            </a:r>
            <a:r>
              <a:rPr lang="zh-CN" altLang="en-US" sz="1100"/>
              <a:t>公斤，生产经营过程中的各项成本及费用支出如表所示，生产员工</a:t>
            </a:r>
            <a:r>
              <a:rPr lang="zh-CN" altLang="en-US" sz="1100" baseline="0"/>
              <a:t>的工资与管理员工的工资比为</a:t>
            </a:r>
            <a:r>
              <a:rPr lang="en-US" altLang="zh-CN" sz="1100" baseline="0"/>
              <a:t>4.5:5.5</a:t>
            </a:r>
            <a:r>
              <a:rPr lang="zh-CN" altLang="en-US" sz="1100" baseline="0"/>
              <a:t>，办公费率是单位可变成本的</a:t>
            </a:r>
            <a:r>
              <a:rPr lang="en-US" altLang="zh-CN" sz="1100" baseline="0"/>
              <a:t>1600</a:t>
            </a:r>
            <a:r>
              <a:rPr lang="zh-CN" altLang="en-US" sz="1100" baseline="0"/>
              <a:t>倍，应缴税款是销售收入的</a:t>
            </a:r>
            <a:r>
              <a:rPr lang="en-US" altLang="zh-CN" sz="1100" baseline="0"/>
              <a:t>6.5%</a:t>
            </a:r>
            <a:r>
              <a:rPr lang="zh-CN" altLang="en-US" sz="1100" baseline="0"/>
              <a:t>。</a:t>
            </a:r>
            <a:r>
              <a:rPr lang="zh-CN" altLang="en-US" sz="1100"/>
              <a:t>如果企业不存在产品积压，在生产</a:t>
            </a:r>
            <a:r>
              <a:rPr lang="en-US" altLang="zh-CN" sz="1100"/>
              <a:t>15000</a:t>
            </a:r>
            <a:r>
              <a:rPr lang="zh-CN" altLang="en-US" sz="1100"/>
              <a:t>公斤产品时，试根据这些数据计算：</a:t>
            </a:r>
            <a:endParaRPr lang="en-US" altLang="zh-CN" sz="1100"/>
          </a:p>
          <a:p>
            <a:r>
              <a:rPr lang="zh-CN" altLang="en-US" sz="1100"/>
              <a:t>（</a:t>
            </a:r>
            <a:r>
              <a:rPr lang="en-US" altLang="zh-CN" sz="1100"/>
              <a:t>1</a:t>
            </a:r>
            <a:r>
              <a:rPr lang="zh-CN" altLang="en-US" sz="1100"/>
              <a:t>）生产的总成本、各类员工的工资支出</a:t>
            </a:r>
            <a:r>
              <a:rPr lang="en-US" altLang="zh-CN" sz="1100"/>
              <a:t>+</a:t>
            </a:r>
            <a:r>
              <a:rPr lang="zh-CN" altLang="en-US" sz="1100"/>
              <a:t>管理费用和应缴纳的税金</a:t>
            </a:r>
            <a:endParaRPr lang="en-US" altLang="zh-CN" sz="1100"/>
          </a:p>
          <a:p>
            <a:r>
              <a:rPr lang="zh-CN" altLang="en-US" sz="1100"/>
              <a:t>（</a:t>
            </a:r>
            <a:r>
              <a:rPr lang="en-US" altLang="zh-CN" sz="1100"/>
              <a:t>2</a:t>
            </a:r>
            <a:r>
              <a:rPr lang="zh-CN" altLang="en-US" sz="1100"/>
              <a:t>）计算销售收入和税后利润</a:t>
            </a:r>
            <a:endParaRPr lang="en-US" altLang="zh-CN" sz="1100"/>
          </a:p>
          <a:p>
            <a:r>
              <a:rPr lang="zh-CN" altLang="en-US" sz="1100"/>
              <a:t>（</a:t>
            </a:r>
            <a:r>
              <a:rPr lang="en-US" altLang="zh-CN" sz="1100"/>
              <a:t>3</a:t>
            </a:r>
            <a:r>
              <a:rPr lang="zh-CN" altLang="en-US" sz="1100"/>
              <a:t>）如果企业主管设定企业的目标利润为</a:t>
            </a:r>
            <a:r>
              <a:rPr lang="en-US" altLang="zh-CN" sz="1100"/>
              <a:t>30</a:t>
            </a:r>
            <a:r>
              <a:rPr lang="zh-CN" altLang="en-US" sz="1100"/>
              <a:t>万元，利用理论计算表达式求目标销量</a:t>
            </a:r>
            <a:endParaRPr lang="en-US" altLang="zh-CN" sz="1100"/>
          </a:p>
          <a:p>
            <a:r>
              <a:rPr lang="zh-CN" altLang="en-US" sz="1100"/>
              <a:t>（</a:t>
            </a:r>
            <a:r>
              <a:rPr lang="en-US" altLang="zh-CN" sz="1100"/>
              <a:t>4</a:t>
            </a:r>
            <a:r>
              <a:rPr lang="zh-CN" altLang="en-US" sz="1100"/>
              <a:t>）根据以上数据做如下的拆线图，并制作售价变化的垂直参考线。</a:t>
            </a:r>
            <a:endParaRPr lang="en-US" altLang="zh-CN" sz="1100"/>
          </a:p>
          <a:p>
            <a:r>
              <a:rPr lang="zh-CN" altLang="en-US" sz="1100"/>
              <a:t>（</a:t>
            </a:r>
            <a:r>
              <a:rPr lang="en-US" altLang="zh-CN" sz="1100"/>
              <a:t>5</a:t>
            </a:r>
            <a:r>
              <a:rPr lang="zh-CN" altLang="en-US" sz="1100"/>
              <a:t>）如果售价从</a:t>
            </a:r>
            <a:r>
              <a:rPr lang="en-US" altLang="zh-CN" sz="1100"/>
              <a:t>32</a:t>
            </a:r>
            <a:r>
              <a:rPr lang="zh-CN" altLang="en-US" sz="1100"/>
              <a:t>、</a:t>
            </a:r>
            <a:r>
              <a:rPr lang="en-US" altLang="zh-CN" sz="1100"/>
              <a:t>33</a:t>
            </a:r>
            <a:r>
              <a:rPr lang="zh-CN" altLang="en-US" sz="1100"/>
              <a:t>、</a:t>
            </a:r>
            <a:r>
              <a:rPr lang="en-US" altLang="zh-CN" sz="1100"/>
              <a:t>...48</a:t>
            </a:r>
            <a:r>
              <a:rPr lang="zh-CN" altLang="en-US" sz="1100"/>
              <a:t>之间变化，试在图表中加以体现。</a:t>
            </a:r>
            <a:endParaRPr lang="en-US" altLang="zh-CN" sz="1100"/>
          </a:p>
          <a:p>
            <a:endParaRPr lang="en-US" altLang="zh-CN" sz="1100"/>
          </a:p>
          <a:p>
            <a:endParaRPr lang="en-US" altLang="zh-CN" sz="1100"/>
          </a:p>
          <a:p>
            <a:endParaRPr lang="zh-CN" altLang="en-US" sz="1100"/>
          </a:p>
        </xdr:txBody>
      </xdr:sp>
      <xdr:pic>
        <xdr:nvPicPr>
          <xdr:cNvPr id="4" name="图片 3"/>
          <xdr:cNvPicPr>
            <a:picLocks noChangeAspect="1"/>
          </xdr:cNvPicPr>
        </xdr:nvPicPr>
        <xdr:blipFill>
          <a:blip xmlns:r="http://schemas.openxmlformats.org/officeDocument/2006/relationships" r:embed="rId1"/>
          <a:stretch>
            <a:fillRect/>
          </a:stretch>
        </xdr:blipFill>
        <xdr:spPr>
          <a:xfrm>
            <a:off x="8105775" y="2209800"/>
            <a:ext cx="4133850" cy="206396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304800</xdr:colOff>
      <xdr:row>1</xdr:row>
      <xdr:rowOff>19050</xdr:rowOff>
    </xdr:from>
    <xdr:to>
      <xdr:col>16</xdr:col>
      <xdr:colOff>352425</xdr:colOff>
      <xdr:row>34</xdr:row>
      <xdr:rowOff>76200</xdr:rowOff>
    </xdr:to>
    <xdr:grpSp>
      <xdr:nvGrpSpPr>
        <xdr:cNvPr id="2" name="Group 3"/>
        <xdr:cNvGrpSpPr>
          <a:grpSpLocks/>
        </xdr:cNvGrpSpPr>
      </xdr:nvGrpSpPr>
      <xdr:grpSpPr bwMode="auto">
        <a:xfrm>
          <a:off x="4248150" y="190500"/>
          <a:ext cx="6143625" cy="5734050"/>
          <a:chOff x="446" y="20"/>
          <a:chExt cx="645" cy="602"/>
        </a:xfrm>
      </xdr:grpSpPr>
      <xdr:sp macro="" textlink="">
        <xdr:nvSpPr>
          <xdr:cNvPr id="3" name="Text Box 11"/>
          <xdr:cNvSpPr txBox="1">
            <a:spLocks noChangeArrowheads="1"/>
          </xdr:cNvSpPr>
        </xdr:nvSpPr>
        <xdr:spPr bwMode="auto">
          <a:xfrm>
            <a:off x="446" y="20"/>
            <a:ext cx="645" cy="602"/>
          </a:xfrm>
          <a:prstGeom prst="rect">
            <a:avLst/>
          </a:prstGeom>
          <a:solidFill>
            <a:srgbClr val="CCFFFF"/>
          </a:solidFill>
          <a:ln w="9525">
            <a:solidFill>
              <a:srgbClr val="000000"/>
            </a:solidFill>
            <a:miter lim="800000"/>
            <a:headEnd/>
            <a:tailEnd/>
          </a:ln>
        </xdr:spPr>
        <xdr:txBody>
          <a:bodyPr vertOverflow="clip" wrap="square" lIns="27432" tIns="18288" rIns="0" bIns="0" anchor="t"/>
          <a:lstStyle/>
          <a:p>
            <a:pPr algn="l" rtl="0">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2</a:t>
            </a:r>
            <a:r>
              <a:rPr lang="zh-CN" altLang="en-US" sz="1100" b="1" i="0" u="none" strike="noStrike" baseline="0">
                <a:solidFill>
                  <a:srgbClr val="000000"/>
                </a:solidFill>
                <a:latin typeface="宋体"/>
                <a:ea typeface="宋体"/>
              </a:rPr>
              <a:t>题 （</a:t>
            </a:r>
            <a:r>
              <a:rPr lang="zh-CN" altLang="en-US" sz="1100" b="1" i="0" u="none" strike="noStrike" baseline="0">
                <a:solidFill>
                  <a:srgbClr val="000000"/>
                </a:solidFill>
                <a:latin typeface="Calibri"/>
                <a:ea typeface="宋体"/>
                <a:cs typeface="Calibri"/>
              </a:rPr>
              <a:t>1</a:t>
            </a:r>
            <a:r>
              <a:rPr lang="en-US" altLang="zh-CN" sz="1100" b="1" i="0" u="none" strike="noStrike" baseline="0">
                <a:solidFill>
                  <a:srgbClr val="000000"/>
                </a:solidFill>
                <a:latin typeface="Calibri"/>
                <a:ea typeface="宋体"/>
                <a:cs typeface="Calibri"/>
              </a:rPr>
              <a:t>4</a:t>
            </a:r>
            <a:r>
              <a:rPr lang="zh-CN" altLang="en-US" sz="1100" b="1" i="0" u="none" strike="noStrike" baseline="0">
                <a:solidFill>
                  <a:srgbClr val="000000"/>
                </a:solidFill>
                <a:latin typeface="宋体"/>
                <a:ea typeface="宋体"/>
                <a:cs typeface="Calibri"/>
              </a:rPr>
              <a:t>分）：</a:t>
            </a:r>
            <a:r>
              <a:rPr lang="zh-CN" altLang="en-US" sz="1100" b="0" i="0" u="none" strike="noStrike" baseline="0">
                <a:solidFill>
                  <a:srgbClr val="000000"/>
                </a:solidFill>
                <a:latin typeface="宋体"/>
                <a:ea typeface="宋体"/>
                <a:cs typeface="Calibri"/>
              </a:rPr>
              <a:t>某公司需要一种零件,需求量为10000。该零件可分别由工厂甲或工厂乙生产。相关数据为：零件的销售单价为25元，工厂甲的固定成本为30000元，单位可变成本为15元；工厂乙的固定成本为10000元，单位可变成本为20元。要求：</a:t>
            </a:r>
          </a:p>
          <a:p>
            <a:pPr algn="l" rtl="0">
              <a:lnSpc>
                <a:spcPts val="1300"/>
              </a:lnSpc>
              <a:defRPr sz="1000"/>
            </a:pPr>
            <a:r>
              <a:rPr lang="zh-CN" altLang="en-US" sz="1100" b="0" i="0" u="none" strike="noStrike" baseline="0">
                <a:solidFill>
                  <a:srgbClr val="000000"/>
                </a:solidFill>
                <a:latin typeface="宋体"/>
                <a:ea typeface="宋体"/>
                <a:cs typeface="Calibri"/>
              </a:rPr>
              <a:t>1）分别计算每个工厂的总成本、利润、各自的盈亏平衡点。</a:t>
            </a:r>
          </a:p>
          <a:p>
            <a:pPr algn="l" rtl="0">
              <a:lnSpc>
                <a:spcPts val="1300"/>
              </a:lnSpc>
              <a:defRPr sz="1000"/>
            </a:pPr>
            <a:r>
              <a:rPr lang="zh-CN" altLang="en-US" sz="1100" b="0" i="0" u="none" strike="noStrike" baseline="0">
                <a:solidFill>
                  <a:srgbClr val="000000"/>
                </a:solidFill>
                <a:latin typeface="宋体"/>
                <a:ea typeface="宋体"/>
                <a:cs typeface="Calibri"/>
              </a:rPr>
              <a:t>2）计算每个工厂的相对盈亏平衡点及相对盈亏平衡点处的利润。</a:t>
            </a:r>
          </a:p>
          <a:p>
            <a:pPr algn="l" rtl="0">
              <a:lnSpc>
                <a:spcPts val="1300"/>
              </a:lnSpc>
              <a:defRPr sz="1000"/>
            </a:pPr>
            <a:r>
              <a:rPr lang="zh-CN" altLang="en-US" sz="1100" b="0" i="0" u="none" strike="noStrike" baseline="0">
                <a:solidFill>
                  <a:srgbClr val="000000"/>
                </a:solidFill>
                <a:latin typeface="宋体"/>
                <a:ea typeface="宋体"/>
                <a:cs typeface="Calibri"/>
              </a:rPr>
              <a:t>3）给出决策结论文字：“应由工厂甲生产”，或“应由工厂乙生产”。</a:t>
            </a:r>
          </a:p>
          <a:p>
            <a:pPr algn="l" rtl="0">
              <a:lnSpc>
                <a:spcPts val="1300"/>
              </a:lnSpc>
              <a:defRPr sz="1000"/>
            </a:pPr>
            <a:r>
              <a:rPr lang="zh-CN" altLang="en-US" sz="1100" b="0" i="0" u="none" strike="noStrike" baseline="0">
                <a:solidFill>
                  <a:srgbClr val="000000"/>
                </a:solidFill>
                <a:latin typeface="宋体"/>
                <a:ea typeface="宋体"/>
                <a:cs typeface="Calibri"/>
              </a:rPr>
              <a:t>4）以销售数量为自变量绘制两种方案的利润图表。</a:t>
            </a:r>
          </a:p>
          <a:p>
            <a:pPr algn="l" rtl="0">
              <a:defRPr sz="1000"/>
            </a:pPr>
            <a:r>
              <a:rPr lang="zh-CN" altLang="en-US" sz="1100" b="0" i="0" u="none" strike="noStrike" baseline="0">
                <a:solidFill>
                  <a:srgbClr val="000000"/>
                </a:solidFill>
                <a:latin typeface="宋体"/>
                <a:ea typeface="宋体"/>
                <a:cs typeface="Calibri"/>
              </a:rPr>
              <a:t>5）在图中添加一个微调器，使产品单价从25按步长5变化到50，并在图上添加一组随单价变化所引起的相对盈亏平衡点处的利润变化的运动轨迹，用红色空心点反映各档相对盈亏平衡点处的利润，用红色实心点子表示当前单价所对应的相对盈亏平衡点处的利润。</a:t>
            </a:r>
          </a:p>
          <a:p>
            <a:pPr algn="l" rtl="0">
              <a:lnSpc>
                <a:spcPts val="1300"/>
              </a:lnSpc>
              <a:defRPr sz="1000"/>
            </a:pPr>
            <a:endParaRPr lang="zh-CN" altLang="en-US" sz="1100" b="0" i="0" u="none" strike="noStrike" baseline="0">
              <a:solidFill>
                <a:srgbClr val="000000"/>
              </a:solidFill>
              <a:latin typeface="宋体"/>
              <a:ea typeface="宋体"/>
              <a:cs typeface="Calibri"/>
            </a:endParaRPr>
          </a:p>
          <a:p>
            <a:pPr algn="l" rtl="0">
              <a:lnSpc>
                <a:spcPts val="1200"/>
              </a:lnSpc>
              <a:defRPr sz="1000"/>
            </a:pPr>
            <a:r>
              <a:rPr lang="zh-CN" altLang="en-US" sz="1100" b="0" i="0" u="none" strike="noStrike" baseline="0">
                <a:solidFill>
                  <a:srgbClr val="000000"/>
                </a:solidFill>
                <a:latin typeface="宋体"/>
                <a:ea typeface="宋体"/>
                <a:cs typeface="Calibri"/>
              </a:rPr>
              <a:t>第4）和5）中绘制的图形效果如下：</a:t>
            </a:r>
            <a:endParaRPr lang="zh-CN" altLang="en-US"/>
          </a:p>
        </xdr:txBody>
      </xdr:sp>
      <xdr:pic>
        <xdr:nvPicPr>
          <xdr:cNvPr id="4" name="图片 9"/>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 y="257"/>
            <a:ext cx="477" cy="3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9</xdr:row>
      <xdr:rowOff>0</xdr:rowOff>
    </xdr:from>
    <xdr:to>
      <xdr:col>11</xdr:col>
      <xdr:colOff>428625</xdr:colOff>
      <xdr:row>41</xdr:row>
      <xdr:rowOff>38100</xdr:rowOff>
    </xdr:to>
    <xdr:grpSp>
      <xdr:nvGrpSpPr>
        <xdr:cNvPr id="2" name="组合 1"/>
        <xdr:cNvGrpSpPr/>
      </xdr:nvGrpSpPr>
      <xdr:grpSpPr>
        <a:xfrm>
          <a:off x="3533775" y="1714500"/>
          <a:ext cx="7610475" cy="6134100"/>
          <a:chOff x="7867650" y="3619500"/>
          <a:chExt cx="7610475" cy="6134100"/>
        </a:xfrm>
      </xdr:grpSpPr>
      <xdr:sp macro="" textlink="">
        <xdr:nvSpPr>
          <xdr:cNvPr id="3" name="Text Box 13"/>
          <xdr:cNvSpPr txBox="1">
            <a:spLocks noChangeArrowheads="1"/>
          </xdr:cNvSpPr>
        </xdr:nvSpPr>
        <xdr:spPr bwMode="auto">
          <a:xfrm>
            <a:off x="7867650" y="3619500"/>
            <a:ext cx="7610475" cy="6134100"/>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400"/>
              </a:lnSpc>
              <a:defRPr sz="1000"/>
            </a:pPr>
            <a:r>
              <a:rPr lang="zh-CN" altLang="en-US" sz="1200" b="1" i="0" u="none" strike="noStrike" baseline="0">
                <a:solidFill>
                  <a:srgbClr val="000000"/>
                </a:solidFill>
                <a:latin typeface="+mn-ea"/>
                <a:ea typeface="+mn-ea"/>
              </a:rPr>
              <a:t>第</a:t>
            </a:r>
            <a:r>
              <a:rPr lang="en-US" altLang="zh-CN" sz="1200" b="1" i="0" u="none" strike="noStrike" baseline="0">
                <a:solidFill>
                  <a:srgbClr val="000000"/>
                </a:solidFill>
                <a:latin typeface="+mn-ea"/>
                <a:ea typeface="+mn-ea"/>
              </a:rPr>
              <a:t>3</a:t>
            </a:r>
            <a:r>
              <a:rPr lang="zh-CN" altLang="en-US" sz="1200" b="1" i="0" u="none" strike="noStrike" baseline="0">
                <a:solidFill>
                  <a:srgbClr val="000000"/>
                </a:solidFill>
                <a:latin typeface="+mn-ea"/>
                <a:ea typeface="+mn-ea"/>
              </a:rPr>
              <a:t>题（</a:t>
            </a:r>
            <a:r>
              <a:rPr lang="en-US" altLang="zh-CN" sz="1200" b="1" i="0" u="none" strike="noStrike" baseline="0">
                <a:solidFill>
                  <a:srgbClr val="000000"/>
                </a:solidFill>
                <a:latin typeface="+mn-ea"/>
                <a:ea typeface="+mn-ea"/>
              </a:rPr>
              <a:t>15</a:t>
            </a:r>
            <a:r>
              <a:rPr lang="zh-CN" altLang="en-US" sz="1200" b="1" i="0" u="none" strike="noStrike" baseline="0">
                <a:solidFill>
                  <a:srgbClr val="000000"/>
                </a:solidFill>
                <a:latin typeface="+mn-ea"/>
                <a:ea typeface="+mn-ea"/>
              </a:rPr>
              <a:t>分）</a:t>
            </a:r>
            <a:r>
              <a:rPr lang="en-US" altLang="zh-CN" sz="1200" b="0" i="0" u="none" strike="noStrike" baseline="0">
                <a:solidFill>
                  <a:srgbClr val="000000"/>
                </a:solidFill>
                <a:latin typeface="+mn-ea"/>
                <a:ea typeface="+mn-ea"/>
              </a:rPr>
              <a:t>TOPSPORT</a:t>
            </a:r>
            <a:r>
              <a:rPr lang="zh-CN" altLang="en-US" sz="1200" b="0" i="0" u="none" strike="noStrike" baseline="0">
                <a:solidFill>
                  <a:srgbClr val="000000"/>
                </a:solidFill>
                <a:latin typeface="+mn-ea"/>
                <a:ea typeface="+mn-ea"/>
              </a:rPr>
              <a:t>是一家专门生产山地自行车的企业，该企业需要采购一种零件。该零件全年的需求量为</a:t>
            </a:r>
            <a:r>
              <a:rPr lang="en-US" altLang="zh-CN" sz="1200" b="0" i="0" u="none" strike="noStrike" baseline="0">
                <a:solidFill>
                  <a:srgbClr val="000000"/>
                </a:solidFill>
                <a:latin typeface="+mn-ea"/>
                <a:ea typeface="+mn-ea"/>
              </a:rPr>
              <a:t>30000</a:t>
            </a:r>
            <a:r>
              <a:rPr lang="zh-CN" altLang="en-US" sz="1200" b="0" i="0" u="none" strike="noStrike" baseline="0">
                <a:solidFill>
                  <a:srgbClr val="000000"/>
                </a:solidFill>
                <a:latin typeface="+mn-ea"/>
                <a:ea typeface="+mn-ea"/>
              </a:rPr>
              <a:t>，一次采购的订货成本为</a:t>
            </a:r>
            <a:r>
              <a:rPr lang="en-US" altLang="zh-CN" sz="1200" b="0" i="0" u="none" strike="noStrike" baseline="0">
                <a:solidFill>
                  <a:srgbClr val="000000"/>
                </a:solidFill>
                <a:latin typeface="+mn-ea"/>
                <a:ea typeface="+mn-ea"/>
              </a:rPr>
              <a:t>500</a:t>
            </a:r>
            <a:r>
              <a:rPr lang="zh-CN" altLang="en-US" sz="1200" b="0" i="0" u="none" strike="noStrike" baseline="0">
                <a:solidFill>
                  <a:srgbClr val="000000"/>
                </a:solidFill>
                <a:latin typeface="+mn-ea"/>
                <a:ea typeface="+mn-ea"/>
              </a:rPr>
              <a:t>元，一件商品储存一年的储存成本为</a:t>
            </a:r>
            <a:r>
              <a:rPr lang="en-US" altLang="zh-CN" sz="1200" b="0" i="0" u="none" strike="noStrike" baseline="0">
                <a:solidFill>
                  <a:srgbClr val="000000"/>
                </a:solidFill>
                <a:latin typeface="+mn-ea"/>
                <a:ea typeface="+mn-ea"/>
              </a:rPr>
              <a:t>24</a:t>
            </a:r>
            <a:r>
              <a:rPr lang="zh-CN" altLang="en-US" sz="1200" b="0" i="0" u="none" strike="noStrike" baseline="0">
                <a:solidFill>
                  <a:srgbClr val="000000"/>
                </a:solidFill>
                <a:latin typeface="+mn-ea"/>
                <a:ea typeface="+mn-ea"/>
              </a:rPr>
              <a:t>元。购买该</a:t>
            </a:r>
            <a:r>
              <a:rPr lang="zh-CN" altLang="zh-CN" sz="1200" b="0" i="0" baseline="0">
                <a:effectLst/>
                <a:latin typeface="+mn-lt"/>
                <a:ea typeface="+mn-ea"/>
                <a:cs typeface="+mn-cs"/>
              </a:rPr>
              <a:t>零件</a:t>
            </a:r>
            <a:r>
              <a:rPr lang="zh-CN" altLang="en-US" sz="1200" b="0" i="0" u="none" strike="noStrike" baseline="0">
                <a:solidFill>
                  <a:srgbClr val="000000"/>
                </a:solidFill>
                <a:latin typeface="+mn-ea"/>
                <a:ea typeface="+mn-ea"/>
              </a:rPr>
              <a:t>的价格为</a:t>
            </a:r>
            <a:r>
              <a:rPr lang="en-US" altLang="zh-CN" sz="1200" b="0" i="0" u="none" strike="noStrike" baseline="0">
                <a:solidFill>
                  <a:srgbClr val="000000"/>
                </a:solidFill>
                <a:latin typeface="+mn-ea"/>
                <a:ea typeface="+mn-ea"/>
              </a:rPr>
              <a:t>2</a:t>
            </a:r>
            <a:r>
              <a:rPr lang="zh-CN" altLang="en-US" sz="1200" b="0" i="0" u="none" strike="noStrike" baseline="0">
                <a:solidFill>
                  <a:srgbClr val="000000"/>
                </a:solidFill>
                <a:latin typeface="+mn-ea"/>
                <a:ea typeface="+mn-ea"/>
              </a:rPr>
              <a:t>元。假如该企业每次采购时的订货量为</a:t>
            </a:r>
            <a:r>
              <a:rPr lang="en-US" altLang="zh-CN" sz="1200" b="0" i="0" u="none" strike="noStrike" baseline="0">
                <a:solidFill>
                  <a:srgbClr val="000000"/>
                </a:solidFill>
                <a:latin typeface="+mn-ea"/>
                <a:ea typeface="+mn-ea"/>
              </a:rPr>
              <a:t>1500</a:t>
            </a:r>
            <a:r>
              <a:rPr lang="zh-CN" altLang="en-US" sz="1200" b="0" i="0" u="none" strike="noStrike" baseline="0">
                <a:solidFill>
                  <a:srgbClr val="000000"/>
                </a:solidFill>
                <a:latin typeface="+mn-ea"/>
                <a:ea typeface="+mn-ea"/>
              </a:rPr>
              <a:t>。</a:t>
            </a:r>
            <a:endParaRPr lang="en-US" altLang="zh-CN" sz="1200" b="0" i="0" u="none" strike="noStrike" baseline="0">
              <a:solidFill>
                <a:srgbClr val="000000"/>
              </a:solidFill>
              <a:latin typeface="+mn-ea"/>
              <a:ea typeface="+mn-ea"/>
            </a:endParaRPr>
          </a:p>
          <a:p>
            <a:pPr algn="l" rtl="0">
              <a:lnSpc>
                <a:spcPts val="1400"/>
              </a:lnSpc>
              <a:defRPr sz="1000"/>
            </a:pPr>
            <a:r>
              <a:rPr lang="zh-CN" altLang="en-US" sz="1200" b="0" i="0" u="none" strike="noStrike" baseline="0">
                <a:solidFill>
                  <a:srgbClr val="000000"/>
                </a:solidFill>
                <a:latin typeface="+mn-ea"/>
                <a:ea typeface="+mn-ea"/>
              </a:rPr>
              <a:t>要求：</a:t>
            </a:r>
          </a:p>
          <a:p>
            <a:pPr algn="l" rtl="0">
              <a:lnSpc>
                <a:spcPts val="1400"/>
              </a:lnSpc>
              <a:defRPr sz="1000"/>
            </a:pPr>
            <a:r>
              <a:rPr lang="en-US" altLang="zh-CN" sz="1200" b="0" i="0" u="none" strike="noStrike" baseline="0">
                <a:solidFill>
                  <a:srgbClr val="000000"/>
                </a:solidFill>
                <a:latin typeface="+mn-ea"/>
                <a:ea typeface="+mn-ea"/>
              </a:rPr>
              <a:t>1</a:t>
            </a:r>
            <a:r>
              <a:rPr lang="zh-CN" altLang="en-US" sz="1200" b="0" i="0" u="none" strike="noStrike" baseline="0">
                <a:solidFill>
                  <a:srgbClr val="000000"/>
                </a:solidFill>
                <a:latin typeface="+mn-ea"/>
                <a:ea typeface="+mn-ea"/>
              </a:rPr>
              <a:t>、计算单价折扣率（</a:t>
            </a:r>
            <a:r>
              <a:rPr lang="en-US" altLang="zh-CN" sz="1200" b="0" i="0" u="none" strike="noStrike" baseline="0">
                <a:solidFill>
                  <a:srgbClr val="000000"/>
                </a:solidFill>
                <a:latin typeface="+mn-ea"/>
                <a:ea typeface="+mn-ea"/>
              </a:rPr>
              <a:t>OFF</a:t>
            </a:r>
            <a:r>
              <a:rPr lang="zh-CN" altLang="en-US" sz="1200" b="0" i="0" u="none" strike="noStrike" baseline="0">
                <a:solidFill>
                  <a:srgbClr val="000000"/>
                </a:solidFill>
                <a:latin typeface="+mn-ea"/>
                <a:ea typeface="+mn-ea"/>
              </a:rPr>
              <a:t>）、实际采购单价、年订货成本、年储存成本、年采购成本与年总成本；</a:t>
            </a:r>
          </a:p>
          <a:p>
            <a:pPr algn="l" rtl="0">
              <a:lnSpc>
                <a:spcPts val="1400"/>
              </a:lnSpc>
              <a:defRPr sz="1000"/>
            </a:pPr>
            <a:r>
              <a:rPr lang="en-US" altLang="zh-CN" sz="1200" b="0" i="0" u="none" strike="noStrike" baseline="0">
                <a:solidFill>
                  <a:srgbClr val="000000"/>
                </a:solidFill>
                <a:latin typeface="+mn-ea"/>
                <a:ea typeface="+mn-ea"/>
              </a:rPr>
              <a:t>2</a:t>
            </a:r>
            <a:r>
              <a:rPr lang="zh-CN" altLang="en-US" sz="1200" b="0" i="0" u="none" strike="noStrike" baseline="0">
                <a:solidFill>
                  <a:srgbClr val="000000"/>
                </a:solidFill>
                <a:latin typeface="+mn-ea"/>
                <a:ea typeface="+mn-ea"/>
              </a:rPr>
              <a:t>、计算经济订货量以及经济订货量下的年订货成本、年储存成本、年采购成本与年总成本；</a:t>
            </a:r>
          </a:p>
          <a:p>
            <a:pPr algn="l" rtl="0">
              <a:lnSpc>
                <a:spcPts val="1400"/>
              </a:lnSpc>
              <a:defRPr sz="1000"/>
            </a:pPr>
            <a:r>
              <a:rPr lang="en-US" altLang="zh-CN" sz="1200" b="0" i="0" u="none" strike="noStrike" baseline="0">
                <a:solidFill>
                  <a:srgbClr val="000000"/>
                </a:solidFill>
                <a:latin typeface="+mn-ea"/>
                <a:ea typeface="+mn-ea"/>
              </a:rPr>
              <a:t>3</a:t>
            </a:r>
            <a:r>
              <a:rPr lang="zh-CN" altLang="en-US" sz="1200" b="0" i="0" u="none" strike="noStrike" baseline="0">
                <a:solidFill>
                  <a:srgbClr val="000000"/>
                </a:solidFill>
                <a:latin typeface="+mn-ea"/>
                <a:ea typeface="+mn-ea"/>
              </a:rPr>
              <a:t>、单位年储存成本分别取</a:t>
            </a:r>
            <a:r>
              <a:rPr lang="en-US" altLang="zh-CN" sz="1200" b="0" i="0" u="none" strike="noStrike" baseline="0">
                <a:solidFill>
                  <a:srgbClr val="000000"/>
                </a:solidFill>
                <a:latin typeface="+mn-ea"/>
                <a:ea typeface="+mn-ea"/>
              </a:rPr>
              <a:t>24</a:t>
            </a:r>
            <a:r>
              <a:rPr lang="zh-CN" altLang="en-US" sz="1200" b="0" i="0" u="none" strike="noStrike" baseline="0">
                <a:solidFill>
                  <a:srgbClr val="000000"/>
                </a:solidFill>
                <a:latin typeface="+mn-ea"/>
                <a:ea typeface="+mn-ea"/>
              </a:rPr>
              <a:t>、</a:t>
            </a:r>
            <a:r>
              <a:rPr lang="en-US" altLang="zh-CN" sz="1200" b="0" i="0" u="none" strike="noStrike" baseline="0">
                <a:solidFill>
                  <a:srgbClr val="000000"/>
                </a:solidFill>
                <a:latin typeface="+mn-ea"/>
                <a:ea typeface="+mn-ea"/>
              </a:rPr>
              <a:t>26</a:t>
            </a:r>
            <a:r>
              <a:rPr lang="zh-CN" altLang="en-US" sz="1200" b="0" i="0" u="none" strike="noStrike" baseline="0">
                <a:solidFill>
                  <a:srgbClr val="000000"/>
                </a:solidFill>
                <a:latin typeface="+mn-ea"/>
                <a:ea typeface="+mn-ea"/>
              </a:rPr>
              <a:t>、</a:t>
            </a:r>
            <a:r>
              <a:rPr lang="en-US" altLang="zh-CN" sz="1200" b="0" i="0" u="none" strike="noStrike" baseline="0">
                <a:solidFill>
                  <a:srgbClr val="000000"/>
                </a:solidFill>
                <a:latin typeface="+mn-ea"/>
                <a:ea typeface="+mn-ea"/>
              </a:rPr>
              <a:t>28</a:t>
            </a:r>
            <a:r>
              <a:rPr lang="zh-CN" altLang="en-US" sz="1200" b="0" i="0" u="none" strike="noStrike" baseline="0">
                <a:solidFill>
                  <a:srgbClr val="000000"/>
                </a:solidFill>
                <a:latin typeface="+mn-ea"/>
                <a:ea typeface="+mn-ea"/>
              </a:rPr>
              <a:t>、</a:t>
            </a:r>
            <a:r>
              <a:rPr lang="en-US" altLang="zh-CN" sz="1200" b="0" i="0" u="none" strike="noStrike" baseline="0">
                <a:solidFill>
                  <a:srgbClr val="000000"/>
                </a:solidFill>
                <a:latin typeface="+mn-ea"/>
                <a:ea typeface="+mn-ea"/>
              </a:rPr>
              <a:t>30</a:t>
            </a:r>
            <a:r>
              <a:rPr lang="zh-CN" altLang="en-US" sz="1200" b="0" i="0" u="none" strike="noStrike" baseline="0">
                <a:solidFill>
                  <a:srgbClr val="000000"/>
                </a:solidFill>
                <a:latin typeface="+mn-ea"/>
                <a:ea typeface="+mn-ea"/>
              </a:rPr>
              <a:t>时，且订货量从</a:t>
            </a:r>
            <a:r>
              <a:rPr lang="en-US" altLang="zh-CN" sz="1200" b="0" i="0" u="none" strike="noStrike" baseline="0">
                <a:solidFill>
                  <a:srgbClr val="000000"/>
                </a:solidFill>
                <a:latin typeface="+mn-ea"/>
                <a:ea typeface="+mn-ea"/>
              </a:rPr>
              <a:t>100</a:t>
            </a:r>
            <a:r>
              <a:rPr lang="zh-CN" altLang="en-US" sz="1200" b="0" i="0" u="none" strike="noStrike" baseline="0">
                <a:solidFill>
                  <a:srgbClr val="000000"/>
                </a:solidFill>
                <a:latin typeface="+mn-ea"/>
                <a:ea typeface="+mn-ea"/>
              </a:rPr>
              <a:t>至</a:t>
            </a:r>
            <a:r>
              <a:rPr lang="en-US" altLang="zh-CN" sz="1200" b="0" i="0" u="none" strike="noStrike" baseline="0">
                <a:solidFill>
                  <a:srgbClr val="000000"/>
                </a:solidFill>
                <a:latin typeface="+mn-ea"/>
                <a:ea typeface="+mn-ea"/>
              </a:rPr>
              <a:t>5000</a:t>
            </a:r>
            <a:r>
              <a:rPr lang="zh-CN" altLang="en-US" sz="1200" b="0" i="0" u="none" strike="noStrike" baseline="0">
                <a:solidFill>
                  <a:srgbClr val="000000"/>
                </a:solidFill>
                <a:latin typeface="+mn-ea"/>
                <a:ea typeface="+mn-ea"/>
              </a:rPr>
              <a:t>间变化，计算出年总成本，并且根据模拟运算表的数据绘制出图形；其中红色曲线反映当前模型中经济订货量及优惠折扣阈限值时年总成本曲线；</a:t>
            </a:r>
          </a:p>
          <a:p>
            <a:pPr algn="l" rtl="0">
              <a:lnSpc>
                <a:spcPts val="1400"/>
              </a:lnSpc>
              <a:defRPr sz="1000"/>
            </a:pPr>
            <a:r>
              <a:rPr lang="en-US" altLang="zh-CN" sz="1200" b="0" i="0" u="none" strike="noStrike" baseline="0">
                <a:solidFill>
                  <a:srgbClr val="000000"/>
                </a:solidFill>
                <a:latin typeface="+mn-ea"/>
                <a:ea typeface="+mn-ea"/>
              </a:rPr>
              <a:t>4</a:t>
            </a:r>
            <a:r>
              <a:rPr lang="zh-CN" altLang="en-US" sz="1200" b="0" i="0" u="none" strike="noStrike" baseline="0">
                <a:solidFill>
                  <a:srgbClr val="000000"/>
                </a:solidFill>
                <a:latin typeface="+mn-ea"/>
                <a:ea typeface="+mn-ea"/>
              </a:rPr>
              <a:t>、在图上添加一个表示模型中最低年成本的红色水平参考线以及最低总成本的实心红色参考点子；</a:t>
            </a:r>
          </a:p>
          <a:p>
            <a:pPr algn="l" rtl="0">
              <a:lnSpc>
                <a:spcPts val="1400"/>
              </a:lnSpc>
              <a:defRPr sz="1000"/>
            </a:pPr>
            <a:r>
              <a:rPr lang="en-US" altLang="zh-CN" sz="1200" b="0" i="0" u="none" strike="noStrike" baseline="0">
                <a:solidFill>
                  <a:srgbClr val="000000"/>
                </a:solidFill>
                <a:latin typeface="+mn-ea"/>
                <a:ea typeface="+mn-ea"/>
              </a:rPr>
              <a:t>5</a:t>
            </a:r>
            <a:r>
              <a:rPr lang="zh-CN" altLang="en-US" sz="1200" b="0" i="0" u="none" strike="noStrike" baseline="0">
                <a:solidFill>
                  <a:srgbClr val="000000"/>
                </a:solidFill>
                <a:latin typeface="+mn-ea"/>
                <a:ea typeface="+mn-ea"/>
              </a:rPr>
              <a:t>、添加一个对</a:t>
            </a:r>
            <a:r>
              <a:rPr lang="zh-CN" altLang="zh-CN" sz="1200" b="0" i="0" baseline="0">
                <a:effectLst/>
                <a:latin typeface="+mn-ea"/>
                <a:ea typeface="+mn-ea"/>
                <a:cs typeface="+mn-cs"/>
              </a:rPr>
              <a:t>单位</a:t>
            </a:r>
            <a:r>
              <a:rPr lang="zh-CN" altLang="en-US" sz="1200" b="0" i="0" baseline="0">
                <a:effectLst/>
                <a:latin typeface="+mn-ea"/>
                <a:ea typeface="+mn-ea"/>
                <a:cs typeface="+mn-cs"/>
              </a:rPr>
              <a:t>年</a:t>
            </a:r>
            <a:r>
              <a:rPr lang="zh-CN" altLang="zh-CN" sz="1200" b="0" i="0" baseline="0">
                <a:effectLst/>
                <a:latin typeface="+mn-ea"/>
                <a:ea typeface="+mn-ea"/>
                <a:cs typeface="+mn-cs"/>
              </a:rPr>
              <a:t>储存成本取</a:t>
            </a:r>
            <a:r>
              <a:rPr lang="en-US" altLang="zh-CN" sz="1200" b="0" i="0" baseline="0">
                <a:effectLst/>
                <a:latin typeface="+mn-ea"/>
                <a:ea typeface="+mn-ea"/>
                <a:cs typeface="+mn-cs"/>
              </a:rPr>
              <a:t>24</a:t>
            </a:r>
            <a:r>
              <a:rPr lang="zh-CN" altLang="zh-CN" sz="1200" b="0" i="0" baseline="0">
                <a:effectLst/>
                <a:latin typeface="+mn-ea"/>
                <a:ea typeface="+mn-ea"/>
                <a:cs typeface="+mn-cs"/>
              </a:rPr>
              <a:t>、</a:t>
            </a:r>
            <a:r>
              <a:rPr lang="en-US" altLang="zh-CN" sz="1200" b="0" i="0" baseline="0">
                <a:effectLst/>
                <a:latin typeface="+mn-ea"/>
                <a:ea typeface="+mn-ea"/>
                <a:cs typeface="+mn-cs"/>
              </a:rPr>
              <a:t>26</a:t>
            </a:r>
            <a:r>
              <a:rPr lang="zh-CN" altLang="zh-CN" sz="1200" b="0" i="0" baseline="0">
                <a:effectLst/>
                <a:latin typeface="+mn-ea"/>
                <a:ea typeface="+mn-ea"/>
                <a:cs typeface="+mn-cs"/>
              </a:rPr>
              <a:t>、</a:t>
            </a:r>
            <a:r>
              <a:rPr lang="en-US" altLang="zh-CN" sz="1200" b="0" i="0" baseline="0">
                <a:effectLst/>
                <a:latin typeface="+mn-ea"/>
                <a:ea typeface="+mn-ea"/>
                <a:cs typeface="+mn-cs"/>
              </a:rPr>
              <a:t>28</a:t>
            </a:r>
            <a:r>
              <a:rPr lang="zh-CN" altLang="zh-CN" sz="1200" b="0" i="0" baseline="0">
                <a:effectLst/>
                <a:latin typeface="+mn-ea"/>
                <a:ea typeface="+mn-ea"/>
                <a:cs typeface="+mn-cs"/>
              </a:rPr>
              <a:t>、</a:t>
            </a:r>
            <a:r>
              <a:rPr lang="en-US" altLang="zh-CN" sz="1200" b="0" i="0" baseline="0">
                <a:effectLst/>
                <a:latin typeface="+mn-ea"/>
                <a:ea typeface="+mn-ea"/>
                <a:cs typeface="+mn-cs"/>
              </a:rPr>
              <a:t>30</a:t>
            </a:r>
            <a:r>
              <a:rPr lang="zh-CN" altLang="zh-CN" sz="1200" b="0" i="0" baseline="0">
                <a:effectLst/>
                <a:latin typeface="+mn-ea"/>
                <a:ea typeface="+mn-ea"/>
                <a:cs typeface="+mn-cs"/>
              </a:rPr>
              <a:t>时</a:t>
            </a:r>
            <a:r>
              <a:rPr lang="zh-CN" altLang="en-US" sz="1200" b="0" i="0" u="none" strike="noStrike" baseline="0">
                <a:solidFill>
                  <a:srgbClr val="000000"/>
                </a:solidFill>
                <a:latin typeface="+mn-ea"/>
                <a:ea typeface="+mn-ea"/>
              </a:rPr>
              <a:t>进行调整的数值调节控件（微调器）；</a:t>
            </a:r>
          </a:p>
          <a:p>
            <a:pPr algn="l" rtl="0">
              <a:lnSpc>
                <a:spcPts val="1500"/>
              </a:lnSpc>
              <a:defRPr sz="1000"/>
            </a:pPr>
            <a:r>
              <a:rPr lang="en-US" altLang="zh-CN" sz="1200" b="0" i="0" u="none" strike="noStrike" baseline="0">
                <a:solidFill>
                  <a:srgbClr val="000000"/>
                </a:solidFill>
                <a:latin typeface="+mn-ea"/>
                <a:ea typeface="+mn-ea"/>
              </a:rPr>
              <a:t>6</a:t>
            </a:r>
            <a:r>
              <a:rPr lang="zh-CN" altLang="en-US" sz="1200" b="0" i="0" u="none" strike="noStrike" baseline="0">
                <a:solidFill>
                  <a:srgbClr val="000000"/>
                </a:solidFill>
                <a:latin typeface="+mn-ea"/>
                <a:ea typeface="+mn-ea"/>
              </a:rPr>
              <a:t>、在图中采用文本框来表示你所选择的订货量的方案文字。</a:t>
            </a:r>
          </a:p>
        </xdr:txBody>
      </xdr:sp>
      <xdr:pic>
        <xdr:nvPicPr>
          <xdr:cNvPr id="4" name="图片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67675" y="5734050"/>
            <a:ext cx="7229475" cy="39338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13</xdr:row>
      <xdr:rowOff>91440</xdr:rowOff>
    </xdr:from>
    <xdr:to>
      <xdr:col>5</xdr:col>
      <xdr:colOff>0</xdr:colOff>
      <xdr:row>13</xdr:row>
      <xdr:rowOff>91440</xdr:rowOff>
    </xdr:to>
    <xdr:sp macro="" textlink="">
      <xdr:nvSpPr>
        <xdr:cNvPr id="2" name="Line 2"/>
        <xdr:cNvSpPr>
          <a:spLocks noChangeShapeType="1"/>
        </xdr:cNvSpPr>
      </xdr:nvSpPr>
      <xdr:spPr bwMode="auto">
        <a:xfrm>
          <a:off x="5334000" y="244411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569594</xdr:colOff>
      <xdr:row>7</xdr:row>
      <xdr:rowOff>121921</xdr:rowOff>
    </xdr:from>
    <xdr:to>
      <xdr:col>3</xdr:col>
      <xdr:colOff>552450</xdr:colOff>
      <xdr:row>20</xdr:row>
      <xdr:rowOff>9525</xdr:rowOff>
    </xdr:to>
    <xdr:sp macro="" textlink="">
      <xdr:nvSpPr>
        <xdr:cNvPr id="3" name="Text Box 1"/>
        <xdr:cNvSpPr txBox="1">
          <a:spLocks noChangeArrowheads="1"/>
        </xdr:cNvSpPr>
      </xdr:nvSpPr>
      <xdr:spPr bwMode="auto">
        <a:xfrm>
          <a:off x="569594" y="1388746"/>
          <a:ext cx="3335656" cy="2240279"/>
        </a:xfrm>
        <a:prstGeom prst="rect">
          <a:avLst/>
        </a:prstGeom>
        <a:solidFill>
          <a:schemeClr val="accent2">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200"/>
            </a:lnSpc>
            <a:defRPr sz="1000"/>
          </a:pPr>
          <a:endParaRPr lang="en-US" altLang="zh-CN" sz="1200" b="1" i="0" u="none" strike="noStrike" baseline="0">
            <a:solidFill>
              <a:srgbClr val="000000"/>
            </a:solidFill>
            <a:latin typeface="+mn-ea"/>
            <a:ea typeface="+mn-ea"/>
          </a:endParaRPr>
        </a:p>
        <a:p>
          <a:pPr marL="0" marR="0" indent="0" algn="l" defTabSz="914400" rtl="0" eaLnBrk="1" fontAlgn="auto" latinLnBrk="0" hangingPunct="1">
            <a:lnSpc>
              <a:spcPts val="1800"/>
            </a:lnSpc>
            <a:spcBef>
              <a:spcPts val="0"/>
            </a:spcBef>
            <a:spcAft>
              <a:spcPts val="0"/>
            </a:spcAft>
            <a:buClrTx/>
            <a:buSzTx/>
            <a:buFontTx/>
            <a:buNone/>
            <a:tabLst/>
            <a:defRPr sz="1000"/>
          </a:pPr>
          <a:r>
            <a:rPr lang="zh-CN" altLang="en-US" sz="1200" b="1" i="0" u="none" strike="noStrike" baseline="0">
              <a:solidFill>
                <a:srgbClr val="000000"/>
              </a:solidFill>
              <a:latin typeface="+mn-ea"/>
              <a:ea typeface="+mn-ea"/>
            </a:rPr>
            <a:t>第</a:t>
          </a:r>
          <a:r>
            <a:rPr lang="en-US" altLang="zh-CN" sz="1200" b="1" i="0" u="none" strike="noStrike" baseline="0">
              <a:solidFill>
                <a:srgbClr val="000000"/>
              </a:solidFill>
              <a:latin typeface="+mn-ea"/>
              <a:ea typeface="+mn-ea"/>
            </a:rPr>
            <a:t>4</a:t>
          </a:r>
          <a:r>
            <a:rPr lang="zh-CN" altLang="en-US" sz="1200" b="1" i="0" u="none" strike="noStrike" baseline="0">
              <a:solidFill>
                <a:srgbClr val="000000"/>
              </a:solidFill>
              <a:latin typeface="+mn-ea"/>
              <a:ea typeface="+mn-ea"/>
            </a:rPr>
            <a:t>题（</a:t>
          </a:r>
          <a:r>
            <a:rPr lang="en-US" altLang="zh-CN" sz="1200" b="1" i="0" u="none" strike="noStrike" baseline="0">
              <a:solidFill>
                <a:srgbClr val="000000"/>
              </a:solidFill>
              <a:latin typeface="+mn-ea"/>
              <a:ea typeface="+mn-ea"/>
            </a:rPr>
            <a:t>10</a:t>
          </a:r>
          <a:r>
            <a:rPr lang="zh-CN" altLang="en-US" sz="1200" b="1" i="0" u="none" strike="noStrike" baseline="0">
              <a:solidFill>
                <a:srgbClr val="000000"/>
              </a:solidFill>
              <a:latin typeface="+mn-ea"/>
              <a:ea typeface="+mn-ea"/>
            </a:rPr>
            <a:t>分）</a:t>
          </a:r>
          <a:r>
            <a:rPr lang="zh-CN" altLang="zh-CN" sz="1200" b="0" i="0" baseline="0">
              <a:effectLst/>
              <a:latin typeface="+mn-lt"/>
              <a:ea typeface="+mn-ea"/>
              <a:cs typeface="+mn-cs"/>
            </a:rPr>
            <a:t>若投资者在第</a:t>
          </a:r>
          <a:r>
            <a:rPr lang="en-US" altLang="zh-CN" sz="1200" b="0" i="0" baseline="0">
              <a:effectLst/>
              <a:latin typeface="+mn-lt"/>
              <a:ea typeface="+mn-ea"/>
              <a:cs typeface="+mn-cs"/>
            </a:rPr>
            <a:t>0</a:t>
          </a:r>
          <a:r>
            <a:rPr lang="zh-CN" altLang="zh-CN" sz="1200" b="0" i="0" baseline="0">
              <a:effectLst/>
              <a:latin typeface="+mn-lt"/>
              <a:ea typeface="+mn-ea"/>
              <a:cs typeface="+mn-cs"/>
            </a:rPr>
            <a:t>年末向银行贷款</a:t>
          </a:r>
          <a:r>
            <a:rPr lang="en-US" altLang="zh-CN" sz="1200" b="0" i="0" baseline="0">
              <a:effectLst/>
              <a:latin typeface="+mn-lt"/>
              <a:ea typeface="+mn-ea"/>
              <a:cs typeface="+mn-cs"/>
            </a:rPr>
            <a:t>50</a:t>
          </a:r>
          <a:r>
            <a:rPr lang="zh-CN" altLang="zh-CN" sz="1200" b="0" i="0" baseline="0">
              <a:effectLst/>
              <a:latin typeface="+mn-lt"/>
              <a:ea typeface="+mn-ea"/>
              <a:cs typeface="+mn-cs"/>
            </a:rPr>
            <a:t>万元</a:t>
          </a:r>
          <a:r>
            <a:rPr lang="en-US" altLang="zh-CN" sz="1200" b="0" i="0" baseline="0">
              <a:effectLst/>
              <a:latin typeface="+mn-lt"/>
              <a:ea typeface="+mn-ea"/>
              <a:cs typeface="+mn-cs"/>
            </a:rPr>
            <a:t>,</a:t>
          </a:r>
          <a:r>
            <a:rPr lang="zh-CN" altLang="zh-CN" sz="1200" b="0" i="0" baseline="0">
              <a:effectLst/>
              <a:latin typeface="+mn-lt"/>
              <a:ea typeface="+mn-ea"/>
              <a:cs typeface="+mn-cs"/>
            </a:rPr>
            <a:t>贷款年利率</a:t>
          </a:r>
          <a:r>
            <a:rPr lang="en-US" altLang="zh-CN" sz="1200" b="0" i="0" baseline="0">
              <a:effectLst/>
              <a:latin typeface="+mn-lt"/>
              <a:ea typeface="+mn-ea"/>
              <a:cs typeface="+mn-cs"/>
            </a:rPr>
            <a:t>7%,</a:t>
          </a:r>
          <a:r>
            <a:rPr lang="zh-CN" altLang="zh-CN" sz="1200" b="0" i="0" baseline="0">
              <a:effectLst/>
              <a:latin typeface="+mn-lt"/>
              <a:ea typeface="+mn-ea"/>
              <a:cs typeface="+mn-cs"/>
            </a:rPr>
            <a:t>年限</a:t>
          </a:r>
          <a:r>
            <a:rPr lang="en-US" altLang="zh-CN" sz="1200" b="0" i="0" baseline="0">
              <a:effectLst/>
              <a:latin typeface="+mn-lt"/>
              <a:ea typeface="+mn-ea"/>
              <a:cs typeface="+mn-cs"/>
            </a:rPr>
            <a:t>10</a:t>
          </a:r>
          <a:r>
            <a:rPr lang="zh-CN" altLang="zh-CN" sz="1200" b="0" i="0" baseline="0">
              <a:effectLst/>
              <a:latin typeface="+mn-lt"/>
              <a:ea typeface="+mn-ea"/>
              <a:cs typeface="+mn-cs"/>
            </a:rPr>
            <a:t>年</a:t>
          </a:r>
          <a:r>
            <a:rPr lang="en-US" altLang="zh-CN" sz="1200" b="0" i="0" baseline="0">
              <a:effectLst/>
              <a:latin typeface="+mn-lt"/>
              <a:ea typeface="+mn-ea"/>
              <a:cs typeface="+mn-cs"/>
            </a:rPr>
            <a:t>,</a:t>
          </a:r>
          <a:r>
            <a:rPr lang="zh-CN" altLang="zh-CN" sz="1200" b="0" i="0" baseline="0">
              <a:effectLst/>
              <a:latin typeface="+mn-lt"/>
              <a:ea typeface="+mn-ea"/>
              <a:cs typeface="+mn-cs"/>
            </a:rPr>
            <a:t>按年等</a:t>
          </a:r>
          <a:r>
            <a:rPr lang="zh-CN" altLang="en-US" sz="1200" b="0" i="0" baseline="0">
              <a:effectLst/>
              <a:latin typeface="+mn-lt"/>
              <a:ea typeface="+mn-ea"/>
              <a:cs typeface="+mn-cs"/>
            </a:rPr>
            <a:t>本</a:t>
          </a:r>
          <a:r>
            <a:rPr lang="zh-CN" altLang="zh-CN" sz="1200" b="0" i="0" baseline="0">
              <a:effectLst/>
              <a:latin typeface="+mn-lt"/>
              <a:ea typeface="+mn-ea"/>
              <a:cs typeface="+mn-cs"/>
            </a:rPr>
            <a:t>还款</a:t>
          </a:r>
          <a:r>
            <a:rPr lang="en-US" altLang="zh-CN" sz="1200" b="0" i="0" baseline="0">
              <a:effectLst/>
              <a:latin typeface="+mn-lt"/>
              <a:ea typeface="+mn-ea"/>
              <a:cs typeface="+mn-cs"/>
            </a:rPr>
            <a:t>,</a:t>
          </a:r>
          <a:r>
            <a:rPr lang="zh-CN" altLang="zh-CN" sz="1200" b="0" i="0" baseline="0">
              <a:effectLst/>
              <a:latin typeface="+mn-lt"/>
              <a:ea typeface="+mn-ea"/>
              <a:cs typeface="+mn-cs"/>
            </a:rPr>
            <a:t>每年应还多少钱才能还清这笔贷款</a:t>
          </a:r>
          <a:r>
            <a:rPr lang="en-US" altLang="zh-CN" sz="1200" b="0" i="0" baseline="0">
              <a:effectLst/>
              <a:latin typeface="+mn-lt"/>
              <a:ea typeface="+mn-ea"/>
              <a:cs typeface="+mn-cs"/>
            </a:rPr>
            <a:t>? </a:t>
          </a:r>
          <a:r>
            <a:rPr lang="zh-CN" altLang="zh-CN" sz="1200" b="0" i="0" baseline="0">
              <a:effectLst/>
              <a:latin typeface="+mn-lt"/>
              <a:ea typeface="+mn-ea"/>
              <a:cs typeface="+mn-cs"/>
            </a:rPr>
            <a:t>按照该年还款额等</a:t>
          </a:r>
          <a:r>
            <a:rPr lang="zh-CN" altLang="en-US" sz="1200" b="0" i="0" baseline="0">
              <a:effectLst/>
              <a:latin typeface="+mn-lt"/>
              <a:ea typeface="+mn-ea"/>
              <a:cs typeface="+mn-cs"/>
            </a:rPr>
            <a:t>本</a:t>
          </a:r>
          <a:r>
            <a:rPr lang="zh-CN" altLang="zh-CN" sz="1200" b="0" i="0" baseline="0">
              <a:effectLst/>
              <a:latin typeface="+mn-lt"/>
              <a:ea typeface="+mn-ea"/>
              <a:cs typeface="+mn-cs"/>
            </a:rPr>
            <a:t>地还了</a:t>
          </a:r>
          <a:r>
            <a:rPr lang="en-US" altLang="zh-CN" sz="1200" b="0" i="0" baseline="0">
              <a:effectLst/>
              <a:latin typeface="+mn-lt"/>
              <a:ea typeface="+mn-ea"/>
              <a:cs typeface="+mn-cs"/>
            </a:rPr>
            <a:t>5</a:t>
          </a:r>
          <a:r>
            <a:rPr lang="zh-CN" altLang="zh-CN" sz="1200" b="0" i="0" baseline="0">
              <a:effectLst/>
              <a:latin typeface="+mn-lt"/>
              <a:ea typeface="+mn-ea"/>
              <a:cs typeface="+mn-cs"/>
            </a:rPr>
            <a:t>年后，到第</a:t>
          </a:r>
          <a:r>
            <a:rPr lang="en-US" altLang="zh-CN" sz="1200" b="0" i="0" baseline="0">
              <a:effectLst/>
              <a:latin typeface="+mn-lt"/>
              <a:ea typeface="+mn-ea"/>
              <a:cs typeface="+mn-cs"/>
            </a:rPr>
            <a:t>5</a:t>
          </a:r>
          <a:r>
            <a:rPr lang="zh-CN" altLang="zh-CN" sz="1200" b="0" i="0" baseline="0">
              <a:effectLst/>
              <a:latin typeface="+mn-lt"/>
              <a:ea typeface="+mn-ea"/>
              <a:cs typeface="+mn-cs"/>
            </a:rPr>
            <a:t>年末还剩多少本金未还？</a:t>
          </a:r>
          <a:r>
            <a:rPr lang="zh-CN" altLang="en-US" sz="1200" b="0" i="0" baseline="0">
              <a:effectLst/>
              <a:latin typeface="+mn-lt"/>
              <a:ea typeface="+mn-ea"/>
              <a:cs typeface="+mn-cs"/>
            </a:rPr>
            <a:t>在</a:t>
          </a:r>
          <a:r>
            <a:rPr lang="en-US" altLang="zh-CN" sz="1200" b="0" i="0" baseline="0">
              <a:effectLst/>
              <a:latin typeface="+mn-lt"/>
              <a:ea typeface="+mn-ea"/>
              <a:cs typeface="+mn-cs"/>
            </a:rPr>
            <a:t>E2</a:t>
          </a:r>
          <a:r>
            <a:rPr lang="zh-CN" altLang="en-US" sz="1200" b="0" i="0" baseline="0">
              <a:effectLst/>
              <a:latin typeface="+mn-lt"/>
              <a:ea typeface="+mn-ea"/>
              <a:cs typeface="+mn-cs"/>
            </a:rPr>
            <a:t>开始 的范围内制作前</a:t>
          </a:r>
          <a:r>
            <a:rPr lang="en-US" altLang="zh-CN" sz="1200" b="0" i="0" baseline="0">
              <a:effectLst/>
              <a:latin typeface="+mn-lt"/>
              <a:ea typeface="+mn-ea"/>
              <a:cs typeface="+mn-cs"/>
            </a:rPr>
            <a:t>5</a:t>
          </a:r>
          <a:r>
            <a:rPr lang="zh-CN" altLang="en-US" sz="1200" b="0" i="0" baseline="0">
              <a:effectLst/>
              <a:latin typeface="+mn-lt"/>
              <a:ea typeface="+mn-ea"/>
              <a:cs typeface="+mn-cs"/>
            </a:rPr>
            <a:t>年还款表，</a:t>
          </a:r>
          <a:r>
            <a:rPr lang="zh-CN" altLang="zh-CN" sz="1200" b="0" i="0" baseline="0">
              <a:effectLst/>
              <a:latin typeface="+mn-lt"/>
              <a:ea typeface="+mn-ea"/>
              <a:cs typeface="+mn-cs"/>
            </a:rPr>
            <a:t>若从第</a:t>
          </a:r>
          <a:r>
            <a:rPr lang="en-US" altLang="zh-CN" sz="1200" b="0" i="0" baseline="0">
              <a:effectLst/>
              <a:latin typeface="+mn-lt"/>
              <a:ea typeface="+mn-ea"/>
              <a:cs typeface="+mn-cs"/>
            </a:rPr>
            <a:t>6</a:t>
          </a:r>
          <a:r>
            <a:rPr lang="zh-CN" altLang="zh-CN" sz="1200" b="0" i="0" baseline="0">
              <a:effectLst/>
              <a:latin typeface="+mn-lt"/>
              <a:ea typeface="+mn-ea"/>
              <a:cs typeface="+mn-cs"/>
            </a:rPr>
            <a:t>年开始，银行的贷款年利率下调为</a:t>
          </a:r>
          <a:r>
            <a:rPr lang="en-US" altLang="zh-CN" sz="1200" b="0" i="0" baseline="0">
              <a:effectLst/>
              <a:latin typeface="+mn-lt"/>
              <a:ea typeface="+mn-ea"/>
              <a:cs typeface="+mn-cs"/>
            </a:rPr>
            <a:t>5%</a:t>
          </a:r>
          <a:r>
            <a:rPr lang="zh-CN" altLang="zh-CN" sz="1200" b="0" i="0" baseline="0">
              <a:effectLst/>
              <a:latin typeface="+mn-lt"/>
              <a:ea typeface="+mn-ea"/>
              <a:cs typeface="+mn-cs"/>
            </a:rPr>
            <a:t>，在等</a:t>
          </a:r>
          <a:r>
            <a:rPr lang="zh-CN" altLang="en-US" sz="1200" b="0" i="0" baseline="0">
              <a:effectLst/>
              <a:latin typeface="+mn-lt"/>
              <a:ea typeface="+mn-ea"/>
              <a:cs typeface="+mn-cs"/>
            </a:rPr>
            <a:t>本</a:t>
          </a:r>
          <a:r>
            <a:rPr lang="zh-CN" altLang="zh-CN" sz="1200" b="0" i="0" baseline="0">
              <a:effectLst/>
              <a:latin typeface="+mn-lt"/>
              <a:ea typeface="+mn-ea"/>
              <a:cs typeface="+mn-cs"/>
            </a:rPr>
            <a:t>还款方式下，每年应还多少才能在第</a:t>
          </a:r>
          <a:r>
            <a:rPr lang="en-US" altLang="zh-CN" sz="1200" b="0" i="0" baseline="0">
              <a:effectLst/>
              <a:latin typeface="+mn-lt"/>
              <a:ea typeface="+mn-ea"/>
              <a:cs typeface="+mn-cs"/>
            </a:rPr>
            <a:t>10</a:t>
          </a:r>
          <a:r>
            <a:rPr lang="zh-CN" altLang="zh-CN" sz="1200" b="0" i="0" baseline="0">
              <a:effectLst/>
              <a:latin typeface="+mn-lt"/>
              <a:ea typeface="+mn-ea"/>
              <a:cs typeface="+mn-cs"/>
            </a:rPr>
            <a:t>年末还清余下的本金</a:t>
          </a:r>
          <a:r>
            <a:rPr lang="en-US" altLang="zh-CN" sz="1200" b="0" i="0" baseline="0">
              <a:effectLst/>
              <a:latin typeface="+mn-lt"/>
              <a:ea typeface="+mn-ea"/>
              <a:cs typeface="+mn-cs"/>
            </a:rPr>
            <a:t>?</a:t>
          </a:r>
          <a:r>
            <a:rPr lang="zh-CN" altLang="en-US" sz="1200" b="0" i="0" baseline="0">
              <a:effectLst/>
              <a:latin typeface="+mn-lt"/>
              <a:ea typeface="+mn-ea"/>
              <a:cs typeface="+mn-cs"/>
            </a:rPr>
            <a:t>，继续完善后</a:t>
          </a:r>
          <a:r>
            <a:rPr lang="en-US" altLang="zh-CN" sz="1200" b="0" i="0" baseline="0">
              <a:effectLst/>
              <a:latin typeface="+mn-lt"/>
              <a:ea typeface="+mn-ea"/>
              <a:cs typeface="+mn-cs"/>
            </a:rPr>
            <a:t>5</a:t>
          </a:r>
          <a:r>
            <a:rPr lang="zh-CN" altLang="en-US" sz="1200" b="0" i="0" baseline="0">
              <a:effectLst/>
              <a:latin typeface="+mn-lt"/>
              <a:ea typeface="+mn-ea"/>
              <a:cs typeface="+mn-cs"/>
            </a:rPr>
            <a:t>年还款表。</a:t>
          </a:r>
          <a:endParaRPr lang="zh-CN" altLang="zh-CN" sz="1200">
            <a:effectLst/>
          </a:endParaRPr>
        </a:p>
        <a:p>
          <a:pPr algn="l" rtl="0">
            <a:lnSpc>
              <a:spcPts val="1200"/>
            </a:lnSpc>
            <a:defRPr sz="1000"/>
          </a:pPr>
          <a:endParaRPr lang="zh-CN" altLang="en-US" sz="1200" b="0" i="0" u="none" strike="noStrike" baseline="0">
            <a:solidFill>
              <a:srgbClr val="000000"/>
            </a:solidFill>
            <a:latin typeface="+mn-ea"/>
            <a:ea typeface="+mn-ea"/>
          </a:endParaRPr>
        </a:p>
      </xdr:txBody>
    </xdr:sp>
    <xdr:clientData/>
  </xdr:twoCellAnchor>
  <xdr:twoCellAnchor>
    <xdr:from>
      <xdr:col>2</xdr:col>
      <xdr:colOff>0</xdr:colOff>
      <xdr:row>6</xdr:row>
      <xdr:rowOff>91440</xdr:rowOff>
    </xdr:from>
    <xdr:to>
      <xdr:col>2</xdr:col>
      <xdr:colOff>0</xdr:colOff>
      <xdr:row>6</xdr:row>
      <xdr:rowOff>91440</xdr:rowOff>
    </xdr:to>
    <xdr:sp macro="" textlink="">
      <xdr:nvSpPr>
        <xdr:cNvPr id="4" name="Line 2"/>
        <xdr:cNvSpPr>
          <a:spLocks noChangeShapeType="1"/>
        </xdr:cNvSpPr>
      </xdr:nvSpPr>
      <xdr:spPr bwMode="auto">
        <a:xfrm>
          <a:off x="2428875" y="117729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457200</xdr:colOff>
      <xdr:row>40</xdr:row>
      <xdr:rowOff>76200</xdr:rowOff>
    </xdr:from>
    <xdr:to>
      <xdr:col>12</xdr:col>
      <xdr:colOff>276225</xdr:colOff>
      <xdr:row>57</xdr:row>
      <xdr:rowOff>161925</xdr:rowOff>
    </xdr:to>
    <xdr:sp macro="" textlink="">
      <xdr:nvSpPr>
        <xdr:cNvPr id="2" name="Text Box 2"/>
        <xdr:cNvSpPr txBox="1">
          <a:spLocks noChangeArrowheads="1"/>
        </xdr:cNvSpPr>
      </xdr:nvSpPr>
      <xdr:spPr bwMode="auto">
        <a:xfrm>
          <a:off x="5314950" y="6934200"/>
          <a:ext cx="4829175" cy="3000375"/>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zh-CN" sz="1100" b="0" i="0" strike="noStrike">
              <a:solidFill>
                <a:srgbClr val="000000"/>
              </a:solidFill>
              <a:latin typeface="Times New Roman"/>
              <a:cs typeface="Times New Roman"/>
            </a:rPr>
            <a:t>1</a:t>
          </a:r>
          <a:r>
            <a:rPr lang="zh-CN" altLang="en-US" sz="1100" b="0" i="0" strike="noStrike">
              <a:solidFill>
                <a:srgbClr val="000000"/>
              </a:solidFill>
              <a:latin typeface="Times New Roman"/>
              <a:cs typeface="Times New Roman"/>
            </a:rPr>
            <a:t>、在本工作表中建立一个对三种行业进行比较的模型，计算出三种投资方案的净现值和内部报酬率。</a:t>
          </a:r>
          <a:r>
            <a:rPr lang="en-US" altLang="zh-CN" sz="1100" b="0" i="0" strike="noStrike">
              <a:solidFill>
                <a:srgbClr val="000000"/>
              </a:solidFill>
              <a:latin typeface="Times New Roman"/>
              <a:cs typeface="Times New Roman"/>
            </a:rPr>
            <a:t>4</a:t>
          </a:r>
          <a:endParaRPr lang="zh-CN" altLang="en-US" sz="1100" b="0" i="0" strike="noStrike">
            <a:solidFill>
              <a:srgbClr val="000000"/>
            </a:solidFill>
            <a:latin typeface="Times New Roman"/>
            <a:cs typeface="Times New Roman"/>
          </a:endParaRPr>
        </a:p>
        <a:p>
          <a:pPr algn="l" rtl="0">
            <a:defRPr sz="1000"/>
          </a:pPr>
          <a:r>
            <a:rPr lang="en-US" altLang="zh-CN" sz="1100" b="0" i="0" strike="noStrike">
              <a:solidFill>
                <a:srgbClr val="000000"/>
              </a:solidFill>
              <a:latin typeface="Times New Roman"/>
              <a:cs typeface="Times New Roman"/>
            </a:rPr>
            <a:t>2</a:t>
          </a:r>
          <a:r>
            <a:rPr lang="zh-CN" altLang="en-US" sz="1100" b="0" i="0" strike="noStrike">
              <a:solidFill>
                <a:srgbClr val="000000"/>
              </a:solidFill>
              <a:latin typeface="Times New Roman"/>
              <a:cs typeface="Times New Roman"/>
            </a:rPr>
            <a:t>、画出柱形图，显示三种投资的净现值高低，要求用不同的颜色表达。</a:t>
          </a:r>
          <a:r>
            <a:rPr lang="en-US" altLang="zh-CN" sz="1100" b="0" i="0" strike="noStrike">
              <a:solidFill>
                <a:srgbClr val="000000"/>
              </a:solidFill>
              <a:latin typeface="Times New Roman"/>
              <a:cs typeface="Times New Roman"/>
            </a:rPr>
            <a:t>2</a:t>
          </a:r>
          <a:endParaRPr lang="zh-CN" altLang="en-US" sz="1100" b="0" i="0" strike="noStrike">
            <a:solidFill>
              <a:srgbClr val="000000"/>
            </a:solidFill>
            <a:latin typeface="Times New Roman"/>
            <a:cs typeface="Times New Roman"/>
          </a:endParaRPr>
        </a:p>
        <a:p>
          <a:pPr algn="l" rtl="0">
            <a:defRPr sz="1000"/>
          </a:pPr>
          <a:r>
            <a:rPr lang="en-US" altLang="zh-CN" sz="1100" b="0" i="0" strike="noStrike">
              <a:solidFill>
                <a:srgbClr val="000000"/>
              </a:solidFill>
              <a:latin typeface="Times New Roman"/>
              <a:cs typeface="Times New Roman"/>
            </a:rPr>
            <a:t>3</a:t>
          </a:r>
          <a:r>
            <a:rPr lang="zh-CN" altLang="en-US" sz="1100" b="0" i="0" strike="noStrike">
              <a:solidFill>
                <a:srgbClr val="000000"/>
              </a:solidFill>
              <a:latin typeface="Times New Roman"/>
              <a:cs typeface="Times New Roman"/>
            </a:rPr>
            <a:t>、用微调项调整贴现率在</a:t>
          </a:r>
          <a:r>
            <a:rPr lang="en-US" altLang="zh-CN" sz="1100" b="0" i="0" strike="noStrike">
              <a:solidFill>
                <a:srgbClr val="000000"/>
              </a:solidFill>
              <a:latin typeface="Times New Roman"/>
              <a:cs typeface="Times New Roman"/>
            </a:rPr>
            <a:t>5%-8%</a:t>
          </a:r>
          <a:r>
            <a:rPr lang="zh-CN" altLang="en-US" sz="1100" b="0" i="0" strike="noStrike">
              <a:solidFill>
                <a:srgbClr val="000000"/>
              </a:solidFill>
              <a:latin typeface="Times New Roman"/>
              <a:cs typeface="Times New Roman"/>
            </a:rPr>
            <a:t>间以</a:t>
          </a:r>
          <a:r>
            <a:rPr lang="en-US" altLang="zh-CN" sz="1100" b="0" i="0" strike="noStrike">
              <a:solidFill>
                <a:srgbClr val="000000"/>
              </a:solidFill>
              <a:latin typeface="Times New Roman"/>
              <a:cs typeface="Times New Roman"/>
            </a:rPr>
            <a:t>0.1%</a:t>
          </a:r>
          <a:r>
            <a:rPr lang="zh-CN" altLang="en-US" sz="1100" b="0" i="0" strike="noStrike">
              <a:solidFill>
                <a:srgbClr val="000000"/>
              </a:solidFill>
              <a:latin typeface="Times New Roman"/>
              <a:cs typeface="Times New Roman"/>
            </a:rPr>
            <a:t>为步长变化，反映动态变化图形。</a:t>
          </a:r>
          <a:r>
            <a:rPr lang="en-US" altLang="zh-CN" sz="1100" b="0" i="0" strike="noStrike">
              <a:solidFill>
                <a:srgbClr val="000000"/>
              </a:solidFill>
              <a:latin typeface="Times New Roman"/>
              <a:cs typeface="Times New Roman"/>
            </a:rPr>
            <a:t>2</a:t>
          </a:r>
          <a:endParaRPr lang="zh-CN" altLang="en-US" sz="1100" b="0" i="0" strike="noStrike">
            <a:solidFill>
              <a:srgbClr val="000000"/>
            </a:solidFill>
            <a:latin typeface="Times New Roman"/>
            <a:cs typeface="Times New Roman"/>
          </a:endParaRPr>
        </a:p>
        <a:p>
          <a:pPr algn="l" rtl="0">
            <a:defRPr sz="1000"/>
          </a:pPr>
          <a:r>
            <a:rPr lang="en-US" altLang="zh-CN" sz="1100" b="0" i="0" strike="noStrike">
              <a:solidFill>
                <a:srgbClr val="000000"/>
              </a:solidFill>
              <a:latin typeface="Times New Roman"/>
              <a:cs typeface="Times New Roman"/>
            </a:rPr>
            <a:t>4</a:t>
          </a:r>
          <a:r>
            <a:rPr lang="zh-CN" altLang="en-US" sz="1100" b="0" i="0" strike="noStrike">
              <a:solidFill>
                <a:srgbClr val="000000"/>
              </a:solidFill>
              <a:latin typeface="Times New Roman"/>
              <a:cs typeface="Times New Roman"/>
            </a:rPr>
            <a:t>、使用</a:t>
          </a:r>
          <a:r>
            <a:rPr lang="en-US" altLang="zh-CN" sz="1100" b="0" i="0" strike="noStrike">
              <a:solidFill>
                <a:srgbClr val="000000"/>
              </a:solidFill>
              <a:latin typeface="Times New Roman"/>
              <a:cs typeface="Times New Roman"/>
            </a:rPr>
            <a:t>Excel</a:t>
          </a:r>
          <a:r>
            <a:rPr lang="zh-CN" altLang="en-US" sz="1100" b="0" i="0" strike="noStrike">
              <a:solidFill>
                <a:srgbClr val="000000"/>
              </a:solidFill>
              <a:latin typeface="Times New Roman"/>
              <a:cs typeface="Times New Roman"/>
            </a:rPr>
            <a:t>的函数给出“最优是行业</a:t>
          </a:r>
          <a:r>
            <a:rPr lang="en-US" altLang="zh-CN" sz="1100" b="0" i="0" strike="noStrike">
              <a:solidFill>
                <a:srgbClr val="000000"/>
              </a:solidFill>
              <a:latin typeface="Times New Roman"/>
              <a:cs typeface="Times New Roman"/>
            </a:rPr>
            <a:t>X”</a:t>
          </a:r>
          <a:r>
            <a:rPr lang="zh-CN" altLang="en-US" sz="1100" b="0" i="0" strike="noStrike">
              <a:solidFill>
                <a:srgbClr val="000000"/>
              </a:solidFill>
              <a:latin typeface="Times New Roman"/>
              <a:cs typeface="Times New Roman"/>
            </a:rPr>
            <a:t>或“不建议投资”这样的结论（其中“</a:t>
          </a:r>
          <a:r>
            <a:rPr lang="en-US" altLang="zh-CN" sz="1100" b="0" i="0" strike="noStrike">
              <a:solidFill>
                <a:srgbClr val="000000"/>
              </a:solidFill>
              <a:latin typeface="Times New Roman"/>
              <a:cs typeface="Times New Roman"/>
            </a:rPr>
            <a:t>X”</a:t>
          </a:r>
          <a:r>
            <a:rPr lang="zh-CN" altLang="en-US" sz="1100" b="0" i="0" strike="noStrike">
              <a:solidFill>
                <a:srgbClr val="000000"/>
              </a:solidFill>
              <a:latin typeface="Times New Roman"/>
              <a:cs typeface="Times New Roman"/>
            </a:rPr>
            <a:t>为三种行业名），在图中显示方案结论。</a:t>
          </a:r>
          <a:r>
            <a:rPr lang="en-US" altLang="zh-CN" sz="1100" b="0" i="0" strike="noStrike">
              <a:solidFill>
                <a:srgbClr val="000000"/>
              </a:solidFill>
              <a:latin typeface="Times New Roman"/>
              <a:cs typeface="Times New Roman"/>
            </a:rPr>
            <a:t>3</a:t>
          </a:r>
          <a:endParaRPr lang="zh-CN" altLang="en-US" sz="1100" b="0" i="0" strike="noStrike">
            <a:solidFill>
              <a:srgbClr val="000000"/>
            </a:solidFill>
            <a:latin typeface="Times New Roman"/>
            <a:cs typeface="Times New Roman"/>
          </a:endParaRPr>
        </a:p>
        <a:p>
          <a:pPr algn="l" rtl="0">
            <a:defRPr sz="1000"/>
          </a:pPr>
          <a:r>
            <a:rPr lang="en-US" altLang="zh-CN" sz="1100" b="0" i="0" strike="noStrike">
              <a:solidFill>
                <a:srgbClr val="000000"/>
              </a:solidFill>
              <a:latin typeface="Times New Roman"/>
              <a:cs typeface="Times New Roman"/>
            </a:rPr>
            <a:t>5</a:t>
          </a:r>
          <a:r>
            <a:rPr lang="zh-CN" altLang="en-US" sz="1100" b="0" i="0" strike="noStrike">
              <a:solidFill>
                <a:srgbClr val="000000"/>
              </a:solidFill>
              <a:latin typeface="Times New Roman"/>
              <a:cs typeface="Times New Roman"/>
            </a:rPr>
            <a:t>、用内插值法计算，要使房地产业的内部报酬率为</a:t>
          </a:r>
          <a:r>
            <a:rPr lang="en-US" altLang="zh-CN" sz="1100" b="0" i="0" strike="noStrike">
              <a:solidFill>
                <a:srgbClr val="000000"/>
              </a:solidFill>
              <a:latin typeface="Times New Roman"/>
              <a:cs typeface="Times New Roman"/>
            </a:rPr>
            <a:t>7%</a:t>
          </a:r>
          <a:r>
            <a:rPr lang="zh-CN" altLang="en-US" sz="1100" b="0" i="0" strike="noStrike">
              <a:solidFill>
                <a:srgbClr val="000000"/>
              </a:solidFill>
              <a:latin typeface="Times New Roman"/>
              <a:cs typeface="Times New Roman"/>
            </a:rPr>
            <a:t>，则其第</a:t>
          </a:r>
          <a:r>
            <a:rPr lang="en-US" altLang="zh-CN" sz="1100" b="0" i="0" strike="noStrike">
              <a:solidFill>
                <a:srgbClr val="000000"/>
              </a:solidFill>
              <a:latin typeface="Times New Roman"/>
              <a:cs typeface="Times New Roman"/>
            </a:rPr>
            <a:t>1</a:t>
          </a:r>
          <a:r>
            <a:rPr lang="zh-CN" altLang="en-US" sz="1100" b="0" i="0" strike="noStrike">
              <a:solidFill>
                <a:srgbClr val="000000"/>
              </a:solidFill>
              <a:latin typeface="Times New Roman"/>
              <a:cs typeface="Times New Roman"/>
            </a:rPr>
            <a:t>年利润率应为多少。</a:t>
          </a:r>
          <a:r>
            <a:rPr lang="en-US" altLang="zh-CN" sz="1100" b="0" i="0" strike="noStrike">
              <a:solidFill>
                <a:srgbClr val="000000"/>
              </a:solidFill>
              <a:latin typeface="Times New Roman"/>
              <a:cs typeface="Times New Roman"/>
            </a:rPr>
            <a:t>2</a:t>
          </a:r>
          <a:endParaRPr lang="zh-CN" altLang="en-US" sz="1100" b="0" i="0" strike="noStrike">
            <a:solidFill>
              <a:srgbClr val="000000"/>
            </a:solidFill>
            <a:latin typeface="Times New Roman"/>
            <a:cs typeface="Times New Roman"/>
          </a:endParaRPr>
        </a:p>
        <a:p>
          <a:pPr algn="l" rtl="0">
            <a:defRPr sz="1000"/>
          </a:pPr>
          <a:endParaRPr lang="zh-CN" sz="1100"/>
        </a:p>
        <a:p>
          <a:pPr algn="l" rtl="0">
            <a:defRPr sz="1000"/>
          </a:pPr>
          <a:endParaRPr lang="zh-CN" altLang="en-US" sz="1000" b="0" i="0" strike="noStrike">
            <a:solidFill>
              <a:srgbClr val="000000"/>
            </a:solidFill>
            <a:latin typeface="宋体"/>
            <a:ea typeface="宋体"/>
          </a:endParaRPr>
        </a:p>
        <a:p>
          <a:pPr algn="l" rtl="0">
            <a:defRPr sz="1000"/>
          </a:pPr>
          <a:endParaRPr lang="zh-CN" altLang="en-US" sz="1000" b="0" i="0" strike="noStrike">
            <a:solidFill>
              <a:srgbClr val="000000"/>
            </a:solidFill>
            <a:latin typeface="宋体"/>
            <a:ea typeface="宋体"/>
          </a:endParaRPr>
        </a:p>
      </xdr:txBody>
    </xdr:sp>
    <xdr:clientData/>
  </xdr:twoCellAnchor>
  <xdr:twoCellAnchor>
    <xdr:from>
      <xdr:col>0</xdr:col>
      <xdr:colOff>0</xdr:colOff>
      <xdr:row>14</xdr:row>
      <xdr:rowOff>0</xdr:rowOff>
    </xdr:from>
    <xdr:to>
      <xdr:col>5</xdr:col>
      <xdr:colOff>762000</xdr:colOff>
      <xdr:row>31</xdr:row>
      <xdr:rowOff>85725</xdr:rowOff>
    </xdr:to>
    <xdr:sp macro="" textlink="">
      <xdr:nvSpPr>
        <xdr:cNvPr id="3" name="Text Box 2"/>
        <xdr:cNvSpPr txBox="1">
          <a:spLocks noChangeArrowheads="1"/>
        </xdr:cNvSpPr>
      </xdr:nvSpPr>
      <xdr:spPr bwMode="auto">
        <a:xfrm>
          <a:off x="0" y="2400300"/>
          <a:ext cx="5619750" cy="3000375"/>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zh-CN" altLang="en-US" sz="1100" b="1" i="0" strike="noStrike">
              <a:solidFill>
                <a:srgbClr val="000000"/>
              </a:solidFill>
              <a:latin typeface="宋体"/>
              <a:ea typeface="宋体"/>
            </a:rPr>
            <a:t>第</a:t>
          </a:r>
          <a:r>
            <a:rPr lang="en-US" altLang="zh-CN" sz="1100" b="1" i="0" strike="noStrike">
              <a:solidFill>
                <a:srgbClr val="000000"/>
              </a:solidFill>
              <a:latin typeface="Times New Roman"/>
              <a:ea typeface="宋体"/>
              <a:cs typeface="Times New Roman"/>
            </a:rPr>
            <a:t>5</a:t>
          </a:r>
          <a:r>
            <a:rPr lang="zh-CN" altLang="en-US" sz="1100" b="1" i="0" strike="noStrike">
              <a:solidFill>
                <a:srgbClr val="000000"/>
              </a:solidFill>
              <a:latin typeface="宋体"/>
              <a:ea typeface="宋体"/>
            </a:rPr>
            <a:t>题（</a:t>
          </a:r>
          <a:r>
            <a:rPr lang="en-US" altLang="zh-CN" sz="1100" b="1" i="0" strike="noStrike">
              <a:solidFill>
                <a:srgbClr val="000000"/>
              </a:solidFill>
              <a:latin typeface="宋体"/>
              <a:ea typeface="宋体"/>
            </a:rPr>
            <a:t>13</a:t>
          </a:r>
          <a:r>
            <a:rPr lang="zh-CN" altLang="en-US" sz="1100" b="1" i="0" strike="noStrike">
              <a:solidFill>
                <a:srgbClr val="000000"/>
              </a:solidFill>
              <a:latin typeface="宋体"/>
              <a:ea typeface="宋体"/>
            </a:rPr>
            <a:t>分）</a:t>
          </a:r>
          <a:r>
            <a:rPr lang="zh-CN" altLang="en-US" sz="1100" b="0" i="0" strike="noStrike">
              <a:solidFill>
                <a:srgbClr val="000000"/>
              </a:solidFill>
              <a:latin typeface="Times New Roman"/>
              <a:cs typeface="Times New Roman"/>
            </a:rPr>
            <a:t> 某机构打算进行行业投资，现有三个行业可供投资，时间都是</a:t>
          </a:r>
          <a:r>
            <a:rPr lang="en-US" altLang="zh-CN" sz="1100" b="0" i="0" strike="noStrike">
              <a:solidFill>
                <a:srgbClr val="000000"/>
              </a:solidFill>
              <a:latin typeface="Times New Roman"/>
              <a:cs typeface="Times New Roman"/>
            </a:rPr>
            <a:t>8</a:t>
          </a:r>
          <a:r>
            <a:rPr lang="zh-CN" altLang="en-US" sz="1100" b="0" i="0" strike="noStrike">
              <a:solidFill>
                <a:srgbClr val="000000"/>
              </a:solidFill>
              <a:latin typeface="Times New Roman"/>
              <a:cs typeface="Times New Roman"/>
            </a:rPr>
            <a:t>年。钢铁行业，投资额</a:t>
          </a:r>
          <a:r>
            <a:rPr lang="en-US" altLang="zh-CN" sz="1100" b="0" i="0" strike="noStrike">
              <a:solidFill>
                <a:srgbClr val="000000"/>
              </a:solidFill>
              <a:latin typeface="Times New Roman"/>
              <a:cs typeface="Times New Roman"/>
            </a:rPr>
            <a:t>2000</a:t>
          </a:r>
          <a:r>
            <a:rPr lang="zh-CN" altLang="en-US" sz="1100" b="0" i="0" strike="noStrike">
              <a:solidFill>
                <a:srgbClr val="000000"/>
              </a:solidFill>
              <a:latin typeface="Times New Roman"/>
              <a:cs typeface="Times New Roman"/>
            </a:rPr>
            <a:t>，第</a:t>
          </a:r>
          <a:r>
            <a:rPr lang="en-US" altLang="zh-CN" sz="1100" b="0" i="0" strike="noStrike">
              <a:solidFill>
                <a:srgbClr val="000000"/>
              </a:solidFill>
              <a:latin typeface="Times New Roman"/>
              <a:cs typeface="Times New Roman"/>
            </a:rPr>
            <a:t>1</a:t>
          </a:r>
          <a:r>
            <a:rPr lang="zh-CN" altLang="en-US" sz="1100" b="0" i="0" strike="noStrike">
              <a:solidFill>
                <a:srgbClr val="000000"/>
              </a:solidFill>
              <a:latin typeface="Times New Roman"/>
              <a:cs typeface="Times New Roman"/>
            </a:rPr>
            <a:t>年利润率</a:t>
          </a:r>
          <a:r>
            <a:rPr lang="en-US" altLang="zh-CN" sz="1100" b="0" i="0" strike="noStrike">
              <a:solidFill>
                <a:srgbClr val="000000"/>
              </a:solidFill>
              <a:latin typeface="Times New Roman"/>
              <a:cs typeface="Times New Roman"/>
            </a:rPr>
            <a:t>3%</a:t>
          </a:r>
          <a:r>
            <a:rPr lang="zh-CN" altLang="en-US" sz="1100" b="0" i="0" strike="noStrike">
              <a:solidFill>
                <a:srgbClr val="000000"/>
              </a:solidFill>
              <a:latin typeface="Times New Roman"/>
              <a:cs typeface="Times New Roman"/>
            </a:rPr>
            <a:t>，以后每年利润率递增</a:t>
          </a:r>
          <a:r>
            <a:rPr lang="en-US" altLang="zh-CN" sz="1100" b="0" i="0" strike="noStrike">
              <a:solidFill>
                <a:srgbClr val="000000"/>
              </a:solidFill>
              <a:latin typeface="Times New Roman"/>
              <a:cs typeface="Times New Roman"/>
            </a:rPr>
            <a:t>2%</a:t>
          </a:r>
          <a:r>
            <a:rPr lang="zh-CN" altLang="en-US" sz="1100" b="0" i="0" strike="noStrike">
              <a:solidFill>
                <a:srgbClr val="000000"/>
              </a:solidFill>
              <a:latin typeface="Times New Roman"/>
              <a:cs typeface="Times New Roman"/>
            </a:rPr>
            <a:t>，即第</a:t>
          </a:r>
          <a:r>
            <a:rPr lang="en-US" altLang="zh-CN" sz="1100" b="0" i="0" strike="noStrike">
              <a:solidFill>
                <a:srgbClr val="000000"/>
              </a:solidFill>
              <a:latin typeface="Times New Roman"/>
              <a:cs typeface="Times New Roman"/>
            </a:rPr>
            <a:t>2</a:t>
          </a:r>
          <a:r>
            <a:rPr lang="zh-CN" altLang="en-US" sz="1100" b="0" i="0" strike="noStrike">
              <a:solidFill>
                <a:srgbClr val="000000"/>
              </a:solidFill>
              <a:latin typeface="Times New Roman"/>
              <a:cs typeface="Times New Roman"/>
            </a:rPr>
            <a:t>年利润率为</a:t>
          </a:r>
          <a:r>
            <a:rPr lang="en-US" altLang="zh-CN" sz="1100" b="0" i="0" strike="noStrike">
              <a:solidFill>
                <a:srgbClr val="000000"/>
              </a:solidFill>
              <a:latin typeface="Times New Roman"/>
              <a:cs typeface="Times New Roman"/>
            </a:rPr>
            <a:t>3.06%</a:t>
          </a:r>
          <a:r>
            <a:rPr lang="zh-CN" altLang="en-US" sz="1100" b="0" i="0" strike="noStrike">
              <a:solidFill>
                <a:srgbClr val="000000"/>
              </a:solidFill>
              <a:latin typeface="Times New Roman"/>
              <a:cs typeface="Times New Roman"/>
            </a:rPr>
            <a:t>，最后出售股权获收入</a:t>
          </a:r>
          <a:r>
            <a:rPr lang="en-US" altLang="zh-CN" sz="1100" b="0" i="0" strike="noStrike">
              <a:solidFill>
                <a:srgbClr val="000000"/>
              </a:solidFill>
              <a:latin typeface="Times New Roman"/>
              <a:cs typeface="Times New Roman"/>
            </a:rPr>
            <a:t>2500</a:t>
          </a:r>
          <a:r>
            <a:rPr lang="zh-CN" altLang="en-US" sz="1100" b="0" i="0" strike="noStrike">
              <a:solidFill>
                <a:srgbClr val="000000"/>
              </a:solidFill>
              <a:latin typeface="Times New Roman"/>
              <a:cs typeface="Times New Roman"/>
            </a:rPr>
            <a:t>；能源行业，投资额</a:t>
          </a:r>
          <a:r>
            <a:rPr lang="en-US" altLang="zh-CN" sz="1100" b="0" i="0" strike="noStrike">
              <a:solidFill>
                <a:srgbClr val="000000"/>
              </a:solidFill>
              <a:latin typeface="Times New Roman"/>
              <a:cs typeface="Times New Roman"/>
            </a:rPr>
            <a:t>5000</a:t>
          </a:r>
          <a:r>
            <a:rPr lang="zh-CN" altLang="en-US" sz="1100" b="0" i="0" strike="noStrike">
              <a:solidFill>
                <a:srgbClr val="000000"/>
              </a:solidFill>
              <a:latin typeface="Times New Roman"/>
              <a:cs typeface="Times New Roman"/>
            </a:rPr>
            <a:t>，第</a:t>
          </a:r>
          <a:r>
            <a:rPr lang="en-US" altLang="zh-CN" sz="1100" b="0" i="0" strike="noStrike">
              <a:solidFill>
                <a:srgbClr val="000000"/>
              </a:solidFill>
              <a:latin typeface="Times New Roman"/>
              <a:cs typeface="Times New Roman"/>
            </a:rPr>
            <a:t>1</a:t>
          </a:r>
          <a:r>
            <a:rPr lang="zh-CN" altLang="en-US" sz="1100" b="0" i="0" strike="noStrike">
              <a:solidFill>
                <a:srgbClr val="000000"/>
              </a:solidFill>
              <a:latin typeface="Times New Roman"/>
              <a:cs typeface="Times New Roman"/>
            </a:rPr>
            <a:t>年利润</a:t>
          </a:r>
          <a:r>
            <a:rPr lang="en-US" altLang="zh-CN" sz="1100" b="0" i="0" strike="noStrike">
              <a:solidFill>
                <a:srgbClr val="000000"/>
              </a:solidFill>
              <a:latin typeface="Times New Roman"/>
              <a:cs typeface="Times New Roman"/>
            </a:rPr>
            <a:t>,4%</a:t>
          </a:r>
          <a:r>
            <a:rPr lang="zh-CN" altLang="en-US" sz="1100" b="0" i="0" strike="noStrike">
              <a:solidFill>
                <a:srgbClr val="000000"/>
              </a:solidFill>
              <a:latin typeface="Times New Roman"/>
              <a:cs typeface="Times New Roman"/>
            </a:rPr>
            <a:t>，以后每年利润率递增</a:t>
          </a:r>
          <a:r>
            <a:rPr lang="en-US" altLang="zh-CN" sz="1100" b="0" i="0" strike="noStrike">
              <a:solidFill>
                <a:srgbClr val="000000"/>
              </a:solidFill>
              <a:latin typeface="Times New Roman"/>
              <a:cs typeface="Times New Roman"/>
            </a:rPr>
            <a:t>3%</a:t>
          </a:r>
          <a:r>
            <a:rPr lang="zh-CN" altLang="en-US" sz="1100" b="0" i="0" strike="noStrike">
              <a:solidFill>
                <a:srgbClr val="000000"/>
              </a:solidFill>
              <a:latin typeface="Times New Roman"/>
              <a:cs typeface="Times New Roman"/>
            </a:rPr>
            <a:t>，最后出售股权获收入</a:t>
          </a:r>
          <a:r>
            <a:rPr lang="en-US" altLang="zh-CN" sz="1100" b="0" i="0" strike="noStrike">
              <a:solidFill>
                <a:srgbClr val="000000"/>
              </a:solidFill>
              <a:latin typeface="Times New Roman"/>
              <a:cs typeface="Times New Roman"/>
            </a:rPr>
            <a:t>5500</a:t>
          </a:r>
          <a:r>
            <a:rPr lang="zh-CN" altLang="en-US" sz="1100" b="0" i="0" strike="noStrike">
              <a:solidFill>
                <a:srgbClr val="000000"/>
              </a:solidFill>
              <a:latin typeface="Times New Roman"/>
              <a:cs typeface="Times New Roman"/>
            </a:rPr>
            <a:t>；房地产业，投资额</a:t>
          </a:r>
          <a:r>
            <a:rPr lang="en-US" altLang="zh-CN" sz="1100" b="0" i="0" strike="noStrike">
              <a:solidFill>
                <a:srgbClr val="000000"/>
              </a:solidFill>
              <a:latin typeface="Times New Roman"/>
              <a:cs typeface="Times New Roman"/>
            </a:rPr>
            <a:t>8000</a:t>
          </a:r>
          <a:r>
            <a:rPr lang="zh-CN" altLang="en-US" sz="1100" b="0" i="0" strike="noStrike">
              <a:solidFill>
                <a:srgbClr val="000000"/>
              </a:solidFill>
              <a:latin typeface="Times New Roman"/>
              <a:cs typeface="Times New Roman"/>
            </a:rPr>
            <a:t>，第</a:t>
          </a:r>
          <a:r>
            <a:rPr lang="en-US" altLang="zh-CN" sz="1100" b="0" i="0" strike="noStrike">
              <a:solidFill>
                <a:srgbClr val="000000"/>
              </a:solidFill>
              <a:latin typeface="Times New Roman"/>
              <a:cs typeface="Times New Roman"/>
            </a:rPr>
            <a:t>1</a:t>
          </a:r>
          <a:r>
            <a:rPr lang="zh-CN" altLang="en-US" sz="1100" b="0" i="0" strike="noStrike">
              <a:solidFill>
                <a:srgbClr val="000000"/>
              </a:solidFill>
              <a:latin typeface="Times New Roman"/>
              <a:cs typeface="Times New Roman"/>
            </a:rPr>
            <a:t>年利润</a:t>
          </a:r>
          <a:r>
            <a:rPr lang="en-US" altLang="zh-CN" sz="1100" b="0" i="0" strike="noStrike">
              <a:solidFill>
                <a:srgbClr val="000000"/>
              </a:solidFill>
              <a:latin typeface="Times New Roman"/>
              <a:cs typeface="Times New Roman"/>
            </a:rPr>
            <a:t>4.5%</a:t>
          </a:r>
          <a:r>
            <a:rPr lang="zh-CN" altLang="en-US" sz="1100" b="0" i="0" strike="noStrike">
              <a:solidFill>
                <a:srgbClr val="000000"/>
              </a:solidFill>
              <a:latin typeface="Times New Roman"/>
              <a:cs typeface="Times New Roman"/>
            </a:rPr>
            <a:t>，以后每年利润率递增</a:t>
          </a:r>
          <a:r>
            <a:rPr lang="en-US" altLang="zh-CN" sz="1100" b="0" i="0" strike="noStrike">
              <a:solidFill>
                <a:srgbClr val="000000"/>
              </a:solidFill>
              <a:latin typeface="Times New Roman"/>
              <a:cs typeface="Times New Roman"/>
            </a:rPr>
            <a:t>1%</a:t>
          </a:r>
          <a:r>
            <a:rPr lang="zh-CN" altLang="en-US" sz="1100" b="0" i="0" strike="noStrike">
              <a:solidFill>
                <a:srgbClr val="000000"/>
              </a:solidFill>
              <a:latin typeface="Times New Roman"/>
              <a:cs typeface="Times New Roman"/>
            </a:rPr>
            <a:t>，最后出售股权获收入</a:t>
          </a:r>
          <a:r>
            <a:rPr lang="en-US" altLang="zh-CN" sz="1100" b="0" i="0" strike="noStrike">
              <a:solidFill>
                <a:srgbClr val="000000"/>
              </a:solidFill>
              <a:latin typeface="Times New Roman"/>
              <a:cs typeface="Times New Roman"/>
            </a:rPr>
            <a:t>8500</a:t>
          </a:r>
          <a:r>
            <a:rPr lang="zh-CN" altLang="en-US" sz="1100" b="0" i="0" strike="noStrike">
              <a:solidFill>
                <a:srgbClr val="000000"/>
              </a:solidFill>
              <a:latin typeface="Times New Roman"/>
              <a:cs typeface="Times New Roman"/>
            </a:rPr>
            <a:t>。</a:t>
          </a:r>
          <a:r>
            <a:rPr lang="zh-CN" altLang="en-US" sz="1100" b="0" i="0" strike="noStrike">
              <a:solidFill>
                <a:srgbClr val="000000"/>
              </a:solidFill>
              <a:latin typeface="宋体"/>
              <a:ea typeface="宋体"/>
            </a:rPr>
            <a:t>假定贴现率为</a:t>
          </a:r>
          <a:r>
            <a:rPr lang="en-US" altLang="zh-CN" sz="1100" b="0" i="0" strike="noStrike">
              <a:solidFill>
                <a:srgbClr val="000000"/>
              </a:solidFill>
              <a:latin typeface="宋体"/>
              <a:ea typeface="宋体"/>
            </a:rPr>
            <a:t>5</a:t>
          </a:r>
          <a:r>
            <a:rPr lang="en-US" altLang="zh-CN" sz="1100" b="0" i="0" strike="noStrike">
              <a:solidFill>
                <a:srgbClr val="000000"/>
              </a:solidFill>
              <a:latin typeface="Times New Roman"/>
              <a:cs typeface="Times New Roman"/>
            </a:rPr>
            <a:t>%</a:t>
          </a:r>
          <a:r>
            <a:rPr lang="zh-CN" altLang="en-US" sz="1100" b="0" i="0" strike="noStrike">
              <a:solidFill>
                <a:srgbClr val="000000"/>
              </a:solidFill>
              <a:latin typeface="宋体"/>
              <a:ea typeface="宋体"/>
            </a:rPr>
            <a:t>。要求：</a:t>
          </a:r>
        </a:p>
        <a:p>
          <a:pPr algn="l" rtl="0">
            <a:defRPr sz="1000"/>
          </a:pPr>
          <a:r>
            <a:rPr lang="en-US" altLang="zh-CN" sz="1100" b="0" i="0" strike="noStrike">
              <a:solidFill>
                <a:srgbClr val="000000"/>
              </a:solidFill>
              <a:latin typeface="Times New Roman"/>
              <a:cs typeface="Times New Roman"/>
            </a:rPr>
            <a:t>1</a:t>
          </a:r>
          <a:r>
            <a:rPr lang="zh-CN" altLang="en-US" sz="1100" b="0" i="0" strike="noStrike">
              <a:solidFill>
                <a:srgbClr val="000000"/>
              </a:solidFill>
              <a:latin typeface="宋体"/>
              <a:ea typeface="宋体"/>
            </a:rPr>
            <a:t>、在本工作表中建立一个对三种行业进行比较的模型，在</a:t>
          </a:r>
          <a:r>
            <a:rPr lang="en-US" altLang="zh-CN" sz="1100" b="1" i="0" strike="noStrike">
              <a:solidFill>
                <a:srgbClr val="000000"/>
              </a:solidFill>
              <a:latin typeface="宋体"/>
              <a:ea typeface="宋体"/>
            </a:rPr>
            <a:t>F3:G5</a:t>
          </a:r>
          <a:r>
            <a:rPr lang="zh-CN" altLang="en-US" sz="1100" b="0" i="0" strike="noStrike">
              <a:solidFill>
                <a:srgbClr val="000000"/>
              </a:solidFill>
              <a:latin typeface="宋体"/>
              <a:ea typeface="宋体"/>
            </a:rPr>
            <a:t>单元计算出三种投资方案的净现值和内部报酬率。</a:t>
          </a:r>
        </a:p>
        <a:p>
          <a:pPr algn="l" rtl="0">
            <a:defRPr sz="1000"/>
          </a:pPr>
          <a:r>
            <a:rPr lang="en-US" altLang="zh-CN" sz="1100" b="0" i="0" strike="noStrike">
              <a:solidFill>
                <a:srgbClr val="000000"/>
              </a:solidFill>
              <a:latin typeface="Times New Roman"/>
              <a:cs typeface="Times New Roman"/>
            </a:rPr>
            <a:t>2</a:t>
          </a:r>
          <a:r>
            <a:rPr lang="zh-CN" altLang="en-US" sz="1100" b="0" i="0" strike="noStrike">
              <a:solidFill>
                <a:srgbClr val="000000"/>
              </a:solidFill>
              <a:latin typeface="宋体"/>
              <a:ea typeface="宋体"/>
            </a:rPr>
            <a:t>、画出柱形图，显示三种投资的净现值高低，要求用不同的颜色表达。</a:t>
          </a:r>
          <a:endParaRPr lang="en-US" altLang="zh-CN" sz="1100" b="0" i="0" strike="noStrike">
            <a:solidFill>
              <a:srgbClr val="000000"/>
            </a:solidFill>
            <a:latin typeface="宋体"/>
            <a:ea typeface="宋体"/>
          </a:endParaRPr>
        </a:p>
        <a:p>
          <a:pPr algn="l" rtl="0">
            <a:defRPr sz="1000"/>
          </a:pPr>
          <a:r>
            <a:rPr lang="en-US" altLang="zh-CN" sz="1100" b="0" i="0" strike="noStrike">
              <a:solidFill>
                <a:srgbClr val="000000"/>
              </a:solidFill>
              <a:latin typeface="宋体"/>
              <a:ea typeface="宋体"/>
            </a:rPr>
            <a:t>3</a:t>
          </a:r>
          <a:r>
            <a:rPr lang="zh-CN" altLang="en-US" sz="1100" b="0" i="0" strike="noStrike">
              <a:solidFill>
                <a:srgbClr val="000000"/>
              </a:solidFill>
              <a:latin typeface="宋体"/>
              <a:ea typeface="+mn-ea"/>
            </a:rPr>
            <a:t>、用微调项调整贴现率在</a:t>
          </a:r>
          <a:r>
            <a:rPr lang="en-US" altLang="zh-CN" sz="1100" b="0" i="0" strike="noStrike">
              <a:solidFill>
                <a:srgbClr val="000000"/>
              </a:solidFill>
              <a:latin typeface="宋体"/>
              <a:ea typeface="+mn-ea"/>
            </a:rPr>
            <a:t>5%-8%</a:t>
          </a:r>
          <a:r>
            <a:rPr lang="zh-CN" altLang="en-US" sz="1100" b="0" i="0" strike="noStrike">
              <a:solidFill>
                <a:srgbClr val="000000"/>
              </a:solidFill>
              <a:latin typeface="宋体"/>
              <a:ea typeface="+mn-ea"/>
            </a:rPr>
            <a:t>间以</a:t>
          </a:r>
          <a:r>
            <a:rPr lang="en-US" altLang="zh-CN" sz="1100" b="0" i="0" strike="noStrike">
              <a:solidFill>
                <a:srgbClr val="000000"/>
              </a:solidFill>
              <a:latin typeface="宋体"/>
              <a:ea typeface="+mn-ea"/>
            </a:rPr>
            <a:t>0.1%</a:t>
          </a:r>
          <a:r>
            <a:rPr lang="zh-CN" altLang="en-US" sz="1100" b="0" i="0" strike="noStrike">
              <a:solidFill>
                <a:srgbClr val="000000"/>
              </a:solidFill>
              <a:latin typeface="宋体"/>
              <a:ea typeface="+mn-ea"/>
            </a:rPr>
            <a:t>为步长变化，反映动态变化图形。</a:t>
          </a:r>
          <a:endParaRPr lang="en-US" altLang="zh-CN" sz="1100" b="0" i="0" strike="noStrike">
            <a:solidFill>
              <a:srgbClr val="000000"/>
            </a:solidFill>
            <a:latin typeface="宋体"/>
            <a:ea typeface="宋体"/>
          </a:endParaRPr>
        </a:p>
        <a:p>
          <a:pPr algn="l" rtl="0">
            <a:defRPr sz="1000"/>
          </a:pPr>
          <a:r>
            <a:rPr lang="en-US" altLang="zh-CN" sz="1100" b="0" i="0" strike="noStrike">
              <a:solidFill>
                <a:srgbClr val="000000"/>
              </a:solidFill>
              <a:latin typeface="宋体"/>
              <a:ea typeface="宋体"/>
            </a:rPr>
            <a:t>4</a:t>
          </a:r>
          <a:r>
            <a:rPr lang="zh-CN" altLang="en-US" sz="1100" b="0" i="0" strike="noStrike">
              <a:solidFill>
                <a:srgbClr val="000000"/>
              </a:solidFill>
              <a:latin typeface="宋体"/>
              <a:ea typeface="宋体"/>
            </a:rPr>
            <a:t>、使用</a:t>
          </a:r>
          <a:r>
            <a:rPr lang="en-US" altLang="zh-CN" sz="1100" b="0" i="0" strike="noStrike">
              <a:solidFill>
                <a:srgbClr val="000000"/>
              </a:solidFill>
              <a:latin typeface="Times New Roman"/>
              <a:cs typeface="Times New Roman"/>
            </a:rPr>
            <a:t>Excel</a:t>
          </a:r>
          <a:r>
            <a:rPr lang="zh-CN" altLang="en-US" sz="1100" b="0" i="0" strike="noStrike">
              <a:solidFill>
                <a:srgbClr val="000000"/>
              </a:solidFill>
              <a:latin typeface="宋体"/>
              <a:ea typeface="宋体"/>
            </a:rPr>
            <a:t>的函数在</a:t>
          </a:r>
          <a:r>
            <a:rPr lang="en-US" altLang="zh-CN" sz="1100" b="1" i="0" strike="noStrike">
              <a:solidFill>
                <a:srgbClr val="000000"/>
              </a:solidFill>
              <a:latin typeface="宋体"/>
              <a:ea typeface="宋体"/>
            </a:rPr>
            <a:t>B11</a:t>
          </a:r>
          <a:r>
            <a:rPr lang="zh-CN" altLang="en-US" sz="1100" b="0" i="0" strike="noStrike">
              <a:solidFill>
                <a:srgbClr val="000000"/>
              </a:solidFill>
              <a:latin typeface="宋体"/>
              <a:ea typeface="宋体"/>
            </a:rPr>
            <a:t>单元给出“最优是行业</a:t>
          </a:r>
          <a:r>
            <a:rPr lang="en-US" altLang="zh-CN" sz="1100" b="0" i="0" strike="noStrike">
              <a:solidFill>
                <a:srgbClr val="000000"/>
              </a:solidFill>
              <a:latin typeface="Times New Roman"/>
              <a:cs typeface="Times New Roman"/>
            </a:rPr>
            <a:t>X</a:t>
          </a:r>
          <a:r>
            <a:rPr lang="zh-CN" altLang="en-US" sz="1100" b="0" i="0" strike="noStrike">
              <a:solidFill>
                <a:srgbClr val="000000"/>
              </a:solidFill>
              <a:latin typeface="宋体"/>
              <a:ea typeface="宋体"/>
            </a:rPr>
            <a:t>”或“不建议投资”这样的结论（其中“</a:t>
          </a:r>
          <a:r>
            <a:rPr lang="en-US" altLang="zh-CN" sz="1100" b="0" i="0" strike="noStrike">
              <a:solidFill>
                <a:srgbClr val="000000"/>
              </a:solidFill>
              <a:latin typeface="Times New Roman"/>
              <a:cs typeface="Times New Roman"/>
            </a:rPr>
            <a:t>X</a:t>
          </a:r>
          <a:r>
            <a:rPr lang="en-US" altLang="zh-CN" sz="1100" b="0" i="0" strike="noStrike">
              <a:solidFill>
                <a:srgbClr val="000000"/>
              </a:solidFill>
              <a:latin typeface="宋体"/>
              <a:ea typeface="宋体"/>
            </a:rPr>
            <a:t>”</a:t>
          </a:r>
          <a:r>
            <a:rPr lang="zh-CN" altLang="en-US" sz="1100" b="0" i="0" strike="noStrike">
              <a:solidFill>
                <a:srgbClr val="000000"/>
              </a:solidFill>
              <a:latin typeface="宋体"/>
              <a:ea typeface="宋体"/>
            </a:rPr>
            <a:t>为三种行业名），在图中显示方案结论。</a:t>
          </a:r>
          <a:endParaRPr lang="en-US" altLang="zh-CN" sz="1100" b="0" i="0" strike="noStrike">
            <a:solidFill>
              <a:srgbClr val="000000"/>
            </a:solidFill>
            <a:latin typeface="宋体"/>
            <a:ea typeface="宋体"/>
          </a:endParaRPr>
        </a:p>
        <a:p>
          <a:pPr algn="l" rtl="0">
            <a:defRPr sz="1000"/>
          </a:pPr>
          <a:r>
            <a:rPr lang="en-US" altLang="zh-CN" sz="1100" b="0" i="0" strike="noStrike">
              <a:solidFill>
                <a:srgbClr val="000000"/>
              </a:solidFill>
              <a:latin typeface="宋体"/>
              <a:ea typeface="宋体"/>
            </a:rPr>
            <a:t>5</a:t>
          </a:r>
          <a:r>
            <a:rPr lang="zh-CN" altLang="en-US" sz="1100" b="0" i="0" strike="noStrike">
              <a:solidFill>
                <a:srgbClr val="000000"/>
              </a:solidFill>
              <a:latin typeface="宋体"/>
              <a:ea typeface="宋体"/>
            </a:rPr>
            <a:t>、用内插值法在</a:t>
          </a:r>
          <a:r>
            <a:rPr lang="en-US" altLang="zh-CN" sz="1100" b="1" i="0" strike="noStrike">
              <a:solidFill>
                <a:srgbClr val="000000"/>
              </a:solidFill>
              <a:latin typeface="宋体"/>
              <a:ea typeface="宋体"/>
            </a:rPr>
            <a:t>B13</a:t>
          </a:r>
          <a:r>
            <a:rPr lang="zh-CN" altLang="en-US" sz="1100" b="0" i="0" strike="noStrike">
              <a:solidFill>
                <a:srgbClr val="000000"/>
              </a:solidFill>
              <a:latin typeface="宋体"/>
              <a:ea typeface="宋体"/>
            </a:rPr>
            <a:t>单元计算，要使房地产业的内部报酬率为</a:t>
          </a:r>
          <a:r>
            <a:rPr lang="en-US" altLang="zh-CN" sz="1100" b="0" i="0" strike="noStrike">
              <a:solidFill>
                <a:srgbClr val="000000"/>
              </a:solidFill>
              <a:latin typeface="宋体"/>
              <a:ea typeface="宋体"/>
            </a:rPr>
            <a:t>6%</a:t>
          </a:r>
          <a:r>
            <a:rPr lang="zh-CN" altLang="en-US" sz="1100" b="0" i="0" strike="noStrike">
              <a:solidFill>
                <a:srgbClr val="000000"/>
              </a:solidFill>
              <a:latin typeface="宋体"/>
              <a:ea typeface="宋体"/>
            </a:rPr>
            <a:t>，则其第</a:t>
          </a:r>
          <a:r>
            <a:rPr lang="en-US" altLang="zh-CN" sz="1100" b="0" i="0" strike="noStrike">
              <a:solidFill>
                <a:srgbClr val="000000"/>
              </a:solidFill>
              <a:latin typeface="宋体"/>
              <a:ea typeface="宋体"/>
            </a:rPr>
            <a:t>1</a:t>
          </a:r>
          <a:r>
            <a:rPr lang="zh-CN" altLang="en-US" sz="1100" b="0" i="0" strike="noStrike">
              <a:solidFill>
                <a:srgbClr val="000000"/>
              </a:solidFill>
              <a:latin typeface="宋体"/>
              <a:ea typeface="宋体"/>
            </a:rPr>
            <a:t>年利润率应为多少。</a:t>
          </a:r>
          <a:endParaRPr lang="zh-CN" sz="1100"/>
        </a:p>
        <a:p>
          <a:pPr algn="l" rtl="0">
            <a:defRPr sz="1000"/>
          </a:pPr>
          <a:endParaRPr lang="zh-CN" altLang="en-US" sz="1000" b="0" i="0" strike="noStrike">
            <a:solidFill>
              <a:srgbClr val="000000"/>
            </a:solidFill>
            <a:latin typeface="宋体"/>
            <a:ea typeface="宋体"/>
          </a:endParaRPr>
        </a:p>
        <a:p>
          <a:pPr algn="l" rtl="0">
            <a:defRPr sz="1000"/>
          </a:pPr>
          <a:endParaRPr lang="zh-CN" altLang="en-US" sz="1000" b="0" i="0" strike="noStrike">
            <a:solidFill>
              <a:srgbClr val="000000"/>
            </a:solidFill>
            <a:latin typeface="宋体"/>
            <a:ea typeface="宋体"/>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7</xdr:row>
      <xdr:rowOff>19050</xdr:rowOff>
    </xdr:from>
    <xdr:to>
      <xdr:col>9</xdr:col>
      <xdr:colOff>333376</xdr:colOff>
      <xdr:row>18</xdr:row>
      <xdr:rowOff>0</xdr:rowOff>
    </xdr:to>
    <xdr:sp macro="" textlink="">
      <xdr:nvSpPr>
        <xdr:cNvPr id="2" name="Text Box 1"/>
        <xdr:cNvSpPr txBox="1">
          <a:spLocks noChangeArrowheads="1"/>
        </xdr:cNvSpPr>
      </xdr:nvSpPr>
      <xdr:spPr bwMode="auto">
        <a:xfrm>
          <a:off x="1009650" y="1343025"/>
          <a:ext cx="4067176" cy="1971675"/>
        </a:xfrm>
        <a:prstGeom prst="rect">
          <a:avLst/>
        </a:prstGeom>
        <a:solidFill>
          <a:schemeClr val="accent5">
            <a:lumMod val="20000"/>
            <a:lumOff val="80000"/>
          </a:schemeClr>
        </a:solidFill>
        <a:ln w="9525">
          <a:solidFill>
            <a:srgbClr val="000000"/>
          </a:solidFill>
          <a:miter lim="800000"/>
          <a:headEnd/>
          <a:tailEnd/>
        </a:ln>
      </xdr:spPr>
      <xdr:txBody>
        <a:bodyPr vertOverflow="clip" wrap="square" lIns="36576" tIns="18288" rIns="0" bIns="0" anchor="t" upright="1"/>
        <a:lstStyle/>
        <a:p>
          <a:pPr marL="0" indent="0" algn="l" rtl="0">
            <a:lnSpc>
              <a:spcPct val="150000"/>
            </a:lnSpc>
            <a:defRPr sz="1000"/>
          </a:pPr>
          <a:r>
            <a:rPr lang="zh-CN" altLang="en-US" sz="1100" b="1" i="0" u="none" strike="noStrike" baseline="0">
              <a:solidFill>
                <a:srgbClr val="000000"/>
              </a:solidFill>
              <a:latin typeface="宋体"/>
              <a:ea typeface="宋体"/>
              <a:cs typeface="+mn-cs"/>
            </a:rPr>
            <a:t>第</a:t>
          </a:r>
          <a:r>
            <a:rPr lang="en-US" altLang="zh-CN" sz="1100" b="1" i="0" u="none" strike="noStrike" baseline="0">
              <a:solidFill>
                <a:srgbClr val="000000"/>
              </a:solidFill>
              <a:latin typeface="宋体"/>
              <a:ea typeface="宋体"/>
              <a:cs typeface="+mn-cs"/>
            </a:rPr>
            <a:t>6</a:t>
          </a:r>
          <a:r>
            <a:rPr lang="zh-CN" altLang="en-US" sz="1100" b="1" i="0" u="none" strike="noStrike" baseline="0">
              <a:solidFill>
                <a:srgbClr val="000000"/>
              </a:solidFill>
              <a:latin typeface="宋体"/>
              <a:ea typeface="宋体"/>
              <a:cs typeface="+mn-cs"/>
            </a:rPr>
            <a:t>题（</a:t>
          </a:r>
          <a:r>
            <a:rPr lang="en-US" altLang="zh-CN" sz="1100" b="1" i="0" u="none" strike="noStrike" baseline="0">
              <a:solidFill>
                <a:srgbClr val="000000"/>
              </a:solidFill>
              <a:latin typeface="宋体"/>
              <a:ea typeface="宋体"/>
              <a:cs typeface="+mn-cs"/>
            </a:rPr>
            <a:t>10</a:t>
          </a:r>
          <a:r>
            <a:rPr lang="zh-CN" altLang="en-US" sz="1100" b="1" i="0" u="none" strike="noStrike" baseline="0">
              <a:solidFill>
                <a:srgbClr val="000000"/>
              </a:solidFill>
              <a:latin typeface="宋体"/>
              <a:ea typeface="宋体"/>
              <a:cs typeface="+mn-cs"/>
            </a:rPr>
            <a:t>分）</a:t>
          </a:r>
          <a:r>
            <a:rPr lang="zh-CN" altLang="en-US" sz="1100" b="0" i="0" u="none" strike="noStrike" baseline="0">
              <a:solidFill>
                <a:srgbClr val="000000"/>
              </a:solidFill>
              <a:latin typeface="宋体"/>
              <a:ea typeface="宋体"/>
              <a:cs typeface="+mn-cs"/>
            </a:rPr>
            <a:t>某商业公司在甲 、乙、丙三地设有三个仓库，它们分别存</a:t>
          </a:r>
          <a:r>
            <a:rPr lang="en-US" altLang="zh-CN" sz="1100" b="0" i="0" u="none" strike="noStrike" baseline="0">
              <a:solidFill>
                <a:srgbClr val="000000"/>
              </a:solidFill>
              <a:latin typeface="宋体"/>
              <a:ea typeface="宋体"/>
              <a:cs typeface="+mn-cs"/>
            </a:rPr>
            <a:t>40</a:t>
          </a:r>
          <a:r>
            <a:rPr lang="zh-CN" altLang="en-US" sz="1100" b="0" i="0" u="none" strike="noStrike" baseline="0">
              <a:solidFill>
                <a:srgbClr val="000000"/>
              </a:solidFill>
              <a:latin typeface="宋体"/>
              <a:ea typeface="宋体"/>
              <a:cs typeface="+mn-cs"/>
            </a:rPr>
            <a:t>，</a:t>
          </a:r>
          <a:r>
            <a:rPr lang="en-US" altLang="zh-CN" sz="1100" b="0" i="0" u="none" strike="noStrike" baseline="0">
              <a:solidFill>
                <a:srgbClr val="000000"/>
              </a:solidFill>
              <a:latin typeface="宋体"/>
              <a:ea typeface="宋体"/>
              <a:cs typeface="+mn-cs"/>
            </a:rPr>
            <a:t>20</a:t>
          </a:r>
          <a:r>
            <a:rPr lang="zh-CN" altLang="en-US" sz="1100" b="0" i="0" u="none" strike="noStrike" baseline="0">
              <a:solidFill>
                <a:srgbClr val="000000"/>
              </a:solidFill>
              <a:latin typeface="宋体"/>
              <a:ea typeface="宋体"/>
              <a:cs typeface="+mn-cs"/>
            </a:rPr>
            <a:t>，</a:t>
          </a:r>
          <a:r>
            <a:rPr lang="en-US" altLang="zh-CN" sz="1100" b="0" i="0" u="none" strike="noStrike" baseline="0">
              <a:solidFill>
                <a:srgbClr val="000000"/>
              </a:solidFill>
              <a:latin typeface="宋体"/>
              <a:ea typeface="宋体"/>
              <a:cs typeface="+mn-cs"/>
            </a:rPr>
            <a:t>40</a:t>
          </a:r>
          <a:r>
            <a:rPr lang="zh-CN" altLang="en-US" sz="1100" b="0" i="0" u="none" strike="noStrike" baseline="0">
              <a:solidFill>
                <a:srgbClr val="000000"/>
              </a:solidFill>
              <a:latin typeface="宋体"/>
              <a:ea typeface="宋体"/>
              <a:cs typeface="+mn-cs"/>
            </a:rPr>
            <a:t>个单位产品，而其零售店分布在地区</a:t>
          </a:r>
          <a:r>
            <a:rPr lang="en-US" altLang="zh-CN" sz="1100" b="0" i="0" u="none" strike="noStrike" baseline="0">
              <a:solidFill>
                <a:srgbClr val="000000"/>
              </a:solidFill>
              <a:latin typeface="宋体"/>
              <a:ea typeface="宋体"/>
              <a:cs typeface="+mn-cs"/>
            </a:rPr>
            <a:t>A</a:t>
          </a:r>
          <a:r>
            <a:rPr lang="zh-CN" altLang="en-US" sz="1100" b="0" i="0" u="none" strike="noStrike" baseline="0">
              <a:solidFill>
                <a:srgbClr val="000000"/>
              </a:solidFill>
              <a:latin typeface="宋体"/>
              <a:ea typeface="宋体"/>
              <a:cs typeface="+mn-cs"/>
            </a:rPr>
            <a:t>、</a:t>
          </a:r>
          <a:r>
            <a:rPr lang="en-US" altLang="zh-CN" sz="1100" b="0" i="0" u="none" strike="noStrike" baseline="0">
              <a:solidFill>
                <a:srgbClr val="000000"/>
              </a:solidFill>
              <a:latin typeface="宋体"/>
              <a:ea typeface="宋体"/>
              <a:cs typeface="+mn-cs"/>
            </a:rPr>
            <a:t>B</a:t>
          </a:r>
          <a:r>
            <a:rPr lang="zh-CN" altLang="en-US" sz="1100" b="0" i="0" u="none" strike="noStrike" baseline="0">
              <a:solidFill>
                <a:srgbClr val="000000"/>
              </a:solidFill>
              <a:latin typeface="宋体"/>
              <a:ea typeface="宋体"/>
              <a:cs typeface="+mn-cs"/>
            </a:rPr>
            <a:t>、</a:t>
          </a:r>
          <a:r>
            <a:rPr lang="en-US" altLang="zh-CN" sz="1100" b="0" i="0" u="none" strike="noStrike" baseline="0">
              <a:solidFill>
                <a:srgbClr val="000000"/>
              </a:solidFill>
              <a:latin typeface="宋体"/>
              <a:ea typeface="宋体"/>
              <a:cs typeface="+mn-cs"/>
            </a:rPr>
            <a:t>C</a:t>
          </a:r>
          <a:r>
            <a:rPr lang="zh-CN" altLang="en-US" sz="1100" b="0" i="0" u="none" strike="noStrike" baseline="0">
              <a:solidFill>
                <a:srgbClr val="000000"/>
              </a:solidFill>
              <a:latin typeface="宋体"/>
              <a:ea typeface="宋体"/>
              <a:cs typeface="+mn-cs"/>
            </a:rPr>
            <a:t>、</a:t>
          </a:r>
          <a:r>
            <a:rPr lang="en-US" altLang="zh-CN" sz="1100" b="0" i="0" u="none" strike="noStrike" baseline="0">
              <a:solidFill>
                <a:srgbClr val="000000"/>
              </a:solidFill>
              <a:latin typeface="宋体"/>
              <a:ea typeface="宋体"/>
              <a:cs typeface="+mn-cs"/>
            </a:rPr>
            <a:t>D</a:t>
          </a:r>
          <a:r>
            <a:rPr lang="zh-CN" altLang="en-US" sz="1100" b="0" i="0" u="none" strike="noStrike" baseline="0">
              <a:solidFill>
                <a:srgbClr val="000000"/>
              </a:solidFill>
              <a:latin typeface="宋体"/>
              <a:ea typeface="宋体"/>
              <a:cs typeface="+mn-cs"/>
            </a:rPr>
            <a:t>、</a:t>
          </a:r>
          <a:r>
            <a:rPr lang="en-US" altLang="zh-CN" sz="1100" b="0" i="0" u="none" strike="noStrike" baseline="0">
              <a:solidFill>
                <a:srgbClr val="000000"/>
              </a:solidFill>
              <a:latin typeface="宋体"/>
              <a:ea typeface="宋体"/>
              <a:cs typeface="+mn-cs"/>
            </a:rPr>
            <a:t>E</a:t>
          </a:r>
          <a:r>
            <a:rPr lang="zh-CN" altLang="en-US" sz="1100" b="0" i="0" u="none" strike="noStrike" baseline="0">
              <a:solidFill>
                <a:srgbClr val="000000"/>
              </a:solidFill>
              <a:latin typeface="宋体"/>
              <a:ea typeface="宋体"/>
              <a:cs typeface="+mn-cs"/>
            </a:rPr>
            <a:t>，他们需要的产品数量分别是</a:t>
          </a:r>
          <a:r>
            <a:rPr lang="en-US" altLang="zh-CN" sz="1100" b="0" i="0" u="none" strike="noStrike" baseline="0">
              <a:solidFill>
                <a:srgbClr val="000000"/>
              </a:solidFill>
              <a:latin typeface="宋体"/>
              <a:ea typeface="宋体"/>
              <a:cs typeface="+mn-cs"/>
            </a:rPr>
            <a:t>25</a:t>
          </a:r>
          <a:r>
            <a:rPr lang="zh-CN" altLang="en-US" sz="1100" b="0" i="0" u="none" strike="noStrike" baseline="0">
              <a:solidFill>
                <a:srgbClr val="000000"/>
              </a:solidFill>
              <a:latin typeface="宋体"/>
              <a:ea typeface="宋体"/>
              <a:cs typeface="+mn-cs"/>
            </a:rPr>
            <a:t>，</a:t>
          </a:r>
          <a:r>
            <a:rPr lang="en-US" altLang="zh-CN" sz="1100" b="0" i="0" u="none" strike="noStrike" baseline="0">
              <a:solidFill>
                <a:srgbClr val="000000"/>
              </a:solidFill>
              <a:latin typeface="宋体"/>
              <a:ea typeface="宋体"/>
              <a:cs typeface="+mn-cs"/>
            </a:rPr>
            <a:t>10</a:t>
          </a:r>
          <a:r>
            <a:rPr lang="zh-CN" altLang="en-US" sz="1100" b="0" i="0" u="none" strike="noStrike" baseline="0">
              <a:solidFill>
                <a:srgbClr val="000000"/>
              </a:solidFill>
              <a:latin typeface="宋体"/>
              <a:ea typeface="宋体"/>
              <a:cs typeface="+mn-cs"/>
            </a:rPr>
            <a:t>，</a:t>
          </a:r>
          <a:r>
            <a:rPr lang="en-US" altLang="zh-CN" sz="1100" b="0" i="0" u="none" strike="noStrike" baseline="0">
              <a:solidFill>
                <a:srgbClr val="000000"/>
              </a:solidFill>
              <a:latin typeface="宋体"/>
              <a:ea typeface="宋体"/>
              <a:cs typeface="+mn-cs"/>
            </a:rPr>
            <a:t>20</a:t>
          </a:r>
          <a:r>
            <a:rPr lang="zh-CN" altLang="en-US" sz="1100" b="0" i="0" u="none" strike="noStrike" baseline="0">
              <a:solidFill>
                <a:srgbClr val="000000"/>
              </a:solidFill>
              <a:latin typeface="宋体"/>
              <a:ea typeface="宋体"/>
              <a:cs typeface="+mn-cs"/>
            </a:rPr>
            <a:t>，</a:t>
          </a:r>
          <a:r>
            <a:rPr lang="en-US" altLang="zh-CN" sz="1100" b="0" i="0" u="none" strike="noStrike" baseline="0">
              <a:solidFill>
                <a:srgbClr val="000000"/>
              </a:solidFill>
              <a:latin typeface="宋体"/>
              <a:ea typeface="宋体"/>
              <a:cs typeface="+mn-cs"/>
            </a:rPr>
            <a:t>30</a:t>
          </a:r>
          <a:r>
            <a:rPr lang="zh-CN" altLang="en-US" sz="1100" b="0" i="0" u="none" strike="noStrike" baseline="0">
              <a:solidFill>
                <a:srgbClr val="000000"/>
              </a:solidFill>
              <a:latin typeface="宋体"/>
              <a:ea typeface="宋体"/>
              <a:cs typeface="+mn-cs"/>
            </a:rPr>
            <a:t>，</a:t>
          </a:r>
          <a:r>
            <a:rPr lang="en-US" altLang="zh-CN" sz="1100" b="0" i="0" u="none" strike="noStrike" baseline="0">
              <a:solidFill>
                <a:srgbClr val="000000"/>
              </a:solidFill>
              <a:latin typeface="宋体"/>
              <a:ea typeface="宋体"/>
              <a:cs typeface="+mn-cs"/>
            </a:rPr>
            <a:t>15</a:t>
          </a:r>
          <a:r>
            <a:rPr lang="zh-CN" altLang="en-US" sz="1100" b="0" i="0" u="none" strike="noStrike" baseline="0">
              <a:solidFill>
                <a:srgbClr val="000000"/>
              </a:solidFill>
              <a:latin typeface="宋体"/>
              <a:ea typeface="+mn-ea"/>
              <a:cs typeface="+mn-cs"/>
            </a:rPr>
            <a:t>个单位，产品从仓库到零售店地区的每单位如表格所示</a:t>
          </a:r>
          <a:r>
            <a:rPr lang="en-US" altLang="zh-CN" sz="1100" b="0" i="0" u="none" strike="noStrike" baseline="0">
              <a:solidFill>
                <a:srgbClr val="000000"/>
              </a:solidFill>
              <a:latin typeface="宋体"/>
              <a:ea typeface="+mn-ea"/>
              <a:cs typeface="+mn-cs"/>
            </a:rPr>
            <a:t>,</a:t>
          </a:r>
          <a:r>
            <a:rPr lang="zh-CN" altLang="en-US" sz="1100" b="0" i="0" u="none" strike="noStrike" baseline="0">
              <a:solidFill>
                <a:srgbClr val="000000"/>
              </a:solidFill>
              <a:latin typeface="宋体"/>
              <a:ea typeface="+mn-ea"/>
              <a:cs typeface="+mn-cs"/>
            </a:rPr>
            <a:t>请用规划求解工具：</a:t>
          </a:r>
        </a:p>
        <a:p>
          <a:pPr marL="0" indent="0" algn="l" rtl="0">
            <a:lnSpc>
              <a:spcPct val="150000"/>
            </a:lnSpc>
            <a:defRPr sz="1000"/>
          </a:pPr>
          <a:r>
            <a:rPr lang="zh-CN" altLang="en-US" sz="1100" b="0" i="0" u="none" strike="noStrike" baseline="0">
              <a:solidFill>
                <a:srgbClr val="000000"/>
              </a:solidFill>
              <a:latin typeface="宋体"/>
              <a:ea typeface="宋体"/>
              <a:cs typeface="+mn-cs"/>
            </a:rPr>
            <a:t> </a:t>
          </a:r>
          <a:r>
            <a:rPr lang="en-US" altLang="zh-CN" sz="1100" b="0" i="0" u="none" strike="noStrike" baseline="0">
              <a:solidFill>
                <a:srgbClr val="000000"/>
              </a:solidFill>
              <a:latin typeface="宋体"/>
              <a:ea typeface="宋体"/>
              <a:cs typeface="+mn-cs"/>
            </a:rPr>
            <a:t>(1)</a:t>
          </a:r>
          <a:r>
            <a:rPr lang="zh-CN" altLang="en-US" sz="1100" b="0" i="0" u="none" strike="noStrike" baseline="0">
              <a:solidFill>
                <a:srgbClr val="000000"/>
              </a:solidFill>
              <a:latin typeface="宋体"/>
              <a:ea typeface="宋体"/>
              <a:cs typeface="+mn-cs"/>
            </a:rPr>
            <a:t>、求解运费最省的运输方案；</a:t>
          </a:r>
          <a:endParaRPr lang="en-US" altLang="zh-CN" sz="1100" b="0" i="0" u="none" strike="noStrike" baseline="0">
            <a:solidFill>
              <a:srgbClr val="000000"/>
            </a:solidFill>
            <a:latin typeface="宋体"/>
            <a:ea typeface="宋体"/>
            <a:cs typeface="+mn-cs"/>
          </a:endParaRPr>
        </a:p>
        <a:p>
          <a:pPr marL="0" indent="0" algn="l" rtl="0">
            <a:lnSpc>
              <a:spcPct val="150000"/>
            </a:lnSpc>
            <a:defRPr sz="1000"/>
          </a:pPr>
          <a:r>
            <a:rPr lang="zh-CN" altLang="en-US" sz="1100" b="0" i="0" u="none" strike="noStrike" baseline="0">
              <a:solidFill>
                <a:srgbClr val="000000"/>
              </a:solidFill>
              <a:latin typeface="宋体"/>
              <a:ea typeface="宋体"/>
              <a:cs typeface="+mn-cs"/>
            </a:rPr>
            <a:t>（</a:t>
          </a:r>
          <a:r>
            <a:rPr lang="en-US" altLang="zh-CN" sz="1100" b="0" i="0" u="none" strike="noStrike" baseline="0">
              <a:solidFill>
                <a:srgbClr val="000000"/>
              </a:solidFill>
              <a:latin typeface="宋体"/>
              <a:ea typeface="宋体"/>
              <a:cs typeface="+mn-cs"/>
            </a:rPr>
            <a:t>2)</a:t>
          </a:r>
          <a:r>
            <a:rPr lang="zh-CN" altLang="en-US" sz="1100" b="0" i="0" u="none" strike="noStrike" baseline="0">
              <a:solidFill>
                <a:srgbClr val="000000"/>
              </a:solidFill>
              <a:latin typeface="宋体"/>
              <a:ea typeface="宋体"/>
              <a:cs typeface="+mn-cs"/>
            </a:rPr>
            <a:t>、把规划求解模型参数保存在</a:t>
          </a:r>
          <a:r>
            <a:rPr lang="en-US" altLang="zh-CN" sz="1100" b="0" i="0" u="none" strike="noStrike" baseline="0">
              <a:solidFill>
                <a:srgbClr val="000000"/>
              </a:solidFill>
              <a:latin typeface="宋体"/>
              <a:ea typeface="宋体"/>
              <a:cs typeface="+mn-cs"/>
            </a:rPr>
            <a:t>A1</a:t>
          </a:r>
          <a:r>
            <a:rPr lang="zh-CN" altLang="en-US" sz="1100" b="0" i="0" u="none" strike="noStrike" baseline="0">
              <a:solidFill>
                <a:srgbClr val="000000"/>
              </a:solidFill>
              <a:latin typeface="宋体"/>
              <a:ea typeface="宋体"/>
              <a:cs typeface="+mn-cs"/>
            </a:rPr>
            <a:t>开始的单元格处</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1</xdr:row>
      <xdr:rowOff>0</xdr:rowOff>
    </xdr:from>
    <xdr:to>
      <xdr:col>10</xdr:col>
      <xdr:colOff>571500</xdr:colOff>
      <xdr:row>8</xdr:row>
      <xdr:rowOff>123825</xdr:rowOff>
    </xdr:to>
    <xdr:sp macro="" textlink="">
      <xdr:nvSpPr>
        <xdr:cNvPr id="2" name="TextBox 1"/>
        <xdr:cNvSpPr txBox="1"/>
      </xdr:nvSpPr>
      <xdr:spPr>
        <a:xfrm>
          <a:off x="2057400" y="171450"/>
          <a:ext cx="5372100" cy="1323975"/>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b="1"/>
            <a:t>第</a:t>
          </a:r>
          <a:r>
            <a:rPr lang="en-US" altLang="zh-CN" sz="1100" b="1"/>
            <a:t>7</a:t>
          </a:r>
          <a:r>
            <a:rPr lang="zh-CN" altLang="en-US" sz="1100" b="1"/>
            <a:t>题（</a:t>
          </a:r>
          <a:r>
            <a:rPr lang="en-US" altLang="zh-CN" sz="1100" b="1"/>
            <a:t>13</a:t>
          </a:r>
          <a:r>
            <a:rPr lang="zh-CN" altLang="en-US" sz="1100" b="1"/>
            <a:t>分）</a:t>
          </a:r>
          <a:r>
            <a:rPr lang="zh-CN" altLang="en-US" sz="1100"/>
            <a:t>某玩具公司制造三种玩具，每一种要求不用的制造技术。高级的一种需要</a:t>
          </a:r>
          <a:r>
            <a:rPr lang="en-US" altLang="zh-CN" sz="1100"/>
            <a:t>17</a:t>
          </a:r>
          <a:r>
            <a:rPr lang="zh-CN" altLang="en-US" sz="1100"/>
            <a:t>个小时加工装配，</a:t>
          </a:r>
          <a:r>
            <a:rPr lang="en-US" altLang="zh-CN" sz="1100"/>
            <a:t>8</a:t>
          </a:r>
          <a:r>
            <a:rPr lang="zh-CN" altLang="en-US" sz="1100"/>
            <a:t>小时检测，每台利润</a:t>
          </a:r>
          <a:r>
            <a:rPr lang="en-US" altLang="zh-CN" sz="1100"/>
            <a:t>30</a:t>
          </a:r>
          <a:r>
            <a:rPr lang="zh-CN" altLang="en-US" sz="1100"/>
            <a:t>元；中级的需</a:t>
          </a:r>
          <a:r>
            <a:rPr lang="en-US" altLang="zh-CN" sz="1100"/>
            <a:t>2</a:t>
          </a:r>
          <a:r>
            <a:rPr lang="zh-CN" altLang="en-US" sz="1100"/>
            <a:t>小时加工装配，半小时检测，每台利润</a:t>
          </a:r>
          <a:r>
            <a:rPr lang="en-US" altLang="zh-CN" sz="1100"/>
            <a:t>5</a:t>
          </a:r>
          <a:r>
            <a:rPr lang="zh-CN" altLang="en-US" sz="1100"/>
            <a:t>元；低级的需半小时加工装配，</a:t>
          </a:r>
          <a:r>
            <a:rPr lang="en-US" altLang="zh-CN" sz="1100"/>
            <a:t>10</a:t>
          </a:r>
          <a:r>
            <a:rPr lang="zh-CN" altLang="en-US" sz="1100"/>
            <a:t>分钟检测，每台利润</a:t>
          </a:r>
          <a:r>
            <a:rPr lang="en-US" altLang="zh-CN" sz="1100"/>
            <a:t>1</a:t>
          </a:r>
          <a:r>
            <a:rPr lang="zh-CN" altLang="en-US" sz="1100"/>
            <a:t>元。现公司可供利用的加工装配时间为</a:t>
          </a:r>
          <a:r>
            <a:rPr lang="en-US" altLang="zh-CN" sz="1100"/>
            <a:t>500</a:t>
          </a:r>
          <a:r>
            <a:rPr lang="zh-CN" altLang="en-US" sz="1100"/>
            <a:t>小时，检测时间为</a:t>
          </a:r>
          <a:r>
            <a:rPr lang="en-US" altLang="zh-CN" sz="1100"/>
            <a:t>100</a:t>
          </a:r>
          <a:r>
            <a:rPr lang="zh-CN" altLang="en-US" sz="1100"/>
            <a:t>小时。市场预测显示，对高级、中级、低级玩具的需要量分别不超过</a:t>
          </a:r>
          <a:r>
            <a:rPr lang="en-US" altLang="zh-CN" sz="1100"/>
            <a:t>10</a:t>
          </a:r>
          <a:r>
            <a:rPr lang="zh-CN" altLang="en-US" sz="1100"/>
            <a:t>台、</a:t>
          </a:r>
          <a:r>
            <a:rPr lang="en-US" altLang="zh-CN" sz="1100"/>
            <a:t>30</a:t>
          </a:r>
          <a:r>
            <a:rPr lang="zh-CN" altLang="en-US" sz="1100"/>
            <a:t>台、</a:t>
          </a:r>
          <a:r>
            <a:rPr lang="en-US" altLang="zh-CN" sz="1100"/>
            <a:t>100</a:t>
          </a:r>
          <a:r>
            <a:rPr lang="zh-CN" altLang="en-US" sz="1100"/>
            <a:t>台，请制定一个能使总利润最大的生产计划。并将模型保存</a:t>
          </a:r>
          <a:r>
            <a:rPr lang="en-US" altLang="zh-CN" sz="1100"/>
            <a:t>A2</a:t>
          </a:r>
          <a:r>
            <a:rPr lang="zh-CN" altLang="en-US" sz="1100"/>
            <a:t>开始的单元格。</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10</xdr:col>
      <xdr:colOff>38099</xdr:colOff>
      <xdr:row>0</xdr:row>
      <xdr:rowOff>19050</xdr:rowOff>
    </xdr:from>
    <xdr:to>
      <xdr:col>16</xdr:col>
      <xdr:colOff>616322</xdr:colOff>
      <xdr:row>12</xdr:row>
      <xdr:rowOff>67236</xdr:rowOff>
    </xdr:to>
    <xdr:sp macro="" textlink="">
      <xdr:nvSpPr>
        <xdr:cNvPr id="3" name="TextBox 2"/>
        <xdr:cNvSpPr txBox="1"/>
      </xdr:nvSpPr>
      <xdr:spPr>
        <a:xfrm>
          <a:off x="7658099" y="19050"/>
          <a:ext cx="5731248" cy="2343711"/>
        </a:xfrm>
        <a:prstGeom prst="rect">
          <a:avLst/>
        </a:prstGeom>
        <a:solidFill>
          <a:srgbClr val="C8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CN" altLang="en-US" sz="1200" b="1" baseline="0"/>
            <a:t>第</a:t>
          </a:r>
          <a:r>
            <a:rPr lang="en-US" altLang="zh-CN" sz="1200" b="1" baseline="0"/>
            <a:t>8</a:t>
          </a:r>
          <a:r>
            <a:rPr lang="zh-CN" altLang="en-US" sz="1200" b="1" baseline="0"/>
            <a:t>题（</a:t>
          </a:r>
          <a:r>
            <a:rPr lang="en-US" altLang="zh-CN" sz="1200" b="1" baseline="0"/>
            <a:t>15</a:t>
          </a:r>
          <a:r>
            <a:rPr lang="zh-CN" altLang="en-US" sz="1200" b="1" baseline="0"/>
            <a:t>分）</a:t>
          </a:r>
          <a:r>
            <a:rPr lang="zh-CN" altLang="zh-CN" sz="1200" baseline="0">
              <a:solidFill>
                <a:schemeClr val="dk1"/>
              </a:solidFill>
              <a:effectLst/>
              <a:latin typeface="+mn-lt"/>
              <a:ea typeface="+mn-ea"/>
              <a:cs typeface="+mn-cs"/>
            </a:rPr>
            <a:t>喜报航空公司</a:t>
          </a:r>
          <a:r>
            <a:rPr lang="zh-CN" altLang="en-US" sz="1200" baseline="0"/>
            <a:t>某架飞机舱位数为</a:t>
          </a:r>
          <a:r>
            <a:rPr lang="en-US" altLang="zh-CN" sz="1200" baseline="0"/>
            <a:t>200</a:t>
          </a:r>
          <a:r>
            <a:rPr lang="zh-CN" altLang="en-US" sz="1200" baseline="0"/>
            <a:t>个，机票预售期</a:t>
          </a:r>
          <a:r>
            <a:rPr lang="en-US" altLang="zh-CN" sz="1200" baseline="0"/>
            <a:t>100</a:t>
          </a:r>
          <a:r>
            <a:rPr lang="zh-CN" altLang="en-US" sz="1200" baseline="0"/>
            <a:t>天，在</a:t>
          </a:r>
          <a:r>
            <a:rPr lang="en-US" altLang="zh-CN" sz="1200" baseline="0"/>
            <a:t>100</a:t>
          </a:r>
          <a:r>
            <a:rPr lang="zh-CN" altLang="en-US" sz="1200" baseline="0"/>
            <a:t>天销售期中机票</a:t>
          </a:r>
          <a:r>
            <a:rPr lang="zh-CN" altLang="zh-CN" sz="1200">
              <a:solidFill>
                <a:schemeClr val="dk1"/>
              </a:solidFill>
              <a:effectLst/>
              <a:latin typeface="+mn-lt"/>
              <a:ea typeface="+mn-ea"/>
              <a:cs typeface="+mn-cs"/>
            </a:rPr>
            <a:t>价</a:t>
          </a:r>
          <a:r>
            <a:rPr lang="zh-CN" altLang="en-US" sz="1200">
              <a:solidFill>
                <a:schemeClr val="dk1"/>
              </a:solidFill>
              <a:effectLst/>
              <a:latin typeface="+mn-lt"/>
              <a:ea typeface="+mn-ea"/>
              <a:cs typeface="+mn-cs"/>
            </a:rPr>
            <a:t>格</a:t>
          </a:r>
          <a:r>
            <a:rPr lang="zh-CN" altLang="zh-CN" sz="1200">
              <a:solidFill>
                <a:schemeClr val="dk1"/>
              </a:solidFill>
              <a:effectLst/>
              <a:latin typeface="+mn-lt"/>
              <a:ea typeface="+mn-ea"/>
              <a:cs typeface="+mn-cs"/>
            </a:rPr>
            <a:t>剩余</a:t>
          </a:r>
          <a:r>
            <a:rPr lang="zh-CN" altLang="en-US" sz="1200">
              <a:solidFill>
                <a:schemeClr val="dk1"/>
              </a:solidFill>
              <a:effectLst/>
              <a:latin typeface="+mn-lt"/>
              <a:ea typeface="+mn-ea"/>
              <a:cs typeface="+mn-cs"/>
            </a:rPr>
            <a:t>是舱位数的</a:t>
          </a:r>
          <a:r>
            <a:rPr lang="zh-CN" altLang="zh-CN" sz="1200">
              <a:solidFill>
                <a:schemeClr val="dk1"/>
              </a:solidFill>
              <a:effectLst/>
              <a:latin typeface="+mn-lt"/>
              <a:ea typeface="+mn-ea"/>
              <a:cs typeface="+mn-cs"/>
            </a:rPr>
            <a:t>减函数</a:t>
          </a:r>
          <a:r>
            <a:rPr lang="zh-CN" altLang="en-US" sz="1200">
              <a:solidFill>
                <a:schemeClr val="dk1"/>
              </a:solidFill>
              <a:effectLst/>
              <a:latin typeface="+mn-lt"/>
              <a:ea typeface="+mn-ea"/>
              <a:cs typeface="+mn-cs"/>
            </a:rPr>
            <a:t>，机票</a:t>
          </a:r>
          <a:r>
            <a:rPr lang="zh-CN" altLang="zh-CN" sz="1200" baseline="0">
              <a:solidFill>
                <a:schemeClr val="dk1"/>
              </a:solidFill>
              <a:effectLst/>
              <a:latin typeface="+mn-lt"/>
              <a:ea typeface="+mn-ea"/>
              <a:cs typeface="+mn-cs"/>
            </a:rPr>
            <a:t>价格</a:t>
          </a:r>
          <a:r>
            <a:rPr lang="en-US" altLang="zh-CN" sz="1200" baseline="0">
              <a:solidFill>
                <a:schemeClr val="dk1"/>
              </a:solidFill>
              <a:effectLst/>
              <a:latin typeface="+mn-lt"/>
              <a:ea typeface="+mn-ea"/>
              <a:cs typeface="+mn-cs"/>
            </a:rPr>
            <a:t>=t*(a+b</a:t>
          </a:r>
          <a:r>
            <a:rPr lang="zh-CN" altLang="en-US" sz="1200" baseline="0">
              <a:solidFill>
                <a:schemeClr val="dk1"/>
              </a:solidFill>
              <a:effectLst/>
              <a:latin typeface="+mn-lt"/>
              <a:ea typeface="+mn-ea"/>
              <a:cs typeface="+mn-cs"/>
            </a:rPr>
            <a:t>*期初</a:t>
          </a:r>
          <a:r>
            <a:rPr lang="zh-CN" altLang="zh-CN" sz="1200" baseline="0">
              <a:solidFill>
                <a:schemeClr val="dk1"/>
              </a:solidFill>
              <a:effectLst/>
              <a:latin typeface="+mn-lt"/>
              <a:ea typeface="+mn-ea"/>
              <a:cs typeface="+mn-cs"/>
            </a:rPr>
            <a:t>舱位</a:t>
          </a:r>
          <a:r>
            <a:rPr lang="en-US" altLang="zh-CN" sz="1200" baseline="0">
              <a:solidFill>
                <a:schemeClr val="dk1"/>
              </a:solidFill>
              <a:effectLst/>
              <a:latin typeface="+mn-lt"/>
              <a:ea typeface="+mn-ea"/>
              <a:cs typeface="+mn-cs"/>
            </a:rPr>
            <a:t>)</a:t>
          </a:r>
          <a:r>
            <a:rPr lang="zh-CN" altLang="en-US" sz="1200" baseline="0">
              <a:solidFill>
                <a:schemeClr val="dk1"/>
              </a:solidFill>
              <a:effectLst/>
              <a:latin typeface="+mn-lt"/>
              <a:ea typeface="+mn-ea"/>
              <a:cs typeface="+mn-cs"/>
            </a:rPr>
            <a:t>（取整数），其中</a:t>
          </a:r>
          <a:r>
            <a:rPr lang="en-US" altLang="zh-CN" sz="1200" baseline="0">
              <a:solidFill>
                <a:schemeClr val="dk1"/>
              </a:solidFill>
              <a:effectLst/>
              <a:latin typeface="+mn-lt"/>
              <a:ea typeface="+mn-ea"/>
              <a:cs typeface="+mn-cs"/>
            </a:rPr>
            <a:t>t</a:t>
          </a:r>
          <a:r>
            <a:rPr lang="zh-CN" altLang="en-US" sz="1200" baseline="0">
              <a:solidFill>
                <a:schemeClr val="dk1"/>
              </a:solidFill>
              <a:effectLst/>
              <a:latin typeface="+mn-lt"/>
              <a:ea typeface="+mn-ea"/>
              <a:cs typeface="+mn-cs"/>
            </a:rPr>
            <a:t>为每次飞行小时数，服从</a:t>
          </a:r>
          <a:r>
            <a:rPr lang="en-US" altLang="zh-CN" sz="1200" baseline="0">
              <a:solidFill>
                <a:schemeClr val="dk1"/>
              </a:solidFill>
              <a:effectLst/>
              <a:latin typeface="+mn-lt"/>
              <a:ea typeface="+mn-ea"/>
              <a:cs typeface="+mn-cs"/>
            </a:rPr>
            <a:t>[2</a:t>
          </a:r>
          <a:r>
            <a:rPr lang="zh-CN" altLang="en-US" sz="1200" baseline="0">
              <a:solidFill>
                <a:schemeClr val="dk1"/>
              </a:solidFill>
              <a:effectLst/>
              <a:latin typeface="+mn-lt"/>
              <a:ea typeface="+mn-ea"/>
              <a:cs typeface="+mn-cs"/>
            </a:rPr>
            <a:t>，</a:t>
          </a:r>
          <a:r>
            <a:rPr lang="en-US" altLang="zh-CN" sz="1200" baseline="0">
              <a:solidFill>
                <a:schemeClr val="dk1"/>
              </a:solidFill>
              <a:effectLst/>
              <a:latin typeface="+mn-lt"/>
              <a:ea typeface="+mn-ea"/>
              <a:cs typeface="+mn-cs"/>
            </a:rPr>
            <a:t>4]</a:t>
          </a:r>
          <a:r>
            <a:rPr lang="zh-CN" altLang="zh-CN" sz="1200" baseline="0">
              <a:solidFill>
                <a:schemeClr val="dk1"/>
              </a:solidFill>
              <a:effectLst/>
              <a:latin typeface="+mn-lt"/>
              <a:ea typeface="+mn-ea"/>
              <a:cs typeface="+mn-cs"/>
            </a:rPr>
            <a:t>均匀分布</a:t>
          </a:r>
          <a:r>
            <a:rPr lang="zh-CN" altLang="en-US" sz="1200" baseline="0">
              <a:solidFill>
                <a:schemeClr val="dk1"/>
              </a:solidFill>
              <a:effectLst/>
              <a:latin typeface="+mn-lt"/>
              <a:ea typeface="+mn-ea"/>
              <a:cs typeface="+mn-cs"/>
            </a:rPr>
            <a:t>。机票价格截距</a:t>
          </a:r>
          <a:r>
            <a:rPr lang="en-US" altLang="zh-CN" sz="1200" baseline="0">
              <a:solidFill>
                <a:schemeClr val="dk1"/>
              </a:solidFill>
              <a:effectLst/>
              <a:latin typeface="+mn-lt"/>
              <a:ea typeface="+mn-ea"/>
              <a:cs typeface="+mn-cs"/>
            </a:rPr>
            <a:t>a </a:t>
          </a:r>
          <a:r>
            <a:rPr lang="zh-CN" altLang="en-US" sz="1200" baseline="0">
              <a:solidFill>
                <a:schemeClr val="dk1"/>
              </a:solidFill>
              <a:effectLst/>
              <a:latin typeface="+mn-lt"/>
              <a:ea typeface="+mn-ea"/>
              <a:cs typeface="+mn-cs"/>
            </a:rPr>
            <a:t>服从均值</a:t>
          </a:r>
          <a:r>
            <a:rPr lang="en-US" altLang="zh-CN" sz="1200" baseline="0">
              <a:solidFill>
                <a:schemeClr val="dk1"/>
              </a:solidFill>
              <a:effectLst/>
              <a:latin typeface="+mn-lt"/>
              <a:ea typeface="+mn-ea"/>
              <a:cs typeface="+mn-cs"/>
            </a:rPr>
            <a:t>1500</a:t>
          </a:r>
          <a:r>
            <a:rPr lang="zh-CN" altLang="en-US" sz="1200" baseline="0">
              <a:solidFill>
                <a:schemeClr val="dk1"/>
              </a:solidFill>
              <a:effectLst/>
              <a:latin typeface="+mn-lt"/>
              <a:ea typeface="+mn-ea"/>
              <a:cs typeface="+mn-cs"/>
            </a:rPr>
            <a:t>，方差为</a:t>
          </a:r>
          <a:r>
            <a:rPr lang="en-US" altLang="zh-CN" sz="1200" baseline="0">
              <a:solidFill>
                <a:schemeClr val="dk1"/>
              </a:solidFill>
              <a:effectLst/>
              <a:latin typeface="+mn-lt"/>
              <a:ea typeface="+mn-ea"/>
              <a:cs typeface="+mn-cs"/>
            </a:rPr>
            <a:t>300</a:t>
          </a:r>
          <a:r>
            <a:rPr lang="zh-CN" altLang="en-US" sz="1200" baseline="0">
              <a:solidFill>
                <a:schemeClr val="dk1"/>
              </a:solidFill>
              <a:effectLst/>
              <a:latin typeface="+mn-lt"/>
              <a:ea typeface="+mn-ea"/>
              <a:cs typeface="+mn-cs"/>
            </a:rPr>
            <a:t>的正态分布，机票价格斜率</a:t>
          </a:r>
          <a:r>
            <a:rPr lang="en-US" altLang="zh-CN" sz="1200" baseline="0">
              <a:solidFill>
                <a:schemeClr val="dk1"/>
              </a:solidFill>
              <a:effectLst/>
              <a:latin typeface="+mn-lt"/>
              <a:ea typeface="+mn-ea"/>
              <a:cs typeface="+mn-cs"/>
            </a:rPr>
            <a:t>b</a:t>
          </a:r>
          <a:r>
            <a:rPr lang="zh-CN" altLang="en-US" sz="1200" baseline="0">
              <a:solidFill>
                <a:schemeClr val="dk1"/>
              </a:solidFill>
              <a:effectLst/>
              <a:latin typeface="+mn-lt"/>
              <a:ea typeface="+mn-ea"/>
              <a:cs typeface="+mn-cs"/>
            </a:rPr>
            <a:t>为</a:t>
          </a:r>
          <a:r>
            <a:rPr lang="en-US" altLang="zh-CN" sz="1200" baseline="0">
              <a:solidFill>
                <a:schemeClr val="dk1"/>
              </a:solidFill>
              <a:effectLst/>
              <a:latin typeface="+mn-lt"/>
              <a:ea typeface="+mn-ea"/>
              <a:cs typeface="+mn-cs"/>
            </a:rPr>
            <a:t>-0.6</a:t>
          </a:r>
          <a:r>
            <a:rPr lang="zh-CN" altLang="zh-CN" sz="1200" baseline="0">
              <a:solidFill>
                <a:schemeClr val="dk1"/>
              </a:solidFill>
              <a:effectLst/>
              <a:latin typeface="+mn-lt"/>
              <a:ea typeface="+mn-ea"/>
              <a:cs typeface="+mn-cs"/>
            </a:rPr>
            <a:t>。</a:t>
          </a:r>
          <a:r>
            <a:rPr lang="zh-CN" altLang="en-US" sz="1200" baseline="0">
              <a:solidFill>
                <a:schemeClr val="dk1"/>
              </a:solidFill>
              <a:effectLst/>
              <a:latin typeface="+mn-lt"/>
              <a:ea typeface="+mn-ea"/>
              <a:cs typeface="+mn-cs"/>
            </a:rPr>
            <a:t>每天</a:t>
          </a:r>
          <a:r>
            <a:rPr lang="zh-CN" altLang="zh-CN" sz="1200" baseline="0">
              <a:solidFill>
                <a:schemeClr val="dk1"/>
              </a:solidFill>
              <a:effectLst/>
              <a:latin typeface="+mn-lt"/>
              <a:ea typeface="+mn-ea"/>
              <a:cs typeface="+mn-cs"/>
            </a:rPr>
            <a:t>动态到达</a:t>
          </a:r>
          <a:r>
            <a:rPr lang="zh-CN" altLang="en-US" sz="1200" baseline="0">
              <a:solidFill>
                <a:schemeClr val="dk1"/>
              </a:solidFill>
              <a:effectLst/>
              <a:latin typeface="+mn-lt"/>
              <a:ea typeface="+mn-ea"/>
              <a:cs typeface="+mn-cs"/>
            </a:rPr>
            <a:t>的需求量，服从</a:t>
          </a:r>
          <a:r>
            <a:rPr lang="zh-CN" altLang="zh-CN" sz="1200" baseline="0">
              <a:solidFill>
                <a:schemeClr val="dk1"/>
              </a:solidFill>
              <a:effectLst/>
              <a:latin typeface="+mn-lt"/>
              <a:ea typeface="+mn-ea"/>
              <a:cs typeface="+mn-cs"/>
            </a:rPr>
            <a:t>先验分布</a:t>
          </a:r>
          <a:r>
            <a:rPr lang="zh-CN" altLang="en-US" sz="1200" baseline="0">
              <a:solidFill>
                <a:schemeClr val="dk1"/>
              </a:solidFill>
              <a:effectLst/>
              <a:latin typeface="+mn-lt"/>
              <a:ea typeface="+mn-ea"/>
              <a:cs typeface="+mn-cs"/>
            </a:rPr>
            <a:t>如单元格</a:t>
          </a:r>
          <a:r>
            <a:rPr lang="en-US" altLang="zh-CN" sz="1200" baseline="0">
              <a:solidFill>
                <a:schemeClr val="dk1"/>
              </a:solidFill>
              <a:effectLst/>
              <a:latin typeface="+mn-lt"/>
              <a:ea typeface="+mn-ea"/>
              <a:cs typeface="+mn-cs"/>
            </a:rPr>
            <a:t>G5:J10</a:t>
          </a:r>
          <a:r>
            <a:rPr lang="zh-CN" altLang="en-US" sz="1200" baseline="0">
              <a:solidFill>
                <a:schemeClr val="dk1"/>
              </a:solidFill>
              <a:effectLst/>
              <a:latin typeface="+mn-lt"/>
              <a:ea typeface="+mn-ea"/>
              <a:cs typeface="+mn-cs"/>
            </a:rPr>
            <a:t>所示。如果</a:t>
          </a:r>
          <a:r>
            <a:rPr lang="zh-CN" altLang="zh-CN" sz="1200" baseline="0">
              <a:solidFill>
                <a:schemeClr val="dk1"/>
              </a:solidFill>
              <a:effectLst/>
              <a:latin typeface="+mn-lt"/>
              <a:ea typeface="+mn-ea"/>
              <a:cs typeface="+mn-cs"/>
            </a:rPr>
            <a:t>舱位</a:t>
          </a:r>
          <a:r>
            <a:rPr lang="zh-CN" altLang="en-US" sz="1200" baseline="0">
              <a:solidFill>
                <a:schemeClr val="dk1"/>
              </a:solidFill>
              <a:effectLst/>
              <a:latin typeface="+mn-lt"/>
              <a:ea typeface="+mn-ea"/>
              <a:cs typeface="+mn-cs"/>
            </a:rPr>
            <a:t>不够当天需求量，则销售</a:t>
          </a:r>
          <a:r>
            <a:rPr lang="zh-CN" altLang="zh-CN" sz="1200" baseline="0">
              <a:solidFill>
                <a:schemeClr val="dk1"/>
              </a:solidFill>
              <a:effectLst/>
              <a:latin typeface="+mn-lt"/>
              <a:ea typeface="+mn-ea"/>
              <a:cs typeface="+mn-cs"/>
            </a:rPr>
            <a:t>仅</a:t>
          </a:r>
          <a:r>
            <a:rPr lang="zh-CN" altLang="en-US" sz="1200" baseline="0">
              <a:solidFill>
                <a:schemeClr val="dk1"/>
              </a:solidFill>
              <a:effectLst/>
              <a:latin typeface="+mn-lt"/>
              <a:ea typeface="+mn-ea"/>
              <a:cs typeface="+mn-cs"/>
            </a:rPr>
            <a:t>有的</a:t>
          </a:r>
          <a:r>
            <a:rPr lang="zh-CN" altLang="zh-CN" sz="1200" baseline="0">
              <a:solidFill>
                <a:schemeClr val="dk1"/>
              </a:solidFill>
              <a:effectLst/>
              <a:latin typeface="+mn-lt"/>
              <a:ea typeface="+mn-ea"/>
              <a:cs typeface="+mn-cs"/>
            </a:rPr>
            <a:t>舱位</a:t>
          </a:r>
          <a:r>
            <a:rPr lang="zh-CN" altLang="en-US" sz="1200" baseline="0">
              <a:solidFill>
                <a:schemeClr val="dk1"/>
              </a:solidFill>
              <a:effectLst/>
              <a:latin typeface="+mn-lt"/>
              <a:ea typeface="+mn-ea"/>
              <a:cs typeface="+mn-cs"/>
            </a:rPr>
            <a:t>数，未满足的需求与当天价格的积计入</a:t>
          </a:r>
          <a:r>
            <a:rPr lang="zh-CN" altLang="zh-CN" sz="1200" baseline="0">
              <a:solidFill>
                <a:schemeClr val="dk1"/>
              </a:solidFill>
              <a:effectLst/>
              <a:latin typeface="+mn-lt"/>
              <a:ea typeface="+mn-ea"/>
              <a:cs typeface="+mn-cs"/>
            </a:rPr>
            <a:t>机会收益损失</a:t>
          </a:r>
          <a:r>
            <a:rPr lang="zh-CN" altLang="en-US" sz="1200" baseline="0">
              <a:solidFill>
                <a:schemeClr val="dk1"/>
              </a:solidFill>
              <a:effectLst/>
              <a:latin typeface="+mn-lt"/>
              <a:ea typeface="+mn-ea"/>
              <a:cs typeface="+mn-cs"/>
            </a:rPr>
            <a:t>。</a:t>
          </a:r>
          <a:endParaRPr lang="en-US" altLang="zh-CN" sz="1200" baseline="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altLang="zh-CN" sz="1200" baseline="0">
              <a:solidFill>
                <a:schemeClr val="dk1"/>
              </a:solidFill>
              <a:effectLst/>
              <a:latin typeface="+mn-lt"/>
              <a:ea typeface="+mn-ea"/>
              <a:cs typeface="+mn-cs"/>
            </a:rPr>
            <a:t>1</a:t>
          </a:r>
          <a:r>
            <a:rPr lang="zh-CN" altLang="en-US" sz="1200" baseline="0">
              <a:solidFill>
                <a:schemeClr val="dk1"/>
              </a:solidFill>
              <a:effectLst/>
              <a:latin typeface="+mn-lt"/>
              <a:ea typeface="+mn-ea"/>
              <a:cs typeface="+mn-cs"/>
            </a:rPr>
            <a:t>）请计算每日收益、</a:t>
          </a:r>
          <a:r>
            <a:rPr lang="zh-CN" altLang="zh-CN" sz="1200" baseline="0">
              <a:solidFill>
                <a:schemeClr val="dk1"/>
              </a:solidFill>
              <a:effectLst/>
              <a:latin typeface="+mn-lt"/>
              <a:ea typeface="+mn-ea"/>
              <a:cs typeface="+mn-cs"/>
            </a:rPr>
            <a:t>机会收益损失</a:t>
          </a:r>
          <a:r>
            <a:rPr lang="zh-CN" altLang="en-US" sz="1200" baseline="0">
              <a:solidFill>
                <a:schemeClr val="dk1"/>
              </a:solidFill>
              <a:effectLst/>
              <a:latin typeface="+mn-lt"/>
              <a:ea typeface="+mn-ea"/>
              <a:cs typeface="+mn-cs"/>
            </a:rPr>
            <a:t>，以及</a:t>
          </a:r>
          <a:r>
            <a:rPr lang="en-US" altLang="zh-CN" sz="1200" baseline="0">
              <a:solidFill>
                <a:schemeClr val="dk1"/>
              </a:solidFill>
              <a:effectLst/>
              <a:latin typeface="+mn-lt"/>
              <a:ea typeface="+mn-ea"/>
              <a:cs typeface="+mn-cs"/>
            </a:rPr>
            <a:t>100</a:t>
          </a:r>
          <a:r>
            <a:rPr lang="zh-CN" altLang="en-US" sz="1200" baseline="0">
              <a:solidFill>
                <a:schemeClr val="dk1"/>
              </a:solidFill>
              <a:effectLst/>
              <a:latin typeface="+mn-lt"/>
              <a:ea typeface="+mn-ea"/>
              <a:cs typeface="+mn-cs"/>
            </a:rPr>
            <a:t>天</a:t>
          </a:r>
          <a:r>
            <a:rPr lang="zh-CN" altLang="zh-CN" sz="1200" baseline="0">
              <a:solidFill>
                <a:schemeClr val="dk1"/>
              </a:solidFill>
              <a:effectLst/>
              <a:latin typeface="+mn-lt"/>
              <a:ea typeface="+mn-ea"/>
              <a:cs typeface="+mn-cs"/>
            </a:rPr>
            <a:t>收益</a:t>
          </a:r>
          <a:r>
            <a:rPr lang="zh-CN" altLang="en-US" sz="1200" baseline="0">
              <a:solidFill>
                <a:schemeClr val="dk1"/>
              </a:solidFill>
              <a:effectLst/>
              <a:latin typeface="+mn-lt"/>
              <a:ea typeface="+mn-ea"/>
              <a:cs typeface="+mn-cs"/>
            </a:rPr>
            <a:t>现值、</a:t>
          </a:r>
          <a:r>
            <a:rPr lang="en-US" altLang="zh-CN" sz="1200" baseline="0">
              <a:solidFill>
                <a:schemeClr val="dk1"/>
              </a:solidFill>
              <a:effectLst/>
              <a:latin typeface="+mn-lt"/>
              <a:ea typeface="+mn-ea"/>
              <a:cs typeface="+mn-cs"/>
            </a:rPr>
            <a:t>100</a:t>
          </a:r>
          <a:r>
            <a:rPr lang="zh-CN" altLang="zh-CN" sz="1200" baseline="0">
              <a:solidFill>
                <a:schemeClr val="dk1"/>
              </a:solidFill>
              <a:effectLst/>
              <a:latin typeface="+mn-lt"/>
              <a:ea typeface="+mn-ea"/>
              <a:cs typeface="+mn-cs"/>
            </a:rPr>
            <a:t>天机会收益</a:t>
          </a:r>
          <a:r>
            <a:rPr lang="zh-CN" altLang="en-US" sz="1200" baseline="0">
              <a:solidFill>
                <a:schemeClr val="dk1"/>
              </a:solidFill>
              <a:effectLst/>
              <a:latin typeface="+mn-lt"/>
              <a:ea typeface="+mn-ea"/>
              <a:cs typeface="+mn-cs"/>
            </a:rPr>
            <a:t>损失现值。假定</a:t>
          </a:r>
          <a:r>
            <a:rPr lang="zh-CN" altLang="zh-CN" sz="1200" baseline="0">
              <a:solidFill>
                <a:schemeClr val="dk1"/>
              </a:solidFill>
              <a:effectLst/>
              <a:latin typeface="+mn-lt"/>
              <a:ea typeface="+mn-ea"/>
              <a:cs typeface="+mn-cs"/>
            </a:rPr>
            <a:t>日贴现率为</a:t>
          </a:r>
          <a:r>
            <a:rPr lang="en-US" altLang="zh-CN" sz="1200" baseline="0">
              <a:solidFill>
                <a:schemeClr val="dk1"/>
              </a:solidFill>
              <a:effectLst/>
              <a:latin typeface="+mn-lt"/>
              <a:ea typeface="+mn-ea"/>
              <a:cs typeface="+mn-cs"/>
            </a:rPr>
            <a:t>0.1%</a:t>
          </a:r>
          <a:endParaRPr lang="zh-CN" altLang="zh-CN" sz="1200" baseline="0">
            <a:solidFill>
              <a:schemeClr val="dk1"/>
            </a:solidFill>
            <a:effectLst/>
            <a:latin typeface="+mn-lt"/>
            <a:ea typeface="+mn-ea"/>
            <a:cs typeface="+mn-cs"/>
          </a:endParaRPr>
        </a:p>
        <a:p>
          <a:r>
            <a:rPr lang="en-US" altLang="zh-CN" sz="1200" baseline="0">
              <a:solidFill>
                <a:schemeClr val="dk1"/>
              </a:solidFill>
              <a:effectLst/>
              <a:latin typeface="+mn-lt"/>
              <a:ea typeface="+mn-ea"/>
              <a:cs typeface="+mn-cs"/>
            </a:rPr>
            <a:t>2</a:t>
          </a:r>
          <a:r>
            <a:rPr lang="zh-CN" altLang="en-US" sz="1200" baseline="0">
              <a:solidFill>
                <a:schemeClr val="dk1"/>
              </a:solidFill>
              <a:effectLst/>
              <a:latin typeface="+mn-lt"/>
              <a:ea typeface="+mn-ea"/>
              <a:cs typeface="+mn-cs"/>
            </a:rPr>
            <a:t>）做</a:t>
          </a:r>
          <a:r>
            <a:rPr lang="en-US" altLang="zh-CN" sz="1200" baseline="0">
              <a:solidFill>
                <a:schemeClr val="dk1"/>
              </a:solidFill>
              <a:effectLst/>
              <a:latin typeface="+mn-lt"/>
              <a:ea typeface="+mn-ea"/>
              <a:cs typeface="+mn-cs"/>
            </a:rPr>
            <a:t>100</a:t>
          </a:r>
          <a:r>
            <a:rPr lang="zh-CN" altLang="en-US" sz="1200" baseline="0">
              <a:solidFill>
                <a:schemeClr val="dk1"/>
              </a:solidFill>
              <a:effectLst/>
              <a:latin typeface="+mn-lt"/>
              <a:ea typeface="+mn-ea"/>
              <a:cs typeface="+mn-cs"/>
            </a:rPr>
            <a:t>次模拟，计算收益净现值均值以及机会收益损失的极值。</a:t>
          </a:r>
          <a:endParaRPr lang="en-US" altLang="zh-CN" sz="1200" baseline="0">
            <a:solidFill>
              <a:schemeClr val="dk1"/>
            </a:solidFill>
            <a:effectLst/>
            <a:latin typeface="+mn-lt"/>
            <a:ea typeface="+mn-ea"/>
            <a:cs typeface="+mn-cs"/>
          </a:endParaRPr>
        </a:p>
        <a:p>
          <a:r>
            <a:rPr lang="en-US" altLang="zh-CN" sz="1200" baseline="0">
              <a:solidFill>
                <a:schemeClr val="dk1"/>
              </a:solidFill>
              <a:effectLst/>
              <a:latin typeface="+mn-lt"/>
              <a:ea typeface="+mn-ea"/>
              <a:cs typeface="+mn-cs"/>
            </a:rPr>
            <a:t>3</a:t>
          </a:r>
          <a:r>
            <a:rPr lang="zh-CN" altLang="en-US" sz="1200" baseline="0">
              <a:solidFill>
                <a:schemeClr val="dk1"/>
              </a:solidFill>
              <a:effectLst/>
              <a:latin typeface="+mn-lt"/>
              <a:ea typeface="+mn-ea"/>
              <a:cs typeface="+mn-cs"/>
            </a:rPr>
            <a:t>）如果公司可以调用</a:t>
          </a:r>
          <a:r>
            <a:rPr lang="en-US" altLang="zh-CN" sz="1200" baseline="0">
              <a:solidFill>
                <a:schemeClr val="dk1"/>
              </a:solidFill>
              <a:effectLst/>
              <a:latin typeface="+mn-lt"/>
              <a:ea typeface="+mn-ea"/>
              <a:cs typeface="+mn-cs"/>
            </a:rPr>
            <a:t>400</a:t>
          </a:r>
          <a:r>
            <a:rPr lang="zh-CN" altLang="en-US" sz="1200" baseline="0">
              <a:solidFill>
                <a:schemeClr val="dk1"/>
              </a:solidFill>
              <a:effectLst/>
              <a:latin typeface="+mn-lt"/>
              <a:ea typeface="+mn-ea"/>
              <a:cs typeface="+mn-cs"/>
            </a:rPr>
            <a:t>座的大飞机来服务本航线，但会增加费用</a:t>
          </a:r>
          <a:r>
            <a:rPr lang="en-US" altLang="zh-CN" sz="1200" baseline="0">
              <a:solidFill>
                <a:schemeClr val="dk1"/>
              </a:solidFill>
              <a:effectLst/>
              <a:latin typeface="+mn-lt"/>
              <a:ea typeface="+mn-ea"/>
              <a:cs typeface="+mn-cs"/>
            </a:rPr>
            <a:t>15</a:t>
          </a:r>
          <a:r>
            <a:rPr lang="zh-CN" altLang="en-US" sz="1200" baseline="0">
              <a:solidFill>
                <a:schemeClr val="dk1"/>
              </a:solidFill>
              <a:effectLst/>
              <a:latin typeface="+mn-lt"/>
              <a:ea typeface="+mn-ea"/>
              <a:cs typeface="+mn-cs"/>
            </a:rPr>
            <a:t>万元，请根据</a:t>
          </a:r>
          <a:r>
            <a:rPr lang="en-US" altLang="zh-CN" sz="1200" baseline="0">
              <a:solidFill>
                <a:schemeClr val="dk1"/>
              </a:solidFill>
              <a:effectLst/>
              <a:latin typeface="+mn-lt"/>
              <a:ea typeface="+mn-ea"/>
              <a:cs typeface="+mn-cs"/>
            </a:rPr>
            <a:t>100</a:t>
          </a:r>
          <a:r>
            <a:rPr lang="zh-CN" altLang="en-US" sz="1200" baseline="0">
              <a:solidFill>
                <a:schemeClr val="dk1"/>
              </a:solidFill>
              <a:effectLst/>
              <a:latin typeface="+mn-lt"/>
              <a:ea typeface="+mn-ea"/>
              <a:cs typeface="+mn-cs"/>
            </a:rPr>
            <a:t>次试验结果，做合理推断判断是否使用</a:t>
          </a:r>
          <a:r>
            <a:rPr lang="en-US" altLang="zh-CN" sz="1200" baseline="0">
              <a:solidFill>
                <a:schemeClr val="dk1"/>
              </a:solidFill>
              <a:effectLst/>
              <a:latin typeface="+mn-lt"/>
              <a:ea typeface="+mn-ea"/>
              <a:cs typeface="+mn-cs"/>
            </a:rPr>
            <a:t>400</a:t>
          </a:r>
          <a:r>
            <a:rPr lang="zh-CN" altLang="en-US" sz="1200" baseline="0">
              <a:solidFill>
                <a:schemeClr val="dk1"/>
              </a:solidFill>
              <a:effectLst/>
              <a:latin typeface="+mn-lt"/>
              <a:ea typeface="+mn-ea"/>
              <a:cs typeface="+mn-cs"/>
            </a:rPr>
            <a:t>座的大飞机</a:t>
          </a:r>
          <a:r>
            <a:rPr lang="zh-CN" altLang="en-US" sz="1200" baseline="0"/>
            <a:t>。</a:t>
          </a:r>
          <a:endParaRPr lang="en-US" altLang="zh-CN" sz="1200" baseline="0"/>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4"/>
  <sheetViews>
    <sheetView tabSelected="1" zoomScaleNormal="100" workbookViewId="0">
      <selection activeCell="D25" sqref="D25"/>
    </sheetView>
  </sheetViews>
  <sheetFormatPr defaultRowHeight="13.5"/>
  <cols>
    <col min="1" max="1" width="2.625" customWidth="1"/>
    <col min="2" max="2" width="2.75" customWidth="1"/>
    <col min="3" max="3" width="17.25" bestFit="1" customWidth="1"/>
    <col min="4" max="4" width="10.5" bestFit="1" customWidth="1"/>
    <col min="5" max="5" width="2.5" customWidth="1"/>
  </cols>
  <sheetData>
    <row r="2" spans="2:5">
      <c r="B2" s="8"/>
      <c r="C2" s="8"/>
      <c r="D2" s="8"/>
      <c r="E2" s="8"/>
    </row>
    <row r="3" spans="2:5">
      <c r="B3" s="8"/>
      <c r="C3" s="1" t="s">
        <v>0</v>
      </c>
      <c r="D3" s="2"/>
      <c r="E3" s="8"/>
    </row>
    <row r="4" spans="2:5">
      <c r="B4" s="8"/>
      <c r="C4" s="8"/>
      <c r="D4" s="8"/>
      <c r="E4" s="8"/>
    </row>
    <row r="5" spans="2:5">
      <c r="B5" s="8"/>
      <c r="C5" s="1" t="s">
        <v>1</v>
      </c>
      <c r="D5" s="3">
        <v>39</v>
      </c>
      <c r="E5" s="8"/>
    </row>
    <row r="6" spans="2:5">
      <c r="B6" s="8"/>
      <c r="C6" s="1" t="s">
        <v>2</v>
      </c>
      <c r="D6" s="3">
        <v>25</v>
      </c>
      <c r="E6" s="8"/>
    </row>
    <row r="7" spans="2:5">
      <c r="B7" s="8"/>
      <c r="C7" s="1" t="s">
        <v>3</v>
      </c>
      <c r="D7" s="3">
        <v>85000</v>
      </c>
      <c r="E7" s="8"/>
    </row>
    <row r="8" spans="2:5">
      <c r="B8" s="8"/>
      <c r="C8" s="1" t="s">
        <v>4</v>
      </c>
      <c r="D8" s="3">
        <v>40000</v>
      </c>
      <c r="E8" s="8"/>
    </row>
    <row r="9" spans="2:5">
      <c r="B9" s="8"/>
      <c r="C9" s="1" t="s">
        <v>5</v>
      </c>
      <c r="D9" s="3">
        <v>25000</v>
      </c>
      <c r="E9" s="8"/>
    </row>
    <row r="10" spans="2:5">
      <c r="B10" s="8"/>
      <c r="C10" s="1" t="s">
        <v>6</v>
      </c>
      <c r="D10" s="4">
        <v>6.5000000000000002E-2</v>
      </c>
      <c r="E10" s="8"/>
    </row>
    <row r="11" spans="2:5">
      <c r="B11" s="8"/>
      <c r="C11" s="9"/>
      <c r="D11" s="10"/>
      <c r="E11" s="8"/>
    </row>
    <row r="12" spans="2:5">
      <c r="B12" s="8"/>
      <c r="C12" s="1" t="s">
        <v>7</v>
      </c>
      <c r="D12" s="5"/>
      <c r="E12" s="8"/>
    </row>
    <row r="13" spans="2:5">
      <c r="B13" s="8"/>
      <c r="C13" s="1" t="s">
        <v>8</v>
      </c>
      <c r="D13" s="5"/>
      <c r="E13" s="8"/>
    </row>
    <row r="14" spans="2:5">
      <c r="B14" s="8"/>
      <c r="C14" s="1" t="s">
        <v>9</v>
      </c>
      <c r="D14" s="5"/>
      <c r="E14" s="8"/>
    </row>
    <row r="15" spans="2:5">
      <c r="B15" s="8"/>
      <c r="C15" s="1" t="s">
        <v>10</v>
      </c>
      <c r="D15" s="5"/>
      <c r="E15" s="8"/>
    </row>
    <row r="16" spans="2:5">
      <c r="B16" s="8"/>
      <c r="C16" s="11" t="s">
        <v>11</v>
      </c>
      <c r="D16" s="12"/>
      <c r="E16" s="8"/>
    </row>
    <row r="17" spans="2:5">
      <c r="B17" s="8"/>
      <c r="C17" s="15"/>
      <c r="D17" s="16"/>
      <c r="E17" s="8"/>
    </row>
    <row r="18" spans="2:5">
      <c r="B18" s="8"/>
      <c r="C18" s="13" t="s">
        <v>12</v>
      </c>
      <c r="D18" s="14"/>
      <c r="E18" s="8"/>
    </row>
    <row r="19" spans="2:5">
      <c r="B19" s="8"/>
      <c r="C19" s="1" t="s">
        <v>13</v>
      </c>
      <c r="D19" s="5"/>
      <c r="E19" s="8"/>
    </row>
    <row r="20" spans="2:5">
      <c r="B20" s="8"/>
      <c r="C20" s="9"/>
      <c r="D20" s="9"/>
      <c r="E20" s="8"/>
    </row>
    <row r="21" spans="2:5">
      <c r="B21" s="8"/>
      <c r="C21" s="1" t="s">
        <v>14</v>
      </c>
      <c r="D21" s="6"/>
      <c r="E21" s="8"/>
    </row>
    <row r="22" spans="2:5">
      <c r="B22" s="8"/>
      <c r="C22" s="1" t="s">
        <v>15</v>
      </c>
      <c r="D22" s="5"/>
      <c r="E22" s="8"/>
    </row>
    <row r="23" spans="2:5">
      <c r="B23" s="8"/>
      <c r="C23" s="8"/>
      <c r="D23" s="8"/>
      <c r="E23" s="8"/>
    </row>
    <row r="24" spans="2:5">
      <c r="B24" s="7"/>
      <c r="C24" s="7"/>
      <c r="D24" s="7"/>
      <c r="E24" s="7"/>
    </row>
  </sheetData>
  <phoneticPr fontId="10"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20"/>
  <sheetViews>
    <sheetView workbookViewId="0">
      <selection activeCell="E23" sqref="E23"/>
    </sheetView>
  </sheetViews>
  <sheetFormatPr defaultColWidth="8" defaultRowHeight="13.5"/>
  <cols>
    <col min="1" max="1" width="2.375" style="17" customWidth="1"/>
    <col min="2" max="2" width="2.25" style="17" customWidth="1"/>
    <col min="3" max="3" width="19.375" style="17" customWidth="1"/>
    <col min="4" max="4" width="12" style="17" customWidth="1"/>
    <col min="5" max="5" width="13.375" style="17" bestFit="1" customWidth="1"/>
    <col min="6" max="6" width="2.375" style="17" customWidth="1"/>
    <col min="7" max="9" width="8" style="17" customWidth="1"/>
    <col min="10" max="12" width="8" style="19" customWidth="1"/>
    <col min="13" max="16384" width="8" style="17"/>
  </cols>
  <sheetData>
    <row r="2" spans="1:6">
      <c r="B2" s="18"/>
      <c r="C2" s="18"/>
      <c r="D2" s="18"/>
      <c r="E2" s="18"/>
      <c r="F2" s="18"/>
    </row>
    <row r="3" spans="1:6">
      <c r="B3" s="18"/>
      <c r="C3" s="20" t="s">
        <v>16</v>
      </c>
      <c r="D3" s="21"/>
      <c r="E3" s="22">
        <v>10000</v>
      </c>
      <c r="F3" s="23"/>
    </row>
    <row r="4" spans="1:6">
      <c r="B4" s="18"/>
      <c r="C4" s="20" t="s">
        <v>17</v>
      </c>
      <c r="D4" s="21"/>
      <c r="E4" s="24">
        <v>25</v>
      </c>
      <c r="F4" s="18"/>
    </row>
    <row r="5" spans="1:6">
      <c r="B5" s="18"/>
      <c r="C5" s="20" t="s">
        <v>18</v>
      </c>
      <c r="D5" s="21"/>
      <c r="E5" s="25"/>
      <c r="F5" s="18"/>
    </row>
    <row r="6" spans="1:6">
      <c r="B6" s="18"/>
      <c r="C6" s="26">
        <v>150</v>
      </c>
      <c r="D6" s="27" t="s">
        <v>19</v>
      </c>
      <c r="E6" s="27" t="s">
        <v>20</v>
      </c>
      <c r="F6" s="18"/>
    </row>
    <row r="7" spans="1:6">
      <c r="B7" s="18"/>
      <c r="C7" s="28" t="s">
        <v>21</v>
      </c>
      <c r="D7" s="24">
        <v>30000</v>
      </c>
      <c r="E7" s="24">
        <v>10000</v>
      </c>
      <c r="F7" s="18"/>
    </row>
    <row r="8" spans="1:6">
      <c r="B8" s="18"/>
      <c r="C8" s="28" t="s">
        <v>22</v>
      </c>
      <c r="D8" s="29">
        <f>C6/10</f>
        <v>15</v>
      </c>
      <c r="E8" s="29">
        <v>20</v>
      </c>
      <c r="F8" s="30"/>
    </row>
    <row r="9" spans="1:6">
      <c r="B9" s="18"/>
      <c r="C9" s="28" t="s">
        <v>23</v>
      </c>
      <c r="D9" s="25"/>
      <c r="E9" s="25"/>
      <c r="F9" s="18"/>
    </row>
    <row r="10" spans="1:6" ht="14.25" thickBot="1">
      <c r="B10" s="18"/>
      <c r="C10" s="31" t="s">
        <v>24</v>
      </c>
      <c r="D10" s="32"/>
      <c r="E10" s="32"/>
      <c r="F10" s="18"/>
    </row>
    <row r="11" spans="1:6" ht="14.25" thickTop="1">
      <c r="B11" s="18"/>
      <c r="C11" s="33" t="s">
        <v>25</v>
      </c>
      <c r="D11" s="34"/>
      <c r="E11" s="34"/>
      <c r="F11" s="18"/>
    </row>
    <row r="12" spans="1:6">
      <c r="B12" s="18"/>
      <c r="C12" s="18"/>
      <c r="D12" s="18"/>
      <c r="E12" s="18"/>
      <c r="F12" s="18"/>
    </row>
    <row r="13" spans="1:6">
      <c r="B13" s="18"/>
      <c r="C13" s="20" t="s">
        <v>26</v>
      </c>
      <c r="D13" s="21"/>
      <c r="E13" s="35"/>
      <c r="F13" s="18"/>
    </row>
    <row r="14" spans="1:6">
      <c r="A14" s="36"/>
      <c r="B14" s="18"/>
      <c r="C14" s="20" t="s">
        <v>27</v>
      </c>
      <c r="D14" s="21"/>
      <c r="E14" s="25"/>
      <c r="F14" s="18"/>
    </row>
    <row r="15" spans="1:6">
      <c r="A15" s="36"/>
      <c r="B15" s="18"/>
      <c r="C15" s="18"/>
      <c r="D15" s="18"/>
      <c r="E15" s="18"/>
      <c r="F15" s="18"/>
    </row>
    <row r="16" spans="1:6">
      <c r="B16" s="18"/>
      <c r="C16" s="20" t="s">
        <v>28</v>
      </c>
      <c r="D16" s="21"/>
      <c r="E16" s="35"/>
      <c r="F16" s="18"/>
    </row>
    <row r="17" spans="2:6">
      <c r="B17" s="18"/>
      <c r="C17" s="20" t="s">
        <v>29</v>
      </c>
      <c r="D17" s="21"/>
      <c r="E17" s="37"/>
      <c r="F17" s="18"/>
    </row>
    <row r="18" spans="2:6">
      <c r="B18" s="18"/>
      <c r="C18" s="18"/>
      <c r="D18" s="18"/>
      <c r="E18" s="18"/>
      <c r="F18" s="18"/>
    </row>
    <row r="19" spans="2:6">
      <c r="B19" s="36"/>
      <c r="C19" s="36"/>
      <c r="F19" s="36"/>
    </row>
    <row r="20" spans="2:6">
      <c r="F20" s="36"/>
    </row>
  </sheetData>
  <phoneticPr fontId="10"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20"/>
  <sheetViews>
    <sheetView topLeftCell="A18" workbookViewId="0">
      <selection activeCell="C22" sqref="C22"/>
    </sheetView>
  </sheetViews>
  <sheetFormatPr defaultRowHeight="15"/>
  <cols>
    <col min="1" max="2" width="2.625" style="39" customWidth="1"/>
    <col min="3" max="3" width="21.25" style="39" bestFit="1" customWidth="1"/>
    <col min="4" max="4" width="11.875" style="39" customWidth="1"/>
    <col min="5" max="5" width="2.375" style="39" customWidth="1"/>
    <col min="6" max="6" width="5.625" style="39" customWidth="1"/>
    <col min="7" max="7" width="16.125" style="39" bestFit="1" customWidth="1"/>
    <col min="8" max="8" width="11.625" style="39" bestFit="1" customWidth="1"/>
    <col min="9" max="9" width="48.5" style="39" bestFit="1" customWidth="1"/>
    <col min="10" max="16384" width="9" style="39"/>
  </cols>
  <sheetData>
    <row r="2" spans="2:9">
      <c r="B2" s="38"/>
      <c r="C2" s="38"/>
      <c r="D2" s="38"/>
      <c r="E2" s="38"/>
    </row>
    <row r="3" spans="2:9">
      <c r="B3" s="38"/>
      <c r="C3" s="40" t="s">
        <v>30</v>
      </c>
      <c r="D3" s="41">
        <v>30000</v>
      </c>
      <c r="E3" s="38"/>
      <c r="G3" s="42" t="s">
        <v>31</v>
      </c>
      <c r="H3" s="42" t="s">
        <v>32</v>
      </c>
      <c r="I3" s="42" t="s">
        <v>33</v>
      </c>
    </row>
    <row r="4" spans="2:9">
      <c r="B4" s="38"/>
      <c r="C4" s="40" t="s">
        <v>34</v>
      </c>
      <c r="D4" s="41">
        <v>500</v>
      </c>
      <c r="E4" s="38"/>
      <c r="G4" s="43">
        <v>0</v>
      </c>
      <c r="H4" s="44">
        <v>0</v>
      </c>
      <c r="I4" s="45" t="s">
        <v>35</v>
      </c>
    </row>
    <row r="5" spans="2:9">
      <c r="B5" s="38"/>
      <c r="C5" s="40" t="s">
        <v>36</v>
      </c>
      <c r="D5" s="41">
        <v>24</v>
      </c>
      <c r="E5" s="38"/>
      <c r="G5" s="43">
        <v>1500</v>
      </c>
      <c r="H5" s="44">
        <v>0.04</v>
      </c>
      <c r="I5" s="45" t="s">
        <v>37</v>
      </c>
    </row>
    <row r="6" spans="2:9">
      <c r="B6" s="38"/>
      <c r="C6" s="40" t="s">
        <v>38</v>
      </c>
      <c r="D6" s="46">
        <v>2</v>
      </c>
      <c r="E6" s="38"/>
      <c r="G6" s="43">
        <v>2000</v>
      </c>
      <c r="H6" s="44">
        <v>0.12</v>
      </c>
      <c r="I6" s="45" t="s">
        <v>39</v>
      </c>
    </row>
    <row r="7" spans="2:9">
      <c r="B7" s="38"/>
      <c r="C7" s="40" t="s">
        <v>40</v>
      </c>
      <c r="D7" s="47"/>
      <c r="E7" s="38"/>
      <c r="G7" s="43">
        <v>2500</v>
      </c>
      <c r="H7" s="44">
        <v>0.2</v>
      </c>
      <c r="I7" s="45" t="s">
        <v>41</v>
      </c>
    </row>
    <row r="8" spans="2:9">
      <c r="B8" s="38"/>
      <c r="C8" s="40" t="s">
        <v>42</v>
      </c>
      <c r="D8" s="48"/>
      <c r="E8" s="38"/>
      <c r="G8" s="43">
        <v>3000</v>
      </c>
      <c r="H8" s="44">
        <v>0.3</v>
      </c>
      <c r="I8" s="45" t="s">
        <v>43</v>
      </c>
    </row>
    <row r="9" spans="2:9">
      <c r="B9" s="38"/>
      <c r="C9" s="40" t="s">
        <v>44</v>
      </c>
      <c r="D9" s="41">
        <v>1500</v>
      </c>
      <c r="E9" s="38"/>
    </row>
    <row r="10" spans="2:9">
      <c r="B10" s="38"/>
      <c r="C10" s="40" t="s">
        <v>45</v>
      </c>
      <c r="D10" s="48"/>
      <c r="E10" s="38"/>
    </row>
    <row r="11" spans="2:9">
      <c r="B11" s="38"/>
      <c r="C11" s="40" t="s">
        <v>46</v>
      </c>
      <c r="D11" s="48"/>
      <c r="E11" s="38"/>
    </row>
    <row r="12" spans="2:9">
      <c r="B12" s="38"/>
      <c r="C12" s="40" t="s">
        <v>47</v>
      </c>
      <c r="D12" s="48"/>
      <c r="E12" s="38"/>
    </row>
    <row r="13" spans="2:9">
      <c r="B13" s="38"/>
      <c r="C13" s="40" t="s">
        <v>48</v>
      </c>
      <c r="D13" s="48"/>
      <c r="E13" s="38"/>
      <c r="H13" s="49"/>
    </row>
    <row r="14" spans="2:9">
      <c r="B14" s="38"/>
      <c r="C14" s="38"/>
      <c r="D14" s="50"/>
      <c r="E14" s="38"/>
    </row>
    <row r="15" spans="2:9">
      <c r="B15" s="38"/>
      <c r="C15" s="40" t="s">
        <v>49</v>
      </c>
      <c r="D15" s="48"/>
      <c r="E15" s="38"/>
    </row>
    <row r="16" spans="2:9">
      <c r="B16" s="38"/>
      <c r="C16" s="51" t="s">
        <v>50</v>
      </c>
      <c r="D16" s="48"/>
      <c r="E16" s="38"/>
    </row>
    <row r="17" spans="2:5">
      <c r="B17" s="38"/>
      <c r="C17" s="51" t="s">
        <v>51</v>
      </c>
      <c r="D17" s="48"/>
      <c r="E17" s="38"/>
    </row>
    <row r="18" spans="2:5">
      <c r="B18" s="38"/>
      <c r="C18" s="51" t="s">
        <v>52</v>
      </c>
      <c r="D18" s="48"/>
      <c r="E18" s="38"/>
    </row>
    <row r="19" spans="2:5">
      <c r="B19" s="38"/>
      <c r="C19" s="51" t="s">
        <v>53</v>
      </c>
      <c r="D19" s="48"/>
      <c r="E19" s="38"/>
    </row>
    <row r="20" spans="2:5">
      <c r="B20" s="38"/>
      <c r="C20" s="38"/>
      <c r="D20" s="38"/>
      <c r="E20" s="38"/>
    </row>
  </sheetData>
  <phoneticPr fontId="1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
  <sheetViews>
    <sheetView workbookViewId="0">
      <selection activeCell="C22" sqref="C22"/>
    </sheetView>
  </sheetViews>
  <sheetFormatPr defaultColWidth="9" defaultRowHeight="14.25"/>
  <cols>
    <col min="1" max="1" width="7.625" style="54" customWidth="1"/>
    <col min="2" max="2" width="24.25" style="54" customWidth="1"/>
    <col min="3" max="3" width="12.125" style="54" customWidth="1"/>
    <col min="4" max="4" width="13" style="54" customWidth="1"/>
    <col min="5" max="5" width="13" style="54" bestFit="1" customWidth="1"/>
    <col min="6" max="6" width="13.75" style="54" customWidth="1"/>
    <col min="7" max="7" width="12.125" style="54" bestFit="1" customWidth="1"/>
    <col min="8" max="8" width="9" style="54"/>
    <col min="9" max="9" width="13" style="54" bestFit="1" customWidth="1"/>
    <col min="10" max="16384" width="9" style="54"/>
  </cols>
  <sheetData>
    <row r="1" spans="1:11">
      <c r="A1" s="52"/>
      <c r="B1" s="52"/>
      <c r="C1" s="52"/>
      <c r="D1" s="52"/>
      <c r="E1" s="52"/>
      <c r="F1" s="52"/>
      <c r="G1" s="52"/>
      <c r="H1" s="52"/>
      <c r="I1" s="52"/>
      <c r="J1" s="53"/>
      <c r="K1" s="52"/>
    </row>
    <row r="2" spans="1:11">
      <c r="A2" s="52"/>
      <c r="B2" s="55" t="s">
        <v>54</v>
      </c>
      <c r="C2" s="56">
        <v>500000</v>
      </c>
      <c r="D2" s="57"/>
      <c r="E2" s="57"/>
      <c r="F2" s="58" t="s">
        <v>55</v>
      </c>
      <c r="G2" s="58" t="s">
        <v>56</v>
      </c>
      <c r="H2" s="58" t="s">
        <v>57</v>
      </c>
      <c r="I2" s="58" t="s">
        <v>58</v>
      </c>
      <c r="J2" s="53"/>
      <c r="K2" s="52"/>
    </row>
    <row r="3" spans="1:11">
      <c r="A3" s="52"/>
      <c r="B3" s="55" t="s">
        <v>59</v>
      </c>
      <c r="C3" s="56">
        <v>10</v>
      </c>
      <c r="D3" s="57"/>
      <c r="E3" s="59" t="s">
        <v>60</v>
      </c>
      <c r="F3" s="60"/>
      <c r="G3" s="60"/>
      <c r="H3" s="60"/>
      <c r="I3" s="56">
        <f>C2</f>
        <v>500000</v>
      </c>
      <c r="J3" s="53"/>
      <c r="K3" s="52"/>
    </row>
    <row r="4" spans="1:11">
      <c r="A4" s="52"/>
      <c r="B4" s="55" t="s">
        <v>61</v>
      </c>
      <c r="C4" s="61">
        <v>7.0000000000000007E-2</v>
      </c>
      <c r="D4" s="57"/>
      <c r="E4" s="59" t="s">
        <v>62</v>
      </c>
      <c r="F4" s="62"/>
      <c r="G4" s="63"/>
      <c r="H4" s="64"/>
      <c r="I4" s="64"/>
      <c r="J4" s="53"/>
      <c r="K4" s="52"/>
    </row>
    <row r="5" spans="1:11">
      <c r="A5" s="52"/>
      <c r="B5" s="55" t="s">
        <v>63</v>
      </c>
      <c r="C5" s="61">
        <v>0.05</v>
      </c>
      <c r="D5" s="57"/>
      <c r="E5" s="59" t="s">
        <v>64</v>
      </c>
      <c r="F5" s="64"/>
      <c r="G5" s="63"/>
      <c r="H5" s="64"/>
      <c r="I5" s="64"/>
      <c r="J5" s="53"/>
      <c r="K5" s="52"/>
    </row>
    <row r="6" spans="1:11">
      <c r="D6" s="57"/>
      <c r="E6" s="59" t="s">
        <v>65</v>
      </c>
      <c r="F6" s="64"/>
      <c r="G6" s="63"/>
      <c r="H6" s="64"/>
      <c r="I6" s="64"/>
      <c r="J6" s="53"/>
      <c r="K6" s="52"/>
    </row>
    <row r="7" spans="1:11">
      <c r="D7" s="57"/>
      <c r="E7" s="59" t="s">
        <v>66</v>
      </c>
      <c r="F7" s="64"/>
      <c r="G7" s="63"/>
      <c r="H7" s="64"/>
      <c r="I7" s="64"/>
      <c r="J7" s="53"/>
      <c r="K7" s="52"/>
    </row>
    <row r="8" spans="1:11">
      <c r="D8" s="57"/>
      <c r="E8" s="59" t="s">
        <v>67</v>
      </c>
      <c r="F8" s="64"/>
      <c r="G8" s="63"/>
      <c r="H8" s="64"/>
      <c r="I8" s="64"/>
      <c r="J8" s="53"/>
      <c r="K8" s="52"/>
    </row>
    <row r="9" spans="1:11">
      <c r="D9" s="57"/>
      <c r="E9" s="59" t="s">
        <v>68</v>
      </c>
      <c r="F9" s="64"/>
      <c r="G9" s="63"/>
      <c r="H9" s="64"/>
      <c r="I9" s="64"/>
      <c r="J9" s="53"/>
      <c r="K9" s="52"/>
    </row>
    <row r="10" spans="1:11">
      <c r="D10" s="57"/>
      <c r="E10" s="59" t="s">
        <v>69</v>
      </c>
      <c r="F10" s="64"/>
      <c r="G10" s="63"/>
      <c r="H10" s="64"/>
      <c r="I10" s="64"/>
      <c r="J10" s="53"/>
      <c r="K10" s="52"/>
    </row>
    <row r="11" spans="1:11">
      <c r="D11" s="57"/>
      <c r="E11" s="59" t="s">
        <v>70</v>
      </c>
      <c r="F11" s="64"/>
      <c r="G11" s="63"/>
      <c r="H11" s="64"/>
      <c r="I11" s="64"/>
      <c r="J11" s="53"/>
      <c r="K11" s="52"/>
    </row>
    <row r="12" spans="1:11">
      <c r="A12" s="52"/>
      <c r="D12" s="57"/>
      <c r="E12" s="59" t="s">
        <v>71</v>
      </c>
      <c r="F12" s="64"/>
      <c r="G12" s="63"/>
      <c r="H12" s="64"/>
      <c r="I12" s="64"/>
      <c r="J12" s="53"/>
      <c r="K12" s="52"/>
    </row>
    <row r="13" spans="1:11">
      <c r="A13" s="52"/>
      <c r="D13" s="57"/>
      <c r="E13" s="59" t="s">
        <v>72</v>
      </c>
      <c r="F13" s="64"/>
      <c r="G13" s="63"/>
      <c r="H13" s="64"/>
      <c r="I13" s="64"/>
      <c r="J13" s="53"/>
      <c r="K13" s="52"/>
    </row>
    <row r="14" spans="1:11">
      <c r="A14" s="52"/>
      <c r="B14" s="57"/>
      <c r="C14" s="57"/>
      <c r="D14" s="53"/>
      <c r="E14" s="52"/>
    </row>
    <row r="15" spans="1:11">
      <c r="A15" s="52"/>
      <c r="D15" s="57"/>
      <c r="E15" s="57"/>
      <c r="F15" s="57"/>
      <c r="G15" s="52"/>
      <c r="H15" s="52"/>
      <c r="I15" s="52"/>
      <c r="J15" s="53"/>
      <c r="K15" s="52"/>
    </row>
    <row r="16" spans="1:11">
      <c r="A16" s="53"/>
      <c r="D16" s="57"/>
      <c r="E16" s="57"/>
      <c r="F16" s="57"/>
      <c r="G16" s="53"/>
      <c r="H16" s="53"/>
      <c r="I16" s="53"/>
      <c r="J16" s="53"/>
      <c r="K16" s="52"/>
    </row>
    <row r="17" spans="4:11">
      <c r="D17" s="57"/>
      <c r="E17" s="57"/>
      <c r="F17" s="57"/>
      <c r="K17" s="52"/>
    </row>
  </sheetData>
  <phoneticPr fontId="10"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
  <sheetViews>
    <sheetView topLeftCell="A6" workbookViewId="0">
      <selection activeCell="C9" sqref="C9"/>
    </sheetView>
  </sheetViews>
  <sheetFormatPr defaultRowHeight="13.5"/>
  <cols>
    <col min="1" max="1" width="22.75" style="65" customWidth="1"/>
    <col min="2" max="2" width="9" style="65"/>
    <col min="3" max="3" width="11.125" style="65" customWidth="1"/>
    <col min="4" max="4" width="9" style="65"/>
    <col min="5" max="5" width="11.875" style="65" customWidth="1"/>
    <col min="6" max="6" width="12.75" style="65" bestFit="1" customWidth="1"/>
    <col min="7" max="7" width="10.5" style="65" customWidth="1"/>
    <col min="8" max="8" width="4.25" style="65" customWidth="1"/>
    <col min="9" max="9" width="9" style="65"/>
    <col min="10" max="10" width="11.625" style="65" bestFit="1" customWidth="1"/>
    <col min="11" max="11" width="9" style="65"/>
    <col min="12" max="12" width="8.625" style="65" customWidth="1"/>
    <col min="13" max="16384" width="9" style="65"/>
  </cols>
  <sheetData>
    <row r="1" spans="1:20">
      <c r="J1" s="66"/>
      <c r="K1" s="66"/>
      <c r="L1" s="66"/>
      <c r="R1" s="67"/>
      <c r="S1" s="67"/>
      <c r="T1" s="67"/>
    </row>
    <row r="2" spans="1:20">
      <c r="A2" s="68"/>
      <c r="B2" s="69" t="s">
        <v>73</v>
      </c>
      <c r="C2" s="69" t="s">
        <v>74</v>
      </c>
      <c r="D2" s="69" t="s">
        <v>75</v>
      </c>
      <c r="E2" s="69" t="s">
        <v>76</v>
      </c>
      <c r="F2" s="70" t="s">
        <v>77</v>
      </c>
      <c r="G2" s="71" t="s">
        <v>78</v>
      </c>
      <c r="Q2" s="72"/>
    </row>
    <row r="3" spans="1:20">
      <c r="A3" s="66" t="s">
        <v>79</v>
      </c>
      <c r="B3" s="73">
        <v>2000</v>
      </c>
      <c r="C3" s="74">
        <v>0.03</v>
      </c>
      <c r="D3" s="75">
        <v>0.02</v>
      </c>
      <c r="E3" s="73">
        <v>2500</v>
      </c>
      <c r="F3" s="76"/>
      <c r="G3" s="77"/>
      <c r="Q3" s="72"/>
    </row>
    <row r="4" spans="1:20">
      <c r="A4" s="66" t="s">
        <v>80</v>
      </c>
      <c r="B4" s="73">
        <v>5000</v>
      </c>
      <c r="C4" s="74">
        <v>0.04</v>
      </c>
      <c r="D4" s="75">
        <v>0.03</v>
      </c>
      <c r="E4" s="73">
        <v>5500</v>
      </c>
      <c r="F4" s="76"/>
      <c r="G4" s="77"/>
      <c r="Q4" s="72"/>
    </row>
    <row r="5" spans="1:20">
      <c r="A5" s="66" t="s">
        <v>81</v>
      </c>
      <c r="B5" s="73">
        <v>8000</v>
      </c>
      <c r="C5" s="78">
        <v>4.4999999999999998E-2</v>
      </c>
      <c r="D5" s="79">
        <v>0.01</v>
      </c>
      <c r="E5" s="73">
        <v>8500</v>
      </c>
      <c r="F5" s="76"/>
      <c r="G5" s="77"/>
      <c r="Q5" s="72"/>
    </row>
    <row r="6" spans="1:20">
      <c r="Q6" s="72"/>
    </row>
    <row r="7" spans="1:20">
      <c r="A7" s="65" t="s">
        <v>82</v>
      </c>
      <c r="B7" s="80">
        <v>0.05</v>
      </c>
      <c r="E7" s="81"/>
      <c r="Q7" s="72"/>
    </row>
    <row r="8" spans="1:20">
      <c r="A8" s="82" t="s">
        <v>83</v>
      </c>
      <c r="B8" s="65">
        <v>8</v>
      </c>
      <c r="I8" s="83"/>
      <c r="J8" s="84"/>
      <c r="K8" s="83"/>
      <c r="Q8" s="72"/>
    </row>
    <row r="9" spans="1:20">
      <c r="Q9" s="72"/>
    </row>
    <row r="10" spans="1:20">
      <c r="J10" s="84"/>
      <c r="K10" s="83"/>
    </row>
    <row r="11" spans="1:20">
      <c r="A11" s="65" t="s">
        <v>84</v>
      </c>
      <c r="B11" s="85"/>
      <c r="I11" s="83"/>
      <c r="J11" s="84"/>
      <c r="L11" s="86"/>
      <c r="M11" s="84"/>
    </row>
    <row r="12" spans="1:20">
      <c r="I12" s="83"/>
      <c r="J12" s="84"/>
      <c r="L12" s="87"/>
      <c r="M12" s="84"/>
    </row>
    <row r="13" spans="1:20">
      <c r="A13" s="65" t="s">
        <v>85</v>
      </c>
      <c r="B13" s="77"/>
      <c r="I13" s="83"/>
      <c r="J13" s="84"/>
      <c r="L13" s="86"/>
      <c r="M13" s="84"/>
    </row>
  </sheetData>
  <phoneticPr fontId="10"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activeCell="A6" sqref="A6"/>
    </sheetView>
  </sheetViews>
  <sheetFormatPr defaultRowHeight="14.25"/>
  <cols>
    <col min="1" max="1" width="8.375" style="89" customWidth="1"/>
    <col min="2" max="2" width="4.875" style="89" customWidth="1"/>
    <col min="3" max="3" width="7.5" style="89" customWidth="1"/>
    <col min="4" max="4" width="8.25" style="89" customWidth="1"/>
    <col min="5" max="8" width="6.25" style="89" customWidth="1"/>
    <col min="9" max="9" width="8.25" style="89" customWidth="1"/>
    <col min="10" max="10" width="9" style="89" customWidth="1"/>
    <col min="11" max="256" width="9" style="89"/>
    <col min="257" max="257" width="8.375" style="89" customWidth="1"/>
    <col min="258" max="258" width="2.375" style="89" customWidth="1"/>
    <col min="259" max="259" width="6.25" style="89" customWidth="1"/>
    <col min="260" max="260" width="8.25" style="89" customWidth="1"/>
    <col min="261" max="266" width="6.25" style="89" customWidth="1"/>
    <col min="267" max="512" width="9" style="89"/>
    <col min="513" max="513" width="8.375" style="89" customWidth="1"/>
    <col min="514" max="514" width="2.375" style="89" customWidth="1"/>
    <col min="515" max="515" width="6.25" style="89" customWidth="1"/>
    <col min="516" max="516" width="8.25" style="89" customWidth="1"/>
    <col min="517" max="522" width="6.25" style="89" customWidth="1"/>
    <col min="523" max="768" width="9" style="89"/>
    <col min="769" max="769" width="8.375" style="89" customWidth="1"/>
    <col min="770" max="770" width="2.375" style="89" customWidth="1"/>
    <col min="771" max="771" width="6.25" style="89" customWidth="1"/>
    <col min="772" max="772" width="8.25" style="89" customWidth="1"/>
    <col min="773" max="778" width="6.25" style="89" customWidth="1"/>
    <col min="779" max="1024" width="9" style="89"/>
    <col min="1025" max="1025" width="8.375" style="89" customWidth="1"/>
    <col min="1026" max="1026" width="2.375" style="89" customWidth="1"/>
    <col min="1027" max="1027" width="6.25" style="89" customWidth="1"/>
    <col min="1028" max="1028" width="8.25" style="89" customWidth="1"/>
    <col min="1029" max="1034" width="6.25" style="89" customWidth="1"/>
    <col min="1035" max="1280" width="9" style="89"/>
    <col min="1281" max="1281" width="8.375" style="89" customWidth="1"/>
    <col min="1282" max="1282" width="2.375" style="89" customWidth="1"/>
    <col min="1283" max="1283" width="6.25" style="89" customWidth="1"/>
    <col min="1284" max="1284" width="8.25" style="89" customWidth="1"/>
    <col min="1285" max="1290" width="6.25" style="89" customWidth="1"/>
    <col min="1291" max="1536" width="9" style="89"/>
    <col min="1537" max="1537" width="8.375" style="89" customWidth="1"/>
    <col min="1538" max="1538" width="2.375" style="89" customWidth="1"/>
    <col min="1539" max="1539" width="6.25" style="89" customWidth="1"/>
    <col min="1540" max="1540" width="8.25" style="89" customWidth="1"/>
    <col min="1541" max="1546" width="6.25" style="89" customWidth="1"/>
    <col min="1547" max="1792" width="9" style="89"/>
    <col min="1793" max="1793" width="8.375" style="89" customWidth="1"/>
    <col min="1794" max="1794" width="2.375" style="89" customWidth="1"/>
    <col min="1795" max="1795" width="6.25" style="89" customWidth="1"/>
    <col min="1796" max="1796" width="8.25" style="89" customWidth="1"/>
    <col min="1797" max="1802" width="6.25" style="89" customWidth="1"/>
    <col min="1803" max="2048" width="9" style="89"/>
    <col min="2049" max="2049" width="8.375" style="89" customWidth="1"/>
    <col min="2050" max="2050" width="2.375" style="89" customWidth="1"/>
    <col min="2051" max="2051" width="6.25" style="89" customWidth="1"/>
    <col min="2052" max="2052" width="8.25" style="89" customWidth="1"/>
    <col min="2053" max="2058" width="6.25" style="89" customWidth="1"/>
    <col min="2059" max="2304" width="9" style="89"/>
    <col min="2305" max="2305" width="8.375" style="89" customWidth="1"/>
    <col min="2306" max="2306" width="2.375" style="89" customWidth="1"/>
    <col min="2307" max="2307" width="6.25" style="89" customWidth="1"/>
    <col min="2308" max="2308" width="8.25" style="89" customWidth="1"/>
    <col min="2309" max="2314" width="6.25" style="89" customWidth="1"/>
    <col min="2315" max="2560" width="9" style="89"/>
    <col min="2561" max="2561" width="8.375" style="89" customWidth="1"/>
    <col min="2562" max="2562" width="2.375" style="89" customWidth="1"/>
    <col min="2563" max="2563" width="6.25" style="89" customWidth="1"/>
    <col min="2564" max="2564" width="8.25" style="89" customWidth="1"/>
    <col min="2565" max="2570" width="6.25" style="89" customWidth="1"/>
    <col min="2571" max="2816" width="9" style="89"/>
    <col min="2817" max="2817" width="8.375" style="89" customWidth="1"/>
    <col min="2818" max="2818" width="2.375" style="89" customWidth="1"/>
    <col min="2819" max="2819" width="6.25" style="89" customWidth="1"/>
    <col min="2820" max="2820" width="8.25" style="89" customWidth="1"/>
    <col min="2821" max="2826" width="6.25" style="89" customWidth="1"/>
    <col min="2827" max="3072" width="9" style="89"/>
    <col min="3073" max="3073" width="8.375" style="89" customWidth="1"/>
    <col min="3074" max="3074" width="2.375" style="89" customWidth="1"/>
    <col min="3075" max="3075" width="6.25" style="89" customWidth="1"/>
    <col min="3076" max="3076" width="8.25" style="89" customWidth="1"/>
    <col min="3077" max="3082" width="6.25" style="89" customWidth="1"/>
    <col min="3083" max="3328" width="9" style="89"/>
    <col min="3329" max="3329" width="8.375" style="89" customWidth="1"/>
    <col min="3330" max="3330" width="2.375" style="89" customWidth="1"/>
    <col min="3331" max="3331" width="6.25" style="89" customWidth="1"/>
    <col min="3332" max="3332" width="8.25" style="89" customWidth="1"/>
    <col min="3333" max="3338" width="6.25" style="89" customWidth="1"/>
    <col min="3339" max="3584" width="9" style="89"/>
    <col min="3585" max="3585" width="8.375" style="89" customWidth="1"/>
    <col min="3586" max="3586" width="2.375" style="89" customWidth="1"/>
    <col min="3587" max="3587" width="6.25" style="89" customWidth="1"/>
    <col min="3588" max="3588" width="8.25" style="89" customWidth="1"/>
    <col min="3589" max="3594" width="6.25" style="89" customWidth="1"/>
    <col min="3595" max="3840" width="9" style="89"/>
    <col min="3841" max="3841" width="8.375" style="89" customWidth="1"/>
    <col min="3842" max="3842" width="2.375" style="89" customWidth="1"/>
    <col min="3843" max="3843" width="6.25" style="89" customWidth="1"/>
    <col min="3844" max="3844" width="8.25" style="89" customWidth="1"/>
    <col min="3845" max="3850" width="6.25" style="89" customWidth="1"/>
    <col min="3851" max="4096" width="9" style="89"/>
    <col min="4097" max="4097" width="8.375" style="89" customWidth="1"/>
    <col min="4098" max="4098" width="2.375" style="89" customWidth="1"/>
    <col min="4099" max="4099" width="6.25" style="89" customWidth="1"/>
    <col min="4100" max="4100" width="8.25" style="89" customWidth="1"/>
    <col min="4101" max="4106" width="6.25" style="89" customWidth="1"/>
    <col min="4107" max="4352" width="9" style="89"/>
    <col min="4353" max="4353" width="8.375" style="89" customWidth="1"/>
    <col min="4354" max="4354" width="2.375" style="89" customWidth="1"/>
    <col min="4355" max="4355" width="6.25" style="89" customWidth="1"/>
    <col min="4356" max="4356" width="8.25" style="89" customWidth="1"/>
    <col min="4357" max="4362" width="6.25" style="89" customWidth="1"/>
    <col min="4363" max="4608" width="9" style="89"/>
    <col min="4609" max="4609" width="8.375" style="89" customWidth="1"/>
    <col min="4610" max="4610" width="2.375" style="89" customWidth="1"/>
    <col min="4611" max="4611" width="6.25" style="89" customWidth="1"/>
    <col min="4612" max="4612" width="8.25" style="89" customWidth="1"/>
    <col min="4613" max="4618" width="6.25" style="89" customWidth="1"/>
    <col min="4619" max="4864" width="9" style="89"/>
    <col min="4865" max="4865" width="8.375" style="89" customWidth="1"/>
    <col min="4866" max="4866" width="2.375" style="89" customWidth="1"/>
    <col min="4867" max="4867" width="6.25" style="89" customWidth="1"/>
    <col min="4868" max="4868" width="8.25" style="89" customWidth="1"/>
    <col min="4869" max="4874" width="6.25" style="89" customWidth="1"/>
    <col min="4875" max="5120" width="9" style="89"/>
    <col min="5121" max="5121" width="8.375" style="89" customWidth="1"/>
    <col min="5122" max="5122" width="2.375" style="89" customWidth="1"/>
    <col min="5123" max="5123" width="6.25" style="89" customWidth="1"/>
    <col min="5124" max="5124" width="8.25" style="89" customWidth="1"/>
    <col min="5125" max="5130" width="6.25" style="89" customWidth="1"/>
    <col min="5131" max="5376" width="9" style="89"/>
    <col min="5377" max="5377" width="8.375" style="89" customWidth="1"/>
    <col min="5378" max="5378" width="2.375" style="89" customWidth="1"/>
    <col min="5379" max="5379" width="6.25" style="89" customWidth="1"/>
    <col min="5380" max="5380" width="8.25" style="89" customWidth="1"/>
    <col min="5381" max="5386" width="6.25" style="89" customWidth="1"/>
    <col min="5387" max="5632" width="9" style="89"/>
    <col min="5633" max="5633" width="8.375" style="89" customWidth="1"/>
    <col min="5634" max="5634" width="2.375" style="89" customWidth="1"/>
    <col min="5635" max="5635" width="6.25" style="89" customWidth="1"/>
    <col min="5636" max="5636" width="8.25" style="89" customWidth="1"/>
    <col min="5637" max="5642" width="6.25" style="89" customWidth="1"/>
    <col min="5643" max="5888" width="9" style="89"/>
    <col min="5889" max="5889" width="8.375" style="89" customWidth="1"/>
    <col min="5890" max="5890" width="2.375" style="89" customWidth="1"/>
    <col min="5891" max="5891" width="6.25" style="89" customWidth="1"/>
    <col min="5892" max="5892" width="8.25" style="89" customWidth="1"/>
    <col min="5893" max="5898" width="6.25" style="89" customWidth="1"/>
    <col min="5899" max="6144" width="9" style="89"/>
    <col min="6145" max="6145" width="8.375" style="89" customWidth="1"/>
    <col min="6146" max="6146" width="2.375" style="89" customWidth="1"/>
    <col min="6147" max="6147" width="6.25" style="89" customWidth="1"/>
    <col min="6148" max="6148" width="8.25" style="89" customWidth="1"/>
    <col min="6149" max="6154" width="6.25" style="89" customWidth="1"/>
    <col min="6155" max="6400" width="9" style="89"/>
    <col min="6401" max="6401" width="8.375" style="89" customWidth="1"/>
    <col min="6402" max="6402" width="2.375" style="89" customWidth="1"/>
    <col min="6403" max="6403" width="6.25" style="89" customWidth="1"/>
    <col min="6404" max="6404" width="8.25" style="89" customWidth="1"/>
    <col min="6405" max="6410" width="6.25" style="89" customWidth="1"/>
    <col min="6411" max="6656" width="9" style="89"/>
    <col min="6657" max="6657" width="8.375" style="89" customWidth="1"/>
    <col min="6658" max="6658" width="2.375" style="89" customWidth="1"/>
    <col min="6659" max="6659" width="6.25" style="89" customWidth="1"/>
    <col min="6660" max="6660" width="8.25" style="89" customWidth="1"/>
    <col min="6661" max="6666" width="6.25" style="89" customWidth="1"/>
    <col min="6667" max="6912" width="9" style="89"/>
    <col min="6913" max="6913" width="8.375" style="89" customWidth="1"/>
    <col min="6914" max="6914" width="2.375" style="89" customWidth="1"/>
    <col min="6915" max="6915" width="6.25" style="89" customWidth="1"/>
    <col min="6916" max="6916" width="8.25" style="89" customWidth="1"/>
    <col min="6917" max="6922" width="6.25" style="89" customWidth="1"/>
    <col min="6923" max="7168" width="9" style="89"/>
    <col min="7169" max="7169" width="8.375" style="89" customWidth="1"/>
    <col min="7170" max="7170" width="2.375" style="89" customWidth="1"/>
    <col min="7171" max="7171" width="6.25" style="89" customWidth="1"/>
    <col min="7172" max="7172" width="8.25" style="89" customWidth="1"/>
    <col min="7173" max="7178" width="6.25" style="89" customWidth="1"/>
    <col min="7179" max="7424" width="9" style="89"/>
    <col min="7425" max="7425" width="8.375" style="89" customWidth="1"/>
    <col min="7426" max="7426" width="2.375" style="89" customWidth="1"/>
    <col min="7427" max="7427" width="6.25" style="89" customWidth="1"/>
    <col min="7428" max="7428" width="8.25" style="89" customWidth="1"/>
    <col min="7429" max="7434" width="6.25" style="89" customWidth="1"/>
    <col min="7435" max="7680" width="9" style="89"/>
    <col min="7681" max="7681" width="8.375" style="89" customWidth="1"/>
    <col min="7682" max="7682" width="2.375" style="89" customWidth="1"/>
    <col min="7683" max="7683" width="6.25" style="89" customWidth="1"/>
    <col min="7684" max="7684" width="8.25" style="89" customWidth="1"/>
    <col min="7685" max="7690" width="6.25" style="89" customWidth="1"/>
    <col min="7691" max="7936" width="9" style="89"/>
    <col min="7937" max="7937" width="8.375" style="89" customWidth="1"/>
    <col min="7938" max="7938" width="2.375" style="89" customWidth="1"/>
    <col min="7939" max="7939" width="6.25" style="89" customWidth="1"/>
    <col min="7940" max="7940" width="8.25" style="89" customWidth="1"/>
    <col min="7941" max="7946" width="6.25" style="89" customWidth="1"/>
    <col min="7947" max="8192" width="9" style="89"/>
    <col min="8193" max="8193" width="8.375" style="89" customWidth="1"/>
    <col min="8194" max="8194" width="2.375" style="89" customWidth="1"/>
    <col min="8195" max="8195" width="6.25" style="89" customWidth="1"/>
    <col min="8196" max="8196" width="8.25" style="89" customWidth="1"/>
    <col min="8197" max="8202" width="6.25" style="89" customWidth="1"/>
    <col min="8203" max="8448" width="9" style="89"/>
    <col min="8449" max="8449" width="8.375" style="89" customWidth="1"/>
    <col min="8450" max="8450" width="2.375" style="89" customWidth="1"/>
    <col min="8451" max="8451" width="6.25" style="89" customWidth="1"/>
    <col min="8452" max="8452" width="8.25" style="89" customWidth="1"/>
    <col min="8453" max="8458" width="6.25" style="89" customWidth="1"/>
    <col min="8459" max="8704" width="9" style="89"/>
    <col min="8705" max="8705" width="8.375" style="89" customWidth="1"/>
    <col min="8706" max="8706" width="2.375" style="89" customWidth="1"/>
    <col min="8707" max="8707" width="6.25" style="89" customWidth="1"/>
    <col min="8708" max="8708" width="8.25" style="89" customWidth="1"/>
    <col min="8709" max="8714" width="6.25" style="89" customWidth="1"/>
    <col min="8715" max="8960" width="9" style="89"/>
    <col min="8961" max="8961" width="8.375" style="89" customWidth="1"/>
    <col min="8962" max="8962" width="2.375" style="89" customWidth="1"/>
    <col min="8963" max="8963" width="6.25" style="89" customWidth="1"/>
    <col min="8964" max="8964" width="8.25" style="89" customWidth="1"/>
    <col min="8965" max="8970" width="6.25" style="89" customWidth="1"/>
    <col min="8971" max="9216" width="9" style="89"/>
    <col min="9217" max="9217" width="8.375" style="89" customWidth="1"/>
    <col min="9218" max="9218" width="2.375" style="89" customWidth="1"/>
    <col min="9219" max="9219" width="6.25" style="89" customWidth="1"/>
    <col min="9220" max="9220" width="8.25" style="89" customWidth="1"/>
    <col min="9221" max="9226" width="6.25" style="89" customWidth="1"/>
    <col min="9227" max="9472" width="9" style="89"/>
    <col min="9473" max="9473" width="8.375" style="89" customWidth="1"/>
    <col min="9474" max="9474" width="2.375" style="89" customWidth="1"/>
    <col min="9475" max="9475" width="6.25" style="89" customWidth="1"/>
    <col min="9476" max="9476" width="8.25" style="89" customWidth="1"/>
    <col min="9477" max="9482" width="6.25" style="89" customWidth="1"/>
    <col min="9483" max="9728" width="9" style="89"/>
    <col min="9729" max="9729" width="8.375" style="89" customWidth="1"/>
    <col min="9730" max="9730" width="2.375" style="89" customWidth="1"/>
    <col min="9731" max="9731" width="6.25" style="89" customWidth="1"/>
    <col min="9732" max="9732" width="8.25" style="89" customWidth="1"/>
    <col min="9733" max="9738" width="6.25" style="89" customWidth="1"/>
    <col min="9739" max="9984" width="9" style="89"/>
    <col min="9985" max="9985" width="8.375" style="89" customWidth="1"/>
    <col min="9986" max="9986" width="2.375" style="89" customWidth="1"/>
    <col min="9987" max="9987" width="6.25" style="89" customWidth="1"/>
    <col min="9988" max="9988" width="8.25" style="89" customWidth="1"/>
    <col min="9989" max="9994" width="6.25" style="89" customWidth="1"/>
    <col min="9995" max="10240" width="9" style="89"/>
    <col min="10241" max="10241" width="8.375" style="89" customWidth="1"/>
    <col min="10242" max="10242" width="2.375" style="89" customWidth="1"/>
    <col min="10243" max="10243" width="6.25" style="89" customWidth="1"/>
    <col min="10244" max="10244" width="8.25" style="89" customWidth="1"/>
    <col min="10245" max="10250" width="6.25" style="89" customWidth="1"/>
    <col min="10251" max="10496" width="9" style="89"/>
    <col min="10497" max="10497" width="8.375" style="89" customWidth="1"/>
    <col min="10498" max="10498" width="2.375" style="89" customWidth="1"/>
    <col min="10499" max="10499" width="6.25" style="89" customWidth="1"/>
    <col min="10500" max="10500" width="8.25" style="89" customWidth="1"/>
    <col min="10501" max="10506" width="6.25" style="89" customWidth="1"/>
    <col min="10507" max="10752" width="9" style="89"/>
    <col min="10753" max="10753" width="8.375" style="89" customWidth="1"/>
    <col min="10754" max="10754" width="2.375" style="89" customWidth="1"/>
    <col min="10755" max="10755" width="6.25" style="89" customWidth="1"/>
    <col min="10756" max="10756" width="8.25" style="89" customWidth="1"/>
    <col min="10757" max="10762" width="6.25" style="89" customWidth="1"/>
    <col min="10763" max="11008" width="9" style="89"/>
    <col min="11009" max="11009" width="8.375" style="89" customWidth="1"/>
    <col min="11010" max="11010" width="2.375" style="89" customWidth="1"/>
    <col min="11011" max="11011" width="6.25" style="89" customWidth="1"/>
    <col min="11012" max="11012" width="8.25" style="89" customWidth="1"/>
    <col min="11013" max="11018" width="6.25" style="89" customWidth="1"/>
    <col min="11019" max="11264" width="9" style="89"/>
    <col min="11265" max="11265" width="8.375" style="89" customWidth="1"/>
    <col min="11266" max="11266" width="2.375" style="89" customWidth="1"/>
    <col min="11267" max="11267" width="6.25" style="89" customWidth="1"/>
    <col min="11268" max="11268" width="8.25" style="89" customWidth="1"/>
    <col min="11269" max="11274" width="6.25" style="89" customWidth="1"/>
    <col min="11275" max="11520" width="9" style="89"/>
    <col min="11521" max="11521" width="8.375" style="89" customWidth="1"/>
    <col min="11522" max="11522" width="2.375" style="89" customWidth="1"/>
    <col min="11523" max="11523" width="6.25" style="89" customWidth="1"/>
    <col min="11524" max="11524" width="8.25" style="89" customWidth="1"/>
    <col min="11525" max="11530" width="6.25" style="89" customWidth="1"/>
    <col min="11531" max="11776" width="9" style="89"/>
    <col min="11777" max="11777" width="8.375" style="89" customWidth="1"/>
    <col min="11778" max="11778" width="2.375" style="89" customWidth="1"/>
    <col min="11779" max="11779" width="6.25" style="89" customWidth="1"/>
    <col min="11780" max="11780" width="8.25" style="89" customWidth="1"/>
    <col min="11781" max="11786" width="6.25" style="89" customWidth="1"/>
    <col min="11787" max="12032" width="9" style="89"/>
    <col min="12033" max="12033" width="8.375" style="89" customWidth="1"/>
    <col min="12034" max="12034" width="2.375" style="89" customWidth="1"/>
    <col min="12035" max="12035" width="6.25" style="89" customWidth="1"/>
    <col min="12036" max="12036" width="8.25" style="89" customWidth="1"/>
    <col min="12037" max="12042" width="6.25" style="89" customWidth="1"/>
    <col min="12043" max="12288" width="9" style="89"/>
    <col min="12289" max="12289" width="8.375" style="89" customWidth="1"/>
    <col min="12290" max="12290" width="2.375" style="89" customWidth="1"/>
    <col min="12291" max="12291" width="6.25" style="89" customWidth="1"/>
    <col min="12292" max="12292" width="8.25" style="89" customWidth="1"/>
    <col min="12293" max="12298" width="6.25" style="89" customWidth="1"/>
    <col min="12299" max="12544" width="9" style="89"/>
    <col min="12545" max="12545" width="8.375" style="89" customWidth="1"/>
    <col min="12546" max="12546" width="2.375" style="89" customWidth="1"/>
    <col min="12547" max="12547" width="6.25" style="89" customWidth="1"/>
    <col min="12548" max="12548" width="8.25" style="89" customWidth="1"/>
    <col min="12549" max="12554" width="6.25" style="89" customWidth="1"/>
    <col min="12555" max="12800" width="9" style="89"/>
    <col min="12801" max="12801" width="8.375" style="89" customWidth="1"/>
    <col min="12802" max="12802" width="2.375" style="89" customWidth="1"/>
    <col min="12803" max="12803" width="6.25" style="89" customWidth="1"/>
    <col min="12804" max="12804" width="8.25" style="89" customWidth="1"/>
    <col min="12805" max="12810" width="6.25" style="89" customWidth="1"/>
    <col min="12811" max="13056" width="9" style="89"/>
    <col min="13057" max="13057" width="8.375" style="89" customWidth="1"/>
    <col min="13058" max="13058" width="2.375" style="89" customWidth="1"/>
    <col min="13059" max="13059" width="6.25" style="89" customWidth="1"/>
    <col min="13060" max="13060" width="8.25" style="89" customWidth="1"/>
    <col min="13061" max="13066" width="6.25" style="89" customWidth="1"/>
    <col min="13067" max="13312" width="9" style="89"/>
    <col min="13313" max="13313" width="8.375" style="89" customWidth="1"/>
    <col min="13314" max="13314" width="2.375" style="89" customWidth="1"/>
    <col min="13315" max="13315" width="6.25" style="89" customWidth="1"/>
    <col min="13316" max="13316" width="8.25" style="89" customWidth="1"/>
    <col min="13317" max="13322" width="6.25" style="89" customWidth="1"/>
    <col min="13323" max="13568" width="9" style="89"/>
    <col min="13569" max="13569" width="8.375" style="89" customWidth="1"/>
    <col min="13570" max="13570" width="2.375" style="89" customWidth="1"/>
    <col min="13571" max="13571" width="6.25" style="89" customWidth="1"/>
    <col min="13572" max="13572" width="8.25" style="89" customWidth="1"/>
    <col min="13573" max="13578" width="6.25" style="89" customWidth="1"/>
    <col min="13579" max="13824" width="9" style="89"/>
    <col min="13825" max="13825" width="8.375" style="89" customWidth="1"/>
    <col min="13826" max="13826" width="2.375" style="89" customWidth="1"/>
    <col min="13827" max="13827" width="6.25" style="89" customWidth="1"/>
    <col min="13828" max="13828" width="8.25" style="89" customWidth="1"/>
    <col min="13829" max="13834" width="6.25" style="89" customWidth="1"/>
    <col min="13835" max="14080" width="9" style="89"/>
    <col min="14081" max="14081" width="8.375" style="89" customWidth="1"/>
    <col min="14082" max="14082" width="2.375" style="89" customWidth="1"/>
    <col min="14083" max="14083" width="6.25" style="89" customWidth="1"/>
    <col min="14084" max="14084" width="8.25" style="89" customWidth="1"/>
    <col min="14085" max="14090" width="6.25" style="89" customWidth="1"/>
    <col min="14091" max="14336" width="9" style="89"/>
    <col min="14337" max="14337" width="8.375" style="89" customWidth="1"/>
    <col min="14338" max="14338" width="2.375" style="89" customWidth="1"/>
    <col min="14339" max="14339" width="6.25" style="89" customWidth="1"/>
    <col min="14340" max="14340" width="8.25" style="89" customWidth="1"/>
    <col min="14341" max="14346" width="6.25" style="89" customWidth="1"/>
    <col min="14347" max="14592" width="9" style="89"/>
    <col min="14593" max="14593" width="8.375" style="89" customWidth="1"/>
    <col min="14594" max="14594" width="2.375" style="89" customWidth="1"/>
    <col min="14595" max="14595" width="6.25" style="89" customWidth="1"/>
    <col min="14596" max="14596" width="8.25" style="89" customWidth="1"/>
    <col min="14597" max="14602" width="6.25" style="89" customWidth="1"/>
    <col min="14603" max="14848" width="9" style="89"/>
    <col min="14849" max="14849" width="8.375" style="89" customWidth="1"/>
    <col min="14850" max="14850" width="2.375" style="89" customWidth="1"/>
    <col min="14851" max="14851" width="6.25" style="89" customWidth="1"/>
    <col min="14852" max="14852" width="8.25" style="89" customWidth="1"/>
    <col min="14853" max="14858" width="6.25" style="89" customWidth="1"/>
    <col min="14859" max="15104" width="9" style="89"/>
    <col min="15105" max="15105" width="8.375" style="89" customWidth="1"/>
    <col min="15106" max="15106" width="2.375" style="89" customWidth="1"/>
    <col min="15107" max="15107" width="6.25" style="89" customWidth="1"/>
    <col min="15108" max="15108" width="8.25" style="89" customWidth="1"/>
    <col min="15109" max="15114" width="6.25" style="89" customWidth="1"/>
    <col min="15115" max="15360" width="9" style="89"/>
    <col min="15361" max="15361" width="8.375" style="89" customWidth="1"/>
    <col min="15362" max="15362" width="2.375" style="89" customWidth="1"/>
    <col min="15363" max="15363" width="6.25" style="89" customWidth="1"/>
    <col min="15364" max="15364" width="8.25" style="89" customWidth="1"/>
    <col min="15365" max="15370" width="6.25" style="89" customWidth="1"/>
    <col min="15371" max="15616" width="9" style="89"/>
    <col min="15617" max="15617" width="8.375" style="89" customWidth="1"/>
    <col min="15618" max="15618" width="2.375" style="89" customWidth="1"/>
    <col min="15619" max="15619" width="6.25" style="89" customWidth="1"/>
    <col min="15620" max="15620" width="8.25" style="89" customWidth="1"/>
    <col min="15621" max="15626" width="6.25" style="89" customWidth="1"/>
    <col min="15627" max="15872" width="9" style="89"/>
    <col min="15873" max="15873" width="8.375" style="89" customWidth="1"/>
    <col min="15874" max="15874" width="2.375" style="89" customWidth="1"/>
    <col min="15875" max="15875" width="6.25" style="89" customWidth="1"/>
    <col min="15876" max="15876" width="8.25" style="89" customWidth="1"/>
    <col min="15877" max="15882" width="6.25" style="89" customWidth="1"/>
    <col min="15883" max="16128" width="9" style="89"/>
    <col min="16129" max="16129" width="8.375" style="89" customWidth="1"/>
    <col min="16130" max="16130" width="2.375" style="89" customWidth="1"/>
    <col min="16131" max="16131" width="6.25" style="89" customWidth="1"/>
    <col min="16132" max="16132" width="8.25" style="89" customWidth="1"/>
    <col min="16133" max="16138" width="6.25" style="89" customWidth="1"/>
    <col min="16139" max="16384" width="9" style="89"/>
  </cols>
  <sheetData>
    <row r="1" spans="1:8" ht="15">
      <c r="A1" s="88"/>
      <c r="D1" s="90" t="s">
        <v>86</v>
      </c>
      <c r="E1" s="90" t="s">
        <v>87</v>
      </c>
      <c r="F1" s="90" t="s">
        <v>88</v>
      </c>
      <c r="G1" s="90" t="s">
        <v>89</v>
      </c>
      <c r="H1" s="90" t="s">
        <v>90</v>
      </c>
    </row>
    <row r="2" spans="1:8" ht="15">
      <c r="C2" s="90" t="s">
        <v>91</v>
      </c>
      <c r="D2" s="91">
        <v>55</v>
      </c>
      <c r="E2" s="91">
        <v>30</v>
      </c>
      <c r="F2" s="91">
        <v>40</v>
      </c>
      <c r="G2" s="91">
        <v>50</v>
      </c>
      <c r="H2" s="91">
        <v>40</v>
      </c>
    </row>
    <row r="3" spans="1:8" ht="15">
      <c r="C3" s="90" t="s">
        <v>92</v>
      </c>
      <c r="D3" s="91">
        <v>35</v>
      </c>
      <c r="E3" s="91">
        <v>30</v>
      </c>
      <c r="F3" s="91">
        <v>100</v>
      </c>
      <c r="G3" s="91">
        <v>45</v>
      </c>
      <c r="H3" s="91">
        <v>60</v>
      </c>
    </row>
    <row r="4" spans="1:8" ht="15">
      <c r="C4" s="90" t="s">
        <v>93</v>
      </c>
      <c r="D4" s="91">
        <v>40</v>
      </c>
      <c r="E4" s="91">
        <v>60</v>
      </c>
      <c r="F4" s="91">
        <v>95</v>
      </c>
      <c r="G4" s="91">
        <v>35</v>
      </c>
      <c r="H4" s="91">
        <v>30</v>
      </c>
    </row>
  </sheetData>
  <phoneticPr fontId="10"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2:F14"/>
  <sheetViews>
    <sheetView workbookViewId="0">
      <selection activeCell="C10" sqref="C10"/>
    </sheetView>
  </sheetViews>
  <sheetFormatPr defaultRowHeight="13.5"/>
  <sheetData>
    <row r="12" spans="3:6">
      <c r="D12" s="92">
        <v>1</v>
      </c>
      <c r="E12" s="92">
        <v>2</v>
      </c>
      <c r="F12" s="92">
        <v>3</v>
      </c>
    </row>
    <row r="13" spans="3:6">
      <c r="C13" s="92" t="s">
        <v>94</v>
      </c>
      <c r="D13" s="93"/>
      <c r="E13" s="93"/>
      <c r="F13" s="93"/>
    </row>
    <row r="14" spans="3:6">
      <c r="C14" s="92" t="s">
        <v>95</v>
      </c>
      <c r="D14" s="93"/>
      <c r="E14" s="93"/>
      <c r="F14" s="93"/>
    </row>
  </sheetData>
  <phoneticPr fontId="10"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U1016"/>
  <sheetViews>
    <sheetView workbookViewId="0">
      <selection activeCell="D16" sqref="D16"/>
    </sheetView>
  </sheetViews>
  <sheetFormatPr defaultRowHeight="13.5"/>
  <cols>
    <col min="1" max="1" width="1.625" style="95" customWidth="1"/>
    <col min="2" max="2" width="20.25" style="95" customWidth="1"/>
    <col min="3" max="3" width="26.75" style="95" customWidth="1"/>
    <col min="4" max="4" width="13.625" style="95" customWidth="1"/>
    <col min="5" max="5" width="3.125" style="95" customWidth="1"/>
    <col min="6" max="6" width="8.5" style="95" hidden="1" customWidth="1"/>
    <col min="7" max="7" width="6.875" style="95" customWidth="1"/>
    <col min="8" max="8" width="5.5" style="95" bestFit="1" customWidth="1"/>
    <col min="9" max="9" width="8.25" style="95" customWidth="1"/>
    <col min="10" max="10" width="9.75" style="95" customWidth="1"/>
    <col min="11" max="11" width="12.5" style="95" customWidth="1"/>
    <col min="12" max="12" width="11.625" style="95" bestFit="1" customWidth="1"/>
    <col min="13" max="13" width="15" style="95" bestFit="1" customWidth="1"/>
    <col min="14" max="14" width="11.875" style="95" bestFit="1" customWidth="1"/>
    <col min="15" max="15" width="12.875" style="95" customWidth="1"/>
    <col min="16" max="16" width="3.75" style="122" customWidth="1"/>
    <col min="17" max="17" width="9" style="148"/>
    <col min="18" max="18" width="13.375" style="122" bestFit="1" customWidth="1"/>
    <col min="19" max="19" width="11.625" style="95" bestFit="1" customWidth="1"/>
    <col min="20" max="20" width="9" style="95"/>
    <col min="21" max="21" width="12.75" style="95" bestFit="1" customWidth="1"/>
    <col min="22" max="16384" width="9" style="95"/>
  </cols>
  <sheetData>
    <row r="1" spans="2:21" ht="27">
      <c r="B1" s="94" t="s">
        <v>96</v>
      </c>
      <c r="L1" s="96"/>
      <c r="M1" s="96"/>
      <c r="P1" s="95"/>
      <c r="Q1" s="95"/>
      <c r="R1" s="95"/>
    </row>
    <row r="2" spans="2:21" ht="12" customHeight="1">
      <c r="L2" s="96"/>
      <c r="M2" s="96"/>
      <c r="P2" s="95"/>
      <c r="Q2" s="95"/>
      <c r="R2" s="95"/>
    </row>
    <row r="3" spans="2:21" ht="12" customHeight="1">
      <c r="L3" s="96"/>
      <c r="M3" s="96"/>
      <c r="P3" s="95"/>
      <c r="Q3" s="95"/>
      <c r="R3" s="95"/>
    </row>
    <row r="4" spans="2:21" ht="15.75">
      <c r="B4" s="97" t="s">
        <v>97</v>
      </c>
      <c r="G4" s="98" t="s">
        <v>98</v>
      </c>
      <c r="K4" s="96"/>
      <c r="L4" s="96"/>
      <c r="P4" s="95"/>
      <c r="Q4" s="95"/>
      <c r="R4" s="95"/>
    </row>
    <row r="5" spans="2:21">
      <c r="B5" s="99" t="s">
        <v>99</v>
      </c>
      <c r="C5" s="100"/>
      <c r="D5" s="101">
        <v>200</v>
      </c>
      <c r="G5" s="102" t="s">
        <v>100</v>
      </c>
      <c r="H5" s="102" t="s">
        <v>101</v>
      </c>
      <c r="I5" s="102"/>
      <c r="J5" s="102" t="s">
        <v>102</v>
      </c>
      <c r="P5" s="95"/>
      <c r="Q5" s="95"/>
      <c r="R5" s="95"/>
    </row>
    <row r="6" spans="2:21">
      <c r="B6" s="99" t="s">
        <v>103</v>
      </c>
      <c r="C6" s="100"/>
      <c r="D6" s="101">
        <v>4</v>
      </c>
      <c r="G6" s="103"/>
      <c r="H6" s="104"/>
      <c r="I6" s="104"/>
      <c r="J6" s="105"/>
      <c r="P6" s="95"/>
      <c r="Q6" s="95"/>
      <c r="R6" s="95"/>
    </row>
    <row r="7" spans="2:21">
      <c r="B7" s="99" t="s">
        <v>104</v>
      </c>
      <c r="C7" s="100"/>
      <c r="D7" s="101">
        <v>2</v>
      </c>
      <c r="G7" s="106">
        <v>2</v>
      </c>
      <c r="H7" s="107">
        <v>0.2</v>
      </c>
      <c r="I7" s="107"/>
      <c r="J7" s="105"/>
      <c r="P7" s="95"/>
      <c r="Q7" s="95"/>
      <c r="R7" s="95"/>
    </row>
    <row r="8" spans="2:21">
      <c r="B8" s="108" t="s">
        <v>105</v>
      </c>
      <c r="C8" s="100" t="s">
        <v>106</v>
      </c>
      <c r="D8" s="109">
        <v>1500</v>
      </c>
      <c r="G8" s="106">
        <v>3</v>
      </c>
      <c r="H8" s="107">
        <v>0.3</v>
      </c>
      <c r="I8" s="107"/>
      <c r="J8" s="105"/>
      <c r="P8" s="95"/>
      <c r="Q8" s="95"/>
      <c r="R8" s="95"/>
    </row>
    <row r="9" spans="2:21">
      <c r="B9" s="110" t="s">
        <v>107</v>
      </c>
      <c r="C9" s="111"/>
      <c r="D9" s="109">
        <f>300</f>
        <v>300</v>
      </c>
      <c r="G9" s="106">
        <v>4</v>
      </c>
      <c r="H9" s="107">
        <v>0.4</v>
      </c>
      <c r="I9" s="107"/>
      <c r="J9" s="105"/>
      <c r="P9" s="95"/>
      <c r="Q9" s="95"/>
      <c r="R9" s="95"/>
    </row>
    <row r="10" spans="2:21">
      <c r="B10" s="112" t="s">
        <v>108</v>
      </c>
      <c r="C10" s="111"/>
      <c r="D10" s="101">
        <v>-0.6</v>
      </c>
      <c r="G10" s="106">
        <v>5</v>
      </c>
      <c r="H10" s="107">
        <v>0.1</v>
      </c>
      <c r="I10" s="107"/>
      <c r="J10" s="105"/>
      <c r="P10" s="95"/>
      <c r="Q10" s="95"/>
      <c r="R10" s="95"/>
    </row>
    <row r="11" spans="2:21">
      <c r="B11" s="99" t="s">
        <v>109</v>
      </c>
      <c r="C11" s="113"/>
      <c r="D11" s="114">
        <v>1E-3</v>
      </c>
      <c r="P11" s="95"/>
      <c r="Q11" s="95"/>
      <c r="R11" s="95"/>
    </row>
    <row r="12" spans="2:21" ht="14.25">
      <c r="B12" s="115" t="s">
        <v>110</v>
      </c>
      <c r="C12" s="116"/>
      <c r="D12" s="116"/>
      <c r="E12" s="116"/>
      <c r="P12" s="95"/>
      <c r="Q12" s="95"/>
      <c r="R12" s="95"/>
    </row>
    <row r="13" spans="2:21" ht="14.25">
      <c r="B13" s="117" t="s">
        <v>111</v>
      </c>
      <c r="C13" s="118"/>
      <c r="H13" s="98"/>
      <c r="I13" s="98"/>
      <c r="P13" s="95"/>
      <c r="Q13" s="95"/>
      <c r="R13" s="95"/>
    </row>
    <row r="14" spans="2:21" ht="14.25">
      <c r="B14" s="117" t="s">
        <v>112</v>
      </c>
      <c r="C14" s="118"/>
      <c r="J14" s="98" t="s">
        <v>113</v>
      </c>
      <c r="P14" s="95"/>
      <c r="Q14" s="98"/>
      <c r="R14" s="95"/>
      <c r="U14" s="119"/>
    </row>
    <row r="15" spans="2:21" ht="14.25">
      <c r="B15" s="120"/>
      <c r="C15" s="121"/>
      <c r="D15" s="122"/>
      <c r="H15" s="123" t="s">
        <v>114</v>
      </c>
      <c r="I15" s="123" t="s">
        <v>115</v>
      </c>
      <c r="J15" s="123"/>
      <c r="K15" s="123" t="s">
        <v>116</v>
      </c>
      <c r="L15" s="123" t="s">
        <v>117</v>
      </c>
      <c r="M15" s="123" t="s">
        <v>118</v>
      </c>
      <c r="N15" s="124" t="s">
        <v>119</v>
      </c>
      <c r="O15" s="125" t="s">
        <v>120</v>
      </c>
      <c r="P15" s="95"/>
      <c r="Q15" s="126" t="s">
        <v>121</v>
      </c>
      <c r="R15" s="95"/>
      <c r="U15" s="127"/>
    </row>
    <row r="16" spans="2:21">
      <c r="B16" s="122"/>
      <c r="C16" s="122"/>
      <c r="D16" s="122"/>
      <c r="H16" s="128"/>
      <c r="I16" s="128" t="s">
        <v>122</v>
      </c>
      <c r="J16" s="128" t="s">
        <v>123</v>
      </c>
      <c r="K16" s="128" t="s">
        <v>124</v>
      </c>
      <c r="L16" s="128" t="s">
        <v>122</v>
      </c>
      <c r="M16" s="128" t="s">
        <v>125</v>
      </c>
      <c r="N16" s="129"/>
      <c r="O16" s="130" t="s">
        <v>126</v>
      </c>
      <c r="P16" s="95"/>
      <c r="Q16" s="131" t="s">
        <v>127</v>
      </c>
      <c r="R16" s="131" t="s">
        <v>119</v>
      </c>
      <c r="S16" s="131" t="s">
        <v>128</v>
      </c>
      <c r="U16" s="127"/>
    </row>
    <row r="17" spans="2:21">
      <c r="H17" s="132">
        <v>1</v>
      </c>
      <c r="I17" s="133"/>
      <c r="J17" s="133"/>
      <c r="K17" s="133"/>
      <c r="L17" s="133"/>
      <c r="M17" s="133"/>
      <c r="N17" s="133"/>
      <c r="O17" s="134"/>
      <c r="P17" s="95"/>
      <c r="Q17" s="132">
        <v>1</v>
      </c>
      <c r="R17" s="135"/>
      <c r="S17" s="136"/>
      <c r="U17" s="127"/>
    </row>
    <row r="18" spans="2:21" ht="14.25">
      <c r="B18" s="115" t="s">
        <v>129</v>
      </c>
      <c r="H18" s="132">
        <v>2</v>
      </c>
      <c r="I18" s="133"/>
      <c r="J18" s="133"/>
      <c r="K18" s="133"/>
      <c r="L18" s="133"/>
      <c r="M18" s="133"/>
      <c r="N18" s="133"/>
      <c r="O18" s="134"/>
      <c r="P18" s="95"/>
      <c r="Q18" s="132">
        <v>2</v>
      </c>
      <c r="R18" s="137"/>
      <c r="S18" s="138"/>
      <c r="U18" s="127"/>
    </row>
    <row r="19" spans="2:21" ht="14.25">
      <c r="B19" s="139" t="s">
        <v>130</v>
      </c>
      <c r="C19" s="118"/>
      <c r="H19" s="132">
        <v>3</v>
      </c>
      <c r="I19" s="133"/>
      <c r="J19" s="133"/>
      <c r="K19" s="133"/>
      <c r="L19" s="133"/>
      <c r="M19" s="133"/>
      <c r="N19" s="133"/>
      <c r="O19" s="134"/>
      <c r="P19" s="95"/>
      <c r="Q19" s="132">
        <v>3</v>
      </c>
      <c r="R19" s="137"/>
      <c r="S19" s="138"/>
      <c r="U19" s="127"/>
    </row>
    <row r="20" spans="2:21" ht="14.25">
      <c r="B20" s="140" t="s">
        <v>131</v>
      </c>
      <c r="C20" s="118"/>
      <c r="H20" s="132">
        <v>4</v>
      </c>
      <c r="I20" s="133"/>
      <c r="J20" s="133"/>
      <c r="K20" s="133"/>
      <c r="L20" s="133"/>
      <c r="M20" s="133"/>
      <c r="N20" s="133"/>
      <c r="O20" s="134"/>
      <c r="P20" s="95"/>
      <c r="Q20" s="132">
        <v>4</v>
      </c>
      <c r="R20" s="137"/>
      <c r="S20" s="138"/>
      <c r="U20" s="127"/>
    </row>
    <row r="21" spans="2:21">
      <c r="H21" s="132">
        <v>5</v>
      </c>
      <c r="I21" s="133"/>
      <c r="J21" s="133"/>
      <c r="K21" s="133"/>
      <c r="L21" s="133"/>
      <c r="M21" s="133"/>
      <c r="N21" s="133"/>
      <c r="O21" s="134"/>
      <c r="P21" s="95"/>
      <c r="Q21" s="132">
        <v>5</v>
      </c>
      <c r="R21" s="137"/>
      <c r="S21" s="138"/>
      <c r="U21" s="127"/>
    </row>
    <row r="22" spans="2:21">
      <c r="D22" s="122"/>
      <c r="E22" s="122"/>
      <c r="H22" s="132">
        <v>6</v>
      </c>
      <c r="I22" s="133"/>
      <c r="J22" s="133"/>
      <c r="K22" s="133"/>
      <c r="L22" s="133"/>
      <c r="M22" s="133"/>
      <c r="N22" s="133"/>
      <c r="O22" s="134"/>
      <c r="P22" s="95"/>
      <c r="Q22" s="132">
        <v>6</v>
      </c>
      <c r="R22" s="137"/>
      <c r="S22" s="138"/>
      <c r="U22" s="127"/>
    </row>
    <row r="23" spans="2:21">
      <c r="H23" s="132">
        <v>7</v>
      </c>
      <c r="I23" s="133"/>
      <c r="J23" s="133"/>
      <c r="K23" s="133"/>
      <c r="L23" s="133"/>
      <c r="M23" s="133"/>
      <c r="N23" s="133"/>
      <c r="O23" s="134"/>
      <c r="P23" s="95"/>
      <c r="Q23" s="132">
        <v>7</v>
      </c>
      <c r="R23" s="137"/>
      <c r="S23" s="138"/>
    </row>
    <row r="24" spans="2:21" ht="14.25">
      <c r="B24" s="115" t="s">
        <v>132</v>
      </c>
      <c r="H24" s="132">
        <v>8</v>
      </c>
      <c r="I24" s="133"/>
      <c r="J24" s="133"/>
      <c r="K24" s="133"/>
      <c r="L24" s="133"/>
      <c r="M24" s="133"/>
      <c r="N24" s="133"/>
      <c r="O24" s="134"/>
      <c r="P24" s="95"/>
      <c r="Q24" s="132">
        <v>8</v>
      </c>
      <c r="R24" s="137"/>
      <c r="S24" s="138"/>
    </row>
    <row r="25" spans="2:21">
      <c r="H25" s="132">
        <v>9</v>
      </c>
      <c r="I25" s="133"/>
      <c r="J25" s="133"/>
      <c r="K25" s="133"/>
      <c r="L25" s="133"/>
      <c r="M25" s="133"/>
      <c r="N25" s="133"/>
      <c r="O25" s="134"/>
      <c r="P25" s="95"/>
      <c r="Q25" s="132">
        <v>9</v>
      </c>
      <c r="R25" s="137"/>
      <c r="S25" s="138"/>
    </row>
    <row r="26" spans="2:21" ht="14.25">
      <c r="B26" s="139" t="s">
        <v>133</v>
      </c>
      <c r="C26" s="139"/>
      <c r="D26" s="118"/>
      <c r="H26" s="132">
        <v>10</v>
      </c>
      <c r="I26" s="133"/>
      <c r="J26" s="133"/>
      <c r="K26" s="133"/>
      <c r="L26" s="133"/>
      <c r="M26" s="133"/>
      <c r="N26" s="133"/>
      <c r="O26" s="134"/>
      <c r="P26" s="95"/>
      <c r="Q26" s="132">
        <v>10</v>
      </c>
      <c r="R26" s="137"/>
      <c r="S26" s="138"/>
    </row>
    <row r="27" spans="2:21" ht="14.25">
      <c r="B27" s="55" t="s">
        <v>134</v>
      </c>
      <c r="C27" s="139"/>
      <c r="D27" s="118"/>
      <c r="H27" s="132">
        <v>11</v>
      </c>
      <c r="I27" s="133"/>
      <c r="J27" s="133"/>
      <c r="K27" s="133"/>
      <c r="L27" s="133"/>
      <c r="M27" s="133"/>
      <c r="N27" s="133"/>
      <c r="O27" s="134"/>
      <c r="P27" s="95"/>
      <c r="Q27" s="132">
        <v>11</v>
      </c>
      <c r="R27" s="137"/>
      <c r="S27" s="138"/>
    </row>
    <row r="28" spans="2:21" ht="14.25">
      <c r="B28" s="55" t="s">
        <v>135</v>
      </c>
      <c r="C28" s="139"/>
      <c r="D28" s="118"/>
      <c r="H28" s="132">
        <v>12</v>
      </c>
      <c r="I28" s="133"/>
      <c r="J28" s="133"/>
      <c r="K28" s="133"/>
      <c r="L28" s="133"/>
      <c r="M28" s="133"/>
      <c r="N28" s="133"/>
      <c r="O28" s="134"/>
      <c r="P28" s="95"/>
      <c r="Q28" s="132">
        <v>12</v>
      </c>
      <c r="R28" s="137"/>
      <c r="S28" s="138"/>
    </row>
    <row r="29" spans="2:21">
      <c r="D29" s="119"/>
      <c r="E29" s="119"/>
      <c r="H29" s="132">
        <v>13</v>
      </c>
      <c r="I29" s="133"/>
      <c r="J29" s="133"/>
      <c r="K29" s="133"/>
      <c r="L29" s="133"/>
      <c r="M29" s="133"/>
      <c r="N29" s="133"/>
      <c r="O29" s="134"/>
      <c r="P29" s="95"/>
      <c r="Q29" s="132">
        <v>13</v>
      </c>
      <c r="R29" s="137"/>
      <c r="S29" s="138"/>
    </row>
    <row r="30" spans="2:21">
      <c r="H30" s="132">
        <v>14</v>
      </c>
      <c r="I30" s="133"/>
      <c r="J30" s="133"/>
      <c r="K30" s="133"/>
      <c r="L30" s="133"/>
      <c r="M30" s="133"/>
      <c r="N30" s="133"/>
      <c r="O30" s="134"/>
      <c r="P30" s="95"/>
      <c r="Q30" s="132">
        <v>14</v>
      </c>
      <c r="R30" s="137"/>
      <c r="S30" s="138"/>
    </row>
    <row r="31" spans="2:21">
      <c r="H31" s="132">
        <v>15</v>
      </c>
      <c r="I31" s="133"/>
      <c r="J31" s="133"/>
      <c r="K31" s="133"/>
      <c r="L31" s="133"/>
      <c r="M31" s="133"/>
      <c r="N31" s="133"/>
      <c r="O31" s="134"/>
      <c r="P31" s="95"/>
      <c r="Q31" s="132">
        <v>15</v>
      </c>
      <c r="R31" s="137"/>
      <c r="S31" s="138"/>
    </row>
    <row r="32" spans="2:21">
      <c r="C32" s="119"/>
      <c r="D32" s="119"/>
      <c r="H32" s="132">
        <v>16</v>
      </c>
      <c r="I32" s="133"/>
      <c r="J32" s="133"/>
      <c r="K32" s="133"/>
      <c r="L32" s="133"/>
      <c r="M32" s="133"/>
      <c r="N32" s="133"/>
      <c r="O32" s="134"/>
      <c r="P32" s="95"/>
      <c r="Q32" s="132">
        <v>16</v>
      </c>
      <c r="R32" s="137"/>
      <c r="S32" s="138"/>
    </row>
    <row r="33" spans="8:19">
      <c r="H33" s="132">
        <v>17</v>
      </c>
      <c r="I33" s="133"/>
      <c r="J33" s="133"/>
      <c r="K33" s="133"/>
      <c r="L33" s="133"/>
      <c r="M33" s="133"/>
      <c r="N33" s="133"/>
      <c r="O33" s="134"/>
      <c r="P33" s="95"/>
      <c r="Q33" s="132">
        <v>17</v>
      </c>
      <c r="R33" s="137"/>
      <c r="S33" s="138"/>
    </row>
    <row r="34" spans="8:19">
      <c r="H34" s="132">
        <v>18</v>
      </c>
      <c r="I34" s="133"/>
      <c r="J34" s="133"/>
      <c r="K34" s="133"/>
      <c r="L34" s="133"/>
      <c r="M34" s="133"/>
      <c r="N34" s="133"/>
      <c r="O34" s="134"/>
      <c r="P34" s="95"/>
      <c r="Q34" s="132">
        <v>18</v>
      </c>
      <c r="R34" s="137"/>
      <c r="S34" s="138"/>
    </row>
    <row r="35" spans="8:19">
      <c r="H35" s="132">
        <v>19</v>
      </c>
      <c r="I35" s="133"/>
      <c r="J35" s="133"/>
      <c r="K35" s="133"/>
      <c r="L35" s="133"/>
      <c r="M35" s="133"/>
      <c r="N35" s="133"/>
      <c r="O35" s="134"/>
      <c r="P35" s="95"/>
      <c r="Q35" s="132">
        <v>19</v>
      </c>
      <c r="R35" s="137"/>
      <c r="S35" s="138"/>
    </row>
    <row r="36" spans="8:19">
      <c r="H36" s="132">
        <v>20</v>
      </c>
      <c r="I36" s="133"/>
      <c r="J36" s="133"/>
      <c r="K36" s="133"/>
      <c r="L36" s="133"/>
      <c r="M36" s="133"/>
      <c r="N36" s="133"/>
      <c r="O36" s="134"/>
      <c r="P36" s="95"/>
      <c r="Q36" s="132">
        <v>20</v>
      </c>
      <c r="R36" s="137"/>
      <c r="S36" s="138"/>
    </row>
    <row r="37" spans="8:19">
      <c r="H37" s="132">
        <v>21</v>
      </c>
      <c r="I37" s="133"/>
      <c r="J37" s="133"/>
      <c r="K37" s="133"/>
      <c r="L37" s="133"/>
      <c r="M37" s="133"/>
      <c r="N37" s="133"/>
      <c r="O37" s="134"/>
      <c r="P37" s="95"/>
      <c r="Q37" s="132">
        <v>21</v>
      </c>
      <c r="R37" s="137"/>
      <c r="S37" s="138"/>
    </row>
    <row r="38" spans="8:19">
      <c r="H38" s="132">
        <v>22</v>
      </c>
      <c r="I38" s="133"/>
      <c r="J38" s="133"/>
      <c r="K38" s="133"/>
      <c r="L38" s="133"/>
      <c r="M38" s="133"/>
      <c r="N38" s="133"/>
      <c r="O38" s="134"/>
      <c r="P38" s="95"/>
      <c r="Q38" s="132">
        <v>22</v>
      </c>
      <c r="R38" s="137"/>
      <c r="S38" s="138"/>
    </row>
    <row r="39" spans="8:19">
      <c r="H39" s="132">
        <v>23</v>
      </c>
      <c r="I39" s="133"/>
      <c r="J39" s="133"/>
      <c r="K39" s="133"/>
      <c r="L39" s="133"/>
      <c r="M39" s="133"/>
      <c r="N39" s="133"/>
      <c r="O39" s="134"/>
      <c r="P39" s="95"/>
      <c r="Q39" s="132">
        <v>23</v>
      </c>
      <c r="R39" s="137"/>
      <c r="S39" s="138"/>
    </row>
    <row r="40" spans="8:19">
      <c r="H40" s="132">
        <v>24</v>
      </c>
      <c r="I40" s="133"/>
      <c r="J40" s="133"/>
      <c r="K40" s="133"/>
      <c r="L40" s="133"/>
      <c r="M40" s="133"/>
      <c r="N40" s="133"/>
      <c r="O40" s="134"/>
      <c r="P40" s="95"/>
      <c r="Q40" s="132">
        <v>24</v>
      </c>
      <c r="R40" s="137"/>
      <c r="S40" s="138"/>
    </row>
    <row r="41" spans="8:19" ht="14.25">
      <c r="H41" s="132">
        <v>25</v>
      </c>
      <c r="I41" s="133"/>
      <c r="J41" s="133"/>
      <c r="K41" s="133"/>
      <c r="L41" s="133"/>
      <c r="M41" s="133"/>
      <c r="N41" s="133"/>
      <c r="O41" s="134"/>
      <c r="P41" s="49"/>
      <c r="Q41" s="132">
        <v>25</v>
      </c>
      <c r="R41" s="137"/>
      <c r="S41" s="138"/>
    </row>
    <row r="42" spans="8:19">
      <c r="H42" s="132">
        <v>26</v>
      </c>
      <c r="I42" s="133"/>
      <c r="J42" s="133"/>
      <c r="K42" s="133"/>
      <c r="L42" s="133"/>
      <c r="M42" s="133"/>
      <c r="N42" s="133"/>
      <c r="O42" s="134"/>
      <c r="P42" s="95"/>
      <c r="Q42" s="132">
        <v>26</v>
      </c>
      <c r="R42" s="137"/>
      <c r="S42" s="138"/>
    </row>
    <row r="43" spans="8:19">
      <c r="H43" s="132">
        <v>27</v>
      </c>
      <c r="I43" s="133"/>
      <c r="J43" s="133"/>
      <c r="K43" s="133"/>
      <c r="L43" s="133"/>
      <c r="M43" s="133"/>
      <c r="N43" s="133"/>
      <c r="O43" s="134"/>
      <c r="P43" s="95"/>
      <c r="Q43" s="132">
        <v>27</v>
      </c>
      <c r="R43" s="137"/>
      <c r="S43" s="138"/>
    </row>
    <row r="44" spans="8:19">
      <c r="H44" s="132">
        <v>28</v>
      </c>
      <c r="I44" s="133"/>
      <c r="J44" s="133"/>
      <c r="K44" s="133"/>
      <c r="L44" s="133"/>
      <c r="M44" s="133"/>
      <c r="N44" s="133"/>
      <c r="O44" s="134"/>
      <c r="P44" s="95"/>
      <c r="Q44" s="132">
        <v>28</v>
      </c>
      <c r="R44" s="137"/>
      <c r="S44" s="138"/>
    </row>
    <row r="45" spans="8:19">
      <c r="H45" s="132">
        <v>29</v>
      </c>
      <c r="I45" s="133"/>
      <c r="J45" s="133"/>
      <c r="K45" s="133"/>
      <c r="L45" s="133"/>
      <c r="M45" s="133"/>
      <c r="N45" s="133"/>
      <c r="O45" s="134"/>
      <c r="P45" s="95"/>
      <c r="Q45" s="132">
        <v>29</v>
      </c>
      <c r="R45" s="137"/>
      <c r="S45" s="138"/>
    </row>
    <row r="46" spans="8:19">
      <c r="H46" s="132">
        <v>30</v>
      </c>
      <c r="I46" s="133"/>
      <c r="J46" s="133"/>
      <c r="K46" s="133"/>
      <c r="L46" s="133"/>
      <c r="M46" s="133"/>
      <c r="N46" s="133"/>
      <c r="O46" s="134"/>
      <c r="P46" s="95"/>
      <c r="Q46" s="132">
        <v>30</v>
      </c>
      <c r="R46" s="137"/>
      <c r="S46" s="138"/>
    </row>
    <row r="47" spans="8:19">
      <c r="H47" s="132">
        <v>31</v>
      </c>
      <c r="I47" s="133"/>
      <c r="J47" s="133"/>
      <c r="K47" s="133"/>
      <c r="L47" s="133"/>
      <c r="M47" s="133"/>
      <c r="N47" s="133"/>
      <c r="O47" s="134"/>
      <c r="P47" s="95"/>
      <c r="Q47" s="132">
        <v>31</v>
      </c>
      <c r="R47" s="137"/>
      <c r="S47" s="138"/>
    </row>
    <row r="48" spans="8:19">
      <c r="H48" s="132">
        <v>32</v>
      </c>
      <c r="I48" s="133"/>
      <c r="J48" s="133"/>
      <c r="K48" s="133"/>
      <c r="L48" s="133"/>
      <c r="M48" s="133"/>
      <c r="N48" s="133"/>
      <c r="O48" s="134"/>
      <c r="P48" s="95"/>
      <c r="Q48" s="132">
        <v>32</v>
      </c>
      <c r="R48" s="137"/>
      <c r="S48" s="138"/>
    </row>
    <row r="49" spans="8:19">
      <c r="H49" s="132">
        <v>33</v>
      </c>
      <c r="I49" s="133"/>
      <c r="J49" s="133"/>
      <c r="K49" s="133"/>
      <c r="L49" s="133"/>
      <c r="M49" s="133"/>
      <c r="N49" s="133"/>
      <c r="O49" s="134"/>
      <c r="P49" s="95"/>
      <c r="Q49" s="132">
        <v>33</v>
      </c>
      <c r="R49" s="137"/>
      <c r="S49" s="138"/>
    </row>
    <row r="50" spans="8:19">
      <c r="H50" s="132">
        <v>34</v>
      </c>
      <c r="I50" s="133"/>
      <c r="J50" s="133"/>
      <c r="K50" s="133"/>
      <c r="L50" s="133"/>
      <c r="M50" s="133"/>
      <c r="N50" s="133"/>
      <c r="O50" s="134"/>
      <c r="P50" s="95"/>
      <c r="Q50" s="132">
        <v>34</v>
      </c>
      <c r="R50" s="137"/>
      <c r="S50" s="138"/>
    </row>
    <row r="51" spans="8:19">
      <c r="H51" s="132">
        <v>35</v>
      </c>
      <c r="I51" s="133"/>
      <c r="J51" s="133"/>
      <c r="K51" s="133"/>
      <c r="L51" s="133"/>
      <c r="M51" s="133"/>
      <c r="N51" s="133"/>
      <c r="O51" s="134"/>
      <c r="P51" s="95"/>
      <c r="Q51" s="132">
        <v>35</v>
      </c>
      <c r="R51" s="137"/>
      <c r="S51" s="138"/>
    </row>
    <row r="52" spans="8:19">
      <c r="H52" s="132">
        <v>36</v>
      </c>
      <c r="I52" s="133"/>
      <c r="J52" s="133"/>
      <c r="K52" s="133"/>
      <c r="L52" s="133"/>
      <c r="M52" s="133"/>
      <c r="N52" s="133"/>
      <c r="O52" s="134"/>
      <c r="P52" s="95"/>
      <c r="Q52" s="132">
        <v>36</v>
      </c>
      <c r="R52" s="137"/>
      <c r="S52" s="138"/>
    </row>
    <row r="53" spans="8:19">
      <c r="H53" s="132">
        <v>37</v>
      </c>
      <c r="I53" s="133"/>
      <c r="J53" s="133"/>
      <c r="K53" s="133"/>
      <c r="L53" s="133"/>
      <c r="M53" s="133"/>
      <c r="N53" s="133"/>
      <c r="O53" s="134"/>
      <c r="P53" s="95"/>
      <c r="Q53" s="132">
        <v>37</v>
      </c>
      <c r="R53" s="137"/>
      <c r="S53" s="138"/>
    </row>
    <row r="54" spans="8:19">
      <c r="H54" s="132">
        <v>38</v>
      </c>
      <c r="I54" s="133"/>
      <c r="J54" s="133"/>
      <c r="K54" s="133"/>
      <c r="L54" s="133"/>
      <c r="M54" s="133"/>
      <c r="N54" s="133"/>
      <c r="O54" s="134"/>
      <c r="P54" s="95"/>
      <c r="Q54" s="132">
        <v>38</v>
      </c>
      <c r="R54" s="137"/>
      <c r="S54" s="138"/>
    </row>
    <row r="55" spans="8:19">
      <c r="H55" s="132">
        <v>39</v>
      </c>
      <c r="I55" s="133"/>
      <c r="J55" s="133"/>
      <c r="K55" s="133"/>
      <c r="L55" s="133"/>
      <c r="M55" s="133"/>
      <c r="N55" s="133"/>
      <c r="O55" s="134"/>
      <c r="P55" s="95"/>
      <c r="Q55" s="132">
        <v>39</v>
      </c>
      <c r="R55" s="137"/>
      <c r="S55" s="138"/>
    </row>
    <row r="56" spans="8:19">
      <c r="H56" s="132">
        <v>40</v>
      </c>
      <c r="I56" s="133"/>
      <c r="J56" s="133"/>
      <c r="K56" s="133"/>
      <c r="L56" s="133"/>
      <c r="M56" s="133"/>
      <c r="N56" s="133"/>
      <c r="O56" s="134"/>
      <c r="P56" s="95"/>
      <c r="Q56" s="132">
        <v>40</v>
      </c>
      <c r="R56" s="137"/>
      <c r="S56" s="138"/>
    </row>
    <row r="57" spans="8:19">
      <c r="H57" s="132">
        <v>41</v>
      </c>
      <c r="I57" s="133"/>
      <c r="J57" s="133"/>
      <c r="K57" s="133"/>
      <c r="L57" s="133"/>
      <c r="M57" s="133"/>
      <c r="N57" s="133"/>
      <c r="O57" s="134"/>
      <c r="P57" s="95"/>
      <c r="Q57" s="132">
        <v>41</v>
      </c>
      <c r="R57" s="137"/>
      <c r="S57" s="138"/>
    </row>
    <row r="58" spans="8:19">
      <c r="H58" s="132">
        <v>42</v>
      </c>
      <c r="I58" s="133"/>
      <c r="J58" s="133"/>
      <c r="K58" s="133"/>
      <c r="L58" s="133"/>
      <c r="M58" s="133"/>
      <c r="N58" s="133"/>
      <c r="O58" s="134"/>
      <c r="P58" s="95"/>
      <c r="Q58" s="132">
        <v>42</v>
      </c>
      <c r="R58" s="137"/>
      <c r="S58" s="138"/>
    </row>
    <row r="59" spans="8:19">
      <c r="H59" s="132">
        <v>43</v>
      </c>
      <c r="I59" s="133"/>
      <c r="J59" s="133"/>
      <c r="K59" s="133"/>
      <c r="L59" s="133"/>
      <c r="M59" s="133"/>
      <c r="N59" s="133"/>
      <c r="O59" s="134"/>
      <c r="P59" s="95"/>
      <c r="Q59" s="132">
        <v>43</v>
      </c>
      <c r="R59" s="137"/>
      <c r="S59" s="138"/>
    </row>
    <row r="60" spans="8:19">
      <c r="H60" s="132">
        <v>44</v>
      </c>
      <c r="I60" s="133"/>
      <c r="J60" s="133"/>
      <c r="K60" s="133"/>
      <c r="L60" s="133"/>
      <c r="M60" s="133"/>
      <c r="N60" s="133"/>
      <c r="O60" s="134"/>
      <c r="P60" s="95"/>
      <c r="Q60" s="132">
        <v>44</v>
      </c>
      <c r="R60" s="137"/>
      <c r="S60" s="138"/>
    </row>
    <row r="61" spans="8:19">
      <c r="H61" s="132">
        <v>45</v>
      </c>
      <c r="I61" s="133"/>
      <c r="J61" s="133"/>
      <c r="K61" s="133"/>
      <c r="L61" s="133"/>
      <c r="M61" s="133"/>
      <c r="N61" s="133"/>
      <c r="O61" s="134"/>
      <c r="P61" s="95"/>
      <c r="Q61" s="132">
        <v>45</v>
      </c>
      <c r="R61" s="137"/>
      <c r="S61" s="138"/>
    </row>
    <row r="62" spans="8:19">
      <c r="H62" s="132">
        <v>46</v>
      </c>
      <c r="I62" s="133"/>
      <c r="J62" s="133"/>
      <c r="K62" s="133"/>
      <c r="L62" s="133"/>
      <c r="M62" s="133"/>
      <c r="N62" s="133"/>
      <c r="O62" s="134"/>
      <c r="P62" s="95"/>
      <c r="Q62" s="132">
        <v>46</v>
      </c>
      <c r="R62" s="137"/>
      <c r="S62" s="138"/>
    </row>
    <row r="63" spans="8:19">
      <c r="H63" s="132">
        <v>47</v>
      </c>
      <c r="I63" s="133"/>
      <c r="J63" s="133"/>
      <c r="K63" s="133"/>
      <c r="L63" s="133"/>
      <c r="M63" s="133"/>
      <c r="N63" s="133"/>
      <c r="O63" s="134"/>
      <c r="P63" s="95"/>
      <c r="Q63" s="132">
        <v>47</v>
      </c>
      <c r="R63" s="137"/>
      <c r="S63" s="138"/>
    </row>
    <row r="64" spans="8:19">
      <c r="H64" s="132">
        <v>48</v>
      </c>
      <c r="I64" s="133"/>
      <c r="J64" s="133"/>
      <c r="K64" s="133"/>
      <c r="L64" s="133"/>
      <c r="M64" s="133"/>
      <c r="N64" s="133"/>
      <c r="O64" s="134"/>
      <c r="P64" s="95"/>
      <c r="Q64" s="132">
        <v>48</v>
      </c>
      <c r="R64" s="137"/>
      <c r="S64" s="138"/>
    </row>
    <row r="65" spans="8:19">
      <c r="H65" s="132">
        <v>49</v>
      </c>
      <c r="I65" s="133"/>
      <c r="J65" s="133"/>
      <c r="K65" s="133"/>
      <c r="L65" s="133"/>
      <c r="M65" s="133"/>
      <c r="N65" s="133"/>
      <c r="O65" s="134"/>
      <c r="P65" s="95"/>
      <c r="Q65" s="132">
        <v>49</v>
      </c>
      <c r="R65" s="137"/>
      <c r="S65" s="138"/>
    </row>
    <row r="66" spans="8:19">
      <c r="H66" s="132">
        <v>50</v>
      </c>
      <c r="I66" s="133"/>
      <c r="J66" s="133"/>
      <c r="K66" s="133"/>
      <c r="L66" s="133"/>
      <c r="M66" s="133"/>
      <c r="N66" s="133"/>
      <c r="O66" s="134"/>
      <c r="P66" s="95"/>
      <c r="Q66" s="132">
        <v>50</v>
      </c>
      <c r="R66" s="137"/>
      <c r="S66" s="138"/>
    </row>
    <row r="67" spans="8:19">
      <c r="H67" s="132">
        <v>51</v>
      </c>
      <c r="I67" s="133"/>
      <c r="J67" s="133"/>
      <c r="K67" s="133"/>
      <c r="L67" s="133"/>
      <c r="M67" s="133"/>
      <c r="N67" s="133"/>
      <c r="O67" s="134"/>
      <c r="P67" s="95"/>
      <c r="Q67" s="132">
        <v>51</v>
      </c>
      <c r="R67" s="137"/>
      <c r="S67" s="138"/>
    </row>
    <row r="68" spans="8:19">
      <c r="H68" s="132">
        <v>52</v>
      </c>
      <c r="I68" s="133"/>
      <c r="J68" s="133"/>
      <c r="K68" s="133"/>
      <c r="L68" s="133"/>
      <c r="M68" s="133"/>
      <c r="N68" s="133"/>
      <c r="O68" s="134"/>
      <c r="P68" s="95"/>
      <c r="Q68" s="132">
        <v>52</v>
      </c>
      <c r="R68" s="137"/>
      <c r="S68" s="138"/>
    </row>
    <row r="69" spans="8:19">
      <c r="H69" s="132">
        <v>53</v>
      </c>
      <c r="I69" s="133"/>
      <c r="J69" s="133"/>
      <c r="K69" s="133"/>
      <c r="L69" s="133"/>
      <c r="M69" s="133"/>
      <c r="N69" s="133"/>
      <c r="O69" s="134"/>
      <c r="P69" s="95"/>
      <c r="Q69" s="132">
        <v>53</v>
      </c>
      <c r="R69" s="137"/>
      <c r="S69" s="138"/>
    </row>
    <row r="70" spans="8:19">
      <c r="H70" s="132">
        <v>54</v>
      </c>
      <c r="I70" s="133"/>
      <c r="J70" s="133"/>
      <c r="K70" s="133"/>
      <c r="L70" s="133"/>
      <c r="M70" s="133"/>
      <c r="N70" s="133"/>
      <c r="O70" s="134"/>
      <c r="P70" s="95"/>
      <c r="Q70" s="132">
        <v>54</v>
      </c>
      <c r="R70" s="137"/>
      <c r="S70" s="138"/>
    </row>
    <row r="71" spans="8:19">
      <c r="H71" s="132">
        <v>55</v>
      </c>
      <c r="I71" s="133"/>
      <c r="J71" s="133"/>
      <c r="K71" s="133"/>
      <c r="L71" s="133"/>
      <c r="M71" s="133"/>
      <c r="N71" s="133"/>
      <c r="O71" s="134"/>
      <c r="P71" s="95"/>
      <c r="Q71" s="132">
        <v>55</v>
      </c>
      <c r="R71" s="137"/>
      <c r="S71" s="138"/>
    </row>
    <row r="72" spans="8:19">
      <c r="H72" s="132">
        <v>56</v>
      </c>
      <c r="I72" s="133"/>
      <c r="J72" s="133"/>
      <c r="K72" s="133"/>
      <c r="L72" s="133"/>
      <c r="M72" s="133"/>
      <c r="N72" s="133"/>
      <c r="O72" s="134"/>
      <c r="P72" s="95"/>
      <c r="Q72" s="132">
        <v>56</v>
      </c>
      <c r="R72" s="137"/>
      <c r="S72" s="138"/>
    </row>
    <row r="73" spans="8:19">
      <c r="H73" s="132">
        <v>57</v>
      </c>
      <c r="I73" s="133"/>
      <c r="J73" s="133"/>
      <c r="K73" s="133"/>
      <c r="L73" s="133"/>
      <c r="M73" s="133"/>
      <c r="N73" s="133"/>
      <c r="O73" s="134"/>
      <c r="P73" s="95"/>
      <c r="Q73" s="132">
        <v>57</v>
      </c>
      <c r="R73" s="137"/>
      <c r="S73" s="138"/>
    </row>
    <row r="74" spans="8:19">
      <c r="H74" s="132">
        <v>58</v>
      </c>
      <c r="I74" s="133"/>
      <c r="J74" s="133"/>
      <c r="K74" s="133"/>
      <c r="L74" s="133"/>
      <c r="M74" s="133"/>
      <c r="N74" s="133"/>
      <c r="O74" s="134"/>
      <c r="P74" s="95"/>
      <c r="Q74" s="132">
        <v>58</v>
      </c>
      <c r="R74" s="137"/>
      <c r="S74" s="138"/>
    </row>
    <row r="75" spans="8:19">
      <c r="H75" s="132">
        <v>59</v>
      </c>
      <c r="I75" s="133"/>
      <c r="J75" s="133"/>
      <c r="K75" s="133"/>
      <c r="L75" s="133"/>
      <c r="M75" s="133"/>
      <c r="N75" s="133"/>
      <c r="O75" s="134"/>
      <c r="P75" s="95"/>
      <c r="Q75" s="132">
        <v>59</v>
      </c>
      <c r="R75" s="137"/>
      <c r="S75" s="138"/>
    </row>
    <row r="76" spans="8:19">
      <c r="H76" s="132">
        <v>60</v>
      </c>
      <c r="I76" s="133"/>
      <c r="J76" s="133"/>
      <c r="K76" s="133"/>
      <c r="L76" s="133"/>
      <c r="M76" s="133"/>
      <c r="N76" s="133"/>
      <c r="O76" s="134"/>
      <c r="P76" s="95"/>
      <c r="Q76" s="132">
        <v>60</v>
      </c>
      <c r="R76" s="137"/>
      <c r="S76" s="138"/>
    </row>
    <row r="77" spans="8:19">
      <c r="H77" s="132">
        <v>61</v>
      </c>
      <c r="I77" s="133"/>
      <c r="J77" s="133"/>
      <c r="K77" s="133"/>
      <c r="L77" s="133"/>
      <c r="M77" s="133"/>
      <c r="N77" s="133"/>
      <c r="O77" s="134"/>
      <c r="P77" s="95"/>
      <c r="Q77" s="132">
        <v>61</v>
      </c>
      <c r="R77" s="137"/>
      <c r="S77" s="138"/>
    </row>
    <row r="78" spans="8:19">
      <c r="H78" s="132">
        <v>62</v>
      </c>
      <c r="I78" s="133"/>
      <c r="J78" s="133"/>
      <c r="K78" s="133"/>
      <c r="L78" s="133"/>
      <c r="M78" s="133"/>
      <c r="N78" s="133"/>
      <c r="O78" s="134"/>
      <c r="P78" s="95"/>
      <c r="Q78" s="132">
        <v>62</v>
      </c>
      <c r="R78" s="137"/>
      <c r="S78" s="138"/>
    </row>
    <row r="79" spans="8:19">
      <c r="H79" s="132">
        <v>63</v>
      </c>
      <c r="I79" s="133"/>
      <c r="J79" s="133"/>
      <c r="K79" s="133"/>
      <c r="L79" s="133"/>
      <c r="M79" s="133"/>
      <c r="N79" s="133"/>
      <c r="O79" s="134"/>
      <c r="P79" s="95"/>
      <c r="Q79" s="132">
        <v>63</v>
      </c>
      <c r="R79" s="137"/>
      <c r="S79" s="138"/>
    </row>
    <row r="80" spans="8:19">
      <c r="H80" s="132">
        <v>64</v>
      </c>
      <c r="I80" s="133"/>
      <c r="J80" s="133"/>
      <c r="K80" s="133"/>
      <c r="L80" s="133"/>
      <c r="M80" s="133"/>
      <c r="N80" s="133"/>
      <c r="O80" s="134"/>
      <c r="P80" s="95"/>
      <c r="Q80" s="132">
        <v>64</v>
      </c>
      <c r="R80" s="137"/>
      <c r="S80" s="138"/>
    </row>
    <row r="81" spans="8:19">
      <c r="H81" s="132">
        <v>65</v>
      </c>
      <c r="I81" s="133"/>
      <c r="J81" s="133"/>
      <c r="K81" s="133"/>
      <c r="L81" s="133"/>
      <c r="M81" s="133"/>
      <c r="N81" s="133"/>
      <c r="O81" s="134"/>
      <c r="P81" s="95"/>
      <c r="Q81" s="132">
        <v>65</v>
      </c>
      <c r="R81" s="137"/>
      <c r="S81" s="138"/>
    </row>
    <row r="82" spans="8:19">
      <c r="H82" s="132">
        <v>66</v>
      </c>
      <c r="I82" s="133"/>
      <c r="J82" s="133"/>
      <c r="K82" s="133"/>
      <c r="L82" s="133"/>
      <c r="M82" s="133"/>
      <c r="N82" s="133"/>
      <c r="O82" s="134"/>
      <c r="P82" s="95"/>
      <c r="Q82" s="132">
        <v>66</v>
      </c>
      <c r="R82" s="137"/>
      <c r="S82" s="138"/>
    </row>
    <row r="83" spans="8:19">
      <c r="H83" s="132">
        <v>67</v>
      </c>
      <c r="I83" s="133"/>
      <c r="J83" s="133"/>
      <c r="K83" s="133"/>
      <c r="L83" s="133"/>
      <c r="M83" s="133"/>
      <c r="N83" s="133"/>
      <c r="O83" s="134"/>
      <c r="P83" s="95"/>
      <c r="Q83" s="132">
        <v>67</v>
      </c>
      <c r="R83" s="137"/>
      <c r="S83" s="138"/>
    </row>
    <row r="84" spans="8:19">
      <c r="H84" s="132">
        <v>68</v>
      </c>
      <c r="I84" s="133"/>
      <c r="J84" s="133"/>
      <c r="K84" s="133"/>
      <c r="L84" s="133"/>
      <c r="M84" s="133"/>
      <c r="N84" s="133"/>
      <c r="O84" s="134"/>
      <c r="P84" s="95"/>
      <c r="Q84" s="132">
        <v>68</v>
      </c>
      <c r="R84" s="137"/>
      <c r="S84" s="138"/>
    </row>
    <row r="85" spans="8:19">
      <c r="H85" s="132">
        <v>69</v>
      </c>
      <c r="I85" s="133"/>
      <c r="J85" s="133"/>
      <c r="K85" s="133"/>
      <c r="L85" s="133"/>
      <c r="M85" s="133"/>
      <c r="N85" s="133"/>
      <c r="O85" s="134"/>
      <c r="P85" s="95"/>
      <c r="Q85" s="132">
        <v>69</v>
      </c>
      <c r="R85" s="137"/>
      <c r="S85" s="138"/>
    </row>
    <row r="86" spans="8:19">
      <c r="H86" s="132">
        <v>70</v>
      </c>
      <c r="I86" s="133"/>
      <c r="J86" s="133"/>
      <c r="K86" s="133"/>
      <c r="L86" s="133"/>
      <c r="M86" s="133"/>
      <c r="N86" s="133"/>
      <c r="O86" s="134"/>
      <c r="P86" s="95"/>
      <c r="Q86" s="132">
        <v>70</v>
      </c>
      <c r="R86" s="137"/>
      <c r="S86" s="138"/>
    </row>
    <row r="87" spans="8:19">
      <c r="H87" s="132">
        <v>71</v>
      </c>
      <c r="I87" s="133"/>
      <c r="J87" s="133"/>
      <c r="K87" s="133"/>
      <c r="L87" s="133"/>
      <c r="M87" s="133"/>
      <c r="N87" s="133"/>
      <c r="O87" s="134"/>
      <c r="P87" s="95"/>
      <c r="Q87" s="132">
        <v>71</v>
      </c>
      <c r="R87" s="137"/>
      <c r="S87" s="138"/>
    </row>
    <row r="88" spans="8:19">
      <c r="H88" s="132">
        <v>72</v>
      </c>
      <c r="I88" s="133"/>
      <c r="J88" s="133"/>
      <c r="K88" s="133"/>
      <c r="L88" s="133"/>
      <c r="M88" s="133"/>
      <c r="N88" s="133"/>
      <c r="O88" s="134"/>
      <c r="P88" s="95"/>
      <c r="Q88" s="132">
        <v>72</v>
      </c>
      <c r="R88" s="137"/>
      <c r="S88" s="138"/>
    </row>
    <row r="89" spans="8:19">
      <c r="H89" s="132">
        <v>73</v>
      </c>
      <c r="I89" s="133"/>
      <c r="J89" s="133"/>
      <c r="K89" s="133"/>
      <c r="L89" s="133"/>
      <c r="M89" s="133"/>
      <c r="N89" s="133"/>
      <c r="O89" s="134"/>
      <c r="P89" s="95"/>
      <c r="Q89" s="132">
        <v>73</v>
      </c>
      <c r="R89" s="137"/>
      <c r="S89" s="138"/>
    </row>
    <row r="90" spans="8:19">
      <c r="H90" s="132">
        <v>74</v>
      </c>
      <c r="I90" s="133"/>
      <c r="J90" s="133"/>
      <c r="K90" s="133"/>
      <c r="L90" s="133"/>
      <c r="M90" s="133"/>
      <c r="N90" s="133"/>
      <c r="O90" s="134"/>
      <c r="P90" s="95"/>
      <c r="Q90" s="132">
        <v>74</v>
      </c>
      <c r="R90" s="137"/>
      <c r="S90" s="138"/>
    </row>
    <row r="91" spans="8:19">
      <c r="H91" s="132">
        <v>75</v>
      </c>
      <c r="I91" s="133"/>
      <c r="J91" s="133"/>
      <c r="K91" s="133"/>
      <c r="L91" s="133"/>
      <c r="M91" s="133"/>
      <c r="N91" s="133"/>
      <c r="O91" s="134"/>
      <c r="P91" s="95"/>
      <c r="Q91" s="132">
        <v>75</v>
      </c>
      <c r="R91" s="137"/>
      <c r="S91" s="138"/>
    </row>
    <row r="92" spans="8:19">
      <c r="H92" s="132">
        <v>76</v>
      </c>
      <c r="I92" s="133"/>
      <c r="J92" s="133"/>
      <c r="K92" s="133"/>
      <c r="L92" s="133"/>
      <c r="M92" s="133"/>
      <c r="N92" s="133"/>
      <c r="O92" s="134"/>
      <c r="P92" s="95"/>
      <c r="Q92" s="132">
        <v>76</v>
      </c>
      <c r="R92" s="137"/>
      <c r="S92" s="138"/>
    </row>
    <row r="93" spans="8:19">
      <c r="H93" s="132">
        <v>77</v>
      </c>
      <c r="I93" s="133"/>
      <c r="J93" s="133"/>
      <c r="K93" s="133"/>
      <c r="L93" s="133"/>
      <c r="M93" s="133"/>
      <c r="N93" s="133"/>
      <c r="O93" s="134"/>
      <c r="P93" s="95"/>
      <c r="Q93" s="132">
        <v>77</v>
      </c>
      <c r="R93" s="137"/>
      <c r="S93" s="138"/>
    </row>
    <row r="94" spans="8:19">
      <c r="H94" s="132">
        <v>78</v>
      </c>
      <c r="I94" s="133"/>
      <c r="J94" s="133"/>
      <c r="K94" s="133"/>
      <c r="L94" s="133"/>
      <c r="M94" s="133"/>
      <c r="N94" s="133"/>
      <c r="O94" s="134"/>
      <c r="P94" s="95"/>
      <c r="Q94" s="132">
        <v>78</v>
      </c>
      <c r="R94" s="137"/>
      <c r="S94" s="138"/>
    </row>
    <row r="95" spans="8:19">
      <c r="H95" s="132">
        <v>79</v>
      </c>
      <c r="I95" s="133"/>
      <c r="J95" s="133"/>
      <c r="K95" s="133"/>
      <c r="L95" s="133"/>
      <c r="M95" s="133"/>
      <c r="N95" s="133"/>
      <c r="O95" s="134"/>
      <c r="P95" s="95"/>
      <c r="Q95" s="132">
        <v>79</v>
      </c>
      <c r="R95" s="137"/>
      <c r="S95" s="138"/>
    </row>
    <row r="96" spans="8:19">
      <c r="H96" s="132">
        <v>80</v>
      </c>
      <c r="I96" s="133"/>
      <c r="J96" s="133"/>
      <c r="K96" s="133"/>
      <c r="L96" s="133"/>
      <c r="M96" s="133"/>
      <c r="N96" s="133"/>
      <c r="O96" s="134"/>
      <c r="P96" s="95"/>
      <c r="Q96" s="132">
        <v>80</v>
      </c>
      <c r="R96" s="137"/>
      <c r="S96" s="138"/>
    </row>
    <row r="97" spans="8:19">
      <c r="H97" s="132">
        <v>81</v>
      </c>
      <c r="I97" s="133"/>
      <c r="J97" s="133"/>
      <c r="K97" s="133"/>
      <c r="L97" s="133"/>
      <c r="M97" s="133"/>
      <c r="N97" s="133"/>
      <c r="O97" s="134"/>
      <c r="P97" s="95"/>
      <c r="Q97" s="132">
        <v>81</v>
      </c>
      <c r="R97" s="137"/>
      <c r="S97" s="138"/>
    </row>
    <row r="98" spans="8:19">
      <c r="H98" s="132">
        <v>82</v>
      </c>
      <c r="I98" s="133"/>
      <c r="J98" s="133"/>
      <c r="K98" s="133"/>
      <c r="L98" s="133"/>
      <c r="M98" s="133"/>
      <c r="N98" s="133"/>
      <c r="O98" s="134"/>
      <c r="P98" s="95"/>
      <c r="Q98" s="132">
        <v>82</v>
      </c>
      <c r="R98" s="137"/>
      <c r="S98" s="138"/>
    </row>
    <row r="99" spans="8:19">
      <c r="H99" s="132">
        <v>83</v>
      </c>
      <c r="I99" s="133"/>
      <c r="J99" s="133"/>
      <c r="K99" s="133"/>
      <c r="L99" s="133"/>
      <c r="M99" s="133"/>
      <c r="N99" s="133"/>
      <c r="O99" s="134"/>
      <c r="P99" s="95"/>
      <c r="Q99" s="132">
        <v>83</v>
      </c>
      <c r="R99" s="137"/>
      <c r="S99" s="138"/>
    </row>
    <row r="100" spans="8:19">
      <c r="H100" s="132">
        <v>84</v>
      </c>
      <c r="I100" s="133"/>
      <c r="J100" s="133"/>
      <c r="K100" s="133"/>
      <c r="L100" s="133"/>
      <c r="M100" s="133"/>
      <c r="N100" s="133"/>
      <c r="O100" s="134"/>
      <c r="P100" s="95"/>
      <c r="Q100" s="132">
        <v>84</v>
      </c>
      <c r="R100" s="137"/>
      <c r="S100" s="138"/>
    </row>
    <row r="101" spans="8:19">
      <c r="H101" s="132">
        <v>85</v>
      </c>
      <c r="I101" s="133"/>
      <c r="J101" s="133"/>
      <c r="K101" s="133"/>
      <c r="L101" s="133"/>
      <c r="M101" s="133"/>
      <c r="N101" s="133"/>
      <c r="O101" s="134"/>
      <c r="P101" s="95"/>
      <c r="Q101" s="132">
        <v>85</v>
      </c>
      <c r="R101" s="137"/>
      <c r="S101" s="138"/>
    </row>
    <row r="102" spans="8:19">
      <c r="H102" s="132">
        <v>86</v>
      </c>
      <c r="I102" s="133"/>
      <c r="J102" s="133"/>
      <c r="K102" s="133"/>
      <c r="L102" s="133"/>
      <c r="M102" s="133"/>
      <c r="N102" s="133"/>
      <c r="O102" s="134"/>
      <c r="P102" s="95"/>
      <c r="Q102" s="132">
        <v>86</v>
      </c>
      <c r="R102" s="137"/>
      <c r="S102" s="138"/>
    </row>
    <row r="103" spans="8:19">
      <c r="H103" s="132">
        <v>87</v>
      </c>
      <c r="I103" s="133"/>
      <c r="J103" s="133"/>
      <c r="K103" s="133"/>
      <c r="L103" s="133"/>
      <c r="M103" s="133"/>
      <c r="N103" s="133"/>
      <c r="O103" s="134"/>
      <c r="P103" s="95"/>
      <c r="Q103" s="132">
        <v>87</v>
      </c>
      <c r="R103" s="137"/>
      <c r="S103" s="138"/>
    </row>
    <row r="104" spans="8:19">
      <c r="H104" s="132">
        <v>88</v>
      </c>
      <c r="I104" s="133"/>
      <c r="J104" s="133"/>
      <c r="K104" s="133"/>
      <c r="L104" s="133"/>
      <c r="M104" s="133"/>
      <c r="N104" s="133"/>
      <c r="O104" s="134"/>
      <c r="P104" s="95"/>
      <c r="Q104" s="132">
        <v>88</v>
      </c>
      <c r="R104" s="137"/>
      <c r="S104" s="138"/>
    </row>
    <row r="105" spans="8:19">
      <c r="H105" s="132">
        <v>89</v>
      </c>
      <c r="I105" s="133"/>
      <c r="J105" s="133"/>
      <c r="K105" s="133"/>
      <c r="L105" s="133"/>
      <c r="M105" s="133"/>
      <c r="N105" s="133"/>
      <c r="O105" s="134"/>
      <c r="P105" s="95"/>
      <c r="Q105" s="132">
        <v>89</v>
      </c>
      <c r="R105" s="137"/>
      <c r="S105" s="138"/>
    </row>
    <row r="106" spans="8:19">
      <c r="H106" s="132">
        <v>90</v>
      </c>
      <c r="I106" s="133"/>
      <c r="J106" s="133"/>
      <c r="K106" s="133"/>
      <c r="L106" s="133"/>
      <c r="M106" s="133"/>
      <c r="N106" s="133"/>
      <c r="O106" s="134"/>
      <c r="P106" s="95"/>
      <c r="Q106" s="132">
        <v>90</v>
      </c>
      <c r="R106" s="137"/>
      <c r="S106" s="138"/>
    </row>
    <row r="107" spans="8:19">
      <c r="H107" s="132">
        <v>91</v>
      </c>
      <c r="I107" s="133"/>
      <c r="J107" s="133"/>
      <c r="K107" s="133"/>
      <c r="L107" s="133"/>
      <c r="M107" s="133"/>
      <c r="N107" s="133"/>
      <c r="O107" s="134"/>
      <c r="P107" s="95"/>
      <c r="Q107" s="132">
        <v>91</v>
      </c>
      <c r="R107" s="137"/>
      <c r="S107" s="138"/>
    </row>
    <row r="108" spans="8:19">
      <c r="H108" s="132">
        <v>92</v>
      </c>
      <c r="I108" s="133"/>
      <c r="J108" s="133"/>
      <c r="K108" s="133"/>
      <c r="L108" s="133"/>
      <c r="M108" s="133"/>
      <c r="N108" s="133"/>
      <c r="O108" s="134"/>
      <c r="P108" s="95"/>
      <c r="Q108" s="132">
        <v>92</v>
      </c>
      <c r="R108" s="137"/>
      <c r="S108" s="138"/>
    </row>
    <row r="109" spans="8:19">
      <c r="H109" s="132">
        <v>93</v>
      </c>
      <c r="I109" s="133"/>
      <c r="J109" s="133"/>
      <c r="K109" s="133"/>
      <c r="L109" s="133"/>
      <c r="M109" s="133"/>
      <c r="N109" s="133"/>
      <c r="O109" s="134"/>
      <c r="P109" s="95"/>
      <c r="Q109" s="132">
        <v>93</v>
      </c>
      <c r="R109" s="137"/>
      <c r="S109" s="138"/>
    </row>
    <row r="110" spans="8:19">
      <c r="H110" s="132">
        <v>94</v>
      </c>
      <c r="I110" s="133"/>
      <c r="J110" s="133"/>
      <c r="K110" s="133"/>
      <c r="L110" s="133"/>
      <c r="M110" s="133"/>
      <c r="N110" s="133"/>
      <c r="O110" s="134"/>
      <c r="P110" s="95"/>
      <c r="Q110" s="132">
        <v>94</v>
      </c>
      <c r="R110" s="137"/>
      <c r="S110" s="138"/>
    </row>
    <row r="111" spans="8:19">
      <c r="H111" s="132">
        <v>95</v>
      </c>
      <c r="I111" s="133"/>
      <c r="J111" s="133"/>
      <c r="K111" s="133"/>
      <c r="L111" s="133"/>
      <c r="M111" s="133"/>
      <c r="N111" s="133"/>
      <c r="O111" s="134"/>
      <c r="P111" s="95"/>
      <c r="Q111" s="132">
        <v>95</v>
      </c>
      <c r="R111" s="137"/>
      <c r="S111" s="138"/>
    </row>
    <row r="112" spans="8:19">
      <c r="H112" s="132">
        <v>96</v>
      </c>
      <c r="I112" s="133"/>
      <c r="J112" s="133"/>
      <c r="K112" s="133"/>
      <c r="L112" s="133"/>
      <c r="M112" s="133"/>
      <c r="N112" s="133"/>
      <c r="O112" s="134"/>
      <c r="P112" s="95"/>
      <c r="Q112" s="132">
        <v>96</v>
      </c>
      <c r="R112" s="137"/>
      <c r="S112" s="138"/>
    </row>
    <row r="113" spans="8:19">
      <c r="H113" s="132">
        <v>97</v>
      </c>
      <c r="I113" s="133"/>
      <c r="J113" s="133"/>
      <c r="K113" s="133"/>
      <c r="L113" s="133"/>
      <c r="M113" s="133"/>
      <c r="N113" s="133"/>
      <c r="O113" s="134"/>
      <c r="P113" s="95"/>
      <c r="Q113" s="132">
        <v>97</v>
      </c>
      <c r="R113" s="137"/>
      <c r="S113" s="138"/>
    </row>
    <row r="114" spans="8:19">
      <c r="H114" s="132">
        <v>98</v>
      </c>
      <c r="I114" s="133"/>
      <c r="J114" s="133"/>
      <c r="K114" s="133"/>
      <c r="L114" s="133"/>
      <c r="M114" s="133"/>
      <c r="N114" s="133"/>
      <c r="O114" s="134"/>
      <c r="P114" s="95"/>
      <c r="Q114" s="132">
        <v>98</v>
      </c>
      <c r="R114" s="137"/>
      <c r="S114" s="138"/>
    </row>
    <row r="115" spans="8:19">
      <c r="H115" s="132">
        <v>99</v>
      </c>
      <c r="I115" s="133"/>
      <c r="J115" s="133"/>
      <c r="K115" s="133"/>
      <c r="L115" s="133"/>
      <c r="M115" s="133"/>
      <c r="N115" s="133"/>
      <c r="O115" s="134"/>
      <c r="P115" s="95"/>
      <c r="Q115" s="132">
        <v>99</v>
      </c>
      <c r="R115" s="137"/>
      <c r="S115" s="138"/>
    </row>
    <row r="116" spans="8:19">
      <c r="H116" s="132">
        <v>100</v>
      </c>
      <c r="I116" s="133"/>
      <c r="J116" s="133"/>
      <c r="K116" s="133"/>
      <c r="L116" s="133"/>
      <c r="M116" s="133"/>
      <c r="N116" s="133"/>
      <c r="O116" s="134"/>
      <c r="P116" s="95"/>
      <c r="Q116" s="132">
        <v>100</v>
      </c>
      <c r="R116" s="141"/>
      <c r="S116" s="142"/>
    </row>
    <row r="117" spans="8:19">
      <c r="H117" s="143"/>
      <c r="I117" s="143"/>
      <c r="J117" s="144">
        <f>SUM(J16:J116)</f>
        <v>0</v>
      </c>
      <c r="K117" s="143"/>
      <c r="L117" s="143"/>
      <c r="M117" s="143"/>
      <c r="N117" s="145">
        <f>SUM(N17:N116)</f>
        <v>0</v>
      </c>
      <c r="O117" s="146"/>
      <c r="P117" s="95"/>
      <c r="Q117" s="95"/>
      <c r="R117" s="95"/>
    </row>
    <row r="118" spans="8:19">
      <c r="P118" s="95"/>
      <c r="Q118" s="95"/>
      <c r="R118" s="95"/>
    </row>
    <row r="119" spans="8:19">
      <c r="P119" s="95"/>
      <c r="Q119" s="95"/>
      <c r="R119" s="95"/>
    </row>
    <row r="120" spans="8:19">
      <c r="P120" s="95"/>
      <c r="Q120" s="95"/>
      <c r="R120" s="95"/>
    </row>
    <row r="121" spans="8:19">
      <c r="P121" s="95"/>
      <c r="Q121" s="95"/>
      <c r="R121" s="95"/>
    </row>
    <row r="122" spans="8:19">
      <c r="P122" s="95"/>
      <c r="Q122" s="95"/>
      <c r="R122" s="95"/>
    </row>
    <row r="123" spans="8:19">
      <c r="P123" s="95"/>
      <c r="Q123" s="95"/>
      <c r="R123" s="95"/>
    </row>
    <row r="124" spans="8:19">
      <c r="P124" s="95"/>
      <c r="Q124" s="95"/>
      <c r="R124" s="95"/>
    </row>
    <row r="125" spans="8:19">
      <c r="P125" s="95"/>
      <c r="Q125" s="122"/>
    </row>
    <row r="126" spans="8:19">
      <c r="Q126" s="122"/>
    </row>
    <row r="129" spans="17:17">
      <c r="Q129" s="147"/>
    </row>
    <row r="130" spans="17:17">
      <c r="Q130" s="147"/>
    </row>
    <row r="131" spans="17:17">
      <c r="Q131" s="147"/>
    </row>
    <row r="132" spans="17:17">
      <c r="Q132" s="147"/>
    </row>
    <row r="133" spans="17:17">
      <c r="Q133" s="147"/>
    </row>
    <row r="134" spans="17:17">
      <c r="Q134" s="147"/>
    </row>
    <row r="135" spans="17:17">
      <c r="Q135" s="147"/>
    </row>
    <row r="136" spans="17:17">
      <c r="Q136" s="147"/>
    </row>
    <row r="137" spans="17:17">
      <c r="Q137" s="147"/>
    </row>
    <row r="138" spans="17:17">
      <c r="Q138" s="147"/>
    </row>
    <row r="139" spans="17:17">
      <c r="Q139" s="147"/>
    </row>
    <row r="140" spans="17:17">
      <c r="Q140" s="147"/>
    </row>
    <row r="141" spans="17:17">
      <c r="Q141" s="147"/>
    </row>
    <row r="142" spans="17:17">
      <c r="Q142" s="147"/>
    </row>
    <row r="143" spans="17:17">
      <c r="Q143" s="147"/>
    </row>
    <row r="144" spans="17:17">
      <c r="Q144" s="147"/>
    </row>
    <row r="145" spans="17:17">
      <c r="Q145" s="147"/>
    </row>
    <row r="146" spans="17:17">
      <c r="Q146" s="147"/>
    </row>
    <row r="147" spans="17:17">
      <c r="Q147" s="147"/>
    </row>
    <row r="148" spans="17:17">
      <c r="Q148" s="147"/>
    </row>
    <row r="149" spans="17:17">
      <c r="Q149" s="147"/>
    </row>
    <row r="150" spans="17:17">
      <c r="Q150" s="147"/>
    </row>
    <row r="151" spans="17:17">
      <c r="Q151" s="147"/>
    </row>
    <row r="152" spans="17:17">
      <c r="Q152" s="147"/>
    </row>
    <row r="153" spans="17:17">
      <c r="Q153" s="147"/>
    </row>
    <row r="154" spans="17:17">
      <c r="Q154" s="147"/>
    </row>
    <row r="155" spans="17:17">
      <c r="Q155" s="147"/>
    </row>
    <row r="156" spans="17:17">
      <c r="Q156" s="147"/>
    </row>
    <row r="157" spans="17:17">
      <c r="Q157" s="147"/>
    </row>
    <row r="158" spans="17:17">
      <c r="Q158" s="147"/>
    </row>
    <row r="159" spans="17:17">
      <c r="Q159" s="147"/>
    </row>
    <row r="160" spans="17:17">
      <c r="Q160" s="147"/>
    </row>
    <row r="161" spans="17:17">
      <c r="Q161" s="147"/>
    </row>
    <row r="162" spans="17:17">
      <c r="Q162" s="147"/>
    </row>
    <row r="163" spans="17:17">
      <c r="Q163" s="147"/>
    </row>
    <row r="164" spans="17:17">
      <c r="Q164" s="147"/>
    </row>
    <row r="165" spans="17:17">
      <c r="Q165" s="147"/>
    </row>
    <row r="166" spans="17:17">
      <c r="Q166" s="147"/>
    </row>
    <row r="167" spans="17:17">
      <c r="Q167" s="147"/>
    </row>
    <row r="168" spans="17:17">
      <c r="Q168" s="147"/>
    </row>
    <row r="169" spans="17:17">
      <c r="Q169" s="147"/>
    </row>
    <row r="170" spans="17:17">
      <c r="Q170" s="147"/>
    </row>
    <row r="171" spans="17:17">
      <c r="Q171" s="147"/>
    </row>
    <row r="172" spans="17:17">
      <c r="Q172" s="147"/>
    </row>
    <row r="173" spans="17:17">
      <c r="Q173" s="147"/>
    </row>
    <row r="174" spans="17:17">
      <c r="Q174" s="147"/>
    </row>
    <row r="175" spans="17:17">
      <c r="Q175" s="147"/>
    </row>
    <row r="176" spans="17:17">
      <c r="Q176" s="147"/>
    </row>
    <row r="177" spans="17:17">
      <c r="Q177" s="147"/>
    </row>
    <row r="178" spans="17:17">
      <c r="Q178" s="147"/>
    </row>
    <row r="179" spans="17:17">
      <c r="Q179" s="147"/>
    </row>
    <row r="180" spans="17:17">
      <c r="Q180" s="147"/>
    </row>
    <row r="181" spans="17:17">
      <c r="Q181" s="147"/>
    </row>
    <row r="182" spans="17:17">
      <c r="Q182" s="147"/>
    </row>
    <row r="183" spans="17:17">
      <c r="Q183" s="147"/>
    </row>
    <row r="184" spans="17:17">
      <c r="Q184" s="147"/>
    </row>
    <row r="185" spans="17:17">
      <c r="Q185" s="147"/>
    </row>
    <row r="186" spans="17:17">
      <c r="Q186" s="147"/>
    </row>
    <row r="187" spans="17:17">
      <c r="Q187" s="147"/>
    </row>
    <row r="188" spans="17:17">
      <c r="Q188" s="147"/>
    </row>
    <row r="189" spans="17:17">
      <c r="Q189" s="147"/>
    </row>
    <row r="190" spans="17:17">
      <c r="Q190" s="147"/>
    </row>
    <row r="191" spans="17:17">
      <c r="Q191" s="147"/>
    </row>
    <row r="192" spans="17:17">
      <c r="Q192" s="147"/>
    </row>
    <row r="193" spans="17:17">
      <c r="Q193" s="147"/>
    </row>
    <row r="194" spans="17:17">
      <c r="Q194" s="147"/>
    </row>
    <row r="195" spans="17:17">
      <c r="Q195" s="147"/>
    </row>
    <row r="196" spans="17:17">
      <c r="Q196" s="147"/>
    </row>
    <row r="197" spans="17:17">
      <c r="Q197" s="147"/>
    </row>
    <row r="198" spans="17:17">
      <c r="Q198" s="147"/>
    </row>
    <row r="199" spans="17:17">
      <c r="Q199" s="147"/>
    </row>
    <row r="200" spans="17:17">
      <c r="Q200" s="147"/>
    </row>
    <row r="201" spans="17:17">
      <c r="Q201" s="147"/>
    </row>
    <row r="202" spans="17:17">
      <c r="Q202" s="147"/>
    </row>
    <row r="203" spans="17:17">
      <c r="Q203" s="147"/>
    </row>
    <row r="204" spans="17:17">
      <c r="Q204" s="147"/>
    </row>
    <row r="205" spans="17:17">
      <c r="Q205" s="147"/>
    </row>
    <row r="206" spans="17:17">
      <c r="Q206" s="147"/>
    </row>
    <row r="207" spans="17:17">
      <c r="Q207" s="147"/>
    </row>
    <row r="208" spans="17:17">
      <c r="Q208" s="147"/>
    </row>
    <row r="209" spans="17:17">
      <c r="Q209" s="147"/>
    </row>
    <row r="210" spans="17:17">
      <c r="Q210" s="147"/>
    </row>
    <row r="211" spans="17:17">
      <c r="Q211" s="147"/>
    </row>
    <row r="212" spans="17:17">
      <c r="Q212" s="147"/>
    </row>
    <row r="213" spans="17:17">
      <c r="Q213" s="147"/>
    </row>
    <row r="214" spans="17:17">
      <c r="Q214" s="147"/>
    </row>
    <row r="215" spans="17:17">
      <c r="Q215" s="147"/>
    </row>
    <row r="216" spans="17:17">
      <c r="Q216" s="147"/>
    </row>
    <row r="217" spans="17:17">
      <c r="Q217" s="147"/>
    </row>
    <row r="218" spans="17:17">
      <c r="Q218" s="147"/>
    </row>
    <row r="219" spans="17:17">
      <c r="Q219" s="147"/>
    </row>
    <row r="220" spans="17:17">
      <c r="Q220" s="147"/>
    </row>
    <row r="221" spans="17:17">
      <c r="Q221" s="147"/>
    </row>
    <row r="222" spans="17:17">
      <c r="Q222" s="147"/>
    </row>
    <row r="223" spans="17:17">
      <c r="Q223" s="147"/>
    </row>
    <row r="224" spans="17:17">
      <c r="Q224" s="147"/>
    </row>
    <row r="225" spans="17:17">
      <c r="Q225" s="147"/>
    </row>
    <row r="226" spans="17:17">
      <c r="Q226" s="147"/>
    </row>
    <row r="227" spans="17:17">
      <c r="Q227" s="147"/>
    </row>
    <row r="228" spans="17:17">
      <c r="Q228" s="147"/>
    </row>
    <row r="229" spans="17:17">
      <c r="Q229" s="147"/>
    </row>
    <row r="230" spans="17:17">
      <c r="Q230" s="147"/>
    </row>
    <row r="231" spans="17:17">
      <c r="Q231" s="147"/>
    </row>
    <row r="232" spans="17:17">
      <c r="Q232" s="147"/>
    </row>
    <row r="233" spans="17:17">
      <c r="Q233" s="147"/>
    </row>
    <row r="234" spans="17:17">
      <c r="Q234" s="147"/>
    </row>
    <row r="235" spans="17:17">
      <c r="Q235" s="147"/>
    </row>
    <row r="236" spans="17:17">
      <c r="Q236" s="147"/>
    </row>
    <row r="237" spans="17:17">
      <c r="Q237" s="147"/>
    </row>
    <row r="238" spans="17:17">
      <c r="Q238" s="147"/>
    </row>
    <row r="239" spans="17:17">
      <c r="Q239" s="147"/>
    </row>
    <row r="240" spans="17:17">
      <c r="Q240" s="147"/>
    </row>
    <row r="241" spans="17:17">
      <c r="Q241" s="147"/>
    </row>
    <row r="242" spans="17:17">
      <c r="Q242" s="147"/>
    </row>
    <row r="243" spans="17:17">
      <c r="Q243" s="147"/>
    </row>
    <row r="244" spans="17:17">
      <c r="Q244" s="147"/>
    </row>
    <row r="245" spans="17:17">
      <c r="Q245" s="147"/>
    </row>
    <row r="246" spans="17:17">
      <c r="Q246" s="147"/>
    </row>
    <row r="247" spans="17:17">
      <c r="Q247" s="147"/>
    </row>
    <row r="248" spans="17:17">
      <c r="Q248" s="147"/>
    </row>
    <row r="249" spans="17:17">
      <c r="Q249" s="147"/>
    </row>
    <row r="250" spans="17:17">
      <c r="Q250" s="147"/>
    </row>
    <row r="251" spans="17:17">
      <c r="Q251" s="147"/>
    </row>
    <row r="252" spans="17:17">
      <c r="Q252" s="147"/>
    </row>
    <row r="253" spans="17:17">
      <c r="Q253" s="147"/>
    </row>
    <row r="254" spans="17:17">
      <c r="Q254" s="147"/>
    </row>
    <row r="255" spans="17:17">
      <c r="Q255" s="147"/>
    </row>
    <row r="256" spans="17:17">
      <c r="Q256" s="147"/>
    </row>
    <row r="257" spans="17:17">
      <c r="Q257" s="147"/>
    </row>
    <row r="258" spans="17:17">
      <c r="Q258" s="147"/>
    </row>
    <row r="259" spans="17:17">
      <c r="Q259" s="147"/>
    </row>
    <row r="260" spans="17:17">
      <c r="Q260" s="147"/>
    </row>
    <row r="261" spans="17:17">
      <c r="Q261" s="147"/>
    </row>
    <row r="262" spans="17:17">
      <c r="Q262" s="147"/>
    </row>
    <row r="263" spans="17:17">
      <c r="Q263" s="147"/>
    </row>
    <row r="264" spans="17:17">
      <c r="Q264" s="147"/>
    </row>
    <row r="265" spans="17:17">
      <c r="Q265" s="147"/>
    </row>
    <row r="266" spans="17:17">
      <c r="Q266" s="147"/>
    </row>
    <row r="267" spans="17:17">
      <c r="Q267" s="147"/>
    </row>
    <row r="268" spans="17:17">
      <c r="Q268" s="147"/>
    </row>
    <row r="269" spans="17:17">
      <c r="Q269" s="147"/>
    </row>
    <row r="270" spans="17:17">
      <c r="Q270" s="147"/>
    </row>
    <row r="271" spans="17:17">
      <c r="Q271" s="147"/>
    </row>
    <row r="272" spans="17:17">
      <c r="Q272" s="147"/>
    </row>
    <row r="273" spans="17:17">
      <c r="Q273" s="147"/>
    </row>
    <row r="274" spans="17:17">
      <c r="Q274" s="147"/>
    </row>
    <row r="275" spans="17:17">
      <c r="Q275" s="147"/>
    </row>
    <row r="276" spans="17:17">
      <c r="Q276" s="147"/>
    </row>
    <row r="277" spans="17:17">
      <c r="Q277" s="147"/>
    </row>
    <row r="278" spans="17:17">
      <c r="Q278" s="147"/>
    </row>
    <row r="279" spans="17:17">
      <c r="Q279" s="147"/>
    </row>
    <row r="280" spans="17:17">
      <c r="Q280" s="147"/>
    </row>
    <row r="281" spans="17:17">
      <c r="Q281" s="147"/>
    </row>
    <row r="282" spans="17:17">
      <c r="Q282" s="147"/>
    </row>
    <row r="283" spans="17:17">
      <c r="Q283" s="147"/>
    </row>
    <row r="284" spans="17:17">
      <c r="Q284" s="147"/>
    </row>
    <row r="285" spans="17:17">
      <c r="Q285" s="147"/>
    </row>
    <row r="286" spans="17:17">
      <c r="Q286" s="147"/>
    </row>
    <row r="287" spans="17:17">
      <c r="Q287" s="147"/>
    </row>
    <row r="288" spans="17:17">
      <c r="Q288" s="147"/>
    </row>
    <row r="289" spans="17:17">
      <c r="Q289" s="147"/>
    </row>
    <row r="290" spans="17:17">
      <c r="Q290" s="147"/>
    </row>
    <row r="291" spans="17:17">
      <c r="Q291" s="147"/>
    </row>
    <row r="292" spans="17:17">
      <c r="Q292" s="147"/>
    </row>
    <row r="293" spans="17:17">
      <c r="Q293" s="147"/>
    </row>
    <row r="294" spans="17:17">
      <c r="Q294" s="147"/>
    </row>
    <row r="295" spans="17:17">
      <c r="Q295" s="147"/>
    </row>
    <row r="296" spans="17:17">
      <c r="Q296" s="147"/>
    </row>
    <row r="297" spans="17:17">
      <c r="Q297" s="147"/>
    </row>
    <row r="298" spans="17:17">
      <c r="Q298" s="147"/>
    </row>
    <row r="299" spans="17:17">
      <c r="Q299" s="147"/>
    </row>
    <row r="300" spans="17:17">
      <c r="Q300" s="147"/>
    </row>
    <row r="301" spans="17:17">
      <c r="Q301" s="147"/>
    </row>
    <row r="302" spans="17:17">
      <c r="Q302" s="147"/>
    </row>
    <row r="303" spans="17:17">
      <c r="Q303" s="147"/>
    </row>
    <row r="304" spans="17:17">
      <c r="Q304" s="147"/>
    </row>
    <row r="305" spans="17:17">
      <c r="Q305" s="147"/>
    </row>
    <row r="306" spans="17:17">
      <c r="Q306" s="147"/>
    </row>
    <row r="307" spans="17:17">
      <c r="Q307" s="147"/>
    </row>
    <row r="308" spans="17:17">
      <c r="Q308" s="147"/>
    </row>
    <row r="309" spans="17:17">
      <c r="Q309" s="147"/>
    </row>
    <row r="310" spans="17:17">
      <c r="Q310" s="147"/>
    </row>
    <row r="311" spans="17:17">
      <c r="Q311" s="147"/>
    </row>
    <row r="312" spans="17:17">
      <c r="Q312" s="147"/>
    </row>
    <row r="313" spans="17:17">
      <c r="Q313" s="147"/>
    </row>
    <row r="314" spans="17:17">
      <c r="Q314" s="147"/>
    </row>
    <row r="315" spans="17:17">
      <c r="Q315" s="147"/>
    </row>
    <row r="316" spans="17:17">
      <c r="Q316" s="147"/>
    </row>
    <row r="317" spans="17:17">
      <c r="Q317" s="147"/>
    </row>
    <row r="318" spans="17:17">
      <c r="Q318" s="147"/>
    </row>
    <row r="319" spans="17:17">
      <c r="Q319" s="147"/>
    </row>
    <row r="320" spans="17:17">
      <c r="Q320" s="147"/>
    </row>
    <row r="321" spans="17:17">
      <c r="Q321" s="147"/>
    </row>
    <row r="322" spans="17:17">
      <c r="Q322" s="147"/>
    </row>
    <row r="323" spans="17:17">
      <c r="Q323" s="147"/>
    </row>
    <row r="324" spans="17:17">
      <c r="Q324" s="147"/>
    </row>
    <row r="325" spans="17:17">
      <c r="Q325" s="147"/>
    </row>
    <row r="326" spans="17:17">
      <c r="Q326" s="147"/>
    </row>
    <row r="327" spans="17:17">
      <c r="Q327" s="147"/>
    </row>
    <row r="328" spans="17:17">
      <c r="Q328" s="147"/>
    </row>
    <row r="329" spans="17:17">
      <c r="Q329" s="147"/>
    </row>
    <row r="330" spans="17:17">
      <c r="Q330" s="147"/>
    </row>
    <row r="331" spans="17:17">
      <c r="Q331" s="147"/>
    </row>
    <row r="332" spans="17:17">
      <c r="Q332" s="147"/>
    </row>
    <row r="333" spans="17:17">
      <c r="Q333" s="147"/>
    </row>
    <row r="334" spans="17:17">
      <c r="Q334" s="147"/>
    </row>
    <row r="335" spans="17:17">
      <c r="Q335" s="147"/>
    </row>
    <row r="336" spans="17:17">
      <c r="Q336" s="147"/>
    </row>
    <row r="337" spans="17:17">
      <c r="Q337" s="147"/>
    </row>
    <row r="338" spans="17:17">
      <c r="Q338" s="147"/>
    </row>
    <row r="339" spans="17:17">
      <c r="Q339" s="147"/>
    </row>
    <row r="340" spans="17:17">
      <c r="Q340" s="147"/>
    </row>
    <row r="341" spans="17:17">
      <c r="Q341" s="147"/>
    </row>
    <row r="342" spans="17:17">
      <c r="Q342" s="147"/>
    </row>
    <row r="343" spans="17:17">
      <c r="Q343" s="147"/>
    </row>
    <row r="344" spans="17:17">
      <c r="Q344" s="147"/>
    </row>
    <row r="345" spans="17:17">
      <c r="Q345" s="147"/>
    </row>
    <row r="346" spans="17:17">
      <c r="Q346" s="147"/>
    </row>
    <row r="347" spans="17:17">
      <c r="Q347" s="147"/>
    </row>
    <row r="348" spans="17:17">
      <c r="Q348" s="147"/>
    </row>
    <row r="349" spans="17:17">
      <c r="Q349" s="147"/>
    </row>
    <row r="350" spans="17:17">
      <c r="Q350" s="147"/>
    </row>
    <row r="351" spans="17:17">
      <c r="Q351" s="147"/>
    </row>
    <row r="352" spans="17:17">
      <c r="Q352" s="147"/>
    </row>
    <row r="353" spans="17:17">
      <c r="Q353" s="147"/>
    </row>
    <row r="354" spans="17:17">
      <c r="Q354" s="147"/>
    </row>
    <row r="355" spans="17:17">
      <c r="Q355" s="147"/>
    </row>
    <row r="356" spans="17:17">
      <c r="Q356" s="147"/>
    </row>
    <row r="357" spans="17:17">
      <c r="Q357" s="147"/>
    </row>
    <row r="358" spans="17:17">
      <c r="Q358" s="147"/>
    </row>
    <row r="359" spans="17:17">
      <c r="Q359" s="147"/>
    </row>
    <row r="360" spans="17:17">
      <c r="Q360" s="147"/>
    </row>
    <row r="361" spans="17:17">
      <c r="Q361" s="147"/>
    </row>
    <row r="362" spans="17:17">
      <c r="Q362" s="147"/>
    </row>
    <row r="363" spans="17:17">
      <c r="Q363" s="147"/>
    </row>
    <row r="364" spans="17:17">
      <c r="Q364" s="147"/>
    </row>
    <row r="365" spans="17:17">
      <c r="Q365" s="147"/>
    </row>
    <row r="366" spans="17:17">
      <c r="Q366" s="147"/>
    </row>
    <row r="367" spans="17:17">
      <c r="Q367" s="147"/>
    </row>
    <row r="368" spans="17:17">
      <c r="Q368" s="147"/>
    </row>
    <row r="369" spans="17:17">
      <c r="Q369" s="147"/>
    </row>
    <row r="370" spans="17:17">
      <c r="Q370" s="147"/>
    </row>
    <row r="371" spans="17:17">
      <c r="Q371" s="147"/>
    </row>
    <row r="372" spans="17:17">
      <c r="Q372" s="147"/>
    </row>
    <row r="373" spans="17:17">
      <c r="Q373" s="147"/>
    </row>
    <row r="374" spans="17:17">
      <c r="Q374" s="147"/>
    </row>
    <row r="375" spans="17:17">
      <c r="Q375" s="147"/>
    </row>
    <row r="376" spans="17:17">
      <c r="Q376" s="147"/>
    </row>
    <row r="377" spans="17:17">
      <c r="Q377" s="147"/>
    </row>
    <row r="378" spans="17:17">
      <c r="Q378" s="147"/>
    </row>
    <row r="379" spans="17:17">
      <c r="Q379" s="147"/>
    </row>
    <row r="380" spans="17:17">
      <c r="Q380" s="147"/>
    </row>
    <row r="381" spans="17:17">
      <c r="Q381" s="147"/>
    </row>
    <row r="382" spans="17:17">
      <c r="Q382" s="147"/>
    </row>
    <row r="383" spans="17:17">
      <c r="Q383" s="147"/>
    </row>
    <row r="384" spans="17:17">
      <c r="Q384" s="147"/>
    </row>
    <row r="385" spans="17:17">
      <c r="Q385" s="147"/>
    </row>
    <row r="386" spans="17:17">
      <c r="Q386" s="147"/>
    </row>
    <row r="387" spans="17:17">
      <c r="Q387" s="147"/>
    </row>
    <row r="388" spans="17:17">
      <c r="Q388" s="147"/>
    </row>
    <row r="389" spans="17:17">
      <c r="Q389" s="147"/>
    </row>
    <row r="390" spans="17:17">
      <c r="Q390" s="147"/>
    </row>
    <row r="391" spans="17:17">
      <c r="Q391" s="147"/>
    </row>
    <row r="392" spans="17:17">
      <c r="Q392" s="147"/>
    </row>
    <row r="393" spans="17:17">
      <c r="Q393" s="147"/>
    </row>
    <row r="394" spans="17:17">
      <c r="Q394" s="147"/>
    </row>
    <row r="395" spans="17:17">
      <c r="Q395" s="147"/>
    </row>
    <row r="396" spans="17:17">
      <c r="Q396" s="147"/>
    </row>
    <row r="397" spans="17:17">
      <c r="Q397" s="147"/>
    </row>
    <row r="398" spans="17:17">
      <c r="Q398" s="147"/>
    </row>
    <row r="399" spans="17:17">
      <c r="Q399" s="147"/>
    </row>
    <row r="400" spans="17:17">
      <c r="Q400" s="147"/>
    </row>
    <row r="401" spans="17:17">
      <c r="Q401" s="147"/>
    </row>
    <row r="402" spans="17:17">
      <c r="Q402" s="147"/>
    </row>
    <row r="403" spans="17:17">
      <c r="Q403" s="147"/>
    </row>
    <row r="404" spans="17:17">
      <c r="Q404" s="147"/>
    </row>
    <row r="405" spans="17:17">
      <c r="Q405" s="147"/>
    </row>
    <row r="406" spans="17:17">
      <c r="Q406" s="147"/>
    </row>
    <row r="407" spans="17:17">
      <c r="Q407" s="147"/>
    </row>
    <row r="408" spans="17:17">
      <c r="Q408" s="147"/>
    </row>
    <row r="409" spans="17:17">
      <c r="Q409" s="147"/>
    </row>
    <row r="410" spans="17:17">
      <c r="Q410" s="147"/>
    </row>
    <row r="411" spans="17:17">
      <c r="Q411" s="147"/>
    </row>
    <row r="412" spans="17:17">
      <c r="Q412" s="147"/>
    </row>
    <row r="413" spans="17:17">
      <c r="Q413" s="147"/>
    </row>
    <row r="414" spans="17:17">
      <c r="Q414" s="147"/>
    </row>
    <row r="415" spans="17:17">
      <c r="Q415" s="147"/>
    </row>
    <row r="416" spans="17:17">
      <c r="Q416" s="147"/>
    </row>
    <row r="417" spans="17:17">
      <c r="Q417" s="147"/>
    </row>
    <row r="418" spans="17:17">
      <c r="Q418" s="147"/>
    </row>
    <row r="419" spans="17:17">
      <c r="Q419" s="147"/>
    </row>
    <row r="420" spans="17:17">
      <c r="Q420" s="147"/>
    </row>
    <row r="421" spans="17:17">
      <c r="Q421" s="147"/>
    </row>
    <row r="422" spans="17:17">
      <c r="Q422" s="147"/>
    </row>
    <row r="423" spans="17:17">
      <c r="Q423" s="147"/>
    </row>
    <row r="424" spans="17:17">
      <c r="Q424" s="147"/>
    </row>
    <row r="425" spans="17:17">
      <c r="Q425" s="147"/>
    </row>
    <row r="426" spans="17:17">
      <c r="Q426" s="147"/>
    </row>
    <row r="427" spans="17:17">
      <c r="Q427" s="147"/>
    </row>
    <row r="428" spans="17:17">
      <c r="Q428" s="147"/>
    </row>
    <row r="429" spans="17:17">
      <c r="Q429" s="147"/>
    </row>
    <row r="430" spans="17:17">
      <c r="Q430" s="147"/>
    </row>
    <row r="431" spans="17:17">
      <c r="Q431" s="147"/>
    </row>
    <row r="432" spans="17:17">
      <c r="Q432" s="147"/>
    </row>
    <row r="433" spans="17:17">
      <c r="Q433" s="147"/>
    </row>
    <row r="434" spans="17:17">
      <c r="Q434" s="147"/>
    </row>
    <row r="435" spans="17:17">
      <c r="Q435" s="147"/>
    </row>
    <row r="436" spans="17:17">
      <c r="Q436" s="147"/>
    </row>
    <row r="437" spans="17:17">
      <c r="Q437" s="147"/>
    </row>
    <row r="438" spans="17:17">
      <c r="Q438" s="147"/>
    </row>
    <row r="439" spans="17:17">
      <c r="Q439" s="147"/>
    </row>
    <row r="440" spans="17:17">
      <c r="Q440" s="147"/>
    </row>
    <row r="441" spans="17:17">
      <c r="Q441" s="147"/>
    </row>
    <row r="442" spans="17:17">
      <c r="Q442" s="147"/>
    </row>
    <row r="443" spans="17:17">
      <c r="Q443" s="147"/>
    </row>
    <row r="444" spans="17:17">
      <c r="Q444" s="147"/>
    </row>
    <row r="445" spans="17:17">
      <c r="Q445" s="147"/>
    </row>
    <row r="446" spans="17:17">
      <c r="Q446" s="147"/>
    </row>
    <row r="447" spans="17:17">
      <c r="Q447" s="147"/>
    </row>
    <row r="448" spans="17:17">
      <c r="Q448" s="147"/>
    </row>
    <row r="449" spans="17:17">
      <c r="Q449" s="147"/>
    </row>
    <row r="450" spans="17:17">
      <c r="Q450" s="147"/>
    </row>
    <row r="451" spans="17:17">
      <c r="Q451" s="147"/>
    </row>
    <row r="452" spans="17:17">
      <c r="Q452" s="147"/>
    </row>
    <row r="453" spans="17:17">
      <c r="Q453" s="147"/>
    </row>
    <row r="454" spans="17:17">
      <c r="Q454" s="147"/>
    </row>
    <row r="455" spans="17:17">
      <c r="Q455" s="147"/>
    </row>
    <row r="456" spans="17:17">
      <c r="Q456" s="147"/>
    </row>
    <row r="457" spans="17:17">
      <c r="Q457" s="147"/>
    </row>
    <row r="458" spans="17:17">
      <c r="Q458" s="147"/>
    </row>
    <row r="459" spans="17:17">
      <c r="Q459" s="147"/>
    </row>
    <row r="460" spans="17:17">
      <c r="Q460" s="147"/>
    </row>
    <row r="461" spans="17:17">
      <c r="Q461" s="147"/>
    </row>
    <row r="462" spans="17:17">
      <c r="Q462" s="147"/>
    </row>
    <row r="463" spans="17:17">
      <c r="Q463" s="147"/>
    </row>
    <row r="464" spans="17:17">
      <c r="Q464" s="147"/>
    </row>
    <row r="465" spans="17:17">
      <c r="Q465" s="147"/>
    </row>
    <row r="466" spans="17:17">
      <c r="Q466" s="147"/>
    </row>
    <row r="467" spans="17:17">
      <c r="Q467" s="147"/>
    </row>
    <row r="468" spans="17:17">
      <c r="Q468" s="147"/>
    </row>
    <row r="469" spans="17:17">
      <c r="Q469" s="147"/>
    </row>
    <row r="470" spans="17:17">
      <c r="Q470" s="147"/>
    </row>
    <row r="471" spans="17:17">
      <c r="Q471" s="147"/>
    </row>
    <row r="472" spans="17:17">
      <c r="Q472" s="147"/>
    </row>
    <row r="473" spans="17:17">
      <c r="Q473" s="147"/>
    </row>
    <row r="474" spans="17:17">
      <c r="Q474" s="147"/>
    </row>
    <row r="475" spans="17:17">
      <c r="Q475" s="147"/>
    </row>
    <row r="476" spans="17:17">
      <c r="Q476" s="147"/>
    </row>
    <row r="477" spans="17:17">
      <c r="Q477" s="147"/>
    </row>
    <row r="478" spans="17:17">
      <c r="Q478" s="147"/>
    </row>
    <row r="479" spans="17:17">
      <c r="Q479" s="147"/>
    </row>
    <row r="480" spans="17:17">
      <c r="Q480" s="147"/>
    </row>
    <row r="481" spans="17:17">
      <c r="Q481" s="147"/>
    </row>
    <row r="482" spans="17:17">
      <c r="Q482" s="147"/>
    </row>
    <row r="483" spans="17:17">
      <c r="Q483" s="147"/>
    </row>
    <row r="484" spans="17:17">
      <c r="Q484" s="147"/>
    </row>
    <row r="485" spans="17:17">
      <c r="Q485" s="147"/>
    </row>
    <row r="486" spans="17:17">
      <c r="Q486" s="147"/>
    </row>
    <row r="487" spans="17:17">
      <c r="Q487" s="147"/>
    </row>
    <row r="488" spans="17:17">
      <c r="Q488" s="147"/>
    </row>
    <row r="489" spans="17:17">
      <c r="Q489" s="147"/>
    </row>
    <row r="490" spans="17:17">
      <c r="Q490" s="147"/>
    </row>
    <row r="491" spans="17:17">
      <c r="Q491" s="147"/>
    </row>
    <row r="492" spans="17:17">
      <c r="Q492" s="147"/>
    </row>
    <row r="493" spans="17:17">
      <c r="Q493" s="147"/>
    </row>
    <row r="494" spans="17:17">
      <c r="Q494" s="147"/>
    </row>
    <row r="495" spans="17:17">
      <c r="Q495" s="147"/>
    </row>
    <row r="496" spans="17:17">
      <c r="Q496" s="147"/>
    </row>
    <row r="497" spans="17:17">
      <c r="Q497" s="147"/>
    </row>
    <row r="498" spans="17:17">
      <c r="Q498" s="147"/>
    </row>
    <row r="499" spans="17:17">
      <c r="Q499" s="147"/>
    </row>
    <row r="500" spans="17:17">
      <c r="Q500" s="147"/>
    </row>
    <row r="501" spans="17:17">
      <c r="Q501" s="147"/>
    </row>
    <row r="502" spans="17:17">
      <c r="Q502" s="147"/>
    </row>
    <row r="503" spans="17:17">
      <c r="Q503" s="147"/>
    </row>
    <row r="504" spans="17:17">
      <c r="Q504" s="147"/>
    </row>
    <row r="505" spans="17:17">
      <c r="Q505" s="147"/>
    </row>
    <row r="506" spans="17:17">
      <c r="Q506" s="147"/>
    </row>
    <row r="507" spans="17:17">
      <c r="Q507" s="147"/>
    </row>
    <row r="508" spans="17:17">
      <c r="Q508" s="147"/>
    </row>
    <row r="509" spans="17:17">
      <c r="Q509" s="147"/>
    </row>
    <row r="510" spans="17:17">
      <c r="Q510" s="147"/>
    </row>
    <row r="511" spans="17:17">
      <c r="Q511" s="147"/>
    </row>
    <row r="512" spans="17:17">
      <c r="Q512" s="147"/>
    </row>
    <row r="513" spans="17:17">
      <c r="Q513" s="147"/>
    </row>
    <row r="514" spans="17:17">
      <c r="Q514" s="147"/>
    </row>
    <row r="515" spans="17:17">
      <c r="Q515" s="147"/>
    </row>
    <row r="516" spans="17:17">
      <c r="Q516" s="147"/>
    </row>
    <row r="517" spans="17:17">
      <c r="Q517" s="147"/>
    </row>
    <row r="518" spans="17:17">
      <c r="Q518" s="147"/>
    </row>
    <row r="519" spans="17:17">
      <c r="Q519" s="147"/>
    </row>
    <row r="520" spans="17:17">
      <c r="Q520" s="147"/>
    </row>
    <row r="521" spans="17:17">
      <c r="Q521" s="147"/>
    </row>
    <row r="522" spans="17:17">
      <c r="Q522" s="147"/>
    </row>
    <row r="523" spans="17:17">
      <c r="Q523" s="147"/>
    </row>
    <row r="524" spans="17:17">
      <c r="Q524" s="147"/>
    </row>
    <row r="525" spans="17:17">
      <c r="Q525" s="147"/>
    </row>
    <row r="526" spans="17:17">
      <c r="Q526" s="147"/>
    </row>
    <row r="527" spans="17:17">
      <c r="Q527" s="147"/>
    </row>
    <row r="528" spans="17:17">
      <c r="Q528" s="147"/>
    </row>
    <row r="529" spans="17:17">
      <c r="Q529" s="147"/>
    </row>
    <row r="530" spans="17:17">
      <c r="Q530" s="147"/>
    </row>
    <row r="531" spans="17:17">
      <c r="Q531" s="147"/>
    </row>
    <row r="532" spans="17:17">
      <c r="Q532" s="147"/>
    </row>
    <row r="533" spans="17:17">
      <c r="Q533" s="147"/>
    </row>
    <row r="534" spans="17:17">
      <c r="Q534" s="147"/>
    </row>
    <row r="535" spans="17:17">
      <c r="Q535" s="147"/>
    </row>
    <row r="536" spans="17:17">
      <c r="Q536" s="147"/>
    </row>
    <row r="537" spans="17:17">
      <c r="Q537" s="147"/>
    </row>
    <row r="538" spans="17:17">
      <c r="Q538" s="147"/>
    </row>
    <row r="539" spans="17:17">
      <c r="Q539" s="147"/>
    </row>
    <row r="540" spans="17:17">
      <c r="Q540" s="147"/>
    </row>
    <row r="541" spans="17:17">
      <c r="Q541" s="147"/>
    </row>
    <row r="542" spans="17:17">
      <c r="Q542" s="147"/>
    </row>
    <row r="543" spans="17:17">
      <c r="Q543" s="147"/>
    </row>
    <row r="544" spans="17:17">
      <c r="Q544" s="147"/>
    </row>
    <row r="545" spans="17:17">
      <c r="Q545" s="147"/>
    </row>
    <row r="546" spans="17:17">
      <c r="Q546" s="147"/>
    </row>
    <row r="547" spans="17:17">
      <c r="Q547" s="147"/>
    </row>
    <row r="548" spans="17:17">
      <c r="Q548" s="147"/>
    </row>
    <row r="549" spans="17:17">
      <c r="Q549" s="147"/>
    </row>
    <row r="550" spans="17:17">
      <c r="Q550" s="147"/>
    </row>
    <row r="551" spans="17:17">
      <c r="Q551" s="147"/>
    </row>
    <row r="552" spans="17:17">
      <c r="Q552" s="147"/>
    </row>
    <row r="553" spans="17:17">
      <c r="Q553" s="147"/>
    </row>
    <row r="554" spans="17:17">
      <c r="Q554" s="147"/>
    </row>
    <row r="555" spans="17:17">
      <c r="Q555" s="147"/>
    </row>
    <row r="556" spans="17:17">
      <c r="Q556" s="147"/>
    </row>
    <row r="557" spans="17:17">
      <c r="Q557" s="147"/>
    </row>
    <row r="558" spans="17:17">
      <c r="Q558" s="147"/>
    </row>
    <row r="559" spans="17:17">
      <c r="Q559" s="147"/>
    </row>
    <row r="560" spans="17:17">
      <c r="Q560" s="147"/>
    </row>
    <row r="561" spans="17:17">
      <c r="Q561" s="147"/>
    </row>
    <row r="562" spans="17:17">
      <c r="Q562" s="147"/>
    </row>
    <row r="563" spans="17:17">
      <c r="Q563" s="147"/>
    </row>
    <row r="564" spans="17:17">
      <c r="Q564" s="147"/>
    </row>
    <row r="565" spans="17:17">
      <c r="Q565" s="147"/>
    </row>
    <row r="566" spans="17:17">
      <c r="Q566" s="147"/>
    </row>
    <row r="567" spans="17:17">
      <c r="Q567" s="147"/>
    </row>
    <row r="568" spans="17:17">
      <c r="Q568" s="147"/>
    </row>
    <row r="569" spans="17:17">
      <c r="Q569" s="147"/>
    </row>
    <row r="570" spans="17:17">
      <c r="Q570" s="147"/>
    </row>
    <row r="571" spans="17:17">
      <c r="Q571" s="147"/>
    </row>
    <row r="572" spans="17:17">
      <c r="Q572" s="147"/>
    </row>
    <row r="573" spans="17:17">
      <c r="Q573" s="147"/>
    </row>
    <row r="574" spans="17:17">
      <c r="Q574" s="147"/>
    </row>
    <row r="575" spans="17:17">
      <c r="Q575" s="147"/>
    </row>
    <row r="576" spans="17:17">
      <c r="Q576" s="147"/>
    </row>
    <row r="577" spans="17:17">
      <c r="Q577" s="147"/>
    </row>
    <row r="578" spans="17:17">
      <c r="Q578" s="147"/>
    </row>
    <row r="579" spans="17:17">
      <c r="Q579" s="147"/>
    </row>
    <row r="580" spans="17:17">
      <c r="Q580" s="147"/>
    </row>
    <row r="581" spans="17:17">
      <c r="Q581" s="147"/>
    </row>
    <row r="582" spans="17:17">
      <c r="Q582" s="147"/>
    </row>
    <row r="583" spans="17:17">
      <c r="Q583" s="147"/>
    </row>
    <row r="584" spans="17:17">
      <c r="Q584" s="147"/>
    </row>
    <row r="585" spans="17:17">
      <c r="Q585" s="147"/>
    </row>
    <row r="586" spans="17:17">
      <c r="Q586" s="147"/>
    </row>
    <row r="587" spans="17:17">
      <c r="Q587" s="147"/>
    </row>
    <row r="588" spans="17:17">
      <c r="Q588" s="147"/>
    </row>
    <row r="589" spans="17:17">
      <c r="Q589" s="147"/>
    </row>
    <row r="590" spans="17:17">
      <c r="Q590" s="147"/>
    </row>
    <row r="591" spans="17:17">
      <c r="Q591" s="147"/>
    </row>
    <row r="592" spans="17:17">
      <c r="Q592" s="147"/>
    </row>
    <row r="593" spans="17:17">
      <c r="Q593" s="147"/>
    </row>
    <row r="594" spans="17:17">
      <c r="Q594" s="147"/>
    </row>
    <row r="595" spans="17:17">
      <c r="Q595" s="147"/>
    </row>
    <row r="596" spans="17:17">
      <c r="Q596" s="147"/>
    </row>
    <row r="597" spans="17:17">
      <c r="Q597" s="147"/>
    </row>
    <row r="598" spans="17:17">
      <c r="Q598" s="147"/>
    </row>
    <row r="599" spans="17:17">
      <c r="Q599" s="147"/>
    </row>
    <row r="600" spans="17:17">
      <c r="Q600" s="147"/>
    </row>
    <row r="601" spans="17:17">
      <c r="Q601" s="147"/>
    </row>
    <row r="602" spans="17:17">
      <c r="Q602" s="147"/>
    </row>
    <row r="603" spans="17:17">
      <c r="Q603" s="147"/>
    </row>
    <row r="604" spans="17:17">
      <c r="Q604" s="147"/>
    </row>
    <row r="605" spans="17:17">
      <c r="Q605" s="147"/>
    </row>
    <row r="606" spans="17:17">
      <c r="Q606" s="147"/>
    </row>
    <row r="607" spans="17:17">
      <c r="Q607" s="147"/>
    </row>
    <row r="608" spans="17:17">
      <c r="Q608" s="147"/>
    </row>
    <row r="609" spans="17:17">
      <c r="Q609" s="147"/>
    </row>
    <row r="610" spans="17:17">
      <c r="Q610" s="147"/>
    </row>
    <row r="611" spans="17:17">
      <c r="Q611" s="147"/>
    </row>
    <row r="612" spans="17:17">
      <c r="Q612" s="147"/>
    </row>
    <row r="613" spans="17:17">
      <c r="Q613" s="147"/>
    </row>
    <row r="614" spans="17:17">
      <c r="Q614" s="147"/>
    </row>
    <row r="615" spans="17:17">
      <c r="Q615" s="147"/>
    </row>
    <row r="616" spans="17:17">
      <c r="Q616" s="147"/>
    </row>
    <row r="617" spans="17:17">
      <c r="Q617" s="147"/>
    </row>
    <row r="618" spans="17:17">
      <c r="Q618" s="147"/>
    </row>
    <row r="619" spans="17:17">
      <c r="Q619" s="147"/>
    </row>
    <row r="620" spans="17:17">
      <c r="Q620" s="147"/>
    </row>
    <row r="621" spans="17:17">
      <c r="Q621" s="147"/>
    </row>
    <row r="622" spans="17:17">
      <c r="Q622" s="147"/>
    </row>
    <row r="623" spans="17:17">
      <c r="Q623" s="147"/>
    </row>
    <row r="624" spans="17:17">
      <c r="Q624" s="147"/>
    </row>
    <row r="625" spans="17:17">
      <c r="Q625" s="147"/>
    </row>
    <row r="626" spans="17:17">
      <c r="Q626" s="147"/>
    </row>
    <row r="627" spans="17:17">
      <c r="Q627" s="147"/>
    </row>
    <row r="628" spans="17:17">
      <c r="Q628" s="147"/>
    </row>
    <row r="629" spans="17:17">
      <c r="Q629" s="147"/>
    </row>
    <row r="630" spans="17:17">
      <c r="Q630" s="147"/>
    </row>
    <row r="631" spans="17:17">
      <c r="Q631" s="147"/>
    </row>
    <row r="632" spans="17:17">
      <c r="Q632" s="147"/>
    </row>
    <row r="633" spans="17:17">
      <c r="Q633" s="147"/>
    </row>
    <row r="634" spans="17:17">
      <c r="Q634" s="147"/>
    </row>
    <row r="635" spans="17:17">
      <c r="Q635" s="147"/>
    </row>
    <row r="636" spans="17:17">
      <c r="Q636" s="147"/>
    </row>
    <row r="637" spans="17:17">
      <c r="Q637" s="147"/>
    </row>
    <row r="638" spans="17:17">
      <c r="Q638" s="147"/>
    </row>
    <row r="639" spans="17:17">
      <c r="Q639" s="147"/>
    </row>
    <row r="640" spans="17:17">
      <c r="Q640" s="147"/>
    </row>
    <row r="641" spans="17:17">
      <c r="Q641" s="147"/>
    </row>
    <row r="642" spans="17:17">
      <c r="Q642" s="147"/>
    </row>
    <row r="643" spans="17:17">
      <c r="Q643" s="147"/>
    </row>
    <row r="644" spans="17:17">
      <c r="Q644" s="147"/>
    </row>
    <row r="645" spans="17:17">
      <c r="Q645" s="147"/>
    </row>
    <row r="646" spans="17:17">
      <c r="Q646" s="147"/>
    </row>
    <row r="647" spans="17:17">
      <c r="Q647" s="147"/>
    </row>
    <row r="648" spans="17:17">
      <c r="Q648" s="147"/>
    </row>
    <row r="649" spans="17:17">
      <c r="Q649" s="147"/>
    </row>
    <row r="650" spans="17:17">
      <c r="Q650" s="147"/>
    </row>
    <row r="651" spans="17:17">
      <c r="Q651" s="147"/>
    </row>
    <row r="652" spans="17:17">
      <c r="Q652" s="147"/>
    </row>
    <row r="653" spans="17:17">
      <c r="Q653" s="147"/>
    </row>
    <row r="654" spans="17:17">
      <c r="Q654" s="147"/>
    </row>
    <row r="655" spans="17:17">
      <c r="Q655" s="147"/>
    </row>
    <row r="656" spans="17:17">
      <c r="Q656" s="147"/>
    </row>
    <row r="657" spans="17:17">
      <c r="Q657" s="147"/>
    </row>
    <row r="658" spans="17:17">
      <c r="Q658" s="147"/>
    </row>
    <row r="659" spans="17:17">
      <c r="Q659" s="147"/>
    </row>
    <row r="660" spans="17:17">
      <c r="Q660" s="147"/>
    </row>
    <row r="661" spans="17:17">
      <c r="Q661" s="147"/>
    </row>
    <row r="662" spans="17:17">
      <c r="Q662" s="147"/>
    </row>
    <row r="663" spans="17:17">
      <c r="Q663" s="147"/>
    </row>
    <row r="664" spans="17:17">
      <c r="Q664" s="147"/>
    </row>
    <row r="665" spans="17:17">
      <c r="Q665" s="147"/>
    </row>
    <row r="666" spans="17:17">
      <c r="Q666" s="147"/>
    </row>
    <row r="667" spans="17:17">
      <c r="Q667" s="147"/>
    </row>
    <row r="668" spans="17:17">
      <c r="Q668" s="147"/>
    </row>
    <row r="669" spans="17:17">
      <c r="Q669" s="147"/>
    </row>
    <row r="670" spans="17:17">
      <c r="Q670" s="147"/>
    </row>
    <row r="671" spans="17:17">
      <c r="Q671" s="147"/>
    </row>
    <row r="672" spans="17:17">
      <c r="Q672" s="147"/>
    </row>
    <row r="673" spans="17:17">
      <c r="Q673" s="147"/>
    </row>
    <row r="674" spans="17:17">
      <c r="Q674" s="147"/>
    </row>
    <row r="675" spans="17:17">
      <c r="Q675" s="147"/>
    </row>
    <row r="676" spans="17:17">
      <c r="Q676" s="147"/>
    </row>
    <row r="677" spans="17:17">
      <c r="Q677" s="147"/>
    </row>
    <row r="678" spans="17:17">
      <c r="Q678" s="147"/>
    </row>
    <row r="679" spans="17:17">
      <c r="Q679" s="147"/>
    </row>
    <row r="680" spans="17:17">
      <c r="Q680" s="147"/>
    </row>
    <row r="681" spans="17:17">
      <c r="Q681" s="147"/>
    </row>
    <row r="682" spans="17:17">
      <c r="Q682" s="147"/>
    </row>
    <row r="683" spans="17:17">
      <c r="Q683" s="147"/>
    </row>
    <row r="684" spans="17:17">
      <c r="Q684" s="147"/>
    </row>
    <row r="685" spans="17:17">
      <c r="Q685" s="147"/>
    </row>
    <row r="686" spans="17:17">
      <c r="Q686" s="147"/>
    </row>
    <row r="687" spans="17:17">
      <c r="Q687" s="147"/>
    </row>
    <row r="688" spans="17:17">
      <c r="Q688" s="147"/>
    </row>
    <row r="689" spans="17:17">
      <c r="Q689" s="147"/>
    </row>
    <row r="690" spans="17:17">
      <c r="Q690" s="147"/>
    </row>
    <row r="691" spans="17:17">
      <c r="Q691" s="147"/>
    </row>
    <row r="692" spans="17:17">
      <c r="Q692" s="147"/>
    </row>
    <row r="693" spans="17:17">
      <c r="Q693" s="147"/>
    </row>
    <row r="694" spans="17:17">
      <c r="Q694" s="147"/>
    </row>
    <row r="695" spans="17:17">
      <c r="Q695" s="147"/>
    </row>
    <row r="696" spans="17:17">
      <c r="Q696" s="147"/>
    </row>
    <row r="697" spans="17:17">
      <c r="Q697" s="147"/>
    </row>
    <row r="698" spans="17:17">
      <c r="Q698" s="147"/>
    </row>
    <row r="699" spans="17:17">
      <c r="Q699" s="147"/>
    </row>
    <row r="700" spans="17:17">
      <c r="Q700" s="147"/>
    </row>
    <row r="701" spans="17:17">
      <c r="Q701" s="147"/>
    </row>
    <row r="702" spans="17:17">
      <c r="Q702" s="147"/>
    </row>
    <row r="703" spans="17:17">
      <c r="Q703" s="147"/>
    </row>
    <row r="704" spans="17:17">
      <c r="Q704" s="147"/>
    </row>
    <row r="705" spans="17:17">
      <c r="Q705" s="147"/>
    </row>
    <row r="706" spans="17:17">
      <c r="Q706" s="147"/>
    </row>
    <row r="707" spans="17:17">
      <c r="Q707" s="147"/>
    </row>
    <row r="708" spans="17:17">
      <c r="Q708" s="147"/>
    </row>
    <row r="709" spans="17:17">
      <c r="Q709" s="147"/>
    </row>
    <row r="710" spans="17:17">
      <c r="Q710" s="147"/>
    </row>
    <row r="711" spans="17:17">
      <c r="Q711" s="147"/>
    </row>
    <row r="712" spans="17:17">
      <c r="Q712" s="147"/>
    </row>
    <row r="713" spans="17:17">
      <c r="Q713" s="147"/>
    </row>
    <row r="714" spans="17:17">
      <c r="Q714" s="147"/>
    </row>
    <row r="715" spans="17:17">
      <c r="Q715" s="147"/>
    </row>
    <row r="716" spans="17:17">
      <c r="Q716" s="147"/>
    </row>
    <row r="717" spans="17:17">
      <c r="Q717" s="147"/>
    </row>
    <row r="718" spans="17:17">
      <c r="Q718" s="147"/>
    </row>
    <row r="719" spans="17:17">
      <c r="Q719" s="147"/>
    </row>
    <row r="720" spans="17:17">
      <c r="Q720" s="147"/>
    </row>
    <row r="721" spans="17:17">
      <c r="Q721" s="147"/>
    </row>
    <row r="722" spans="17:17">
      <c r="Q722" s="147"/>
    </row>
    <row r="723" spans="17:17">
      <c r="Q723" s="147"/>
    </row>
    <row r="724" spans="17:17">
      <c r="Q724" s="147"/>
    </row>
    <row r="725" spans="17:17">
      <c r="Q725" s="147"/>
    </row>
    <row r="726" spans="17:17">
      <c r="Q726" s="147"/>
    </row>
    <row r="727" spans="17:17">
      <c r="Q727" s="147"/>
    </row>
    <row r="728" spans="17:17">
      <c r="Q728" s="147"/>
    </row>
    <row r="729" spans="17:17">
      <c r="Q729" s="147"/>
    </row>
    <row r="730" spans="17:17">
      <c r="Q730" s="147"/>
    </row>
    <row r="731" spans="17:17">
      <c r="Q731" s="147"/>
    </row>
    <row r="732" spans="17:17">
      <c r="Q732" s="147"/>
    </row>
    <row r="733" spans="17:17">
      <c r="Q733" s="147"/>
    </row>
    <row r="734" spans="17:17">
      <c r="Q734" s="147"/>
    </row>
    <row r="735" spans="17:17">
      <c r="Q735" s="147"/>
    </row>
    <row r="736" spans="17:17">
      <c r="Q736" s="147"/>
    </row>
    <row r="737" spans="17:17">
      <c r="Q737" s="147"/>
    </row>
    <row r="738" spans="17:17">
      <c r="Q738" s="147"/>
    </row>
    <row r="739" spans="17:17">
      <c r="Q739" s="147"/>
    </row>
    <row r="740" spans="17:17">
      <c r="Q740" s="147"/>
    </row>
    <row r="741" spans="17:17">
      <c r="Q741" s="147"/>
    </row>
    <row r="742" spans="17:17">
      <c r="Q742" s="147"/>
    </row>
    <row r="743" spans="17:17">
      <c r="Q743" s="147"/>
    </row>
    <row r="744" spans="17:17">
      <c r="Q744" s="147"/>
    </row>
    <row r="745" spans="17:17">
      <c r="Q745" s="147"/>
    </row>
    <row r="746" spans="17:17">
      <c r="Q746" s="147"/>
    </row>
    <row r="747" spans="17:17">
      <c r="Q747" s="147"/>
    </row>
    <row r="748" spans="17:17">
      <c r="Q748" s="147"/>
    </row>
    <row r="749" spans="17:17">
      <c r="Q749" s="147"/>
    </row>
    <row r="750" spans="17:17">
      <c r="Q750" s="147"/>
    </row>
    <row r="751" spans="17:17">
      <c r="Q751" s="147"/>
    </row>
    <row r="752" spans="17:17">
      <c r="Q752" s="147"/>
    </row>
    <row r="753" spans="17:17">
      <c r="Q753" s="147"/>
    </row>
    <row r="754" spans="17:17">
      <c r="Q754" s="147"/>
    </row>
    <row r="755" spans="17:17">
      <c r="Q755" s="147"/>
    </row>
    <row r="756" spans="17:17">
      <c r="Q756" s="147"/>
    </row>
    <row r="757" spans="17:17">
      <c r="Q757" s="147"/>
    </row>
    <row r="758" spans="17:17">
      <c r="Q758" s="147"/>
    </row>
    <row r="759" spans="17:17">
      <c r="Q759" s="147"/>
    </row>
    <row r="760" spans="17:17">
      <c r="Q760" s="147"/>
    </row>
    <row r="761" spans="17:17">
      <c r="Q761" s="147"/>
    </row>
    <row r="762" spans="17:17">
      <c r="Q762" s="147"/>
    </row>
    <row r="763" spans="17:17">
      <c r="Q763" s="147"/>
    </row>
    <row r="764" spans="17:17">
      <c r="Q764" s="147"/>
    </row>
    <row r="765" spans="17:17">
      <c r="Q765" s="147"/>
    </row>
    <row r="766" spans="17:17">
      <c r="Q766" s="147"/>
    </row>
    <row r="767" spans="17:17">
      <c r="Q767" s="147"/>
    </row>
    <row r="768" spans="17:17">
      <c r="Q768" s="147"/>
    </row>
    <row r="769" spans="17:17">
      <c r="Q769" s="147"/>
    </row>
    <row r="770" spans="17:17">
      <c r="Q770" s="147"/>
    </row>
    <row r="771" spans="17:17">
      <c r="Q771" s="147"/>
    </row>
    <row r="772" spans="17:17">
      <c r="Q772" s="147"/>
    </row>
    <row r="773" spans="17:17">
      <c r="Q773" s="147"/>
    </row>
    <row r="774" spans="17:17">
      <c r="Q774" s="147"/>
    </row>
    <row r="775" spans="17:17">
      <c r="Q775" s="147"/>
    </row>
    <row r="776" spans="17:17">
      <c r="Q776" s="147"/>
    </row>
    <row r="777" spans="17:17">
      <c r="Q777" s="147"/>
    </row>
    <row r="778" spans="17:17">
      <c r="Q778" s="147"/>
    </row>
    <row r="779" spans="17:17">
      <c r="Q779" s="147"/>
    </row>
    <row r="780" spans="17:17">
      <c r="Q780" s="147"/>
    </row>
    <row r="781" spans="17:17">
      <c r="Q781" s="147"/>
    </row>
    <row r="782" spans="17:17">
      <c r="Q782" s="147"/>
    </row>
    <row r="783" spans="17:17">
      <c r="Q783" s="147"/>
    </row>
    <row r="784" spans="17:17">
      <c r="Q784" s="147"/>
    </row>
    <row r="785" spans="17:17">
      <c r="Q785" s="147"/>
    </row>
    <row r="786" spans="17:17">
      <c r="Q786" s="147"/>
    </row>
    <row r="787" spans="17:17">
      <c r="Q787" s="147"/>
    </row>
    <row r="788" spans="17:17">
      <c r="Q788" s="147"/>
    </row>
    <row r="789" spans="17:17">
      <c r="Q789" s="147"/>
    </row>
    <row r="790" spans="17:17">
      <c r="Q790" s="147"/>
    </row>
    <row r="791" spans="17:17">
      <c r="Q791" s="147"/>
    </row>
    <row r="792" spans="17:17">
      <c r="Q792" s="147"/>
    </row>
    <row r="793" spans="17:17">
      <c r="Q793" s="147"/>
    </row>
    <row r="794" spans="17:17">
      <c r="Q794" s="147"/>
    </row>
    <row r="795" spans="17:17">
      <c r="Q795" s="147"/>
    </row>
    <row r="796" spans="17:17">
      <c r="Q796" s="147"/>
    </row>
    <row r="797" spans="17:17">
      <c r="Q797" s="147"/>
    </row>
    <row r="798" spans="17:17">
      <c r="Q798" s="147"/>
    </row>
    <row r="799" spans="17:17">
      <c r="Q799" s="147"/>
    </row>
    <row r="800" spans="17:17">
      <c r="Q800" s="147"/>
    </row>
    <row r="801" spans="17:17">
      <c r="Q801" s="147"/>
    </row>
    <row r="802" spans="17:17">
      <c r="Q802" s="147"/>
    </row>
    <row r="803" spans="17:17">
      <c r="Q803" s="147"/>
    </row>
    <row r="804" spans="17:17">
      <c r="Q804" s="147"/>
    </row>
    <row r="805" spans="17:17">
      <c r="Q805" s="147"/>
    </row>
    <row r="806" spans="17:17">
      <c r="Q806" s="147"/>
    </row>
    <row r="807" spans="17:17">
      <c r="Q807" s="147"/>
    </row>
    <row r="808" spans="17:17">
      <c r="Q808" s="147"/>
    </row>
    <row r="809" spans="17:17">
      <c r="Q809" s="147"/>
    </row>
    <row r="810" spans="17:17">
      <c r="Q810" s="147"/>
    </row>
    <row r="811" spans="17:17">
      <c r="Q811" s="147"/>
    </row>
    <row r="812" spans="17:17">
      <c r="Q812" s="147"/>
    </row>
    <row r="813" spans="17:17">
      <c r="Q813" s="147"/>
    </row>
    <row r="814" spans="17:17">
      <c r="Q814" s="147"/>
    </row>
    <row r="815" spans="17:17">
      <c r="Q815" s="147"/>
    </row>
    <row r="816" spans="17:17">
      <c r="Q816" s="147"/>
    </row>
    <row r="817" spans="17:17">
      <c r="Q817" s="147"/>
    </row>
    <row r="818" spans="17:17">
      <c r="Q818" s="147"/>
    </row>
    <row r="819" spans="17:17">
      <c r="Q819" s="147"/>
    </row>
    <row r="820" spans="17:17">
      <c r="Q820" s="147"/>
    </row>
    <row r="821" spans="17:17">
      <c r="Q821" s="147"/>
    </row>
    <row r="822" spans="17:17">
      <c r="Q822" s="147"/>
    </row>
    <row r="823" spans="17:17">
      <c r="Q823" s="147"/>
    </row>
    <row r="824" spans="17:17">
      <c r="Q824" s="147"/>
    </row>
    <row r="825" spans="17:17">
      <c r="Q825" s="147"/>
    </row>
    <row r="826" spans="17:17">
      <c r="Q826" s="147"/>
    </row>
    <row r="827" spans="17:17">
      <c r="Q827" s="147"/>
    </row>
    <row r="828" spans="17:17">
      <c r="Q828" s="147"/>
    </row>
    <row r="829" spans="17:17">
      <c r="Q829" s="147"/>
    </row>
    <row r="830" spans="17:17">
      <c r="Q830" s="147"/>
    </row>
    <row r="831" spans="17:17">
      <c r="Q831" s="147"/>
    </row>
    <row r="832" spans="17:17">
      <c r="Q832" s="147"/>
    </row>
    <row r="833" spans="17:17">
      <c r="Q833" s="147"/>
    </row>
    <row r="834" spans="17:17">
      <c r="Q834" s="147"/>
    </row>
    <row r="835" spans="17:17">
      <c r="Q835" s="147"/>
    </row>
    <row r="836" spans="17:17">
      <c r="Q836" s="147"/>
    </row>
    <row r="837" spans="17:17">
      <c r="Q837" s="147"/>
    </row>
    <row r="838" spans="17:17">
      <c r="Q838" s="147"/>
    </row>
    <row r="839" spans="17:17">
      <c r="Q839" s="147"/>
    </row>
    <row r="840" spans="17:17">
      <c r="Q840" s="147"/>
    </row>
    <row r="841" spans="17:17">
      <c r="Q841" s="147"/>
    </row>
    <row r="842" spans="17:17">
      <c r="Q842" s="147"/>
    </row>
    <row r="843" spans="17:17">
      <c r="Q843" s="147"/>
    </row>
    <row r="844" spans="17:17">
      <c r="Q844" s="147"/>
    </row>
    <row r="845" spans="17:17">
      <c r="Q845" s="147"/>
    </row>
    <row r="846" spans="17:17">
      <c r="Q846" s="147"/>
    </row>
    <row r="847" spans="17:17">
      <c r="Q847" s="147"/>
    </row>
    <row r="848" spans="17:17">
      <c r="Q848" s="147"/>
    </row>
    <row r="849" spans="17:17">
      <c r="Q849" s="147"/>
    </row>
    <row r="850" spans="17:17">
      <c r="Q850" s="147"/>
    </row>
    <row r="851" spans="17:17">
      <c r="Q851" s="147"/>
    </row>
    <row r="852" spans="17:17">
      <c r="Q852" s="147"/>
    </row>
    <row r="853" spans="17:17">
      <c r="Q853" s="147"/>
    </row>
    <row r="854" spans="17:17">
      <c r="Q854" s="147"/>
    </row>
    <row r="855" spans="17:17">
      <c r="Q855" s="147"/>
    </row>
    <row r="856" spans="17:17">
      <c r="Q856" s="147"/>
    </row>
    <row r="857" spans="17:17">
      <c r="Q857" s="147"/>
    </row>
    <row r="858" spans="17:17">
      <c r="Q858" s="147"/>
    </row>
    <row r="859" spans="17:17">
      <c r="Q859" s="147"/>
    </row>
    <row r="860" spans="17:17">
      <c r="Q860" s="147"/>
    </row>
    <row r="861" spans="17:17">
      <c r="Q861" s="147"/>
    </row>
    <row r="862" spans="17:17">
      <c r="Q862" s="147"/>
    </row>
    <row r="863" spans="17:17">
      <c r="Q863" s="147"/>
    </row>
    <row r="864" spans="17:17">
      <c r="Q864" s="147"/>
    </row>
    <row r="865" spans="17:17">
      <c r="Q865" s="147"/>
    </row>
    <row r="866" spans="17:17">
      <c r="Q866" s="147"/>
    </row>
    <row r="867" spans="17:17">
      <c r="Q867" s="147"/>
    </row>
    <row r="868" spans="17:17">
      <c r="Q868" s="147"/>
    </row>
    <row r="869" spans="17:17">
      <c r="Q869" s="147"/>
    </row>
    <row r="870" spans="17:17">
      <c r="Q870" s="147"/>
    </row>
    <row r="871" spans="17:17">
      <c r="Q871" s="147"/>
    </row>
    <row r="872" spans="17:17">
      <c r="Q872" s="147"/>
    </row>
    <row r="873" spans="17:17">
      <c r="Q873" s="147"/>
    </row>
    <row r="874" spans="17:17">
      <c r="Q874" s="147"/>
    </row>
    <row r="875" spans="17:17">
      <c r="Q875" s="147"/>
    </row>
    <row r="876" spans="17:17">
      <c r="Q876" s="147"/>
    </row>
    <row r="877" spans="17:17">
      <c r="Q877" s="147"/>
    </row>
    <row r="878" spans="17:17">
      <c r="Q878" s="147"/>
    </row>
    <row r="879" spans="17:17">
      <c r="Q879" s="147"/>
    </row>
    <row r="880" spans="17:17">
      <c r="Q880" s="147"/>
    </row>
    <row r="881" spans="17:17">
      <c r="Q881" s="147"/>
    </row>
    <row r="882" spans="17:17">
      <c r="Q882" s="147"/>
    </row>
    <row r="883" spans="17:17">
      <c r="Q883" s="147"/>
    </row>
    <row r="884" spans="17:17">
      <c r="Q884" s="147"/>
    </row>
    <row r="885" spans="17:17">
      <c r="Q885" s="147"/>
    </row>
    <row r="886" spans="17:17">
      <c r="Q886" s="147"/>
    </row>
    <row r="887" spans="17:17">
      <c r="Q887" s="147"/>
    </row>
    <row r="888" spans="17:17">
      <c r="Q888" s="147"/>
    </row>
    <row r="889" spans="17:17">
      <c r="Q889" s="147"/>
    </row>
    <row r="890" spans="17:17">
      <c r="Q890" s="147"/>
    </row>
    <row r="891" spans="17:17">
      <c r="Q891" s="147"/>
    </row>
    <row r="892" spans="17:17">
      <c r="Q892" s="147"/>
    </row>
    <row r="893" spans="17:17">
      <c r="Q893" s="147"/>
    </row>
    <row r="894" spans="17:17">
      <c r="Q894" s="147"/>
    </row>
    <row r="895" spans="17:17">
      <c r="Q895" s="147"/>
    </row>
    <row r="896" spans="17:17">
      <c r="Q896" s="147"/>
    </row>
    <row r="897" spans="17:17">
      <c r="Q897" s="147"/>
    </row>
    <row r="898" spans="17:17">
      <c r="Q898" s="147"/>
    </row>
    <row r="899" spans="17:17">
      <c r="Q899" s="147"/>
    </row>
    <row r="900" spans="17:17">
      <c r="Q900" s="147"/>
    </row>
    <row r="901" spans="17:17">
      <c r="Q901" s="147"/>
    </row>
    <row r="902" spans="17:17">
      <c r="Q902" s="147"/>
    </row>
    <row r="903" spans="17:17">
      <c r="Q903" s="147"/>
    </row>
    <row r="904" spans="17:17">
      <c r="Q904" s="147"/>
    </row>
    <row r="905" spans="17:17">
      <c r="Q905" s="147"/>
    </row>
    <row r="906" spans="17:17">
      <c r="Q906" s="147"/>
    </row>
    <row r="907" spans="17:17">
      <c r="Q907" s="147"/>
    </row>
    <row r="908" spans="17:17">
      <c r="Q908" s="147"/>
    </row>
    <row r="909" spans="17:17">
      <c r="Q909" s="147"/>
    </row>
    <row r="910" spans="17:17">
      <c r="Q910" s="147"/>
    </row>
    <row r="911" spans="17:17">
      <c r="Q911" s="147"/>
    </row>
    <row r="912" spans="17:17">
      <c r="Q912" s="147"/>
    </row>
    <row r="913" spans="17:17">
      <c r="Q913" s="147"/>
    </row>
    <row r="914" spans="17:17">
      <c r="Q914" s="147"/>
    </row>
    <row r="915" spans="17:17">
      <c r="Q915" s="147"/>
    </row>
    <row r="916" spans="17:17">
      <c r="Q916" s="147"/>
    </row>
    <row r="917" spans="17:17">
      <c r="Q917" s="147"/>
    </row>
    <row r="918" spans="17:17">
      <c r="Q918" s="147"/>
    </row>
    <row r="919" spans="17:17">
      <c r="Q919" s="147"/>
    </row>
    <row r="920" spans="17:17">
      <c r="Q920" s="147"/>
    </row>
    <row r="921" spans="17:17">
      <c r="Q921" s="147"/>
    </row>
    <row r="922" spans="17:17">
      <c r="Q922" s="147"/>
    </row>
    <row r="923" spans="17:17">
      <c r="Q923" s="147"/>
    </row>
    <row r="924" spans="17:17">
      <c r="Q924" s="147"/>
    </row>
    <row r="925" spans="17:17">
      <c r="Q925" s="147"/>
    </row>
    <row r="926" spans="17:17">
      <c r="Q926" s="147"/>
    </row>
    <row r="927" spans="17:17">
      <c r="Q927" s="147"/>
    </row>
    <row r="928" spans="17:17">
      <c r="Q928" s="147"/>
    </row>
    <row r="929" spans="17:17">
      <c r="Q929" s="147"/>
    </row>
    <row r="930" spans="17:17">
      <c r="Q930" s="147"/>
    </row>
    <row r="931" spans="17:17">
      <c r="Q931" s="147"/>
    </row>
    <row r="932" spans="17:17">
      <c r="Q932" s="147"/>
    </row>
    <row r="933" spans="17:17">
      <c r="Q933" s="147"/>
    </row>
    <row r="934" spans="17:17">
      <c r="Q934" s="147"/>
    </row>
    <row r="935" spans="17:17">
      <c r="Q935" s="147"/>
    </row>
    <row r="936" spans="17:17">
      <c r="Q936" s="147"/>
    </row>
    <row r="937" spans="17:17">
      <c r="Q937" s="147"/>
    </row>
    <row r="938" spans="17:17">
      <c r="Q938" s="147"/>
    </row>
    <row r="939" spans="17:17">
      <c r="Q939" s="147"/>
    </row>
    <row r="940" spans="17:17">
      <c r="Q940" s="147"/>
    </row>
    <row r="941" spans="17:17">
      <c r="Q941" s="147"/>
    </row>
    <row r="942" spans="17:17">
      <c r="Q942" s="147"/>
    </row>
    <row r="943" spans="17:17">
      <c r="Q943" s="147"/>
    </row>
    <row r="944" spans="17:17">
      <c r="Q944" s="147"/>
    </row>
    <row r="945" spans="17:17">
      <c r="Q945" s="147"/>
    </row>
    <row r="946" spans="17:17">
      <c r="Q946" s="147"/>
    </row>
    <row r="947" spans="17:17">
      <c r="Q947" s="147"/>
    </row>
    <row r="948" spans="17:17">
      <c r="Q948" s="147"/>
    </row>
    <row r="949" spans="17:17">
      <c r="Q949" s="147"/>
    </row>
    <row r="950" spans="17:17">
      <c r="Q950" s="147"/>
    </row>
    <row r="951" spans="17:17">
      <c r="Q951" s="147"/>
    </row>
    <row r="952" spans="17:17">
      <c r="Q952" s="147"/>
    </row>
    <row r="953" spans="17:17">
      <c r="Q953" s="147"/>
    </row>
    <row r="954" spans="17:17">
      <c r="Q954" s="147"/>
    </row>
    <row r="955" spans="17:17">
      <c r="Q955" s="147"/>
    </row>
    <row r="956" spans="17:17">
      <c r="Q956" s="147"/>
    </row>
    <row r="957" spans="17:17">
      <c r="Q957" s="147"/>
    </row>
    <row r="958" spans="17:17">
      <c r="Q958" s="147"/>
    </row>
    <row r="959" spans="17:17">
      <c r="Q959" s="147"/>
    </row>
    <row r="960" spans="17:17">
      <c r="Q960" s="147"/>
    </row>
    <row r="961" spans="17:17">
      <c r="Q961" s="147"/>
    </row>
    <row r="962" spans="17:17">
      <c r="Q962" s="147"/>
    </row>
    <row r="963" spans="17:17">
      <c r="Q963" s="147"/>
    </row>
    <row r="964" spans="17:17">
      <c r="Q964" s="147"/>
    </row>
    <row r="965" spans="17:17">
      <c r="Q965" s="147"/>
    </row>
    <row r="966" spans="17:17">
      <c r="Q966" s="147"/>
    </row>
    <row r="967" spans="17:17">
      <c r="Q967" s="147"/>
    </row>
    <row r="968" spans="17:17">
      <c r="Q968" s="147"/>
    </row>
    <row r="969" spans="17:17">
      <c r="Q969" s="147"/>
    </row>
    <row r="970" spans="17:17">
      <c r="Q970" s="147"/>
    </row>
    <row r="971" spans="17:17">
      <c r="Q971" s="147"/>
    </row>
    <row r="972" spans="17:17">
      <c r="Q972" s="147"/>
    </row>
    <row r="973" spans="17:17">
      <c r="Q973" s="147"/>
    </row>
    <row r="974" spans="17:17">
      <c r="Q974" s="147"/>
    </row>
    <row r="975" spans="17:17">
      <c r="Q975" s="147"/>
    </row>
    <row r="976" spans="17:17">
      <c r="Q976" s="147"/>
    </row>
    <row r="977" spans="17:17">
      <c r="Q977" s="147"/>
    </row>
    <row r="978" spans="17:17">
      <c r="Q978" s="147"/>
    </row>
    <row r="979" spans="17:17">
      <c r="Q979" s="147"/>
    </row>
    <row r="980" spans="17:17">
      <c r="Q980" s="147"/>
    </row>
    <row r="981" spans="17:17">
      <c r="Q981" s="147"/>
    </row>
    <row r="982" spans="17:17">
      <c r="Q982" s="147"/>
    </row>
    <row r="983" spans="17:17">
      <c r="Q983" s="147"/>
    </row>
    <row r="984" spans="17:17">
      <c r="Q984" s="147"/>
    </row>
    <row r="985" spans="17:17">
      <c r="Q985" s="147"/>
    </row>
    <row r="986" spans="17:17">
      <c r="Q986" s="147"/>
    </row>
    <row r="987" spans="17:17">
      <c r="Q987" s="147"/>
    </row>
    <row r="988" spans="17:17">
      <c r="Q988" s="147"/>
    </row>
    <row r="989" spans="17:17">
      <c r="Q989" s="147"/>
    </row>
    <row r="990" spans="17:17">
      <c r="Q990" s="147"/>
    </row>
    <row r="991" spans="17:17">
      <c r="Q991" s="147"/>
    </row>
    <row r="992" spans="17:17">
      <c r="Q992" s="147"/>
    </row>
    <row r="993" spans="17:17">
      <c r="Q993" s="147"/>
    </row>
    <row r="994" spans="17:17">
      <c r="Q994" s="147"/>
    </row>
    <row r="995" spans="17:17">
      <c r="Q995" s="147"/>
    </row>
    <row r="996" spans="17:17">
      <c r="Q996" s="147"/>
    </row>
    <row r="997" spans="17:17">
      <c r="Q997" s="147"/>
    </row>
    <row r="998" spans="17:17">
      <c r="Q998" s="147"/>
    </row>
    <row r="999" spans="17:17">
      <c r="Q999" s="147"/>
    </row>
    <row r="1000" spans="17:17">
      <c r="Q1000" s="147"/>
    </row>
    <row r="1001" spans="17:17">
      <c r="Q1001" s="147"/>
    </row>
    <row r="1002" spans="17:17">
      <c r="Q1002" s="147"/>
    </row>
    <row r="1003" spans="17:17">
      <c r="Q1003" s="147"/>
    </row>
    <row r="1004" spans="17:17">
      <c r="Q1004" s="147"/>
    </row>
    <row r="1005" spans="17:17">
      <c r="Q1005" s="147"/>
    </row>
    <row r="1006" spans="17:17">
      <c r="Q1006" s="147"/>
    </row>
    <row r="1007" spans="17:17">
      <c r="Q1007" s="147"/>
    </row>
    <row r="1008" spans="17:17">
      <c r="Q1008" s="147"/>
    </row>
    <row r="1009" spans="17:17">
      <c r="Q1009" s="147"/>
    </row>
    <row r="1010" spans="17:17">
      <c r="Q1010" s="147"/>
    </row>
    <row r="1011" spans="17:17">
      <c r="Q1011" s="147"/>
    </row>
    <row r="1012" spans="17:17">
      <c r="Q1012" s="147"/>
    </row>
    <row r="1013" spans="17:17">
      <c r="Q1013" s="147"/>
    </row>
    <row r="1014" spans="17:17">
      <c r="Q1014" s="147"/>
    </row>
    <row r="1015" spans="17:17">
      <c r="Q1015" s="147"/>
    </row>
    <row r="1016" spans="17:17">
      <c r="Q1016" s="147"/>
    </row>
  </sheetData>
  <phoneticPr fontId="10"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第1题</vt:lpstr>
      <vt:lpstr>第2题</vt:lpstr>
      <vt:lpstr>第3题</vt:lpstr>
      <vt:lpstr>第4题</vt:lpstr>
      <vt:lpstr>第5题</vt:lpstr>
      <vt:lpstr>第6题</vt:lpstr>
      <vt:lpstr>第7题</vt:lpstr>
      <vt:lpstr>第8题</vt:lpstr>
    </vt:vector>
  </TitlesOfParts>
  <Company>上海财经大学</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CaoFeng</dc:creator>
  <cp:lastModifiedBy>C02</cp:lastModifiedBy>
  <dcterms:created xsi:type="dcterms:W3CDTF">2010-12-28T07:11:34Z</dcterms:created>
  <dcterms:modified xsi:type="dcterms:W3CDTF">2017-05-24T12:58:34Z</dcterms:modified>
</cp:coreProperties>
</file>