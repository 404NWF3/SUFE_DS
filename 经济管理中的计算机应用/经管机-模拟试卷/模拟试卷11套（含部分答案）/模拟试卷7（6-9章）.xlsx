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7665" yWindow="-15" windowWidth="7650" windowHeight="8175"/>
  </bookViews>
  <sheets>
    <sheet name="考试须知" sheetId="7" r:id="rId1"/>
    <sheet name="第1题" sheetId="8" r:id="rId2"/>
    <sheet name="第2题" sheetId="9" r:id="rId3"/>
    <sheet name="第3题" sheetId="10" r:id="rId4"/>
    <sheet name="第4题" sheetId="11" r:id="rId5"/>
    <sheet name="第5题" sheetId="12" r:id="rId6"/>
    <sheet name="第6题" sheetId="13" r:id="rId7"/>
    <sheet name="第7题" sheetId="14" r:id="rId8"/>
    <sheet name="第8题" sheetId="15" r:id="rId9"/>
  </sheets>
  <definedNames>
    <definedName name="solver_cvg" localSheetId="5" hidden="1">0.0001</definedName>
    <definedName name="solver_drv" localSheetId="5" hidden="1">1</definedName>
    <definedName name="solver_est" localSheetId="5" hidden="1">1</definedName>
    <definedName name="solver_itr" localSheetId="5" hidden="1">100</definedName>
    <definedName name="solver_lhs1" localSheetId="5" hidden="1">第5题!$L$11:$L$13</definedName>
    <definedName name="solver_lhs2" localSheetId="5" hidden="1">第5题!$C$11:$C$13</definedName>
    <definedName name="solver_lhs3" localSheetId="5" hidden="1">第5题!$F$11:$F$13</definedName>
    <definedName name="solver_lhs4" localSheetId="5" hidden="1">第5题!$D$11</definedName>
    <definedName name="solver_lhs5" localSheetId="5" hidden="1">第5题!$D$13</definedName>
    <definedName name="solver_lhs6" localSheetId="5" hidden="1">第5题!$G$11</definedName>
    <definedName name="solver_lhs7" localSheetId="5" hidden="1">第5题!$G$13</definedName>
    <definedName name="solver_lhs8" localSheetId="5" hidden="1">第5题!$J$13</definedName>
    <definedName name="solver_lhs9" localSheetId="5" hidden="1">第5题!$I$11:$I$13</definedName>
    <definedName name="solver_lin" localSheetId="5" hidden="1">2</definedName>
    <definedName name="solver_neg" localSheetId="5" hidden="1">2</definedName>
    <definedName name="solver_num" localSheetId="5" hidden="1">0</definedName>
    <definedName name="solver_nwt" localSheetId="5" hidden="1">1</definedName>
    <definedName name="solver_pre" localSheetId="5" hidden="1">0.000001</definedName>
    <definedName name="solver_rel1" localSheetId="5" hidden="1">1</definedName>
    <definedName name="solver_rel2" localSheetId="5" hidden="1">3</definedName>
    <definedName name="solver_rel3" localSheetId="5" hidden="1">3</definedName>
    <definedName name="solver_rel4" localSheetId="5" hidden="1">3</definedName>
    <definedName name="solver_rel5" localSheetId="5" hidden="1">1</definedName>
    <definedName name="solver_rel6" localSheetId="5" hidden="1">3</definedName>
    <definedName name="solver_rel7" localSheetId="5" hidden="1">1</definedName>
    <definedName name="solver_rel8" localSheetId="5" hidden="1">1</definedName>
    <definedName name="solver_rel9" localSheetId="5" hidden="1">3</definedName>
    <definedName name="solver_rhs1" localSheetId="5" hidden="1">第5题!$N$11:$N$13</definedName>
    <definedName name="solver_rhs2" localSheetId="5" hidden="1">1</definedName>
    <definedName name="solver_rhs3" localSheetId="5" hidden="1">1</definedName>
    <definedName name="solver_rhs4" localSheetId="5" hidden="1">第5题!$E$11</definedName>
    <definedName name="solver_rhs5" localSheetId="5" hidden="1">第5题!$E$13</definedName>
    <definedName name="solver_rhs6" localSheetId="5" hidden="1">第5题!$H$11</definedName>
    <definedName name="solver_rhs7" localSheetId="5" hidden="1">第5题!$H$13</definedName>
    <definedName name="solver_rhs8" localSheetId="5" hidden="1">第5题!$K$13</definedName>
    <definedName name="solver_rhs9" localSheetId="5" hidden="1">1</definedName>
    <definedName name="solver_scl" localSheetId="5" hidden="1">2</definedName>
    <definedName name="solver_sho" localSheetId="5" hidden="1">2</definedName>
    <definedName name="solver_tim" localSheetId="5" hidden="1">100</definedName>
    <definedName name="solver_tol" localSheetId="5" hidden="1">0.05</definedName>
    <definedName name="solver_typ" localSheetId="5" hidden="1">1</definedName>
    <definedName name="solver_val" localSheetId="5" hidden="1">0</definedName>
  </definedNames>
  <calcPr calcId="145621"/>
</workbook>
</file>

<file path=xl/calcChain.xml><?xml version="1.0" encoding="utf-8"?>
<calcChain xmlns="http://schemas.openxmlformats.org/spreadsheetml/2006/main">
  <c r="D8" i="9" l="1"/>
  <c r="E8" i="9"/>
  <c r="E11" i="9"/>
  <c r="J15" i="7"/>
</calcChain>
</file>

<file path=xl/sharedStrings.xml><?xml version="1.0" encoding="utf-8"?>
<sst xmlns="http://schemas.openxmlformats.org/spreadsheetml/2006/main" count="134" uniqueCount="124">
  <si>
    <t>姓名</t>
    <phoneticPr fontId="2" type="noConversion"/>
  </si>
  <si>
    <t>未考</t>
    <phoneticPr fontId="2" type="noConversion"/>
  </si>
  <si>
    <t>学号</t>
    <phoneticPr fontId="2" type="noConversion"/>
  </si>
  <si>
    <t>第2题</t>
  </si>
  <si>
    <t>第3题</t>
  </si>
  <si>
    <t>第4题</t>
  </si>
  <si>
    <t>题目</t>
    <phoneticPr fontId="2" type="noConversion"/>
  </si>
  <si>
    <t>总分</t>
    <phoneticPr fontId="2" type="noConversion"/>
  </si>
  <si>
    <t>第5题</t>
  </si>
  <si>
    <t>第6题</t>
  </si>
  <si>
    <t>第7题</t>
  </si>
  <si>
    <t>分值</t>
    <phoneticPr fontId="2" type="noConversion"/>
  </si>
  <si>
    <t>第8题</t>
  </si>
  <si>
    <t>第1题</t>
    <phoneticPr fontId="2" type="noConversion"/>
  </si>
  <si>
    <t>方案一</t>
    <phoneticPr fontId="2" type="noConversion"/>
  </si>
  <si>
    <t>方案二</t>
    <phoneticPr fontId="2" type="noConversion"/>
  </si>
  <si>
    <t>免租金月份</t>
    <phoneticPr fontId="2" type="noConversion"/>
  </si>
  <si>
    <t>每月租金</t>
    <phoneticPr fontId="2" type="noConversion"/>
  </si>
  <si>
    <t>结论文字</t>
    <phoneticPr fontId="2" type="noConversion"/>
  </si>
  <si>
    <r>
      <t>月份（</t>
    </r>
    <r>
      <rPr>
        <b/>
        <sz val="11"/>
        <rFont val="Arial"/>
        <family val="2"/>
      </rPr>
      <t>T</t>
    </r>
    <r>
      <rPr>
        <b/>
        <sz val="11"/>
        <rFont val="宋体"/>
        <family val="3"/>
        <charset val="134"/>
      </rPr>
      <t>）</t>
    </r>
    <phoneticPr fontId="2" type="noConversion"/>
  </si>
  <si>
    <r>
      <t>T</t>
    </r>
    <r>
      <rPr>
        <b/>
        <sz val="11"/>
        <rFont val="宋体"/>
        <family val="3"/>
        <charset val="134"/>
      </rPr>
      <t>时刻租金</t>
    </r>
    <phoneticPr fontId="2" type="noConversion"/>
  </si>
  <si>
    <r>
      <t>两方案的相对盈亏平衡点</t>
    </r>
    <r>
      <rPr>
        <b/>
        <sz val="11"/>
        <rFont val="Arial"/>
        <family val="2"/>
      </rPr>
      <t>T</t>
    </r>
    <r>
      <rPr>
        <b/>
        <vertAlign val="subscript"/>
        <sz val="11"/>
        <rFont val="Arial"/>
        <family val="2"/>
      </rPr>
      <t>0</t>
    </r>
    <phoneticPr fontId="2" type="noConversion"/>
  </si>
  <si>
    <r>
      <t>T</t>
    </r>
    <r>
      <rPr>
        <b/>
        <vertAlign val="subscript"/>
        <sz val="11"/>
        <rFont val="Arial"/>
        <family val="2"/>
      </rPr>
      <t>0</t>
    </r>
    <r>
      <rPr>
        <b/>
        <sz val="11"/>
        <rFont val="宋体"/>
        <family val="3"/>
        <charset val="134"/>
      </rPr>
      <t>时的租金</t>
    </r>
    <phoneticPr fontId="2" type="noConversion"/>
  </si>
  <si>
    <t>单价折扣率</t>
    <phoneticPr fontId="2" type="noConversion"/>
  </si>
  <si>
    <t>折扣阈限值1</t>
    <phoneticPr fontId="2" type="noConversion"/>
  </si>
  <si>
    <t>单价折扣率2</t>
    <phoneticPr fontId="2" type="noConversion"/>
  </si>
  <si>
    <t>折扣阈限值2</t>
    <phoneticPr fontId="2" type="noConversion"/>
  </si>
  <si>
    <t>年需求量</t>
    <phoneticPr fontId="2" type="noConversion"/>
  </si>
  <si>
    <t>一次订货的订货成本</t>
    <phoneticPr fontId="2" type="noConversion"/>
  </si>
  <si>
    <t>单位年储存成本</t>
    <phoneticPr fontId="2" type="noConversion"/>
  </si>
  <si>
    <t>名义采购单价</t>
    <phoneticPr fontId="2" type="noConversion"/>
  </si>
  <si>
    <t>实际采购单价</t>
    <phoneticPr fontId="2" type="noConversion"/>
  </si>
  <si>
    <t>订货量</t>
    <phoneticPr fontId="2" type="noConversion"/>
  </si>
  <si>
    <t>年订货成本</t>
    <phoneticPr fontId="2" type="noConversion"/>
  </si>
  <si>
    <t>年储存成本</t>
    <phoneticPr fontId="2" type="noConversion"/>
  </si>
  <si>
    <t>年采购成本</t>
    <phoneticPr fontId="2" type="noConversion"/>
  </si>
  <si>
    <t>年总成本</t>
    <phoneticPr fontId="2" type="noConversion"/>
  </si>
  <si>
    <r>
      <t>经济订货量</t>
    </r>
    <r>
      <rPr>
        <b/>
        <sz val="11"/>
        <rFont val="Arial"/>
        <family val="2"/>
      </rPr>
      <t>(EOQ)</t>
    </r>
    <phoneticPr fontId="2" type="noConversion"/>
  </si>
  <si>
    <r>
      <t>EOQ</t>
    </r>
    <r>
      <rPr>
        <b/>
        <sz val="11"/>
        <rFont val="宋体"/>
        <family val="3"/>
        <charset val="134"/>
      </rPr>
      <t>下的年订货成本</t>
    </r>
    <phoneticPr fontId="2" type="noConversion"/>
  </si>
  <si>
    <r>
      <t>EOQ</t>
    </r>
    <r>
      <rPr>
        <b/>
        <sz val="11"/>
        <rFont val="宋体"/>
        <family val="3"/>
        <charset val="134"/>
      </rPr>
      <t>下的年储存成本</t>
    </r>
    <phoneticPr fontId="2" type="noConversion"/>
  </si>
  <si>
    <r>
      <t>EOQ</t>
    </r>
    <r>
      <rPr>
        <b/>
        <sz val="11"/>
        <rFont val="宋体"/>
        <family val="3"/>
        <charset val="134"/>
      </rPr>
      <t>下的年采购成本</t>
    </r>
    <phoneticPr fontId="2" type="noConversion"/>
  </si>
  <si>
    <r>
      <t>EOQ</t>
    </r>
    <r>
      <rPr>
        <b/>
        <sz val="11"/>
        <rFont val="宋体"/>
        <family val="3"/>
        <charset val="134"/>
      </rPr>
      <t>下的年总成本</t>
    </r>
    <phoneticPr fontId="2" type="noConversion"/>
  </si>
  <si>
    <t>原料</t>
    <phoneticPr fontId="2" type="noConversion"/>
  </si>
  <si>
    <t>甲</t>
    <phoneticPr fontId="2" type="noConversion"/>
  </si>
  <si>
    <t>乙</t>
    <phoneticPr fontId="2" type="noConversion"/>
  </si>
  <si>
    <t>丙</t>
    <phoneticPr fontId="2" type="noConversion"/>
  </si>
  <si>
    <t>每月限制用量（公斤）</t>
    <phoneticPr fontId="2" type="noConversion"/>
  </si>
  <si>
    <r>
      <t>原料成本
（元</t>
    </r>
    <r>
      <rPr>
        <b/>
        <sz val="11"/>
        <color indexed="8"/>
        <rFont val="Arial"/>
        <family val="2"/>
      </rPr>
      <t>/</t>
    </r>
    <r>
      <rPr>
        <b/>
        <sz val="11"/>
        <color indexed="8"/>
        <rFont val="宋体"/>
        <family val="3"/>
        <charset val="134"/>
      </rPr>
      <t>公斤）</t>
    </r>
    <phoneticPr fontId="2" type="noConversion"/>
  </si>
  <si>
    <t>A</t>
    <phoneticPr fontId="2" type="noConversion"/>
  </si>
  <si>
    <t>&gt;=60%</t>
    <phoneticPr fontId="2" type="noConversion"/>
  </si>
  <si>
    <t>&gt;=15%</t>
    <phoneticPr fontId="2" type="noConversion"/>
  </si>
  <si>
    <t>B</t>
    <phoneticPr fontId="2" type="noConversion"/>
  </si>
  <si>
    <t>C</t>
    <phoneticPr fontId="2" type="noConversion"/>
  </si>
  <si>
    <t>&lt;=20%</t>
    <phoneticPr fontId="2" type="noConversion"/>
  </si>
  <si>
    <t>&lt;=60%</t>
    <phoneticPr fontId="2" type="noConversion"/>
  </si>
  <si>
    <t>&lt;=50%</t>
    <phoneticPr fontId="2" type="noConversion"/>
  </si>
  <si>
    <r>
      <t>加工费
（元</t>
    </r>
    <r>
      <rPr>
        <b/>
        <sz val="11"/>
        <color indexed="8"/>
        <rFont val="Arial"/>
        <family val="2"/>
      </rPr>
      <t>/</t>
    </r>
    <r>
      <rPr>
        <b/>
        <sz val="11"/>
        <color indexed="8"/>
        <rFont val="宋体"/>
        <family val="3"/>
        <charset val="134"/>
      </rPr>
      <t>公斤）</t>
    </r>
    <phoneticPr fontId="2" type="noConversion"/>
  </si>
  <si>
    <r>
      <t>售价
（元</t>
    </r>
    <r>
      <rPr>
        <b/>
        <sz val="11"/>
        <color indexed="8"/>
        <rFont val="Arial"/>
        <family val="2"/>
      </rPr>
      <t>/</t>
    </r>
    <r>
      <rPr>
        <b/>
        <sz val="11"/>
        <color indexed="8"/>
        <rFont val="宋体"/>
        <family val="3"/>
        <charset val="134"/>
      </rPr>
      <t>公斤）</t>
    </r>
    <phoneticPr fontId="2" type="noConversion"/>
  </si>
  <si>
    <t>原料</t>
    <phoneticPr fontId="2" type="noConversion"/>
  </si>
  <si>
    <t>甲</t>
    <phoneticPr fontId="2" type="noConversion"/>
  </si>
  <si>
    <t>含量
比例</t>
    <phoneticPr fontId="2" type="noConversion"/>
  </si>
  <si>
    <t>含量
控制</t>
    <phoneticPr fontId="2" type="noConversion"/>
  </si>
  <si>
    <t>乙</t>
    <phoneticPr fontId="2" type="noConversion"/>
  </si>
  <si>
    <t>丙</t>
    <phoneticPr fontId="2" type="noConversion"/>
  </si>
  <si>
    <t>原料
总量</t>
    <phoneticPr fontId="2" type="noConversion"/>
  </si>
  <si>
    <r>
      <t>原料成本
（元</t>
    </r>
    <r>
      <rPr>
        <b/>
        <sz val="11"/>
        <color indexed="8"/>
        <rFont val="Arial"/>
        <family val="2"/>
      </rPr>
      <t>/</t>
    </r>
    <r>
      <rPr>
        <b/>
        <sz val="11"/>
        <color indexed="8"/>
        <rFont val="宋体"/>
        <family val="3"/>
        <charset val="134"/>
      </rPr>
      <t>公斤）</t>
    </r>
    <phoneticPr fontId="2" type="noConversion"/>
  </si>
  <si>
    <t>每月限制用量（公斤）</t>
    <phoneticPr fontId="2" type="noConversion"/>
  </si>
  <si>
    <t>产量</t>
    <phoneticPr fontId="2" type="noConversion"/>
  </si>
  <si>
    <t>收益</t>
    <phoneticPr fontId="2" type="noConversion"/>
  </si>
  <si>
    <t>成本</t>
    <phoneticPr fontId="2" type="noConversion"/>
  </si>
  <si>
    <t>利润</t>
    <phoneticPr fontId="2" type="noConversion"/>
  </si>
  <si>
    <t>总利润：</t>
    <phoneticPr fontId="2" type="noConversion"/>
  </si>
  <si>
    <t>年数</t>
    <phoneticPr fontId="2" type="noConversion"/>
  </si>
  <si>
    <t>年贴现率</t>
    <phoneticPr fontId="2" type="noConversion"/>
  </si>
  <si>
    <t>附表加插值法：两个项目相等时的年内部报酬率</t>
    <phoneticPr fontId="2" type="noConversion"/>
  </si>
  <si>
    <r>
      <t>A</t>
    </r>
    <r>
      <rPr>
        <b/>
        <sz val="11"/>
        <rFont val="宋体"/>
        <family val="3"/>
        <charset val="134"/>
      </rPr>
      <t>方案设备残值</t>
    </r>
    <phoneticPr fontId="2" type="noConversion"/>
  </si>
  <si>
    <r>
      <t>B</t>
    </r>
    <r>
      <rPr>
        <b/>
        <sz val="11"/>
        <rFont val="宋体"/>
        <family val="3"/>
        <charset val="134"/>
      </rPr>
      <t>方案设备残值</t>
    </r>
    <phoneticPr fontId="2" type="noConversion"/>
  </si>
  <si>
    <t>金额单位：万元</t>
    <phoneticPr fontId="2" type="noConversion"/>
  </si>
  <si>
    <r>
      <t>项目</t>
    </r>
    <r>
      <rPr>
        <b/>
        <sz val="11"/>
        <rFont val="Arial"/>
        <family val="2"/>
      </rPr>
      <t>A</t>
    </r>
    <phoneticPr fontId="2" type="noConversion"/>
  </si>
  <si>
    <r>
      <t>项目</t>
    </r>
    <r>
      <rPr>
        <b/>
        <sz val="11"/>
        <rFont val="Arial"/>
        <family val="2"/>
      </rPr>
      <t>B</t>
    </r>
    <phoneticPr fontId="2" type="noConversion"/>
  </si>
  <si>
    <r>
      <t>第</t>
    </r>
    <r>
      <rPr>
        <b/>
        <sz val="11"/>
        <rFont val="Arial"/>
        <family val="2"/>
      </rPr>
      <t>0</t>
    </r>
    <r>
      <rPr>
        <b/>
        <sz val="11"/>
        <rFont val="宋体"/>
        <family val="3"/>
        <charset val="134"/>
      </rPr>
      <t>年投资额</t>
    </r>
    <phoneticPr fontId="2" type="noConversion"/>
  </si>
  <si>
    <r>
      <t>第</t>
    </r>
    <r>
      <rPr>
        <b/>
        <sz val="11"/>
        <rFont val="Arial"/>
        <family val="2"/>
      </rPr>
      <t>1</t>
    </r>
    <r>
      <rPr>
        <b/>
        <sz val="11"/>
        <rFont val="宋体"/>
        <family val="3"/>
        <charset val="134"/>
      </rPr>
      <t>年至第</t>
    </r>
    <r>
      <rPr>
        <b/>
        <sz val="11"/>
        <rFont val="Arial"/>
        <family val="2"/>
      </rPr>
      <t>3</t>
    </r>
    <r>
      <rPr>
        <b/>
        <sz val="11"/>
        <rFont val="宋体"/>
        <family val="3"/>
        <charset val="134"/>
      </rPr>
      <t>年收益</t>
    </r>
    <phoneticPr fontId="2" type="noConversion"/>
  </si>
  <si>
    <r>
      <t>第</t>
    </r>
    <r>
      <rPr>
        <b/>
        <sz val="11"/>
        <rFont val="Arial"/>
        <family val="2"/>
      </rPr>
      <t>4</t>
    </r>
    <r>
      <rPr>
        <b/>
        <sz val="11"/>
        <rFont val="宋体"/>
        <family val="3"/>
        <charset val="134"/>
      </rPr>
      <t>年维修设备投资金额</t>
    </r>
    <phoneticPr fontId="2" type="noConversion"/>
  </si>
  <si>
    <r>
      <t>第</t>
    </r>
    <r>
      <rPr>
        <b/>
        <sz val="11"/>
        <rFont val="Arial"/>
        <family val="2"/>
      </rPr>
      <t>4</t>
    </r>
    <r>
      <rPr>
        <b/>
        <sz val="11"/>
        <rFont val="宋体"/>
        <family val="3"/>
        <charset val="134"/>
      </rPr>
      <t>年至第</t>
    </r>
    <r>
      <rPr>
        <b/>
        <sz val="11"/>
        <rFont val="Arial"/>
        <family val="2"/>
      </rPr>
      <t>10</t>
    </r>
    <r>
      <rPr>
        <b/>
        <sz val="11"/>
        <rFont val="宋体"/>
        <family val="3"/>
        <charset val="134"/>
      </rPr>
      <t>年收益</t>
    </r>
    <phoneticPr fontId="2" type="noConversion"/>
  </si>
  <si>
    <t>净现值</t>
    <phoneticPr fontId="2" type="noConversion"/>
  </si>
  <si>
    <t>年内部报酬率</t>
    <phoneticPr fontId="2" type="noConversion"/>
  </si>
  <si>
    <t>方案选择结论</t>
    <phoneticPr fontId="2" type="noConversion"/>
  </si>
  <si>
    <t>附表加插值法：两个项目相等时的净现值</t>
    <phoneticPr fontId="2" type="noConversion"/>
  </si>
  <si>
    <t>零件寿命（小时）分布</t>
  </si>
  <si>
    <t>零件寿命</t>
  </si>
  <si>
    <t>零件更换个数</t>
  </si>
  <si>
    <t>更换零件停机成本</t>
  </si>
  <si>
    <t>每分钟停机成本</t>
    <phoneticPr fontId="2" type="noConversion"/>
  </si>
  <si>
    <t>概率</t>
    <phoneticPr fontId="2" type="noConversion"/>
  </si>
  <si>
    <t>累计概率</t>
    <phoneticPr fontId="2" type="noConversion"/>
  </si>
  <si>
    <t>累计寿命</t>
    <phoneticPr fontId="2" type="noConversion"/>
  </si>
  <si>
    <t>延误时间</t>
    <phoneticPr fontId="2" type="noConversion"/>
  </si>
  <si>
    <t>（小时）</t>
    <phoneticPr fontId="2" type="noConversion"/>
  </si>
  <si>
    <t>修理工的到达延误时间下限</t>
    <phoneticPr fontId="2" type="noConversion"/>
  </si>
  <si>
    <t>修理工的到达延误时间上限</t>
    <phoneticPr fontId="2" type="noConversion"/>
  </si>
  <si>
    <t>修理工到达延误时间</t>
    <phoneticPr fontId="2" type="noConversion"/>
  </si>
  <si>
    <t>修理工到达延误时的停机成本</t>
    <phoneticPr fontId="2" type="noConversion"/>
  </si>
  <si>
    <t>更换零件停机时间</t>
    <phoneticPr fontId="2" type="noConversion"/>
  </si>
  <si>
    <r>
      <t>更换</t>
    </r>
    <r>
      <rPr>
        <b/>
        <sz val="11"/>
        <rFont val="Arial"/>
        <family val="2"/>
      </rPr>
      <t>1</t>
    </r>
    <r>
      <rPr>
        <b/>
        <sz val="11"/>
        <rFont val="宋体"/>
        <family val="3"/>
        <charset val="134"/>
      </rPr>
      <t>个零件的时间</t>
    </r>
    <phoneticPr fontId="2" type="noConversion"/>
  </si>
  <si>
    <r>
      <t>30</t>
    </r>
    <r>
      <rPr>
        <b/>
        <sz val="11"/>
        <rFont val="宋体"/>
        <family val="3"/>
        <charset val="134"/>
      </rPr>
      <t>次模拟后的平均延误时间</t>
    </r>
    <phoneticPr fontId="2" type="noConversion"/>
  </si>
  <si>
    <r>
      <t>销量</t>
    </r>
    <r>
      <rPr>
        <b/>
        <sz val="11"/>
        <rFont val="Arial"/>
        <family val="2"/>
      </rPr>
      <t>(Q)</t>
    </r>
    <phoneticPr fontId="2" type="noConversion"/>
  </si>
  <si>
    <r>
      <t xml:space="preserve"> </t>
    </r>
    <r>
      <rPr>
        <b/>
        <sz val="11"/>
        <rFont val="宋体"/>
        <family val="3"/>
        <charset val="134"/>
      </rPr>
      <t>单位：元</t>
    </r>
    <phoneticPr fontId="2" type="noConversion"/>
  </si>
  <si>
    <r>
      <t>平均每双销售价格</t>
    </r>
    <r>
      <rPr>
        <b/>
        <sz val="11"/>
        <rFont val="Arial"/>
        <family val="2"/>
      </rPr>
      <t>(p)</t>
    </r>
    <phoneticPr fontId="2" type="noConversion"/>
  </si>
  <si>
    <r>
      <t>每双可变成本</t>
    </r>
    <r>
      <rPr>
        <b/>
        <sz val="11"/>
        <rFont val="Arial"/>
        <family val="2"/>
      </rPr>
      <t>(v)</t>
    </r>
    <r>
      <rPr>
        <b/>
        <sz val="11"/>
        <rFont val="宋体"/>
        <family val="3"/>
        <charset val="134"/>
      </rPr>
      <t>：</t>
    </r>
    <phoneticPr fontId="2" type="noConversion"/>
  </si>
  <si>
    <r>
      <t>固定成本</t>
    </r>
    <r>
      <rPr>
        <b/>
        <sz val="11"/>
        <rFont val="Arial"/>
        <family val="2"/>
      </rPr>
      <t>(F)</t>
    </r>
    <r>
      <rPr>
        <b/>
        <sz val="11"/>
        <rFont val="宋体"/>
        <family val="3"/>
        <charset val="134"/>
      </rPr>
      <t>：</t>
    </r>
    <phoneticPr fontId="2" type="noConversion"/>
  </si>
  <si>
    <t>单位边际贡献</t>
    <phoneticPr fontId="2" type="noConversion"/>
  </si>
  <si>
    <t>边际贡献率</t>
    <phoneticPr fontId="2" type="noConversion"/>
  </si>
  <si>
    <r>
      <t>销售收益</t>
    </r>
    <r>
      <rPr>
        <b/>
        <sz val="11"/>
        <rFont val="Arial"/>
        <family val="2"/>
      </rPr>
      <t>(R)</t>
    </r>
    <phoneticPr fontId="2" type="noConversion"/>
  </si>
  <si>
    <r>
      <t>总成本</t>
    </r>
    <r>
      <rPr>
        <b/>
        <sz val="11"/>
        <rFont val="Arial"/>
        <family val="2"/>
      </rPr>
      <t>(C)</t>
    </r>
    <phoneticPr fontId="2" type="noConversion"/>
  </si>
  <si>
    <r>
      <t>利润</t>
    </r>
    <r>
      <rPr>
        <b/>
        <sz val="11"/>
        <rFont val="Arial"/>
        <family val="2"/>
      </rPr>
      <t>(π)</t>
    </r>
    <phoneticPr fontId="2" type="noConversion"/>
  </si>
  <si>
    <r>
      <t>盈亏平衡销量</t>
    </r>
    <r>
      <rPr>
        <b/>
        <sz val="11"/>
        <rFont val="Arial"/>
        <family val="2"/>
      </rPr>
      <t>(Q</t>
    </r>
    <r>
      <rPr>
        <b/>
        <vertAlign val="subscript"/>
        <sz val="11"/>
        <rFont val="Arial"/>
        <family val="2"/>
      </rPr>
      <t>0</t>
    </r>
    <r>
      <rPr>
        <b/>
        <sz val="11"/>
        <rFont val="Arial"/>
        <family val="2"/>
      </rPr>
      <t>)</t>
    </r>
    <phoneticPr fontId="2" type="noConversion"/>
  </si>
  <si>
    <r>
      <t>盈亏平衡销售收益</t>
    </r>
    <r>
      <rPr>
        <b/>
        <sz val="11"/>
        <rFont val="Arial"/>
        <family val="2"/>
      </rPr>
      <t>(R</t>
    </r>
    <r>
      <rPr>
        <b/>
        <vertAlign val="subscript"/>
        <sz val="11"/>
        <rFont val="Arial"/>
        <family val="2"/>
      </rPr>
      <t>0</t>
    </r>
    <r>
      <rPr>
        <b/>
        <sz val="11"/>
        <rFont val="Arial"/>
        <family val="2"/>
      </rPr>
      <t>)</t>
    </r>
    <phoneticPr fontId="2" type="noConversion"/>
  </si>
  <si>
    <t>目标销量</t>
    <phoneticPr fontId="2" type="noConversion"/>
  </si>
  <si>
    <t>目标销量下收益</t>
    <phoneticPr fontId="2" type="noConversion"/>
  </si>
  <si>
    <t>目标销量下成本</t>
    <phoneticPr fontId="2" type="noConversion"/>
  </si>
  <si>
    <r>
      <t>目标利润</t>
    </r>
    <r>
      <rPr>
        <sz val="10"/>
        <rFont val="Times New Roman"/>
        <family val="1"/>
      </rPr>
      <t/>
    </r>
    <phoneticPr fontId="2" type="noConversion"/>
  </si>
  <si>
    <r>
      <t>安全边际</t>
    </r>
    <r>
      <rPr>
        <b/>
        <sz val="11"/>
        <rFont val="Arial"/>
        <family val="2"/>
      </rPr>
      <t>(S)</t>
    </r>
    <phoneticPr fontId="2" type="noConversion"/>
  </si>
  <si>
    <r>
      <t>安全边际率</t>
    </r>
    <r>
      <rPr>
        <b/>
        <sz val="11"/>
        <rFont val="Arial"/>
        <family val="2"/>
      </rPr>
      <t>(s)</t>
    </r>
    <phoneticPr fontId="39" type="noConversion"/>
  </si>
  <si>
    <r>
      <t>1</t>
    </r>
    <r>
      <rPr>
        <b/>
        <sz val="11"/>
        <rFont val="宋体"/>
        <family val="3"/>
        <charset val="134"/>
      </rPr>
      <t>至</t>
    </r>
    <r>
      <rPr>
        <b/>
        <sz val="11"/>
        <rFont val="Arial"/>
        <family val="2"/>
      </rPr>
      <t>10</t>
    </r>
    <r>
      <rPr>
        <b/>
        <sz val="11"/>
        <rFont val="宋体"/>
        <family val="3"/>
        <charset val="134"/>
      </rPr>
      <t>年每月末收益</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</si>
</sst>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0"/>
    <numFmt numFmtId="177" formatCode="0.00_ "/>
    <numFmt numFmtId="178" formatCode="0.000%"/>
    <numFmt numFmtId="179" formatCode="#,##0.00_ ;[Red]\-#,##0.00\ "/>
    <numFmt numFmtId="180" formatCode="#,##0.000_ ;[Red]\-#,##0.000\ "/>
  </numFmts>
  <fonts count="40">
    <font>
      <sz val="12"/>
      <name val="宋体"/>
      <charset val="134"/>
    </font>
    <font>
      <sz val="12"/>
      <name val="宋体"/>
      <charset val="134"/>
    </font>
    <font>
      <sz val="9"/>
      <name val="宋体"/>
      <family val="3"/>
      <charset val="134"/>
    </font>
    <font>
      <sz val="12"/>
      <name val="黑体"/>
      <family val="3"/>
      <charset val="134"/>
    </font>
    <font>
      <b/>
      <sz val="12"/>
      <name val="Arial"/>
      <family val="2"/>
    </font>
    <font>
      <b/>
      <sz val="12"/>
      <name val="黑体"/>
      <family val="3"/>
      <charset val="134"/>
    </font>
    <font>
      <b/>
      <sz val="12"/>
      <color indexed="10"/>
      <name val="黑体"/>
      <family val="3"/>
      <charset val="134"/>
    </font>
    <font>
      <sz val="12"/>
      <color indexed="10"/>
      <name val="黑体"/>
      <family val="3"/>
      <charset val="134"/>
    </font>
    <font>
      <sz val="12"/>
      <name val="宋体"/>
      <family val="3"/>
      <charset val="134"/>
    </font>
    <font>
      <b/>
      <sz val="12"/>
      <name val="宋体"/>
      <family val="3"/>
      <charset val="134"/>
    </font>
    <font>
      <sz val="11"/>
      <color indexed="8"/>
      <name val="宋体"/>
      <family val="3"/>
      <charset val="134"/>
    </font>
    <font>
      <sz val="11"/>
      <color indexed="9"/>
      <name val="宋体"/>
      <family val="3"/>
      <charset val="134"/>
    </font>
    <font>
      <b/>
      <sz val="18"/>
      <color indexed="56"/>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20"/>
      <name val="宋体"/>
      <family val="3"/>
      <charset val="134"/>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b/>
      <sz val="20"/>
      <color indexed="10"/>
      <name val="黑体"/>
      <family val="3"/>
      <charset val="134"/>
    </font>
    <font>
      <sz val="10"/>
      <name val="Arial"/>
      <family val="2"/>
    </font>
    <font>
      <sz val="11"/>
      <name val="Arial"/>
      <family val="2"/>
    </font>
    <font>
      <b/>
      <sz val="11"/>
      <name val="Arial"/>
      <family val="2"/>
    </font>
    <font>
      <b/>
      <sz val="11"/>
      <name val="宋体"/>
      <family val="3"/>
      <charset val="134"/>
    </font>
    <font>
      <b/>
      <sz val="11"/>
      <color indexed="19"/>
      <name val="Arial"/>
      <family val="2"/>
    </font>
    <font>
      <b/>
      <sz val="11"/>
      <color indexed="10"/>
      <name val="Arial"/>
      <family val="2"/>
    </font>
    <font>
      <b/>
      <vertAlign val="subscript"/>
      <sz val="11"/>
      <name val="Arial"/>
      <family val="2"/>
    </font>
    <font>
      <b/>
      <sz val="11"/>
      <color indexed="9"/>
      <name val="Arial"/>
      <family val="2"/>
    </font>
    <font>
      <b/>
      <sz val="11"/>
      <color indexed="8"/>
      <name val="Arial"/>
      <family val="2"/>
    </font>
    <font>
      <b/>
      <sz val="11"/>
      <color indexed="22"/>
      <name val="Arial"/>
      <family val="2"/>
    </font>
    <font>
      <sz val="10"/>
      <name val="Times New Roman"/>
      <family val="1"/>
    </font>
    <font>
      <b/>
      <i/>
      <sz val="12"/>
      <name val="Arial"/>
      <family val="2"/>
    </font>
  </fonts>
  <fills count="3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indexed="22"/>
        <bgColor indexed="64"/>
      </patternFill>
    </fill>
    <fill>
      <patternFill patternType="solid">
        <fgColor indexed="43"/>
        <bgColor indexed="64"/>
      </patternFill>
    </fill>
    <fill>
      <patternFill patternType="lightUp"/>
    </fill>
    <fill>
      <patternFill patternType="solid">
        <fgColor indexed="15"/>
        <bgColor indexed="64"/>
      </patternFill>
    </fill>
    <fill>
      <patternFill patternType="solid">
        <fgColor indexed="19"/>
        <bgColor indexed="64"/>
      </patternFill>
    </fill>
    <fill>
      <patternFill patternType="solid">
        <fgColor indexed="42"/>
        <bgColor indexed="64"/>
      </patternFill>
    </fill>
    <fill>
      <patternFill patternType="solid">
        <fgColor indexed="44"/>
        <bgColor indexed="64"/>
      </patternFill>
    </fill>
    <fill>
      <patternFill patternType="lightDown"/>
    </fill>
    <fill>
      <patternFill patternType="solid">
        <fgColor indexed="9"/>
        <bgColor indexed="64"/>
      </patternFill>
    </fill>
    <fill>
      <patternFill patternType="lightDown">
        <bgColor indexed="9"/>
      </patternFill>
    </fill>
    <fill>
      <patternFill patternType="solid">
        <fgColor indexed="17"/>
        <bgColor indexed="64"/>
      </patternFill>
    </fill>
    <fill>
      <patternFill patternType="solid">
        <fgColor indexed="41"/>
        <bgColor indexed="64"/>
      </patternFill>
    </fill>
  </fills>
  <borders count="19">
    <border>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s>
  <cellStyleXfs count="53">
    <xf numFmtId="0" fontId="0" fillId="0" borderId="0"/>
    <xf numFmtId="0" fontId="10" fillId="2"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5" borderId="0" applyNumberFormat="0" applyBorder="0" applyAlignment="0" applyProtection="0">
      <alignment vertical="center"/>
    </xf>
    <xf numFmtId="0" fontId="10" fillId="8" borderId="0" applyNumberFormat="0" applyBorder="0" applyAlignment="0" applyProtection="0">
      <alignment vertical="center"/>
    </xf>
    <xf numFmtId="0" fontId="10" fillId="11" borderId="0" applyNumberFormat="0" applyBorder="0" applyAlignment="0" applyProtection="0">
      <alignment vertical="center"/>
    </xf>
    <xf numFmtId="0" fontId="11" fillId="12"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9" fontId="1" fillId="0" borderId="0" applyFont="0" applyFill="0" applyBorder="0" applyAlignment="0" applyProtection="0"/>
    <xf numFmtId="9" fontId="8"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1"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3" borderId="0" applyNumberFormat="0" applyBorder="0" applyAlignment="0" applyProtection="0">
      <alignment vertical="center"/>
    </xf>
    <xf numFmtId="0" fontId="8" fillId="0" borderId="0"/>
    <xf numFmtId="0" fontId="8" fillId="0" borderId="0">
      <alignment vertical="center"/>
    </xf>
    <xf numFmtId="0" fontId="8" fillId="0" borderId="0">
      <alignment vertical="center"/>
    </xf>
    <xf numFmtId="0" fontId="10" fillId="0" borderId="0">
      <alignment vertical="center"/>
    </xf>
    <xf numFmtId="0" fontId="8" fillId="0" borderId="0">
      <alignment vertical="center"/>
    </xf>
    <xf numFmtId="0" fontId="10" fillId="0" borderId="0">
      <alignment vertical="center"/>
    </xf>
    <xf numFmtId="0" fontId="28" fillId="0" borderId="0"/>
    <xf numFmtId="0" fontId="8" fillId="0" borderId="0">
      <alignment vertical="center"/>
    </xf>
    <xf numFmtId="0" fontId="8" fillId="0" borderId="0"/>
    <xf numFmtId="0" fontId="17" fillId="4" borderId="0" applyNumberFormat="0" applyBorder="0" applyAlignment="0" applyProtection="0">
      <alignment vertical="center"/>
    </xf>
    <xf numFmtId="0" fontId="18" fillId="0" borderId="4" applyNumberFormat="0" applyFill="0" applyAlignment="0" applyProtection="0">
      <alignment vertical="center"/>
    </xf>
    <xf numFmtId="0" fontId="19" fillId="16" borderId="5" applyNumberFormat="0" applyAlignment="0" applyProtection="0">
      <alignment vertical="center"/>
    </xf>
    <xf numFmtId="0" fontId="20" fillId="17" borderId="6" applyNumberForma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7" applyNumberFormat="0" applyFill="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21" borderId="0" applyNumberFormat="0" applyBorder="0" applyAlignment="0" applyProtection="0">
      <alignment vertical="center"/>
    </xf>
    <xf numFmtId="0" fontId="24" fillId="22" borderId="0" applyNumberFormat="0" applyBorder="0" applyAlignment="0" applyProtection="0">
      <alignment vertical="center"/>
    </xf>
    <xf numFmtId="0" fontId="25" fillId="16" borderId="8" applyNumberFormat="0" applyAlignment="0" applyProtection="0">
      <alignment vertical="center"/>
    </xf>
    <xf numFmtId="0" fontId="26" fillId="7" borderId="5" applyNumberFormat="0" applyAlignment="0" applyProtection="0">
      <alignment vertical="center"/>
    </xf>
    <xf numFmtId="0" fontId="10" fillId="23" borderId="9" applyNumberFormat="0" applyFont="0" applyAlignment="0" applyProtection="0">
      <alignment vertical="center"/>
    </xf>
  </cellStyleXfs>
  <cellXfs count="133">
    <xf numFmtId="0" fontId="0" fillId="0" borderId="0" xfId="0"/>
    <xf numFmtId="0" fontId="3" fillId="0" borderId="0" xfId="0" applyFont="1" applyProtection="1">
      <protection hidden="1"/>
    </xf>
    <xf numFmtId="49" fontId="4" fillId="24" borderId="10" xfId="0" applyNumberFormat="1" applyFont="1" applyFill="1" applyBorder="1" applyProtection="1">
      <protection hidden="1"/>
    </xf>
    <xf numFmtId="0" fontId="0" fillId="0" borderId="0" xfId="0" applyProtection="1">
      <protection hidden="1"/>
    </xf>
    <xf numFmtId="49" fontId="5" fillId="24" borderId="10" xfId="0" applyNumberFormat="1" applyFont="1" applyFill="1" applyBorder="1" applyProtection="1">
      <protection hidden="1"/>
    </xf>
    <xf numFmtId="0" fontId="6" fillId="0" borderId="0" xfId="0" applyFont="1" applyProtection="1">
      <protection hidden="1"/>
    </xf>
    <xf numFmtId="0" fontId="7" fillId="0" borderId="0" xfId="0" applyFont="1" applyProtection="1">
      <protection hidden="1"/>
    </xf>
    <xf numFmtId="0" fontId="0" fillId="0" borderId="10" xfId="0" applyBorder="1" applyProtection="1">
      <protection hidden="1"/>
    </xf>
    <xf numFmtId="0" fontId="0" fillId="0" borderId="10" xfId="0" applyBorder="1" applyAlignment="1" applyProtection="1">
      <alignment horizontal="center"/>
      <protection hidden="1"/>
    </xf>
    <xf numFmtId="0" fontId="4" fillId="0" borderId="10" xfId="0" applyFont="1" applyBorder="1" applyProtection="1">
      <protection hidden="1"/>
    </xf>
    <xf numFmtId="0" fontId="9" fillId="0" borderId="0" xfId="0" applyFont="1" applyProtection="1">
      <protection hidden="1"/>
    </xf>
    <xf numFmtId="0" fontId="9" fillId="25" borderId="10" xfId="0" applyFont="1" applyFill="1" applyBorder="1" applyProtection="1">
      <protection hidden="1"/>
    </xf>
    <xf numFmtId="0" fontId="27" fillId="0" borderId="0" xfId="0" applyFont="1" applyProtection="1">
      <protection hidden="1"/>
    </xf>
    <xf numFmtId="0" fontId="30" fillId="0" borderId="0" xfId="35" applyFont="1" applyFill="1"/>
    <xf numFmtId="0" fontId="30" fillId="0" borderId="0" xfId="35" applyFont="1" applyFill="1" applyBorder="1"/>
    <xf numFmtId="0" fontId="31" fillId="0" borderId="0" xfId="35" applyFont="1" applyFill="1" applyBorder="1" applyAlignment="1">
      <alignment horizontal="left"/>
    </xf>
    <xf numFmtId="1" fontId="30" fillId="0" borderId="0" xfId="35" applyNumberFormat="1" applyFont="1" applyFill="1" applyBorder="1"/>
    <xf numFmtId="0" fontId="32" fillId="0" borderId="0" xfId="35" applyFont="1" applyFill="1"/>
    <xf numFmtId="0" fontId="31" fillId="0" borderId="0" xfId="35" applyFont="1" applyFill="1" applyBorder="1"/>
    <xf numFmtId="2" fontId="30" fillId="0" borderId="0" xfId="35" applyNumberFormat="1" applyFont="1" applyFill="1" applyBorder="1" applyAlignment="1">
      <alignment horizontal="right"/>
    </xf>
    <xf numFmtId="0" fontId="30" fillId="0" borderId="0" xfId="35" applyFont="1" applyFill="1" applyBorder="1" applyAlignment="1">
      <alignment horizontal="right"/>
    </xf>
    <xf numFmtId="0" fontId="31" fillId="0" borderId="0" xfId="0" applyFont="1"/>
    <xf numFmtId="0" fontId="31" fillId="25" borderId="11" xfId="31" applyFont="1" applyFill="1" applyBorder="1" applyAlignment="1">
      <alignment horizontal="center" vertical="center"/>
    </xf>
    <xf numFmtId="0" fontId="30" fillId="26" borderId="10" xfId="31" applyFont="1" applyFill="1" applyBorder="1">
      <alignment vertical="center"/>
    </xf>
    <xf numFmtId="0" fontId="31" fillId="25" borderId="10" xfId="31" applyFont="1" applyFill="1" applyBorder="1" applyAlignment="1">
      <alignment vertical="center"/>
    </xf>
    <xf numFmtId="0" fontId="30" fillId="0" borderId="0" xfId="31" applyFont="1" applyFill="1" applyBorder="1">
      <alignment vertical="center"/>
    </xf>
    <xf numFmtId="0" fontId="30" fillId="0" borderId="0" xfId="0" applyFont="1" applyFill="1"/>
    <xf numFmtId="0" fontId="30" fillId="0" borderId="0" xfId="0" applyFont="1"/>
    <xf numFmtId="0" fontId="30" fillId="0" borderId="10" xfId="0" applyFont="1" applyFill="1" applyBorder="1"/>
    <xf numFmtId="0" fontId="30" fillId="27" borderId="10" xfId="0" applyFont="1" applyFill="1" applyBorder="1"/>
    <xf numFmtId="0" fontId="30" fillId="25" borderId="11" xfId="31" applyFont="1" applyFill="1" applyBorder="1" applyAlignment="1">
      <alignment horizontal="center" vertical="center"/>
    </xf>
    <xf numFmtId="0" fontId="30" fillId="0" borderId="12" xfId="31" applyFont="1" applyFill="1" applyBorder="1" applyAlignment="1">
      <alignment horizontal="center" vertical="center"/>
    </xf>
    <xf numFmtId="0" fontId="30" fillId="0" borderId="0" xfId="0" applyFont="1" applyFill="1" applyBorder="1"/>
    <xf numFmtId="1" fontId="30" fillId="0" borderId="0" xfId="0" applyNumberFormat="1" applyFont="1"/>
    <xf numFmtId="0" fontId="30" fillId="28" borderId="10" xfId="31" applyFont="1" applyFill="1" applyBorder="1">
      <alignment vertical="center"/>
    </xf>
    <xf numFmtId="0" fontId="30" fillId="29" borderId="0" xfId="0" applyFont="1" applyFill="1"/>
    <xf numFmtId="0" fontId="31" fillId="25" borderId="10" xfId="0" applyFont="1" applyFill="1" applyBorder="1" applyAlignment="1">
      <alignment horizontal="left"/>
    </xf>
    <xf numFmtId="0" fontId="35" fillId="29" borderId="0" xfId="0" applyFont="1" applyFill="1"/>
    <xf numFmtId="0" fontId="31" fillId="25" borderId="10" xfId="0" applyFont="1" applyFill="1" applyBorder="1"/>
    <xf numFmtId="2" fontId="30" fillId="30" borderId="10" xfId="0" applyNumberFormat="1" applyFont="1" applyFill="1" applyBorder="1"/>
    <xf numFmtId="1" fontId="30" fillId="0" borderId="10" xfId="0" applyNumberFormat="1" applyFont="1" applyBorder="1"/>
    <xf numFmtId="2" fontId="30" fillId="31" borderId="10" xfId="0" applyNumberFormat="1" applyFont="1" applyFill="1" applyBorder="1"/>
    <xf numFmtId="176" fontId="30" fillId="29" borderId="0" xfId="0" applyNumberFormat="1" applyFont="1" applyFill="1"/>
    <xf numFmtId="176" fontId="30" fillId="31" borderId="10" xfId="0" applyNumberFormat="1" applyFont="1" applyFill="1" applyBorder="1"/>
    <xf numFmtId="0" fontId="30" fillId="25" borderId="10" xfId="0" applyFont="1" applyFill="1" applyBorder="1"/>
    <xf numFmtId="0" fontId="29" fillId="0" borderId="0" xfId="34" applyFont="1">
      <alignment vertical="center"/>
    </xf>
    <xf numFmtId="0" fontId="18" fillId="0" borderId="10" xfId="30" applyFont="1" applyBorder="1" applyAlignment="1">
      <alignment horizontal="center" vertical="center"/>
    </xf>
    <xf numFmtId="0" fontId="18" fillId="0" borderId="10" xfId="30" applyFont="1" applyBorder="1" applyAlignment="1">
      <alignment horizontal="center" vertical="center" wrapText="1"/>
    </xf>
    <xf numFmtId="0" fontId="18" fillId="0" borderId="0" xfId="30" applyFont="1" applyFill="1" applyBorder="1" applyAlignment="1">
      <alignment horizontal="center" vertical="center"/>
    </xf>
    <xf numFmtId="0" fontId="18" fillId="0" borderId="10" xfId="30" applyFont="1" applyFill="1" applyBorder="1" applyAlignment="1">
      <alignment horizontal="center" vertical="center" wrapText="1"/>
    </xf>
    <xf numFmtId="0" fontId="36" fillId="0" borderId="0" xfId="30" applyFont="1" applyBorder="1" applyAlignment="1">
      <alignment horizontal="center" vertical="center" wrapText="1"/>
    </xf>
    <xf numFmtId="0" fontId="36" fillId="0" borderId="0" xfId="30" applyFont="1">
      <alignment vertical="center"/>
    </xf>
    <xf numFmtId="0" fontId="36" fillId="0" borderId="10" xfId="30" applyFont="1" applyBorder="1" applyAlignment="1">
      <alignment horizontal="center" vertical="center"/>
    </xf>
    <xf numFmtId="0" fontId="36" fillId="0" borderId="10" xfId="30" applyFont="1" applyBorder="1">
      <alignment vertical="center"/>
    </xf>
    <xf numFmtId="177" fontId="36" fillId="0" borderId="10" xfId="30" applyNumberFormat="1" applyFont="1" applyBorder="1">
      <alignment vertical="center"/>
    </xf>
    <xf numFmtId="0" fontId="36" fillId="0" borderId="0" xfId="30" applyFont="1" applyBorder="1" applyAlignment="1">
      <alignment horizontal="center" vertical="center"/>
    </xf>
    <xf numFmtId="177" fontId="36" fillId="0" borderId="10" xfId="30" applyNumberFormat="1" applyFont="1" applyBorder="1" applyAlignment="1">
      <alignment horizontal="center" vertical="center"/>
    </xf>
    <xf numFmtId="9" fontId="36" fillId="0" borderId="10" xfId="19" applyFont="1" applyBorder="1" applyAlignment="1">
      <alignment vertical="center"/>
    </xf>
    <xf numFmtId="0" fontId="36" fillId="32" borderId="10" xfId="30" applyFont="1" applyFill="1" applyBorder="1">
      <alignment vertical="center"/>
    </xf>
    <xf numFmtId="0" fontId="36" fillId="0" borderId="10" xfId="30" applyFont="1" applyFill="1" applyBorder="1" applyAlignment="1">
      <alignment horizontal="center" vertical="center"/>
    </xf>
    <xf numFmtId="0" fontId="36" fillId="0" borderId="0" xfId="30" applyFont="1" applyFill="1" applyBorder="1">
      <alignment vertical="center"/>
    </xf>
    <xf numFmtId="177" fontId="36" fillId="0" borderId="0" xfId="30" applyNumberFormat="1" applyFont="1" applyBorder="1">
      <alignment vertical="center"/>
    </xf>
    <xf numFmtId="177" fontId="36" fillId="0" borderId="0" xfId="30" applyNumberFormat="1" applyFont="1">
      <alignment vertical="center"/>
    </xf>
    <xf numFmtId="177" fontId="36" fillId="30" borderId="10" xfId="30" applyNumberFormat="1" applyFont="1" applyFill="1" applyBorder="1">
      <alignment vertical="center"/>
    </xf>
    <xf numFmtId="0" fontId="30" fillId="0" borderId="0" xfId="33" applyFont="1"/>
    <xf numFmtId="0" fontId="30" fillId="25" borderId="10" xfId="29" applyFont="1" applyFill="1" applyBorder="1">
      <alignment vertical="center"/>
    </xf>
    <xf numFmtId="0" fontId="30" fillId="0" borderId="10" xfId="0" applyFont="1" applyBorder="1"/>
    <xf numFmtId="0" fontId="31" fillId="25" borderId="10" xfId="29" applyFont="1" applyFill="1" applyBorder="1">
      <alignment vertical="center"/>
    </xf>
    <xf numFmtId="10" fontId="30" fillId="0" borderId="10" xfId="0" applyNumberFormat="1" applyFont="1" applyBorder="1"/>
    <xf numFmtId="0" fontId="30" fillId="33" borderId="10" xfId="0" applyFont="1" applyFill="1" applyBorder="1"/>
    <xf numFmtId="0" fontId="30" fillId="34" borderId="10" xfId="0" applyFont="1" applyFill="1" applyBorder="1"/>
    <xf numFmtId="180" fontId="30" fillId="30" borderId="10" xfId="0" applyNumberFormat="1" applyFont="1" applyFill="1" applyBorder="1"/>
    <xf numFmtId="179" fontId="30" fillId="30" borderId="10" xfId="0" applyNumberFormat="1" applyFont="1" applyFill="1" applyBorder="1"/>
    <xf numFmtId="180" fontId="30" fillId="0" borderId="0" xfId="0" applyNumberFormat="1" applyFont="1"/>
    <xf numFmtId="178" fontId="30" fillId="30" borderId="10" xfId="19" applyNumberFormat="1" applyFont="1" applyFill="1" applyBorder="1"/>
    <xf numFmtId="10" fontId="30" fillId="30" borderId="10" xfId="19" applyNumberFormat="1" applyFont="1" applyFill="1" applyBorder="1"/>
    <xf numFmtId="0" fontId="30" fillId="30" borderId="10" xfId="0" applyFont="1" applyFill="1" applyBorder="1"/>
    <xf numFmtId="10" fontId="30" fillId="30" borderId="10" xfId="0" applyNumberFormat="1" applyFont="1" applyFill="1" applyBorder="1"/>
    <xf numFmtId="0" fontId="30" fillId="33" borderId="0" xfId="0" applyFont="1" applyFill="1" applyBorder="1"/>
    <xf numFmtId="177" fontId="30" fillId="30" borderId="10" xfId="0" applyNumberFormat="1" applyFont="1" applyFill="1" applyBorder="1"/>
    <xf numFmtId="177" fontId="30" fillId="33" borderId="0" xfId="0" applyNumberFormat="1" applyFont="1" applyFill="1" applyBorder="1"/>
    <xf numFmtId="177" fontId="30" fillId="0" borderId="0" xfId="0" applyNumberFormat="1" applyFont="1"/>
    <xf numFmtId="10" fontId="30" fillId="0" borderId="0" xfId="0" applyNumberFormat="1" applyFont="1"/>
    <xf numFmtId="0" fontId="30" fillId="35" borderId="0" xfId="32" applyFont="1" applyFill="1" applyAlignment="1"/>
    <xf numFmtId="0" fontId="30" fillId="35" borderId="0" xfId="32" applyFont="1" applyFill="1" applyAlignment="1">
      <alignment horizontal="center"/>
    </xf>
    <xf numFmtId="0" fontId="30" fillId="0" borderId="0" xfId="32" applyFont="1" applyAlignment="1"/>
    <xf numFmtId="0" fontId="35" fillId="35" borderId="0" xfId="32" applyFont="1" applyFill="1" applyAlignment="1"/>
    <xf numFmtId="0" fontId="37" fillId="35" borderId="0" xfId="32" applyFont="1" applyFill="1" applyAlignment="1"/>
    <xf numFmtId="0" fontId="30" fillId="33" borderId="0" xfId="32" applyFont="1" applyFill="1" applyAlignment="1"/>
    <xf numFmtId="0" fontId="36" fillId="0" borderId="0" xfId="32" applyFont="1">
      <alignment vertical="center"/>
    </xf>
    <xf numFmtId="0" fontId="31" fillId="25" borderId="13" xfId="32" applyFont="1" applyFill="1" applyBorder="1" applyAlignment="1"/>
    <xf numFmtId="0" fontId="30" fillId="26" borderId="14" xfId="32" applyFont="1" applyFill="1" applyBorder="1" applyAlignment="1">
      <alignment horizontal="center"/>
    </xf>
    <xf numFmtId="0" fontId="31" fillId="25" borderId="10" xfId="32" applyFont="1" applyFill="1" applyBorder="1" applyAlignment="1">
      <alignment horizontal="center"/>
    </xf>
    <xf numFmtId="0" fontId="31" fillId="25" borderId="10" xfId="32" applyFont="1" applyFill="1" applyBorder="1" applyAlignment="1"/>
    <xf numFmtId="0" fontId="30" fillId="26" borderId="15" xfId="32" applyFont="1" applyFill="1" applyBorder="1" applyAlignment="1">
      <alignment horizontal="center"/>
    </xf>
    <xf numFmtId="0" fontId="30" fillId="25" borderId="10" xfId="32" applyFont="1" applyFill="1" applyBorder="1" applyAlignment="1"/>
    <xf numFmtId="9" fontId="30" fillId="30" borderId="10" xfId="32" applyNumberFormat="1" applyFont="1" applyFill="1" applyBorder="1" applyAlignment="1">
      <alignment horizontal="center"/>
    </xf>
    <xf numFmtId="0" fontId="30" fillId="0" borderId="10" xfId="32" applyFont="1" applyBorder="1" applyAlignment="1">
      <alignment horizontal="center"/>
    </xf>
    <xf numFmtId="0" fontId="30" fillId="26" borderId="10" xfId="32" applyFont="1" applyFill="1" applyBorder="1" applyAlignment="1">
      <alignment horizontal="center"/>
    </xf>
    <xf numFmtId="9" fontId="30" fillId="26" borderId="10" xfId="19" applyFont="1" applyFill="1" applyBorder="1" applyAlignment="1">
      <alignment horizontal="center"/>
    </xf>
    <xf numFmtId="0" fontId="30" fillId="30" borderId="15" xfId="32" applyFont="1" applyFill="1" applyBorder="1" applyAlignment="1"/>
    <xf numFmtId="0" fontId="30" fillId="30" borderId="14" xfId="32" applyFont="1" applyFill="1" applyBorder="1" applyAlignment="1"/>
    <xf numFmtId="0" fontId="30" fillId="30" borderId="10" xfId="32" applyFont="1" applyFill="1" applyBorder="1" applyAlignment="1"/>
    <xf numFmtId="0" fontId="30" fillId="25" borderId="13" xfId="32" applyFont="1" applyFill="1" applyBorder="1" applyAlignment="1"/>
    <xf numFmtId="0" fontId="36" fillId="33" borderId="0" xfId="32" applyFont="1" applyFill="1">
      <alignment vertical="center"/>
    </xf>
    <xf numFmtId="0" fontId="4" fillId="26" borderId="10" xfId="0" applyFont="1" applyFill="1" applyBorder="1" applyProtection="1">
      <protection hidden="1"/>
    </xf>
    <xf numFmtId="1" fontId="30" fillId="0" borderId="10" xfId="35" applyNumberFormat="1" applyFont="1" applyFill="1" applyBorder="1"/>
    <xf numFmtId="0" fontId="30" fillId="0" borderId="16" xfId="35" applyFont="1" applyFill="1" applyBorder="1"/>
    <xf numFmtId="0" fontId="30" fillId="0" borderId="10" xfId="35" applyFont="1" applyFill="1" applyBorder="1" applyAlignment="1">
      <alignment horizontal="center"/>
    </xf>
    <xf numFmtId="2" fontId="30" fillId="0" borderId="10" xfId="35" applyNumberFormat="1" applyFont="1" applyFill="1" applyBorder="1"/>
    <xf numFmtId="2" fontId="30" fillId="0" borderId="17" xfId="35" applyNumberFormat="1" applyFont="1" applyFill="1" applyBorder="1"/>
    <xf numFmtId="9" fontId="30" fillId="0" borderId="10" xfId="19" applyFont="1" applyFill="1" applyBorder="1"/>
    <xf numFmtId="0" fontId="30" fillId="0" borderId="10" xfId="35" applyFont="1" applyFill="1" applyBorder="1"/>
    <xf numFmtId="0" fontId="31" fillId="25" borderId="10" xfId="35" applyFont="1" applyFill="1" applyBorder="1" applyAlignment="1">
      <alignment horizontal="left"/>
    </xf>
    <xf numFmtId="0" fontId="31" fillId="25" borderId="13" xfId="35" applyFont="1" applyFill="1" applyBorder="1"/>
    <xf numFmtId="0" fontId="31" fillId="25" borderId="17" xfId="35" applyFont="1" applyFill="1" applyBorder="1"/>
    <xf numFmtId="0" fontId="31" fillId="25" borderId="10" xfId="35" applyFont="1" applyFill="1" applyBorder="1"/>
    <xf numFmtId="1" fontId="30" fillId="25" borderId="10" xfId="35" applyNumberFormat="1" applyFont="1" applyFill="1" applyBorder="1"/>
    <xf numFmtId="0" fontId="31" fillId="25" borderId="10" xfId="0" applyFont="1" applyFill="1" applyBorder="1" applyAlignment="1"/>
    <xf numFmtId="9" fontId="30" fillId="33" borderId="10" xfId="19" applyNumberFormat="1" applyFont="1" applyFill="1" applyBorder="1"/>
    <xf numFmtId="1" fontId="30" fillId="33" borderId="10" xfId="0" applyNumberFormat="1" applyFont="1" applyFill="1" applyBorder="1"/>
    <xf numFmtId="9" fontId="30" fillId="33" borderId="10" xfId="19" applyFont="1" applyFill="1" applyBorder="1"/>
    <xf numFmtId="2" fontId="30" fillId="33" borderId="10" xfId="0" applyNumberFormat="1" applyFont="1" applyFill="1" applyBorder="1"/>
    <xf numFmtId="0" fontId="33" fillId="0" borderId="0" xfId="35" applyFont="1" applyFill="1" applyBorder="1" applyAlignment="1">
      <alignment horizontal="left"/>
    </xf>
    <xf numFmtId="0" fontId="30" fillId="0" borderId="0" xfId="0" applyFont="1" applyFill="1" applyBorder="1" applyAlignment="1">
      <alignment horizontal="center"/>
    </xf>
    <xf numFmtId="0" fontId="30" fillId="36" borderId="10" xfId="0" applyFont="1" applyFill="1" applyBorder="1" applyAlignment="1">
      <alignment horizontal="center"/>
    </xf>
    <xf numFmtId="0" fontId="31" fillId="25" borderId="11" xfId="31" applyFont="1" applyFill="1" applyBorder="1" applyAlignment="1">
      <alignment horizontal="center" vertical="center"/>
    </xf>
    <xf numFmtId="0" fontId="30" fillId="25" borderId="15" xfId="31" applyFont="1" applyFill="1" applyBorder="1" applyAlignment="1">
      <alignment horizontal="center" vertical="center"/>
    </xf>
    <xf numFmtId="0" fontId="30" fillId="25" borderId="11" xfId="31" applyFont="1" applyFill="1" applyBorder="1" applyAlignment="1">
      <alignment horizontal="center" vertical="center"/>
    </xf>
    <xf numFmtId="0" fontId="31" fillId="25" borderId="18" xfId="31" applyFont="1" applyFill="1" applyBorder="1" applyAlignment="1">
      <alignment horizontal="center" vertical="center"/>
    </xf>
    <xf numFmtId="0" fontId="30" fillId="25" borderId="14" xfId="31" applyFont="1" applyFill="1" applyBorder="1" applyAlignment="1">
      <alignment horizontal="center" vertical="center"/>
    </xf>
    <xf numFmtId="0" fontId="31" fillId="0" borderId="16" xfId="0" applyFont="1" applyBorder="1" applyAlignment="1">
      <alignment horizontal="right"/>
    </xf>
    <xf numFmtId="0" fontId="30" fillId="0" borderId="16" xfId="0" applyFont="1" applyBorder="1" applyAlignment="1">
      <alignment horizontal="right"/>
    </xf>
  </cellXfs>
  <cellStyles count="53">
    <cellStyle name="20% - 强调文字颜色 1" xfId="1" builtinId="30" customBuiltin="1"/>
    <cellStyle name="20% - 强调文字颜色 2" xfId="2" builtinId="34" customBuiltin="1"/>
    <cellStyle name="20% - 强调文字颜色 3" xfId="3" builtinId="38" customBuiltin="1"/>
    <cellStyle name="20% - 强调文字颜色 4" xfId="4" builtinId="42" customBuiltin="1"/>
    <cellStyle name="20% - 强调文字颜色 5" xfId="5" builtinId="46" customBuiltin="1"/>
    <cellStyle name="20% - 强调文字颜色 6" xfId="6" builtinId="50" customBuiltin="1"/>
    <cellStyle name="40% - 强调文字颜色 1" xfId="7" builtinId="31" customBuiltin="1"/>
    <cellStyle name="40% - 强调文字颜色 2" xfId="8" builtinId="35" customBuiltin="1"/>
    <cellStyle name="40% - 强调文字颜色 3" xfId="9" builtinId="39" customBuiltin="1"/>
    <cellStyle name="40% - 强调文字颜色 4" xfId="10" builtinId="43" customBuiltin="1"/>
    <cellStyle name="40% - 强调文字颜色 5" xfId="11" builtinId="47" customBuiltin="1"/>
    <cellStyle name="40% - 强调文字颜色 6" xfId="12" builtinId="51" customBuiltin="1"/>
    <cellStyle name="60% - 强调文字颜色 1" xfId="13" builtinId="32" customBuiltin="1"/>
    <cellStyle name="60% - 强调文字颜色 2" xfId="14" builtinId="36" customBuiltin="1"/>
    <cellStyle name="60% - 强调文字颜色 3" xfId="15" builtinId="40" customBuiltin="1"/>
    <cellStyle name="60% - 强调文字颜色 4" xfId="16" builtinId="44" customBuiltin="1"/>
    <cellStyle name="60% - 强调文字颜色 5" xfId="17" builtinId="48" customBuiltin="1"/>
    <cellStyle name="60% - 强调文字颜色 6" xfId="18" builtinId="52" customBuiltin="1"/>
    <cellStyle name="百分比" xfId="19" builtinId="5"/>
    <cellStyle name="百分比 2" xfId="20"/>
    <cellStyle name="标题" xfId="21" builtinId="15" customBuiltin="1"/>
    <cellStyle name="标题 1" xfId="22" builtinId="16" customBuiltin="1"/>
    <cellStyle name="标题 2" xfId="23" builtinId="17" customBuiltin="1"/>
    <cellStyle name="标题 3" xfId="24" builtinId="18" customBuiltin="1"/>
    <cellStyle name="标题 4" xfId="25" builtinId="19" customBuiltin="1"/>
    <cellStyle name="差" xfId="26" builtinId="27" customBuiltin="1"/>
    <cellStyle name="常规" xfId="0" builtinId="0"/>
    <cellStyle name="常规 2" xfId="27"/>
    <cellStyle name="常规 3" xfId="28"/>
    <cellStyle name="常规_2006_2007第一学期第8题ABCD考题 经过改造" xfId="29"/>
    <cellStyle name="常规_2010-2011_S_第5题" xfId="30"/>
    <cellStyle name="常规_第6章-经济订货量补考答案2" xfId="31"/>
    <cellStyle name="常规_第8题-2" xfId="32"/>
    <cellStyle name="常规_第8章财务函数出题-201106" xfId="33"/>
    <cellStyle name="常规_规划求解-期末试题" xfId="34"/>
    <cellStyle name="常规_例6-02 安全边际与目标销量分析模型" xfId="35"/>
    <cellStyle name="好" xfId="36" builtinId="26" customBuiltin="1"/>
    <cellStyle name="汇总" xfId="37" builtinId="25" customBuiltin="1"/>
    <cellStyle name="计算" xfId="38" builtinId="22" customBuiltin="1"/>
    <cellStyle name="检查单元格" xfId="39" builtinId="23" customBuiltin="1"/>
    <cellStyle name="解释性文本" xfId="40" builtinId="53" customBuiltin="1"/>
    <cellStyle name="警告文本" xfId="41" builtinId="11" customBuiltin="1"/>
    <cellStyle name="链接单元格" xfId="42" builtinId="24" customBuiltin="1"/>
    <cellStyle name="强调文字颜色 1" xfId="43" builtinId="29" customBuiltin="1"/>
    <cellStyle name="强调文字颜色 2" xfId="44" builtinId="33" customBuiltin="1"/>
    <cellStyle name="强调文字颜色 3" xfId="45" builtinId="37" customBuiltin="1"/>
    <cellStyle name="强调文字颜色 4" xfId="46" builtinId="41" customBuiltin="1"/>
    <cellStyle name="强调文字颜色 5" xfId="47" builtinId="45" customBuiltin="1"/>
    <cellStyle name="强调文字颜色 6" xfId="48" builtinId="49" customBuiltin="1"/>
    <cellStyle name="适中" xfId="49" builtinId="28" customBuiltin="1"/>
    <cellStyle name="输出" xfId="50" builtinId="21" customBuiltin="1"/>
    <cellStyle name="输入" xfId="51" builtinId="20" customBuiltin="1"/>
    <cellStyle name="注释" xfId="52"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1" Type="http://schemas.openxmlformats.org/officeDocument/2006/relationships/image" Target="../media/image4.emf"/></Relationships>
</file>

<file path=xl/drawings/_rels/drawing9.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0</xdr:col>
      <xdr:colOff>180975</xdr:colOff>
      <xdr:row>4</xdr:row>
      <xdr:rowOff>152400</xdr:rowOff>
    </xdr:from>
    <xdr:to>
      <xdr:col>7</xdr:col>
      <xdr:colOff>371475</xdr:colOff>
      <xdr:row>19</xdr:row>
      <xdr:rowOff>171450</xdr:rowOff>
    </xdr:to>
    <xdr:sp macro="" textlink="">
      <xdr:nvSpPr>
        <xdr:cNvPr id="7169" name="Text Box 1"/>
        <xdr:cNvSpPr txBox="1">
          <a:spLocks noChangeArrowheads="1"/>
        </xdr:cNvSpPr>
      </xdr:nvSpPr>
      <xdr:spPr bwMode="auto">
        <a:xfrm>
          <a:off x="180975" y="1038225"/>
          <a:ext cx="5972175" cy="29051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lnSpc>
              <a:spcPts val="1500"/>
            </a:lnSpc>
            <a:defRPr sz="1000"/>
          </a:pPr>
          <a:r>
            <a:rPr lang="zh-CN" altLang="en-US" sz="1200" b="1" i="0" u="none" strike="noStrike" baseline="0">
              <a:solidFill>
                <a:srgbClr val="0000FF"/>
              </a:solidFill>
              <a:latin typeface="宋体"/>
              <a:ea typeface="宋体"/>
            </a:rPr>
            <a:t>考试注意事项：</a:t>
          </a:r>
          <a:endParaRPr lang="zh-CN" altLang="en-US" sz="1200" b="0" i="0" u="none" strike="noStrike" baseline="0">
            <a:solidFill>
              <a:srgbClr val="000000"/>
            </a:solidFill>
            <a:latin typeface="宋体"/>
            <a:ea typeface="宋体"/>
          </a:endParaRPr>
        </a:p>
        <a:p>
          <a:pPr algn="l" rtl="0">
            <a:lnSpc>
              <a:spcPts val="1500"/>
            </a:lnSpc>
            <a:defRPr sz="1000"/>
          </a:pPr>
          <a:r>
            <a:rPr lang="zh-CN" altLang="en-US" sz="1200" b="0" i="0" u="none" strike="noStrike" baseline="0">
              <a:solidFill>
                <a:srgbClr val="000000"/>
              </a:solidFill>
              <a:latin typeface="Arial"/>
              <a:cs typeface="Arial"/>
            </a:rPr>
            <a:t>1</a:t>
          </a:r>
          <a:r>
            <a:rPr lang="zh-CN" altLang="en-US" sz="1200" b="0" i="0" u="none" strike="noStrike" baseline="0">
              <a:solidFill>
                <a:srgbClr val="000000"/>
              </a:solidFill>
              <a:latin typeface="宋体"/>
              <a:ea typeface="宋体"/>
              <a:cs typeface="Arial"/>
            </a:rPr>
            <a:t>、</a:t>
          </a:r>
          <a:r>
            <a:rPr lang="zh-CN" altLang="en-US" sz="1200" b="0" i="0" u="none" strike="noStrike" baseline="0">
              <a:solidFill>
                <a:srgbClr val="000000"/>
              </a:solidFill>
              <a:latin typeface="Arial"/>
              <a:ea typeface="宋体"/>
              <a:cs typeface="Arial"/>
            </a:rPr>
            <a:t> </a:t>
          </a:r>
          <a:r>
            <a:rPr lang="zh-CN" altLang="en-US" sz="1200" b="0" i="0" u="none" strike="noStrike" baseline="0">
              <a:solidFill>
                <a:srgbClr val="000000"/>
              </a:solidFill>
              <a:latin typeface="宋体"/>
              <a:ea typeface="宋体"/>
              <a:cs typeface="Arial"/>
            </a:rPr>
            <a:t>严格遵守考试纪律，一旦发现任何违犯考试纪律的情况立即取消考生考试资格。</a:t>
          </a:r>
          <a:endParaRPr lang="zh-CN" altLang="en-US" sz="1200" b="0" i="0" u="none" strike="noStrike" baseline="0">
            <a:solidFill>
              <a:srgbClr val="000000"/>
            </a:solidFill>
            <a:latin typeface="Arial"/>
            <a:ea typeface="宋体"/>
            <a:cs typeface="Arial"/>
          </a:endParaRPr>
        </a:p>
        <a:p>
          <a:pPr algn="l" rtl="0">
            <a:lnSpc>
              <a:spcPts val="1500"/>
            </a:lnSpc>
            <a:defRPr sz="1000"/>
          </a:pPr>
          <a:r>
            <a:rPr lang="zh-CN" altLang="en-US" sz="1200" b="0" i="0" u="none" strike="noStrike" baseline="0">
              <a:solidFill>
                <a:srgbClr val="000000"/>
              </a:solidFill>
              <a:latin typeface="Arial"/>
              <a:ea typeface="宋体"/>
              <a:cs typeface="Arial"/>
            </a:rPr>
            <a:t>2</a:t>
          </a:r>
          <a:r>
            <a:rPr lang="zh-CN" altLang="en-US" sz="1200" b="0" i="0" u="none" strike="noStrike" baseline="0">
              <a:solidFill>
                <a:srgbClr val="000000"/>
              </a:solidFill>
              <a:latin typeface="宋体"/>
              <a:ea typeface="宋体"/>
              <a:cs typeface="Arial"/>
            </a:rPr>
            <a:t>、每位同学完成操作后必须存盘，提交作业时必须先将此文件关闭，才能正确提交。</a:t>
          </a:r>
        </a:p>
        <a:p>
          <a:pPr algn="l" rtl="0">
            <a:lnSpc>
              <a:spcPts val="1500"/>
            </a:lnSpc>
            <a:defRPr sz="1000"/>
          </a:pPr>
          <a:r>
            <a:rPr lang="zh-CN" altLang="en-US" sz="1200" b="0" i="0" u="none" strike="noStrike" baseline="0">
              <a:solidFill>
                <a:srgbClr val="000000"/>
              </a:solidFill>
              <a:latin typeface="Arial"/>
              <a:cs typeface="Arial"/>
            </a:rPr>
            <a:t>3</a:t>
          </a:r>
          <a:r>
            <a:rPr lang="zh-CN" altLang="en-US" sz="1200" b="0" i="0" u="none" strike="noStrike" baseline="0">
              <a:solidFill>
                <a:srgbClr val="000000"/>
              </a:solidFill>
              <a:latin typeface="宋体"/>
              <a:ea typeface="宋体"/>
              <a:cs typeface="Arial"/>
            </a:rPr>
            <a:t>、切记</a:t>
          </a:r>
          <a:r>
            <a:rPr lang="zh-CN" altLang="en-US" sz="1200" b="1" i="0" u="none" strike="noStrike" baseline="0">
              <a:solidFill>
                <a:srgbClr val="FF0000"/>
              </a:solidFill>
              <a:latin typeface="宋体"/>
              <a:ea typeface="宋体"/>
              <a:cs typeface="Arial"/>
            </a:rPr>
            <a:t>经常存盘</a:t>
          </a:r>
          <a:r>
            <a:rPr lang="zh-CN" altLang="en-US" sz="1200" b="0" i="0" u="none" strike="noStrike" baseline="0">
              <a:solidFill>
                <a:srgbClr val="000000"/>
              </a:solidFill>
              <a:latin typeface="宋体"/>
              <a:ea typeface="宋体"/>
              <a:cs typeface="Arial"/>
            </a:rPr>
            <a:t>。由于没有经常存盘而发生在死机时丢失答题结果的情况时后果由考生自负。</a:t>
          </a:r>
        </a:p>
        <a:p>
          <a:pPr algn="l" rtl="0">
            <a:lnSpc>
              <a:spcPts val="1500"/>
            </a:lnSpc>
            <a:defRPr sz="1000"/>
          </a:pPr>
          <a:r>
            <a:rPr lang="zh-CN" altLang="en-US" sz="1200" b="0" i="0" u="none" strike="noStrike" baseline="0">
              <a:solidFill>
                <a:srgbClr val="000000"/>
              </a:solidFill>
              <a:latin typeface="Arial"/>
              <a:cs typeface="Arial"/>
            </a:rPr>
            <a:t>4</a:t>
          </a:r>
          <a:r>
            <a:rPr lang="zh-CN" altLang="en-US" sz="1200" b="0" i="0" u="none" strike="noStrike" baseline="0">
              <a:solidFill>
                <a:srgbClr val="000000"/>
              </a:solidFill>
              <a:latin typeface="宋体"/>
              <a:ea typeface="宋体"/>
              <a:cs typeface="Arial"/>
            </a:rPr>
            <a:t>、可以将考题文件拷贝到硬盘（</a:t>
          </a:r>
          <a:r>
            <a:rPr lang="zh-CN" altLang="en-US" sz="1200" b="0" i="0" u="none" strike="noStrike" baseline="0">
              <a:solidFill>
                <a:srgbClr val="000000"/>
              </a:solidFill>
              <a:latin typeface="Arial"/>
              <a:ea typeface="宋体"/>
              <a:cs typeface="Arial"/>
            </a:rPr>
            <a:t>D</a:t>
          </a:r>
          <a:r>
            <a:rPr lang="zh-CN" altLang="en-US" sz="1200" b="0" i="0" u="none" strike="noStrike" baseline="0">
              <a:solidFill>
                <a:srgbClr val="000000"/>
              </a:solidFill>
              <a:latin typeface="宋体"/>
              <a:ea typeface="宋体"/>
              <a:cs typeface="Arial"/>
            </a:rPr>
            <a:t>盘或</a:t>
          </a:r>
          <a:r>
            <a:rPr lang="zh-CN" altLang="en-US" sz="1200" b="0" i="0" u="none" strike="noStrike" baseline="0">
              <a:solidFill>
                <a:srgbClr val="000000"/>
              </a:solidFill>
              <a:latin typeface="Arial"/>
              <a:ea typeface="宋体"/>
              <a:cs typeface="Arial"/>
            </a:rPr>
            <a:t>E</a:t>
          </a:r>
          <a:r>
            <a:rPr lang="zh-CN" altLang="en-US" sz="1200" b="0" i="0" u="none" strike="noStrike" baseline="0">
              <a:solidFill>
                <a:srgbClr val="000000"/>
              </a:solidFill>
              <a:latin typeface="宋体"/>
              <a:ea typeface="宋体"/>
              <a:cs typeface="Arial"/>
            </a:rPr>
            <a:t>盘）上去做，但这样做时一定要注意以下两点：</a:t>
          </a:r>
        </a:p>
        <a:p>
          <a:pPr algn="l" rtl="0">
            <a:lnSpc>
              <a:spcPts val="1500"/>
            </a:lnSpc>
            <a:defRPr sz="1000"/>
          </a:pPr>
          <a:r>
            <a:rPr lang="zh-CN" altLang="en-US" sz="1200" b="0" i="0" u="none" strike="noStrike" baseline="0">
              <a:solidFill>
                <a:srgbClr val="000000"/>
              </a:solidFill>
              <a:latin typeface="Arial"/>
              <a:cs typeface="Arial"/>
            </a:rPr>
            <a:t>      </a:t>
          </a:r>
          <a:r>
            <a:rPr lang="zh-CN" altLang="en-US" sz="1200" b="0" i="0" u="none" strike="noStrike" baseline="0">
              <a:solidFill>
                <a:srgbClr val="000000"/>
              </a:solidFill>
              <a:latin typeface="宋体"/>
              <a:ea typeface="宋体"/>
              <a:cs typeface="Arial"/>
            </a:rPr>
            <a:t>第一，由于每场考试之后机房工作人员要将计算机的硬盘加以清理，所以事后再想找回自己保存在硬盘上的文件是不可能的，因此在考试结束前务提交，否则零分。</a:t>
          </a:r>
        </a:p>
        <a:p>
          <a:pPr algn="l" rtl="0">
            <a:lnSpc>
              <a:spcPts val="1400"/>
            </a:lnSpc>
            <a:defRPr sz="1000"/>
          </a:pPr>
          <a:r>
            <a:rPr lang="zh-CN" altLang="en-US" sz="1200" b="0" i="0" u="none" strike="noStrike" baseline="0">
              <a:solidFill>
                <a:srgbClr val="000000"/>
              </a:solidFill>
              <a:latin typeface="Arial"/>
              <a:cs typeface="Arial"/>
            </a:rPr>
            <a:t>      </a:t>
          </a:r>
          <a:r>
            <a:rPr lang="zh-CN" altLang="en-US" sz="1200" b="0" i="0" u="none" strike="noStrike" baseline="0">
              <a:solidFill>
                <a:srgbClr val="000000"/>
              </a:solidFill>
              <a:latin typeface="宋体"/>
              <a:ea typeface="宋体"/>
              <a:cs typeface="Arial"/>
            </a:rPr>
            <a:t>第二，随时查看在硬盘上保存的文件的体积是否变得太大，如果太大了那一定是自己操作上发生了问题，应立即设法加以解决，不要等到最后交卷时才发现此类问题。</a:t>
          </a:r>
        </a:p>
        <a:p>
          <a:pPr algn="l" rtl="0">
            <a:lnSpc>
              <a:spcPts val="1500"/>
            </a:lnSpc>
            <a:defRPr sz="1000"/>
          </a:pPr>
          <a:r>
            <a:rPr lang="zh-CN" altLang="en-US" sz="1200" b="0" i="0" u="none" strike="noStrike" baseline="0">
              <a:solidFill>
                <a:srgbClr val="000000"/>
              </a:solidFill>
              <a:latin typeface="Arial"/>
              <a:cs typeface="Arial"/>
            </a:rPr>
            <a:t>5</a:t>
          </a:r>
          <a:r>
            <a:rPr lang="zh-CN" altLang="en-US" sz="1200" b="0" i="0" u="none" strike="noStrike" baseline="0">
              <a:solidFill>
                <a:srgbClr val="000000"/>
              </a:solidFill>
              <a:latin typeface="宋体"/>
              <a:ea typeface="宋体"/>
              <a:cs typeface="Arial"/>
            </a:rPr>
            <a:t>、每个工作表中的题目文字框如果妨碍做题，可以将它移开。</a:t>
          </a:r>
        </a:p>
        <a:p>
          <a:pPr algn="l" rtl="0">
            <a:lnSpc>
              <a:spcPts val="1400"/>
            </a:lnSpc>
            <a:defRPr sz="1000"/>
          </a:pPr>
          <a:r>
            <a:rPr lang="zh-CN" altLang="en-US" sz="1200" b="0" i="0" u="none" strike="noStrike" baseline="0">
              <a:solidFill>
                <a:srgbClr val="000000"/>
              </a:solidFill>
              <a:latin typeface="Arial"/>
              <a:cs typeface="Arial"/>
            </a:rPr>
            <a:t>6</a:t>
          </a:r>
          <a:r>
            <a:rPr lang="zh-CN" altLang="en-US" sz="1200" b="0" i="0" u="none" strike="noStrike" baseline="0">
              <a:solidFill>
                <a:srgbClr val="000000"/>
              </a:solidFill>
              <a:latin typeface="宋体"/>
              <a:ea typeface="宋体"/>
              <a:cs typeface="Arial"/>
            </a:rPr>
            <a:t>、绘制图形以实现功能为主，字体、大小和颜色等不同不扣分。</a:t>
          </a:r>
        </a:p>
        <a:p>
          <a:pPr algn="l" rtl="0">
            <a:lnSpc>
              <a:spcPts val="1500"/>
            </a:lnSpc>
            <a:defRPr sz="1000"/>
          </a:pPr>
          <a:r>
            <a:rPr lang="zh-CN" altLang="en-US" sz="1200" b="0" i="0" u="none" strike="noStrike" baseline="0">
              <a:solidFill>
                <a:srgbClr val="000000"/>
              </a:solidFill>
              <a:latin typeface="Arial"/>
              <a:cs typeface="Arial"/>
            </a:rPr>
            <a:t>7</a:t>
          </a:r>
          <a:r>
            <a:rPr lang="zh-CN" altLang="en-US" sz="1200" b="0" i="0" u="none" strike="noStrike" baseline="0">
              <a:solidFill>
                <a:srgbClr val="000000"/>
              </a:solidFill>
              <a:latin typeface="宋体"/>
              <a:ea typeface="宋体"/>
              <a:cs typeface="Arial"/>
            </a:rPr>
            <a:t>、若删除此工作表按零分计。</a:t>
          </a:r>
        </a:p>
        <a:p>
          <a:pPr algn="l" rtl="0">
            <a:lnSpc>
              <a:spcPts val="1400"/>
            </a:lnSpc>
            <a:defRPr sz="1000"/>
          </a:pPr>
          <a:endParaRPr lang="zh-CN" altLang="en-US" sz="1200" b="0" i="0" u="none" strike="noStrike" baseline="0">
            <a:solidFill>
              <a:srgbClr val="000000"/>
            </a:solidFill>
            <a:latin typeface="宋体"/>
            <a:ea typeface="宋体"/>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619125</xdr:colOff>
      <xdr:row>2</xdr:row>
      <xdr:rowOff>171450</xdr:rowOff>
    </xdr:from>
    <xdr:to>
      <xdr:col>9</xdr:col>
      <xdr:colOff>581025</xdr:colOff>
      <xdr:row>12</xdr:row>
      <xdr:rowOff>133350</xdr:rowOff>
    </xdr:to>
    <xdr:sp macro="" textlink="">
      <xdr:nvSpPr>
        <xdr:cNvPr id="35841" name="Text Box 1"/>
        <xdr:cNvSpPr txBox="1">
          <a:spLocks noChangeArrowheads="1"/>
        </xdr:cNvSpPr>
      </xdr:nvSpPr>
      <xdr:spPr bwMode="auto">
        <a:xfrm>
          <a:off x="3248025" y="514350"/>
          <a:ext cx="5048250" cy="18669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1</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(10</a:t>
          </a:r>
          <a:r>
            <a:rPr lang="zh-CN" altLang="en-US" sz="1100" b="1" i="0" u="none" strike="noStrike" baseline="0">
              <a:solidFill>
                <a:srgbClr val="000000"/>
              </a:solidFill>
              <a:latin typeface="宋体"/>
              <a:ea typeface="宋体"/>
              <a:cs typeface="Arial"/>
            </a:rPr>
            <a:t>分</a:t>
          </a:r>
          <a:r>
            <a:rPr lang="zh-CN" altLang="en-US" sz="1100" b="1" i="0" u="none" strike="noStrike" baseline="0">
              <a:solidFill>
                <a:srgbClr val="000000"/>
              </a:solidFill>
              <a:latin typeface="Arial"/>
              <a:ea typeface="宋体"/>
              <a:cs typeface="Arial"/>
            </a:rPr>
            <a:t>)</a:t>
          </a:r>
          <a:r>
            <a:rPr lang="zh-CN" altLang="en-US" sz="1100" b="0" i="0" u="none" strike="noStrike" baseline="0">
              <a:solidFill>
                <a:srgbClr val="000000"/>
              </a:solidFill>
              <a:latin typeface="Arial"/>
              <a:ea typeface="宋体"/>
              <a:cs typeface="Arial"/>
            </a:rPr>
            <a:t> A</a:t>
          </a:r>
          <a:r>
            <a:rPr lang="zh-CN" altLang="en-US" sz="1100" b="0" i="0" u="none" strike="noStrike" baseline="0">
              <a:solidFill>
                <a:srgbClr val="000000"/>
              </a:solidFill>
              <a:latin typeface="宋体"/>
              <a:ea typeface="宋体"/>
              <a:cs typeface="Arial"/>
            </a:rPr>
            <a:t>公司制造一种高档皮包。公司最大生产能力为</a:t>
          </a:r>
          <a:r>
            <a:rPr lang="zh-CN" altLang="en-US" sz="1100" b="0" i="0" u="none" strike="noStrike" baseline="0">
              <a:solidFill>
                <a:srgbClr val="000000"/>
              </a:solidFill>
              <a:latin typeface="Arial"/>
              <a:ea typeface="宋体"/>
              <a:cs typeface="Arial"/>
            </a:rPr>
            <a:t>1500</a:t>
          </a:r>
          <a:r>
            <a:rPr lang="zh-CN" altLang="en-US" sz="1100" b="0" i="0" u="none" strike="noStrike" baseline="0">
              <a:solidFill>
                <a:srgbClr val="000000"/>
              </a:solidFill>
              <a:latin typeface="宋体"/>
              <a:ea typeface="宋体"/>
              <a:cs typeface="Arial"/>
            </a:rPr>
            <a:t>，固定成本为</a:t>
          </a:r>
          <a:r>
            <a:rPr lang="zh-CN" altLang="en-US" sz="1100" b="0" i="0" u="none" strike="noStrike" baseline="0">
              <a:solidFill>
                <a:srgbClr val="000000"/>
              </a:solidFill>
              <a:latin typeface="Arial"/>
              <a:ea typeface="宋体"/>
              <a:cs typeface="Arial"/>
            </a:rPr>
            <a:t>30000</a:t>
          </a:r>
          <a:r>
            <a:rPr lang="zh-CN" altLang="en-US" sz="1100" b="0" i="0" u="none" strike="noStrike" baseline="0">
              <a:solidFill>
                <a:srgbClr val="000000"/>
              </a:solidFill>
              <a:latin typeface="宋体"/>
              <a:ea typeface="宋体"/>
              <a:cs typeface="Arial"/>
            </a:rPr>
            <a:t>元，每双可变成本为</a:t>
          </a:r>
          <a:r>
            <a:rPr lang="zh-CN" altLang="en-US" sz="1100" b="0" i="0" u="none" strike="noStrike" baseline="0">
              <a:solidFill>
                <a:srgbClr val="000000"/>
              </a:solidFill>
              <a:latin typeface="Arial"/>
              <a:ea typeface="宋体"/>
              <a:cs typeface="Arial"/>
            </a:rPr>
            <a:t>54</a:t>
          </a:r>
          <a:r>
            <a:rPr lang="zh-CN" altLang="en-US" sz="1100" b="0" i="0" u="none" strike="noStrike" baseline="0">
              <a:solidFill>
                <a:srgbClr val="000000"/>
              </a:solidFill>
              <a:latin typeface="宋体"/>
              <a:ea typeface="宋体"/>
              <a:cs typeface="Arial"/>
            </a:rPr>
            <a:t>元，当前的销量为</a:t>
          </a:r>
          <a:r>
            <a:rPr lang="zh-CN" altLang="en-US" sz="1100" b="0" i="0" u="none" strike="noStrike" baseline="0">
              <a:solidFill>
                <a:srgbClr val="000000"/>
              </a:solidFill>
              <a:latin typeface="Arial"/>
              <a:ea typeface="宋体"/>
              <a:cs typeface="Arial"/>
            </a:rPr>
            <a:t>900</a:t>
          </a:r>
          <a:r>
            <a:rPr lang="zh-CN" altLang="en-US" sz="1100" b="0" i="0" u="none" strike="noStrike" baseline="0">
              <a:solidFill>
                <a:srgbClr val="000000"/>
              </a:solidFill>
              <a:latin typeface="宋体"/>
              <a:ea typeface="宋体"/>
              <a:cs typeface="Arial"/>
            </a:rPr>
            <a:t>，平均销售价格为</a:t>
          </a:r>
          <a:r>
            <a:rPr lang="zh-CN" altLang="en-US" sz="1100" b="0" i="0" u="none" strike="noStrike" baseline="0">
              <a:solidFill>
                <a:srgbClr val="000000"/>
              </a:solidFill>
              <a:latin typeface="Arial"/>
              <a:ea typeface="宋体"/>
              <a:cs typeface="Arial"/>
            </a:rPr>
            <a:t>150</a:t>
          </a:r>
          <a:r>
            <a:rPr lang="zh-CN" altLang="en-US" sz="1100" b="0" i="0" u="none" strike="noStrike" baseline="0">
              <a:solidFill>
                <a:srgbClr val="000000"/>
              </a:solidFill>
              <a:latin typeface="宋体"/>
              <a:ea typeface="宋体"/>
              <a:cs typeface="Arial"/>
            </a:rPr>
            <a:t>元，公司管理层需要建立一个决策模型用于盈亏平衡分析，在本工作表中建立模型应包含以下功能：</a:t>
          </a:r>
        </a:p>
        <a:p>
          <a:pPr algn="l" rtl="0">
            <a:defRPr sz="1000"/>
          </a:pPr>
          <a:r>
            <a:rPr lang="zh-CN" altLang="en-US" sz="1100" b="0" i="0" u="none" strike="noStrike" baseline="0">
              <a:solidFill>
                <a:srgbClr val="000000"/>
              </a:solidFill>
              <a:latin typeface="Arial"/>
              <a:cs typeface="Arial"/>
            </a:rPr>
            <a:t>1</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计算单位边际贡献及边际贡献率；</a:t>
          </a:r>
        </a:p>
        <a:p>
          <a:pPr algn="l" rtl="0">
            <a:defRPr sz="1000"/>
          </a:pPr>
          <a:r>
            <a:rPr lang="zh-CN" altLang="en-US" sz="1100" b="0" i="0" u="none" strike="noStrike" baseline="0">
              <a:solidFill>
                <a:srgbClr val="000000"/>
              </a:solidFill>
              <a:latin typeface="Arial"/>
              <a:cs typeface="Arial"/>
            </a:rPr>
            <a:t>2</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计算销售收益、总成本及利润；</a:t>
          </a:r>
        </a:p>
        <a:p>
          <a:pPr algn="l" rtl="0">
            <a:lnSpc>
              <a:spcPts val="1300"/>
            </a:lnSpc>
            <a:defRPr sz="1000"/>
          </a:pPr>
          <a:r>
            <a:rPr lang="zh-CN" altLang="en-US" sz="1100" b="0" i="0" u="none" strike="noStrike" baseline="0">
              <a:solidFill>
                <a:srgbClr val="000000"/>
              </a:solidFill>
              <a:latin typeface="Arial"/>
              <a:cs typeface="Arial"/>
            </a:rPr>
            <a:t>3</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计算盈亏平衡销量及盈亏平衡销售收益；</a:t>
          </a:r>
        </a:p>
        <a:p>
          <a:pPr algn="l" rtl="0">
            <a:lnSpc>
              <a:spcPts val="1300"/>
            </a:lnSpc>
            <a:defRPr sz="1000"/>
          </a:pPr>
          <a:r>
            <a:rPr lang="zh-CN" altLang="en-US" sz="1100" b="0" i="0" u="none" strike="noStrike" baseline="0">
              <a:solidFill>
                <a:srgbClr val="000000"/>
              </a:solidFill>
              <a:latin typeface="Arial"/>
              <a:cs typeface="Arial"/>
            </a:rPr>
            <a:t>4</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市场部门制定的销售目标为</a:t>
          </a:r>
          <a:r>
            <a:rPr lang="zh-CN" altLang="en-US" sz="1100" b="0" i="0" u="none" strike="noStrike" baseline="0">
              <a:solidFill>
                <a:srgbClr val="000000"/>
              </a:solidFill>
              <a:latin typeface="Arial"/>
              <a:ea typeface="宋体"/>
              <a:cs typeface="Arial"/>
            </a:rPr>
            <a:t>1000</a:t>
          </a:r>
          <a:r>
            <a:rPr lang="zh-CN" altLang="en-US" sz="1100" b="0" i="0" u="none" strike="noStrike" baseline="0">
              <a:solidFill>
                <a:srgbClr val="000000"/>
              </a:solidFill>
              <a:latin typeface="宋体"/>
              <a:ea typeface="宋体"/>
              <a:cs typeface="Arial"/>
            </a:rPr>
            <a:t>个，求公司可获得销售收益和利润</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并计算此时的安全边际和安全边际率。</a:t>
          </a:r>
          <a:endParaRPr lang="zh-CN" altLang="en-US" sz="1100" b="0" i="0" u="none" strike="noStrike" baseline="0">
            <a:solidFill>
              <a:srgbClr val="000000"/>
            </a:solidFill>
            <a:latin typeface="宋体"/>
            <a:ea typeface="宋体"/>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285750</xdr:colOff>
      <xdr:row>0</xdr:row>
      <xdr:rowOff>104775</xdr:rowOff>
    </xdr:from>
    <xdr:to>
      <xdr:col>13</xdr:col>
      <xdr:colOff>361950</xdr:colOff>
      <xdr:row>27</xdr:row>
      <xdr:rowOff>95250</xdr:rowOff>
    </xdr:to>
    <xdr:grpSp>
      <xdr:nvGrpSpPr>
        <xdr:cNvPr id="36868" name="Group 4"/>
        <xdr:cNvGrpSpPr>
          <a:grpSpLocks/>
        </xdr:cNvGrpSpPr>
      </xdr:nvGrpSpPr>
      <xdr:grpSpPr bwMode="auto">
        <a:xfrm>
          <a:off x="2943225" y="104775"/>
          <a:ext cx="5534025" cy="5172075"/>
          <a:chOff x="309" y="11"/>
          <a:chExt cx="581" cy="543"/>
        </a:xfrm>
      </xdr:grpSpPr>
      <xdr:sp macro="" textlink="">
        <xdr:nvSpPr>
          <xdr:cNvPr id="36866" name="Text Box 2"/>
          <xdr:cNvSpPr txBox="1">
            <a:spLocks noChangeArrowheads="1"/>
          </xdr:cNvSpPr>
        </xdr:nvSpPr>
        <xdr:spPr bwMode="auto">
          <a:xfrm>
            <a:off x="309" y="11"/>
            <a:ext cx="581" cy="543"/>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2</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10</a:t>
            </a:r>
            <a:r>
              <a:rPr lang="zh-CN" altLang="en-US" sz="1100" b="1" i="0" u="none" strike="noStrike" baseline="0">
                <a:solidFill>
                  <a:srgbClr val="000000"/>
                </a:solidFill>
                <a:latin typeface="宋体"/>
                <a:ea typeface="宋体"/>
                <a:cs typeface="Arial"/>
              </a:rPr>
              <a:t>分）</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现有根据两种供租用设备超过一年的用户可选的方案，根据该方案建立的租金计算模型，模型中已计算得到两种方案的相对盈亏平衡点及平衡点处的租金。试在此模型基础上参照下图实现以下要求：</a:t>
            </a:r>
          </a:p>
          <a:p>
            <a:pPr algn="l" rtl="0">
              <a:defRPr sz="1000"/>
            </a:pPr>
            <a:r>
              <a:rPr lang="zh-CN" altLang="en-US" sz="1100" b="0" i="0" u="none" strike="noStrike" baseline="0">
                <a:solidFill>
                  <a:srgbClr val="000000"/>
                </a:solidFill>
                <a:latin typeface="Arial"/>
                <a:cs typeface="Arial"/>
              </a:rPr>
              <a:t>1</a:t>
            </a:r>
            <a:r>
              <a:rPr lang="zh-CN" altLang="en-US" sz="1100" b="0" i="0" u="none" strike="noStrike" baseline="0">
                <a:solidFill>
                  <a:srgbClr val="000000"/>
                </a:solidFill>
                <a:latin typeface="宋体"/>
                <a:ea typeface="宋体"/>
                <a:cs typeface="Arial"/>
              </a:rPr>
              <a:t>、绘制两种方案随月份变化的租金曲线。</a:t>
            </a:r>
          </a:p>
          <a:p>
            <a:pPr algn="l" rtl="0">
              <a:defRPr sz="1000"/>
            </a:pPr>
            <a:r>
              <a:rPr lang="zh-CN" altLang="en-US" sz="1100" b="0" i="0" u="none" strike="noStrike" baseline="0">
                <a:solidFill>
                  <a:srgbClr val="000000"/>
                </a:solidFill>
                <a:latin typeface="Arial"/>
                <a:cs typeface="Arial"/>
              </a:rPr>
              <a:t>2</a:t>
            </a:r>
            <a:r>
              <a:rPr lang="zh-CN" altLang="en-US" sz="1100" b="0" i="0" u="none" strike="noStrike" baseline="0">
                <a:solidFill>
                  <a:srgbClr val="000000"/>
                </a:solidFill>
                <a:latin typeface="宋体"/>
                <a:ea typeface="宋体"/>
                <a:cs typeface="Arial"/>
              </a:rPr>
              <a:t>、添加控制月份变化的控件微调项，</a:t>
            </a:r>
            <a:r>
              <a:rPr lang="zh-CN" altLang="en-US" sz="1100" b="0" i="0" u="none" strike="noStrike" baseline="0">
                <a:solidFill>
                  <a:srgbClr val="000000"/>
                </a:solidFill>
                <a:latin typeface="Arial"/>
                <a:ea typeface="宋体"/>
                <a:cs typeface="Arial"/>
              </a:rPr>
              <a:t>T</a:t>
            </a:r>
            <a:r>
              <a:rPr lang="zh-CN" altLang="en-US" sz="1100" b="0" i="0" u="none" strike="noStrike" baseline="0">
                <a:solidFill>
                  <a:srgbClr val="000000"/>
                </a:solidFill>
                <a:latin typeface="宋体"/>
                <a:ea typeface="宋体"/>
                <a:cs typeface="Arial"/>
              </a:rPr>
              <a:t>值的变化范围设定为</a:t>
            </a:r>
            <a:r>
              <a:rPr lang="zh-CN" altLang="en-US" sz="1100" b="0" i="0" u="none" strike="noStrike" baseline="0">
                <a:solidFill>
                  <a:srgbClr val="000000"/>
                </a:solidFill>
                <a:latin typeface="Arial"/>
                <a:ea typeface="宋体"/>
                <a:cs typeface="Arial"/>
              </a:rPr>
              <a:t>13</a:t>
            </a:r>
            <a:r>
              <a:rPr lang="zh-CN" altLang="en-US" sz="1100" b="0" i="0" u="none" strike="noStrike" baseline="0">
                <a:solidFill>
                  <a:srgbClr val="000000"/>
                </a:solidFill>
                <a:latin typeface="宋体"/>
                <a:ea typeface="宋体"/>
                <a:cs typeface="Arial"/>
              </a:rPr>
              <a:t>至</a:t>
            </a:r>
            <a:r>
              <a:rPr lang="zh-CN" altLang="en-US" sz="1100" b="0" i="0" u="none" strike="noStrike" baseline="0">
                <a:solidFill>
                  <a:srgbClr val="000000"/>
                </a:solidFill>
                <a:latin typeface="Arial"/>
                <a:ea typeface="宋体"/>
                <a:cs typeface="Arial"/>
              </a:rPr>
              <a:t>36</a:t>
            </a:r>
            <a:r>
              <a:rPr lang="zh-CN" altLang="en-US" sz="1100" b="0" i="0" u="none" strike="noStrike" baseline="0">
                <a:solidFill>
                  <a:srgbClr val="000000"/>
                </a:solidFill>
                <a:latin typeface="宋体"/>
                <a:ea typeface="宋体"/>
                <a:cs typeface="Arial"/>
              </a:rPr>
              <a:t>间。</a:t>
            </a:r>
          </a:p>
          <a:p>
            <a:pPr algn="l" rtl="0">
              <a:defRPr sz="1000"/>
            </a:pPr>
            <a:r>
              <a:rPr lang="zh-CN" altLang="en-US" sz="1100" b="0" i="0" u="none" strike="noStrike" baseline="0">
                <a:solidFill>
                  <a:srgbClr val="000000"/>
                </a:solidFill>
                <a:latin typeface="Arial"/>
                <a:cs typeface="Arial"/>
              </a:rPr>
              <a:t>3</a:t>
            </a:r>
            <a:r>
              <a:rPr lang="zh-CN" altLang="en-US" sz="1100" b="0" i="0" u="none" strike="noStrike" baseline="0">
                <a:solidFill>
                  <a:srgbClr val="000000"/>
                </a:solidFill>
                <a:latin typeface="宋体"/>
                <a:ea typeface="宋体"/>
                <a:cs typeface="Arial"/>
              </a:rPr>
              <a:t>、添加通过相对盈亏平衡点的垂直参考线和当前月份的垂直参考线，并用空心方块标出垂直参考线与租金曲线的交点。</a:t>
            </a:r>
          </a:p>
          <a:p>
            <a:pPr algn="l" rtl="0">
              <a:lnSpc>
                <a:spcPts val="1300"/>
              </a:lnSpc>
              <a:defRPr sz="1000"/>
            </a:pPr>
            <a:r>
              <a:rPr lang="zh-CN" altLang="en-US" sz="1100" b="0" i="0" u="none" strike="noStrike" baseline="0">
                <a:solidFill>
                  <a:srgbClr val="000000"/>
                </a:solidFill>
                <a:latin typeface="Arial"/>
                <a:cs typeface="Arial"/>
              </a:rPr>
              <a:t>4</a:t>
            </a:r>
            <a:r>
              <a:rPr lang="zh-CN" altLang="en-US" sz="1100" b="0" i="0" u="none" strike="noStrike" baseline="0">
                <a:solidFill>
                  <a:srgbClr val="000000"/>
                </a:solidFill>
                <a:latin typeface="宋体"/>
                <a:ea typeface="宋体"/>
                <a:cs typeface="Arial"/>
              </a:rPr>
              <a:t>、在单元格中显示出在</a:t>
            </a:r>
            <a:r>
              <a:rPr lang="zh-CN" altLang="en-US" sz="1100" b="0" i="0" u="none" strike="noStrike" baseline="0">
                <a:solidFill>
                  <a:srgbClr val="000000"/>
                </a:solidFill>
                <a:latin typeface="Arial"/>
                <a:ea typeface="宋体"/>
                <a:cs typeface="Arial"/>
              </a:rPr>
              <a:t>T</a:t>
            </a:r>
            <a:r>
              <a:rPr lang="zh-CN" altLang="en-US" sz="1100" b="0" i="0" u="none" strike="noStrike" baseline="0">
                <a:solidFill>
                  <a:srgbClr val="000000"/>
                </a:solidFill>
                <a:latin typeface="宋体"/>
                <a:ea typeface="宋体"/>
                <a:cs typeface="Arial"/>
              </a:rPr>
              <a:t>月时哪个方案最优的结论文字：</a:t>
            </a:r>
            <a:r>
              <a:rPr lang="zh-CN" altLang="en-US" sz="1100" b="0" i="0" u="none" strike="noStrike" baseline="0">
                <a:solidFill>
                  <a:srgbClr val="000000"/>
                </a:solidFill>
                <a:latin typeface="Arial"/>
                <a:ea typeface="宋体"/>
                <a:cs typeface="Arial"/>
              </a:rPr>
              <a:t>“</a:t>
            </a:r>
            <a:r>
              <a:rPr lang="zh-CN" altLang="en-US" sz="1100" b="0" i="0" u="none" strike="noStrike" baseline="0">
                <a:solidFill>
                  <a:srgbClr val="000000"/>
                </a:solidFill>
                <a:latin typeface="宋体"/>
                <a:ea typeface="宋体"/>
                <a:cs typeface="Arial"/>
              </a:rPr>
              <a:t>决策结论：最佳方案是方案一</a:t>
            </a:r>
            <a:r>
              <a:rPr lang="zh-CN" altLang="en-US" sz="1100" b="0" i="0" u="none" strike="noStrike" baseline="0">
                <a:solidFill>
                  <a:srgbClr val="000000"/>
                </a:solidFill>
                <a:latin typeface="Arial"/>
                <a:ea typeface="宋体"/>
                <a:cs typeface="Arial"/>
              </a:rPr>
              <a:t>”</a:t>
            </a:r>
            <a:r>
              <a:rPr lang="zh-CN" altLang="en-US" sz="1100" b="0" i="0" u="none" strike="noStrike" baseline="0">
                <a:solidFill>
                  <a:srgbClr val="000000"/>
                </a:solidFill>
                <a:latin typeface="宋体"/>
                <a:ea typeface="宋体"/>
                <a:cs typeface="Arial"/>
              </a:rPr>
              <a:t>或</a:t>
            </a:r>
            <a:r>
              <a:rPr lang="zh-CN" altLang="en-US" sz="1100" b="0" i="0" u="none" strike="noStrike" baseline="0">
                <a:solidFill>
                  <a:srgbClr val="000000"/>
                </a:solidFill>
                <a:latin typeface="Arial"/>
                <a:ea typeface="宋体"/>
                <a:cs typeface="Arial"/>
              </a:rPr>
              <a:t>“</a:t>
            </a:r>
            <a:r>
              <a:rPr lang="zh-CN" altLang="en-US" sz="1100" b="0" i="0" u="none" strike="noStrike" baseline="0">
                <a:solidFill>
                  <a:srgbClr val="000000"/>
                </a:solidFill>
                <a:latin typeface="宋体"/>
                <a:ea typeface="宋体"/>
                <a:cs typeface="Arial"/>
              </a:rPr>
              <a:t>决策结论：最佳方案是方案二</a:t>
            </a:r>
            <a:r>
              <a:rPr lang="zh-CN" altLang="en-US" sz="1100" b="0" i="0" u="none" strike="noStrike" baseline="0">
                <a:solidFill>
                  <a:srgbClr val="000000"/>
                </a:solidFill>
                <a:latin typeface="Arial"/>
                <a:ea typeface="宋体"/>
                <a:cs typeface="Arial"/>
              </a:rPr>
              <a:t>”</a:t>
            </a:r>
            <a:r>
              <a:rPr lang="zh-CN" altLang="en-US" sz="1100" b="0" i="0" u="none" strike="noStrike" baseline="0">
                <a:solidFill>
                  <a:srgbClr val="000000"/>
                </a:solidFill>
                <a:latin typeface="宋体"/>
                <a:ea typeface="宋体"/>
                <a:cs typeface="Arial"/>
              </a:rPr>
              <a:t>或</a:t>
            </a:r>
            <a:r>
              <a:rPr lang="zh-CN" altLang="en-US" sz="1100" b="0" i="0" u="none" strike="noStrike" baseline="0">
                <a:solidFill>
                  <a:srgbClr val="000000"/>
                </a:solidFill>
                <a:latin typeface="Arial"/>
                <a:ea typeface="宋体"/>
                <a:cs typeface="Arial"/>
              </a:rPr>
              <a:t>“</a:t>
            </a:r>
            <a:r>
              <a:rPr lang="zh-CN" altLang="en-US" sz="1100" b="0" i="0" u="none" strike="noStrike" baseline="0">
                <a:solidFill>
                  <a:srgbClr val="000000"/>
                </a:solidFill>
                <a:latin typeface="宋体"/>
                <a:ea typeface="宋体"/>
                <a:cs typeface="Arial"/>
              </a:rPr>
              <a:t>皆可</a:t>
            </a:r>
            <a:r>
              <a:rPr lang="zh-CN" altLang="en-US" sz="1100" b="0" i="0" u="none" strike="noStrike" baseline="0">
                <a:solidFill>
                  <a:srgbClr val="000000"/>
                </a:solidFill>
                <a:latin typeface="Arial"/>
                <a:ea typeface="宋体"/>
                <a:cs typeface="Arial"/>
              </a:rPr>
              <a:t>”</a:t>
            </a:r>
            <a:r>
              <a:rPr lang="zh-CN" altLang="en-US" sz="1100" b="0" i="0" u="none" strike="noStrike" baseline="0">
                <a:solidFill>
                  <a:srgbClr val="000000"/>
                </a:solidFill>
                <a:latin typeface="宋体"/>
                <a:ea typeface="宋体"/>
                <a:cs typeface="Arial"/>
              </a:rPr>
              <a:t>。</a:t>
            </a:r>
          </a:p>
          <a:p>
            <a:pPr algn="l" rtl="0">
              <a:lnSpc>
                <a:spcPts val="1300"/>
              </a:lnSpc>
              <a:defRPr sz="1000"/>
            </a:pPr>
            <a:endParaRPr lang="zh-CN" altLang="en-US" sz="1100" b="0" i="0" u="none" strike="noStrike" baseline="0">
              <a:solidFill>
                <a:srgbClr val="000000"/>
              </a:solidFill>
              <a:latin typeface="宋体"/>
              <a:ea typeface="宋体"/>
            </a:endParaRPr>
          </a:p>
        </xdr:txBody>
      </xdr:sp>
      <xdr:pic>
        <xdr:nvPicPr>
          <xdr:cNvPr id="36867" name="Picture 3" descr="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8" y="228"/>
            <a:ext cx="453" cy="299"/>
          </a:xfrm>
          <a:prstGeom prst="rect">
            <a:avLst/>
          </a:prstGeom>
          <a:solidFill>
            <a:srgbClr xmlns:mc="http://schemas.openxmlformats.org/markup-compatibility/2006" xmlns:a14="http://schemas.microsoft.com/office/drawing/2010/main" val="FFFF99" mc:Ignorable="a14" a14:legacySpreadsheetColorIndex="43"/>
          </a:solidFill>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xdr:row>
      <xdr:rowOff>161925</xdr:rowOff>
    </xdr:from>
    <xdr:to>
      <xdr:col>16</xdr:col>
      <xdr:colOff>342900</xdr:colOff>
      <xdr:row>43</xdr:row>
      <xdr:rowOff>9525</xdr:rowOff>
    </xdr:to>
    <xdr:grpSp>
      <xdr:nvGrpSpPr>
        <xdr:cNvPr id="37889" name="Group 1"/>
        <xdr:cNvGrpSpPr>
          <a:grpSpLocks/>
        </xdr:cNvGrpSpPr>
      </xdr:nvGrpSpPr>
      <xdr:grpSpPr bwMode="auto">
        <a:xfrm>
          <a:off x="3457575" y="352425"/>
          <a:ext cx="5867400" cy="7848600"/>
          <a:chOff x="107" y="299"/>
          <a:chExt cx="616" cy="712"/>
        </a:xfrm>
      </xdr:grpSpPr>
      <xdr:sp macro="" textlink="">
        <xdr:nvSpPr>
          <xdr:cNvPr id="37890" name="Text Box 2"/>
          <xdr:cNvSpPr txBox="1">
            <a:spLocks noChangeArrowheads="1"/>
          </xdr:cNvSpPr>
        </xdr:nvSpPr>
        <xdr:spPr bwMode="auto">
          <a:xfrm>
            <a:off x="107" y="299"/>
            <a:ext cx="616" cy="712"/>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lnSpc>
                <a:spcPts val="1400"/>
              </a:lnSpc>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3</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15</a:t>
            </a:r>
            <a:r>
              <a:rPr lang="zh-CN" altLang="en-US" sz="1100" b="1" i="0" u="none" strike="noStrike" baseline="0">
                <a:solidFill>
                  <a:srgbClr val="000000"/>
                </a:solidFill>
                <a:latin typeface="宋体"/>
                <a:ea typeface="宋体"/>
                <a:cs typeface="Arial"/>
              </a:rPr>
              <a:t>分）</a:t>
            </a:r>
            <a:r>
              <a:rPr lang="zh-CN" altLang="en-US" sz="1200" b="0" i="0" u="none" strike="noStrike" baseline="0">
                <a:solidFill>
                  <a:srgbClr val="000000"/>
                </a:solidFill>
                <a:latin typeface="宋体"/>
                <a:ea typeface="宋体"/>
                <a:cs typeface="Arial"/>
              </a:rPr>
              <a:t>XTREM是一家专门生产山地自行车的企业，该企业需要采购一种零件。该零件全年的需求量约为15000，一次采购的固定订货成本为600元，一件商品储存一年的储存成本为40元，购买该商品的单价为6元。假如该企业每次采购时的订货量为900，要求：</a:t>
            </a:r>
          </a:p>
          <a:p>
            <a:pPr algn="l" rtl="0">
              <a:lnSpc>
                <a:spcPts val="1400"/>
              </a:lnSpc>
              <a:defRPr sz="1000"/>
            </a:pPr>
            <a:r>
              <a:rPr lang="zh-CN" altLang="en-US" sz="1200" b="0" i="0" u="none" strike="noStrike" baseline="0">
                <a:solidFill>
                  <a:srgbClr val="000000"/>
                </a:solidFill>
                <a:latin typeface="宋体"/>
                <a:ea typeface="宋体"/>
                <a:cs typeface="Arial"/>
              </a:rPr>
              <a:t>1）计算全年的固定订货成本、储存成本、采购成本与年总成本；</a:t>
            </a:r>
          </a:p>
          <a:p>
            <a:pPr algn="l" rtl="0">
              <a:lnSpc>
                <a:spcPts val="1400"/>
              </a:lnSpc>
              <a:defRPr sz="1000"/>
            </a:pPr>
            <a:r>
              <a:rPr lang="zh-CN" altLang="en-US" sz="1200" b="0" i="0" u="none" strike="noStrike" baseline="0">
                <a:solidFill>
                  <a:srgbClr val="000000"/>
                </a:solidFill>
                <a:latin typeface="宋体"/>
                <a:ea typeface="宋体"/>
                <a:cs typeface="Arial"/>
              </a:rPr>
              <a:t>2）计算经济订货量，以及经济订货量下的全年的固定订货成本、储存成本、采购成本与年总成本；</a:t>
            </a:r>
          </a:p>
          <a:p>
            <a:pPr algn="l" rtl="0">
              <a:lnSpc>
                <a:spcPts val="1400"/>
              </a:lnSpc>
              <a:defRPr sz="1000"/>
            </a:pPr>
            <a:r>
              <a:rPr lang="zh-CN" altLang="en-US" sz="1200" b="0" i="0" u="none" strike="noStrike" baseline="0">
                <a:solidFill>
                  <a:srgbClr val="000000"/>
                </a:solidFill>
                <a:latin typeface="宋体"/>
                <a:ea typeface="宋体"/>
                <a:cs typeface="Arial"/>
              </a:rPr>
              <a:t>3）假如批发公司提出一个折扣优惠方案：如果订货量超过1300件，给予5%的优惠；订货量超过1800件，基于10%的优惠。根据优惠方案，计算必要数据，绘制如下图的年总成本随订货量变化曲线；</a:t>
            </a:r>
          </a:p>
          <a:p>
            <a:pPr algn="l" rtl="0">
              <a:lnSpc>
                <a:spcPts val="1500"/>
              </a:lnSpc>
              <a:defRPr sz="1000"/>
            </a:pPr>
            <a:r>
              <a:rPr lang="zh-CN" altLang="en-US" sz="1200" b="0" i="0" u="none" strike="noStrike" baseline="0">
                <a:solidFill>
                  <a:srgbClr val="000000"/>
                </a:solidFill>
                <a:latin typeface="宋体"/>
                <a:ea typeface="宋体"/>
                <a:cs typeface="Arial"/>
              </a:rPr>
              <a:t>4）添加一个对年需求量进行调整的微调器，最小值为11000，最大值为1800，步长为1000，并在图表上添加一个代表当前年需求量的红色总成本线；</a:t>
            </a:r>
          </a:p>
          <a:p>
            <a:pPr algn="l" rtl="0">
              <a:lnSpc>
                <a:spcPts val="1400"/>
              </a:lnSpc>
              <a:defRPr sz="1000"/>
            </a:pPr>
            <a:r>
              <a:rPr lang="zh-CN" altLang="en-US" sz="1200" b="0" i="0" u="none" strike="noStrike" baseline="0">
                <a:solidFill>
                  <a:srgbClr val="000000"/>
                </a:solidFill>
                <a:latin typeface="宋体"/>
                <a:ea typeface="宋体"/>
                <a:cs typeface="Arial"/>
              </a:rPr>
              <a:t>5）在红色曲线上，添加一个代表最低成本点的红色点子，该点子旁边显示对应的订货量值；</a:t>
            </a:r>
          </a:p>
          <a:p>
            <a:pPr algn="l" rtl="0">
              <a:lnSpc>
                <a:spcPts val="1500"/>
              </a:lnSpc>
              <a:defRPr sz="1000"/>
            </a:pPr>
            <a:r>
              <a:rPr lang="zh-CN" altLang="en-US" sz="1200" b="0" i="0" u="none" strike="noStrike" baseline="0">
                <a:solidFill>
                  <a:srgbClr val="000000"/>
                </a:solidFill>
                <a:latin typeface="宋体"/>
                <a:ea typeface="宋体"/>
                <a:cs typeface="Arial"/>
              </a:rPr>
              <a:t>6）添加一个对1300件折扣阈限值对应的单价折扣率进行调整的微调器，其最小值为5%，最大值为9%，调整步长为1% ;</a:t>
            </a:r>
          </a:p>
          <a:p>
            <a:pPr algn="l" rtl="0">
              <a:lnSpc>
                <a:spcPts val="1400"/>
              </a:lnSpc>
              <a:defRPr sz="1000"/>
            </a:pPr>
            <a:r>
              <a:rPr lang="zh-CN" altLang="en-US" sz="1200" b="0" i="0" u="none" strike="noStrike" baseline="0">
                <a:solidFill>
                  <a:srgbClr val="000000"/>
                </a:solidFill>
                <a:latin typeface="宋体"/>
                <a:ea typeface="宋体"/>
                <a:cs typeface="Arial"/>
              </a:rPr>
              <a:t>7）在图表的标题栏位置，显示当前的订货方案是“按照经济订货量”订货，还是“按照折扣阈限值”订货，并显示具体的订货量。</a:t>
            </a:r>
            <a:endParaRPr lang="zh-CN" altLang="en-US" sz="1200" b="0" i="0" u="none" strike="noStrike" baseline="0">
              <a:solidFill>
                <a:srgbClr val="000000"/>
              </a:solidFill>
              <a:latin typeface="宋体"/>
              <a:ea typeface="宋体"/>
            </a:endParaRPr>
          </a:p>
        </xdr:txBody>
      </xdr:sp>
      <xdr:pic>
        <xdr:nvPicPr>
          <xdr:cNvPr id="37891"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 y="639"/>
            <a:ext cx="542" cy="352"/>
          </a:xfrm>
          <a:prstGeom prst="rect">
            <a:avLst/>
          </a:prstGeom>
          <a:solidFill>
            <a:srgbClr xmlns:mc="http://schemas.openxmlformats.org/markup-compatibility/2006" xmlns:a14="http://schemas.microsoft.com/office/drawing/2010/main" val="FFFF99" mc:Ignorable="a14" a14:legacySpreadsheetColorIndex="43"/>
          </a:solidFill>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504825</xdr:colOff>
      <xdr:row>1</xdr:row>
      <xdr:rowOff>66675</xdr:rowOff>
    </xdr:from>
    <xdr:to>
      <xdr:col>11</xdr:col>
      <xdr:colOff>485775</xdr:colOff>
      <xdr:row>12</xdr:row>
      <xdr:rowOff>142875</xdr:rowOff>
    </xdr:to>
    <xdr:grpSp>
      <xdr:nvGrpSpPr>
        <xdr:cNvPr id="38916" name="Group 4"/>
        <xdr:cNvGrpSpPr>
          <a:grpSpLocks/>
        </xdr:cNvGrpSpPr>
      </xdr:nvGrpSpPr>
      <xdr:grpSpPr bwMode="auto">
        <a:xfrm>
          <a:off x="2847975" y="247650"/>
          <a:ext cx="5467350" cy="2066925"/>
          <a:chOff x="299" y="26"/>
          <a:chExt cx="574" cy="217"/>
        </a:xfrm>
      </xdr:grpSpPr>
      <xdr:sp macro="" textlink="">
        <xdr:nvSpPr>
          <xdr:cNvPr id="38914" name="Text Box 2"/>
          <xdr:cNvSpPr txBox="1">
            <a:spLocks noChangeArrowheads="1"/>
          </xdr:cNvSpPr>
        </xdr:nvSpPr>
        <xdr:spPr bwMode="auto">
          <a:xfrm>
            <a:off x="299" y="26"/>
            <a:ext cx="574" cy="217"/>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4</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10</a:t>
            </a:r>
            <a:r>
              <a:rPr lang="zh-CN" altLang="en-US" sz="1100" b="1" i="0" u="none" strike="noStrike" baseline="0">
                <a:solidFill>
                  <a:srgbClr val="000000"/>
                </a:solidFill>
                <a:latin typeface="宋体"/>
                <a:ea typeface="宋体"/>
                <a:cs typeface="Arial"/>
              </a:rPr>
              <a:t>分）</a:t>
            </a:r>
            <a:r>
              <a:rPr lang="zh-CN" altLang="en-US" sz="1100" b="0" i="0" u="none" strike="noStrike" baseline="0">
                <a:solidFill>
                  <a:srgbClr val="000000"/>
                </a:solidFill>
                <a:latin typeface="宋体"/>
                <a:ea typeface="宋体"/>
                <a:cs typeface="Arial"/>
              </a:rPr>
              <a:t>工厂每月生产</a:t>
            </a:r>
            <a:r>
              <a:rPr lang="zh-CN" altLang="en-US" sz="1100" b="0" i="0" u="none" strike="noStrike" baseline="0">
                <a:solidFill>
                  <a:srgbClr val="000000"/>
                </a:solidFill>
                <a:latin typeface="Arial"/>
                <a:ea typeface="宋体"/>
                <a:cs typeface="Arial"/>
              </a:rPr>
              <a:t>A</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B</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C</a:t>
            </a:r>
            <a:r>
              <a:rPr lang="zh-CN" altLang="en-US" sz="1100" b="0" i="0" u="none" strike="noStrike" baseline="0">
                <a:solidFill>
                  <a:srgbClr val="000000"/>
                </a:solidFill>
                <a:latin typeface="宋体"/>
                <a:ea typeface="宋体"/>
                <a:cs typeface="Arial"/>
              </a:rPr>
              <a:t>三种产品，单件产品的原材料消耗量、设备台时的消耗量、资源限量及单件产品利润如下表所示。</a:t>
            </a:r>
          </a:p>
          <a:p>
            <a:pPr algn="l" rtl="0">
              <a:lnSpc>
                <a:spcPts val="1300"/>
              </a:lnSpc>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lnSpc>
                <a:spcPts val="1300"/>
              </a:lnSpc>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lnSpc>
                <a:spcPts val="1300"/>
              </a:lnSpc>
              <a:defRPr sz="1000"/>
            </a:pPr>
            <a:endParaRPr lang="zh-CN" altLang="en-US" sz="1100" b="0" i="0" u="none" strike="noStrike" baseline="0">
              <a:solidFill>
                <a:srgbClr val="000000"/>
              </a:solidFill>
              <a:latin typeface="宋体"/>
              <a:ea typeface="宋体"/>
              <a:cs typeface="Arial"/>
            </a:endParaRPr>
          </a:p>
          <a:p>
            <a:pPr algn="l" rtl="0">
              <a:lnSpc>
                <a:spcPts val="1300"/>
              </a:lnSpc>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lnSpc>
                <a:spcPts val="1300"/>
              </a:lnSpc>
              <a:defRPr sz="1000"/>
            </a:pPr>
            <a:r>
              <a:rPr lang="zh-CN" altLang="en-US" sz="1100" b="0" i="0" u="none" strike="noStrike" baseline="0">
                <a:solidFill>
                  <a:srgbClr val="000000"/>
                </a:solidFill>
                <a:latin typeface="宋体"/>
                <a:ea typeface="宋体"/>
                <a:cs typeface="Arial"/>
              </a:rPr>
              <a:t>求：如何安排生产，可使每月利润最大，在本工作表中求解，并且将模型保存在</a:t>
            </a:r>
            <a:r>
              <a:rPr lang="zh-CN" altLang="en-US" sz="1100" b="0" i="0" u="none" strike="noStrike" baseline="0">
                <a:solidFill>
                  <a:srgbClr val="000000"/>
                </a:solidFill>
                <a:latin typeface="Arial"/>
                <a:ea typeface="宋体"/>
                <a:cs typeface="Arial"/>
              </a:rPr>
              <a:t>A1</a:t>
            </a:r>
            <a:r>
              <a:rPr lang="zh-CN" altLang="en-US" sz="1100" b="0" i="0" u="none" strike="noStrike" baseline="0">
                <a:solidFill>
                  <a:srgbClr val="000000"/>
                </a:solidFill>
                <a:latin typeface="宋体"/>
                <a:ea typeface="宋体"/>
                <a:cs typeface="Arial"/>
              </a:rPr>
              <a:t>开始的单元格内。</a:t>
            </a:r>
            <a:endParaRPr lang="zh-CN" altLang="en-US" sz="1100" b="0" i="0" u="none" strike="noStrike" baseline="0">
              <a:solidFill>
                <a:srgbClr val="000000"/>
              </a:solidFill>
              <a:latin typeface="宋体"/>
              <a:ea typeface="宋体"/>
            </a:endParaRPr>
          </a:p>
        </xdr:txBody>
      </xdr:sp>
      <xdr:pic>
        <xdr:nvPicPr>
          <xdr:cNvPr id="38915"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 y="77"/>
            <a:ext cx="505" cy="89"/>
          </a:xfrm>
          <a:prstGeom prst="rect">
            <a:avLst/>
          </a:prstGeom>
          <a:solidFill>
            <a:srgbClr xmlns:mc="http://schemas.openxmlformats.org/markup-compatibility/2006" xmlns:a14="http://schemas.microsoft.com/office/drawing/2010/main" val="FFFF99" mc:Ignorable="a14" a14:legacySpreadsheetColorIndex="43"/>
          </a:solidFill>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190500</xdr:colOff>
      <xdr:row>0</xdr:row>
      <xdr:rowOff>142875</xdr:rowOff>
    </xdr:from>
    <xdr:to>
      <xdr:col>12</xdr:col>
      <xdr:colOff>285750</xdr:colOff>
      <xdr:row>6</xdr:row>
      <xdr:rowOff>190500</xdr:rowOff>
    </xdr:to>
    <xdr:sp macro="" textlink="">
      <xdr:nvSpPr>
        <xdr:cNvPr id="39937" name="TextBox 1"/>
        <xdr:cNvSpPr txBox="1">
          <a:spLocks noChangeArrowheads="1"/>
        </xdr:cNvSpPr>
      </xdr:nvSpPr>
      <xdr:spPr bwMode="auto">
        <a:xfrm>
          <a:off x="5238750" y="142875"/>
          <a:ext cx="3248025" cy="1533525"/>
        </a:xfrm>
        <a:prstGeom prst="rect">
          <a:avLst/>
        </a:prstGeom>
        <a:solidFill>
          <a:srgbClr xmlns:mc="http://schemas.openxmlformats.org/markup-compatibility/2006" xmlns:a14="http://schemas.microsoft.com/office/drawing/2010/main" val="FFFF99" mc:Ignorable="a14" a14:legacySpreadsheetColorIndex="43"/>
        </a:solidFill>
        <a:ln w="9525">
          <a:solidFill>
            <a:srgbClr val="000000"/>
          </a:solidFill>
          <a:miter lim="800000"/>
          <a:headEnd/>
          <a:tailEnd/>
        </a:ln>
      </xdr:spPr>
      <xdr:txBody>
        <a:bodyPr vertOverflow="clip" wrap="square" lIns="36576" tIns="18288" rIns="0" bIns="0" anchor="t"/>
        <a:lstStyle/>
        <a:p>
          <a:pPr algn="l" rtl="0">
            <a:lnSpc>
              <a:spcPts val="1300"/>
            </a:lnSpc>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5</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15</a:t>
          </a:r>
          <a:r>
            <a:rPr lang="zh-CN" altLang="en-US" sz="1100" b="1" i="0" u="none" strike="noStrike" baseline="0">
              <a:solidFill>
                <a:srgbClr val="000000"/>
              </a:solidFill>
              <a:latin typeface="宋体"/>
              <a:ea typeface="宋体"/>
              <a:cs typeface="Arial"/>
            </a:rPr>
            <a:t>分）</a:t>
          </a:r>
          <a:r>
            <a:rPr lang="zh-CN" altLang="en-US" sz="1100" b="0" i="0" u="none" strike="noStrike" baseline="0">
              <a:solidFill>
                <a:srgbClr val="000000"/>
              </a:solidFill>
              <a:latin typeface="宋体"/>
              <a:ea typeface="宋体"/>
              <a:cs typeface="Arial"/>
            </a:rPr>
            <a:t>某糖果厂用原料</a:t>
          </a:r>
          <a:r>
            <a:rPr lang="zh-CN" altLang="en-US" sz="1100" b="0" i="0" u="none" strike="noStrike" baseline="0">
              <a:solidFill>
                <a:srgbClr val="000000"/>
              </a:solidFill>
              <a:latin typeface="Arial"/>
              <a:ea typeface="宋体"/>
              <a:cs typeface="Arial"/>
            </a:rPr>
            <a:t>A</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B</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C</a:t>
          </a:r>
          <a:r>
            <a:rPr lang="zh-CN" altLang="en-US" sz="1100" b="0" i="0" u="none" strike="noStrike" baseline="0">
              <a:solidFill>
                <a:srgbClr val="000000"/>
              </a:solidFill>
              <a:latin typeface="宋体"/>
              <a:ea typeface="宋体"/>
              <a:cs typeface="Arial"/>
            </a:rPr>
            <a:t>加工成三种不同牌号的糖果甲、乙、丙。三种糖果中原料</a:t>
          </a:r>
          <a:r>
            <a:rPr lang="zh-CN" altLang="en-US" sz="1100" b="0" i="0" u="none" strike="noStrike" baseline="0">
              <a:solidFill>
                <a:srgbClr val="000000"/>
              </a:solidFill>
              <a:latin typeface="Arial"/>
              <a:ea typeface="宋体"/>
              <a:cs typeface="Arial"/>
            </a:rPr>
            <a:t>A</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B</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C</a:t>
          </a:r>
          <a:r>
            <a:rPr lang="zh-CN" altLang="en-US" sz="1100" b="0" i="0" u="none" strike="noStrike" baseline="0">
              <a:solidFill>
                <a:srgbClr val="000000"/>
              </a:solidFill>
              <a:latin typeface="宋体"/>
              <a:ea typeface="宋体"/>
              <a:cs typeface="Arial"/>
            </a:rPr>
            <a:t>的含量、原料成本、各种原料每月的限制用量、三种糖果的单位加工费及售价如表所示。试用规划求解工具求解该厂每月生产这三种牌号的糖果多少公斤，能使所获得的利润最大，并将规划求解模型保存在单元格</a:t>
          </a:r>
          <a:r>
            <a:rPr lang="zh-CN" altLang="en-US" sz="1100" b="0" i="0" u="none" strike="noStrike" baseline="0">
              <a:solidFill>
                <a:srgbClr val="000000"/>
              </a:solidFill>
              <a:latin typeface="Arial"/>
              <a:ea typeface="宋体"/>
              <a:cs typeface="Arial"/>
            </a:rPr>
            <a:t>B24  </a:t>
          </a:r>
          <a:r>
            <a:rPr lang="zh-CN" altLang="en-US" sz="1100" b="0" i="0" u="none" strike="noStrike" baseline="0">
              <a:solidFill>
                <a:srgbClr val="000000"/>
              </a:solidFill>
              <a:latin typeface="宋体"/>
              <a:ea typeface="宋体"/>
              <a:cs typeface="Arial"/>
            </a:rPr>
            <a:t>开始的区域中。</a:t>
          </a:r>
          <a:endParaRPr lang="zh-CN" altLang="en-US" sz="1100" b="0" i="0" u="none" strike="noStrike" baseline="0">
            <a:solidFill>
              <a:srgbClr val="000000"/>
            </a:solidFill>
            <a:latin typeface="宋体"/>
            <a:ea typeface="宋体"/>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133350</xdr:colOff>
      <xdr:row>2</xdr:row>
      <xdr:rowOff>142875</xdr:rowOff>
    </xdr:from>
    <xdr:to>
      <xdr:col>11</xdr:col>
      <xdr:colOff>209550</xdr:colOff>
      <xdr:row>11</xdr:row>
      <xdr:rowOff>123825</xdr:rowOff>
    </xdr:to>
    <xdr:grpSp>
      <xdr:nvGrpSpPr>
        <xdr:cNvPr id="40964" name="Group 4"/>
        <xdr:cNvGrpSpPr>
          <a:grpSpLocks/>
        </xdr:cNvGrpSpPr>
      </xdr:nvGrpSpPr>
      <xdr:grpSpPr bwMode="auto">
        <a:xfrm>
          <a:off x="1352550" y="523875"/>
          <a:ext cx="5562600" cy="1695450"/>
          <a:chOff x="142" y="55"/>
          <a:chExt cx="584" cy="178"/>
        </a:xfrm>
      </xdr:grpSpPr>
      <xdr:sp macro="" textlink="">
        <xdr:nvSpPr>
          <xdr:cNvPr id="40962" name="Text Box 2"/>
          <xdr:cNvSpPr txBox="1">
            <a:spLocks noChangeArrowheads="1"/>
          </xdr:cNvSpPr>
        </xdr:nvSpPr>
        <xdr:spPr bwMode="auto">
          <a:xfrm>
            <a:off x="142" y="55"/>
            <a:ext cx="584" cy="178"/>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6</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10</a:t>
            </a:r>
            <a:r>
              <a:rPr lang="zh-CN" altLang="en-US" sz="1100" b="1" i="0" u="none" strike="noStrike" baseline="0">
                <a:solidFill>
                  <a:srgbClr val="000000"/>
                </a:solidFill>
                <a:latin typeface="宋体"/>
                <a:ea typeface="宋体"/>
                <a:cs typeface="Arial"/>
              </a:rPr>
              <a:t>分）</a:t>
            </a:r>
            <a:r>
              <a:rPr lang="zh-CN" altLang="en-US" sz="1100" b="1"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企业某项目的净现金流数据如下，该项目的内部报酬率为</a:t>
            </a:r>
            <a:r>
              <a:rPr lang="zh-CN" altLang="en-US" sz="1100" b="0" i="0" u="none" strike="noStrike" baseline="0">
                <a:solidFill>
                  <a:srgbClr val="000000"/>
                </a:solidFill>
                <a:latin typeface="Arial"/>
                <a:ea typeface="宋体"/>
                <a:cs typeface="Arial"/>
              </a:rPr>
              <a:t>8.5%</a:t>
            </a:r>
            <a:r>
              <a:rPr lang="zh-CN" altLang="en-US" sz="1100" b="0" i="0" u="none" strike="noStrike" baseline="0">
                <a:solidFill>
                  <a:srgbClr val="000000"/>
                </a:solidFill>
                <a:latin typeface="宋体"/>
                <a:ea typeface="宋体"/>
                <a:cs typeface="Arial"/>
              </a:rPr>
              <a:t>。</a:t>
            </a:r>
          </a:p>
          <a:p>
            <a:pPr algn="l" rtl="0">
              <a:defRPr sz="1000"/>
            </a:pPr>
            <a:endParaRPr lang="zh-CN" altLang="en-US" sz="1100" b="0" i="0" u="none" strike="noStrike" baseline="0">
              <a:solidFill>
                <a:srgbClr val="000000"/>
              </a:solidFill>
              <a:latin typeface="宋体"/>
              <a:ea typeface="宋体"/>
              <a:cs typeface="Arial"/>
            </a:endParaRPr>
          </a:p>
          <a:p>
            <a:pPr algn="l" rtl="0">
              <a:lnSpc>
                <a:spcPts val="1300"/>
              </a:lnSpc>
              <a:defRPr sz="1000"/>
            </a:pPr>
            <a:endParaRPr lang="zh-CN" altLang="en-US" sz="1100" b="0" i="0" u="none" strike="noStrike" baseline="0">
              <a:solidFill>
                <a:srgbClr val="000000"/>
              </a:solidFill>
              <a:latin typeface="宋体"/>
              <a:ea typeface="宋体"/>
              <a:cs typeface="Arial"/>
            </a:endParaRPr>
          </a:p>
          <a:p>
            <a:pPr algn="l" rtl="0">
              <a:lnSpc>
                <a:spcPts val="1300"/>
              </a:lnSpc>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lnSpc>
                <a:spcPts val="1300"/>
              </a:lnSpc>
              <a:defRPr sz="1000"/>
            </a:pPr>
            <a:endParaRPr lang="zh-CN" altLang="en-US" sz="1100" b="0" i="0" u="none" strike="noStrike" baseline="0">
              <a:solidFill>
                <a:srgbClr val="000000"/>
              </a:solidFill>
              <a:latin typeface="宋体"/>
              <a:ea typeface="宋体"/>
              <a:cs typeface="Arial"/>
            </a:endParaRPr>
          </a:p>
          <a:p>
            <a:pPr algn="l" rtl="0">
              <a:lnSpc>
                <a:spcPts val="1300"/>
              </a:lnSpc>
              <a:defRPr sz="1000"/>
            </a:pPr>
            <a:r>
              <a:rPr lang="zh-CN" altLang="en-US" sz="1100" b="0" i="0" u="none" strike="noStrike" baseline="0">
                <a:solidFill>
                  <a:srgbClr val="000000"/>
                </a:solidFill>
                <a:latin typeface="宋体"/>
                <a:ea typeface="宋体"/>
                <a:cs typeface="Arial"/>
              </a:rPr>
              <a:t>一个项目的内部报酬率可以理解为银行的贷款利率，企业为该项目而向银行贷款，几年后利用项目的回报恰好把银行的贷款还清。请对上述项目逐年模拟该过程。</a:t>
            </a:r>
          </a:p>
          <a:p>
            <a:pPr algn="l" rtl="0">
              <a:defRPr sz="1000"/>
            </a:pPr>
            <a:endParaRPr lang="zh-CN" altLang="en-US" sz="1100" b="0" i="0" u="none" strike="noStrike" baseline="0">
              <a:solidFill>
                <a:srgbClr val="000000"/>
              </a:solidFill>
              <a:latin typeface="宋体"/>
              <a:ea typeface="宋体"/>
              <a:cs typeface="Arial"/>
            </a:endParaRPr>
          </a:p>
          <a:p>
            <a:pPr algn="l" rtl="0">
              <a:lnSpc>
                <a:spcPts val="1300"/>
              </a:lnSpc>
              <a:defRPr sz="1000"/>
            </a:pPr>
            <a:endParaRPr lang="zh-CN" altLang="en-US" sz="1100" b="0" i="0" u="none" strike="noStrike" baseline="0">
              <a:solidFill>
                <a:srgbClr val="000000"/>
              </a:solidFill>
              <a:latin typeface="宋体"/>
              <a:ea typeface="宋体"/>
            </a:endParaRPr>
          </a:p>
        </xdr:txBody>
      </xdr:sp>
      <xdr:pic>
        <xdr:nvPicPr>
          <xdr:cNvPr id="40963"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3" y="88"/>
            <a:ext cx="495" cy="61"/>
          </a:xfrm>
          <a:prstGeom prst="rect">
            <a:avLst/>
          </a:prstGeom>
          <a:solidFill>
            <a:srgbClr xmlns:mc="http://schemas.openxmlformats.org/markup-compatibility/2006" xmlns:a14="http://schemas.microsoft.com/office/drawing/2010/main" val="FFFF99" mc:Ignorable="a14" a14:legacySpreadsheetColorIndex="43"/>
          </a:solidFill>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257175</xdr:colOff>
      <xdr:row>17</xdr:row>
      <xdr:rowOff>133350</xdr:rowOff>
    </xdr:from>
    <xdr:to>
      <xdr:col>5</xdr:col>
      <xdr:colOff>609600</xdr:colOff>
      <xdr:row>27</xdr:row>
      <xdr:rowOff>28575</xdr:rowOff>
    </xdr:to>
    <xdr:sp macro="" textlink="">
      <xdr:nvSpPr>
        <xdr:cNvPr id="41985" name="Text Box 1"/>
        <xdr:cNvSpPr txBox="1">
          <a:spLocks noChangeArrowheads="1"/>
        </xdr:cNvSpPr>
      </xdr:nvSpPr>
      <xdr:spPr bwMode="auto">
        <a:xfrm>
          <a:off x="257175" y="3371850"/>
          <a:ext cx="7562850" cy="18002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7</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15</a:t>
          </a:r>
          <a:r>
            <a:rPr lang="zh-CN" altLang="en-US" sz="1100" b="1" i="0" u="none" strike="noStrike" baseline="0">
              <a:solidFill>
                <a:srgbClr val="000000"/>
              </a:solidFill>
              <a:latin typeface="宋体"/>
              <a:ea typeface="宋体"/>
              <a:cs typeface="Arial"/>
            </a:rPr>
            <a:t>分）</a:t>
          </a:r>
          <a:r>
            <a:rPr lang="zh-CN" altLang="en-US" sz="1100" b="0" i="0" u="none" strike="noStrike" baseline="0">
              <a:solidFill>
                <a:srgbClr val="000000"/>
              </a:solidFill>
              <a:latin typeface="宋体"/>
              <a:ea typeface="宋体"/>
              <a:cs typeface="Arial"/>
            </a:rPr>
            <a:t>某企业实行设备投资改造，有两个方案，</a:t>
          </a:r>
          <a:r>
            <a:rPr lang="zh-CN" altLang="en-US" sz="1100" b="0" i="0" u="none" strike="noStrike" baseline="0">
              <a:solidFill>
                <a:srgbClr val="000000"/>
              </a:solidFill>
              <a:latin typeface="Arial"/>
              <a:ea typeface="宋体"/>
              <a:cs typeface="Arial"/>
            </a:rPr>
            <a:t>A</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B</a:t>
          </a:r>
          <a:r>
            <a:rPr lang="zh-CN" altLang="en-US" sz="1100" b="0" i="0" u="none" strike="noStrike" baseline="0">
              <a:solidFill>
                <a:srgbClr val="000000"/>
              </a:solidFill>
              <a:latin typeface="宋体"/>
              <a:ea typeface="宋体"/>
              <a:cs typeface="Arial"/>
            </a:rPr>
            <a:t>两个方案第</a:t>
          </a:r>
          <a:r>
            <a:rPr lang="zh-CN" altLang="en-US" sz="1100" b="0" i="0" u="none" strike="noStrike" baseline="0">
              <a:solidFill>
                <a:srgbClr val="000000"/>
              </a:solidFill>
              <a:latin typeface="Arial"/>
              <a:ea typeface="宋体"/>
              <a:cs typeface="Arial"/>
            </a:rPr>
            <a:t>10</a:t>
          </a:r>
          <a:r>
            <a:rPr lang="zh-CN" altLang="en-US" sz="1100" b="0" i="0" u="none" strike="noStrike" baseline="0">
              <a:solidFill>
                <a:srgbClr val="000000"/>
              </a:solidFill>
              <a:latin typeface="宋体"/>
              <a:ea typeface="宋体"/>
              <a:cs typeface="Arial"/>
            </a:rPr>
            <a:t>年末的设备残值分别为</a:t>
          </a:r>
          <a:r>
            <a:rPr lang="zh-CN" altLang="en-US" sz="1100" b="0" i="0" u="none" strike="noStrike" baseline="0">
              <a:solidFill>
                <a:srgbClr val="000000"/>
              </a:solidFill>
              <a:latin typeface="Arial"/>
              <a:ea typeface="宋体"/>
              <a:cs typeface="Arial"/>
            </a:rPr>
            <a:t>150</a:t>
          </a:r>
          <a:r>
            <a:rPr lang="zh-CN" altLang="en-US" sz="1100" b="0" i="0" u="none" strike="noStrike" baseline="0">
              <a:solidFill>
                <a:srgbClr val="000000"/>
              </a:solidFill>
              <a:latin typeface="宋体"/>
              <a:ea typeface="宋体"/>
              <a:cs typeface="Arial"/>
            </a:rPr>
            <a:t>万和</a:t>
          </a:r>
          <a:r>
            <a:rPr lang="zh-CN" altLang="en-US" sz="1100" b="0" i="0" u="none" strike="noStrike" baseline="0">
              <a:solidFill>
                <a:srgbClr val="000000"/>
              </a:solidFill>
              <a:latin typeface="Arial"/>
              <a:ea typeface="宋体"/>
              <a:cs typeface="Arial"/>
            </a:rPr>
            <a:t>90</a:t>
          </a:r>
          <a:r>
            <a:rPr lang="zh-CN" altLang="en-US" sz="1100" b="0" i="0" u="none" strike="noStrike" baseline="0">
              <a:solidFill>
                <a:srgbClr val="000000"/>
              </a:solidFill>
              <a:latin typeface="宋体"/>
              <a:ea typeface="宋体"/>
              <a:cs typeface="Arial"/>
            </a:rPr>
            <a:t>万元。方案</a:t>
          </a:r>
          <a:r>
            <a:rPr lang="zh-CN" altLang="en-US" sz="1100" b="0" i="0" u="none" strike="noStrike" baseline="0">
              <a:solidFill>
                <a:srgbClr val="000000"/>
              </a:solidFill>
              <a:latin typeface="Arial"/>
              <a:ea typeface="宋体"/>
              <a:cs typeface="Arial"/>
            </a:rPr>
            <a:t>A</a:t>
          </a:r>
          <a:r>
            <a:rPr lang="zh-CN" altLang="en-US" sz="1100" b="0" i="0" u="none" strike="noStrike" baseline="0">
              <a:solidFill>
                <a:srgbClr val="000000"/>
              </a:solidFill>
              <a:latin typeface="宋体"/>
              <a:ea typeface="宋体"/>
              <a:cs typeface="Arial"/>
            </a:rPr>
            <a:t>在第</a:t>
          </a:r>
          <a:r>
            <a:rPr lang="zh-CN" altLang="en-US" sz="1100" b="0" i="0" u="none" strike="noStrike" baseline="0">
              <a:solidFill>
                <a:srgbClr val="000000"/>
              </a:solidFill>
              <a:latin typeface="Arial"/>
              <a:ea typeface="宋体"/>
              <a:cs typeface="Arial"/>
            </a:rPr>
            <a:t>0</a:t>
          </a:r>
          <a:r>
            <a:rPr lang="zh-CN" altLang="en-US" sz="1100" b="0" i="0" u="none" strike="noStrike" baseline="0">
              <a:solidFill>
                <a:srgbClr val="000000"/>
              </a:solidFill>
              <a:latin typeface="宋体"/>
              <a:ea typeface="宋体"/>
              <a:cs typeface="Arial"/>
            </a:rPr>
            <a:t>年末投入设备费用</a:t>
          </a:r>
          <a:r>
            <a:rPr lang="zh-CN" altLang="en-US" sz="1100" b="0" i="0" u="none" strike="noStrike" baseline="0">
              <a:solidFill>
                <a:srgbClr val="000000"/>
              </a:solidFill>
              <a:latin typeface="Arial"/>
              <a:ea typeface="宋体"/>
              <a:cs typeface="Arial"/>
            </a:rPr>
            <a:t>1500</a:t>
          </a:r>
          <a:r>
            <a:rPr lang="zh-CN" altLang="en-US" sz="1100" b="0" i="0" u="none" strike="noStrike" baseline="0">
              <a:solidFill>
                <a:srgbClr val="000000"/>
              </a:solidFill>
              <a:latin typeface="宋体"/>
              <a:ea typeface="宋体"/>
              <a:cs typeface="Arial"/>
            </a:rPr>
            <a:t>万，随后</a:t>
          </a:r>
          <a:r>
            <a:rPr lang="zh-CN" altLang="en-US" sz="1100" b="0" i="0" u="none" strike="noStrike" baseline="0">
              <a:solidFill>
                <a:srgbClr val="000000"/>
              </a:solidFill>
              <a:latin typeface="Arial"/>
              <a:ea typeface="宋体"/>
              <a:cs typeface="Arial"/>
            </a:rPr>
            <a:t>10</a:t>
          </a:r>
          <a:r>
            <a:rPr lang="zh-CN" altLang="en-US" sz="1100" b="0" i="0" u="none" strike="noStrike" baseline="0">
              <a:solidFill>
                <a:srgbClr val="000000"/>
              </a:solidFill>
              <a:latin typeface="宋体"/>
              <a:ea typeface="宋体"/>
              <a:cs typeface="Arial"/>
            </a:rPr>
            <a:t>年中前</a:t>
          </a:r>
          <a:r>
            <a:rPr lang="zh-CN" altLang="en-US" sz="1100" b="0" i="0" u="none" strike="noStrike" baseline="0">
              <a:solidFill>
                <a:srgbClr val="000000"/>
              </a:solidFill>
              <a:latin typeface="Arial"/>
              <a:ea typeface="宋体"/>
              <a:cs typeface="Arial"/>
            </a:rPr>
            <a:t>3</a:t>
          </a:r>
          <a:r>
            <a:rPr lang="zh-CN" altLang="en-US" sz="1100" b="0" i="0" u="none" strike="noStrike" baseline="0">
              <a:solidFill>
                <a:srgbClr val="000000"/>
              </a:solidFill>
              <a:latin typeface="宋体"/>
              <a:ea typeface="宋体"/>
              <a:cs typeface="Arial"/>
            </a:rPr>
            <a:t>年末每年可获得</a:t>
          </a:r>
          <a:r>
            <a:rPr lang="zh-CN" altLang="en-US" sz="1100" b="0" i="0" u="none" strike="noStrike" baseline="0">
              <a:solidFill>
                <a:srgbClr val="000000"/>
              </a:solidFill>
              <a:latin typeface="Arial"/>
              <a:ea typeface="宋体"/>
              <a:cs typeface="Arial"/>
            </a:rPr>
            <a:t>400</a:t>
          </a:r>
          <a:r>
            <a:rPr lang="zh-CN" altLang="en-US" sz="1100" b="0" i="0" u="none" strike="noStrike" baseline="0">
              <a:solidFill>
                <a:srgbClr val="000000"/>
              </a:solidFill>
              <a:latin typeface="宋体"/>
              <a:ea typeface="宋体"/>
              <a:cs typeface="Arial"/>
            </a:rPr>
            <a:t>万收益，第</a:t>
          </a:r>
          <a:r>
            <a:rPr lang="zh-CN" altLang="en-US" sz="1100" b="0" i="0" u="none" strike="noStrike" baseline="0">
              <a:solidFill>
                <a:srgbClr val="000000"/>
              </a:solidFill>
              <a:latin typeface="Arial"/>
              <a:ea typeface="宋体"/>
              <a:cs typeface="Arial"/>
            </a:rPr>
            <a:t>4</a:t>
          </a:r>
          <a:r>
            <a:rPr lang="zh-CN" altLang="en-US" sz="1100" b="0" i="0" u="none" strike="noStrike" baseline="0">
              <a:solidFill>
                <a:srgbClr val="000000"/>
              </a:solidFill>
              <a:latin typeface="宋体"/>
              <a:ea typeface="宋体"/>
              <a:cs typeface="Arial"/>
            </a:rPr>
            <a:t>年末再投资</a:t>
          </a:r>
          <a:r>
            <a:rPr lang="zh-CN" altLang="en-US" sz="1100" b="0" i="0" u="none" strike="noStrike" baseline="0">
              <a:solidFill>
                <a:srgbClr val="000000"/>
              </a:solidFill>
              <a:latin typeface="Arial"/>
              <a:ea typeface="宋体"/>
              <a:cs typeface="Arial"/>
            </a:rPr>
            <a:t>100</a:t>
          </a:r>
          <a:r>
            <a:rPr lang="zh-CN" altLang="en-US" sz="1100" b="0" i="0" u="none" strike="noStrike" baseline="0">
              <a:solidFill>
                <a:srgbClr val="000000"/>
              </a:solidFill>
              <a:latin typeface="宋体"/>
              <a:ea typeface="宋体"/>
              <a:cs typeface="Arial"/>
            </a:rPr>
            <a:t>万维修了设备，第</a:t>
          </a:r>
          <a:r>
            <a:rPr lang="zh-CN" altLang="en-US" sz="1100" b="0" i="0" u="none" strike="noStrike" baseline="0">
              <a:solidFill>
                <a:srgbClr val="000000"/>
              </a:solidFill>
              <a:latin typeface="Arial"/>
              <a:ea typeface="宋体"/>
              <a:cs typeface="Arial"/>
            </a:rPr>
            <a:t>4</a:t>
          </a:r>
          <a:r>
            <a:rPr lang="zh-CN" altLang="en-US" sz="1100" b="0" i="0" u="none" strike="noStrike" baseline="0">
              <a:solidFill>
                <a:srgbClr val="000000"/>
              </a:solidFill>
              <a:latin typeface="宋体"/>
              <a:ea typeface="宋体"/>
              <a:cs typeface="Arial"/>
            </a:rPr>
            <a:t>至第</a:t>
          </a:r>
          <a:r>
            <a:rPr lang="zh-CN" altLang="en-US" sz="1100" b="0" i="0" u="none" strike="noStrike" baseline="0">
              <a:solidFill>
                <a:srgbClr val="000000"/>
              </a:solidFill>
              <a:latin typeface="Arial"/>
              <a:ea typeface="宋体"/>
              <a:cs typeface="Arial"/>
            </a:rPr>
            <a:t>10</a:t>
          </a:r>
          <a:r>
            <a:rPr lang="zh-CN" altLang="en-US" sz="1100" b="0" i="0" u="none" strike="noStrike" baseline="0">
              <a:solidFill>
                <a:srgbClr val="000000"/>
              </a:solidFill>
              <a:latin typeface="宋体"/>
              <a:ea typeface="宋体"/>
              <a:cs typeface="Arial"/>
            </a:rPr>
            <a:t>年末每年可获得</a:t>
          </a:r>
          <a:r>
            <a:rPr lang="zh-CN" altLang="en-US" sz="1100" b="0" i="0" u="none" strike="noStrike" baseline="0">
              <a:solidFill>
                <a:srgbClr val="000000"/>
              </a:solidFill>
              <a:latin typeface="Arial"/>
              <a:ea typeface="宋体"/>
              <a:cs typeface="Arial"/>
            </a:rPr>
            <a:t>300</a:t>
          </a:r>
          <a:r>
            <a:rPr lang="zh-CN" altLang="en-US" sz="1100" b="0" i="0" u="none" strike="noStrike" baseline="0">
              <a:solidFill>
                <a:srgbClr val="000000"/>
              </a:solidFill>
              <a:latin typeface="宋体"/>
              <a:ea typeface="宋体"/>
              <a:cs typeface="Arial"/>
            </a:rPr>
            <a:t>万收益；方案</a:t>
          </a:r>
          <a:r>
            <a:rPr lang="zh-CN" altLang="en-US" sz="1100" b="0" i="0" u="none" strike="noStrike" baseline="0">
              <a:solidFill>
                <a:srgbClr val="000000"/>
              </a:solidFill>
              <a:latin typeface="Arial"/>
              <a:ea typeface="宋体"/>
              <a:cs typeface="Arial"/>
            </a:rPr>
            <a:t>B</a:t>
          </a:r>
          <a:r>
            <a:rPr lang="zh-CN" altLang="en-US" sz="1100" b="0" i="0" u="none" strike="noStrike" baseline="0">
              <a:solidFill>
                <a:srgbClr val="000000"/>
              </a:solidFill>
              <a:latin typeface="宋体"/>
              <a:ea typeface="宋体"/>
              <a:cs typeface="Arial"/>
            </a:rPr>
            <a:t>在第</a:t>
          </a:r>
          <a:r>
            <a:rPr lang="zh-CN" altLang="en-US" sz="1100" b="0" i="0" u="none" strike="noStrike" baseline="0">
              <a:solidFill>
                <a:srgbClr val="000000"/>
              </a:solidFill>
              <a:latin typeface="Arial"/>
              <a:ea typeface="宋体"/>
              <a:cs typeface="Arial"/>
            </a:rPr>
            <a:t>0</a:t>
          </a:r>
          <a:r>
            <a:rPr lang="zh-CN" altLang="en-US" sz="1100" b="0" i="0" u="none" strike="noStrike" baseline="0">
              <a:solidFill>
                <a:srgbClr val="000000"/>
              </a:solidFill>
              <a:latin typeface="宋体"/>
              <a:ea typeface="宋体"/>
              <a:cs typeface="Arial"/>
            </a:rPr>
            <a:t>年末投入设备费用</a:t>
          </a:r>
          <a:r>
            <a:rPr lang="zh-CN" altLang="en-US" sz="1100" b="0" i="0" u="none" strike="noStrike" baseline="0">
              <a:solidFill>
                <a:srgbClr val="000000"/>
              </a:solidFill>
              <a:latin typeface="Arial"/>
              <a:ea typeface="宋体"/>
              <a:cs typeface="Arial"/>
            </a:rPr>
            <a:t>1000</a:t>
          </a:r>
          <a:r>
            <a:rPr lang="zh-CN" altLang="en-US" sz="1100" b="0" i="0" u="none" strike="noStrike" baseline="0">
              <a:solidFill>
                <a:srgbClr val="000000"/>
              </a:solidFill>
              <a:latin typeface="宋体"/>
              <a:ea typeface="宋体"/>
              <a:cs typeface="Arial"/>
            </a:rPr>
            <a:t>万，接下来每月末获得</a:t>
          </a:r>
          <a:r>
            <a:rPr lang="zh-CN" altLang="en-US" sz="1100" b="0" i="0" u="none" strike="noStrike" baseline="0">
              <a:solidFill>
                <a:srgbClr val="000000"/>
              </a:solidFill>
              <a:latin typeface="Arial"/>
              <a:ea typeface="宋体"/>
              <a:cs typeface="Arial"/>
            </a:rPr>
            <a:t>20</a:t>
          </a:r>
          <a:r>
            <a:rPr lang="zh-CN" altLang="en-US" sz="1100" b="0" i="0" u="none" strike="noStrike" baseline="0">
              <a:solidFill>
                <a:srgbClr val="000000"/>
              </a:solidFill>
              <a:latin typeface="宋体"/>
              <a:ea typeface="宋体"/>
              <a:cs typeface="Arial"/>
            </a:rPr>
            <a:t>万现金收入，假定贴现率为</a:t>
          </a:r>
          <a:r>
            <a:rPr lang="zh-CN" altLang="en-US" sz="1100" b="0" i="0" u="none" strike="noStrike" baseline="0">
              <a:solidFill>
                <a:srgbClr val="000000"/>
              </a:solidFill>
              <a:latin typeface="Arial"/>
              <a:ea typeface="宋体"/>
              <a:cs typeface="Arial"/>
            </a:rPr>
            <a:t>8%</a:t>
          </a:r>
          <a:r>
            <a:rPr lang="zh-CN" altLang="en-US" sz="1100" b="0" i="0" u="none" strike="noStrike" baseline="0">
              <a:solidFill>
                <a:srgbClr val="000000"/>
              </a:solidFill>
              <a:latin typeface="宋体"/>
              <a:ea typeface="宋体"/>
              <a:cs typeface="Arial"/>
            </a:rPr>
            <a:t>。要求：</a:t>
          </a:r>
        </a:p>
        <a:p>
          <a:pPr algn="l" rtl="0">
            <a:defRPr sz="1000"/>
          </a:pPr>
          <a:r>
            <a:rPr lang="zh-CN" altLang="en-US" sz="1100" b="0" i="0" u="none" strike="noStrike" baseline="0">
              <a:solidFill>
                <a:srgbClr val="000000"/>
              </a:solidFill>
              <a:latin typeface="Arial"/>
              <a:cs typeface="Arial"/>
            </a:rPr>
            <a:t>1</a:t>
          </a:r>
          <a:r>
            <a:rPr lang="zh-CN" altLang="en-US" sz="1100" b="0" i="0" u="none" strike="noStrike" baseline="0">
              <a:solidFill>
                <a:srgbClr val="000000"/>
              </a:solidFill>
              <a:latin typeface="宋体"/>
              <a:ea typeface="宋体"/>
              <a:cs typeface="Arial"/>
            </a:rPr>
            <a:t>、计算两个投资项目的净现值；</a:t>
          </a:r>
        </a:p>
        <a:p>
          <a:pPr algn="l" rtl="0">
            <a:defRPr sz="1000"/>
          </a:pPr>
          <a:r>
            <a:rPr lang="zh-CN" altLang="en-US" sz="1100" b="0" i="0" u="none" strike="noStrike" baseline="0">
              <a:solidFill>
                <a:srgbClr val="000000"/>
              </a:solidFill>
              <a:latin typeface="Arial"/>
              <a:cs typeface="Arial"/>
            </a:rPr>
            <a:t>2</a:t>
          </a:r>
          <a:r>
            <a:rPr lang="zh-CN" altLang="en-US" sz="1100" b="0" i="0" u="none" strike="noStrike" baseline="0">
              <a:solidFill>
                <a:srgbClr val="000000"/>
              </a:solidFill>
              <a:latin typeface="宋体"/>
              <a:ea typeface="宋体"/>
              <a:cs typeface="Arial"/>
            </a:rPr>
            <a:t>、在单元格中得出方案选择结论：</a:t>
          </a:r>
          <a:r>
            <a:rPr lang="zh-CN" altLang="en-US" sz="1100" b="0" i="0" u="none" strike="noStrike" baseline="0">
              <a:solidFill>
                <a:srgbClr val="000000"/>
              </a:solidFill>
              <a:latin typeface="Arial"/>
              <a:ea typeface="宋体"/>
              <a:cs typeface="Arial"/>
            </a:rPr>
            <a:t>“</a:t>
          </a:r>
          <a:r>
            <a:rPr lang="zh-CN" altLang="en-US" sz="1100" b="0" i="0" u="none" strike="noStrike" baseline="0">
              <a:solidFill>
                <a:srgbClr val="000000"/>
              </a:solidFill>
              <a:latin typeface="宋体"/>
              <a:ea typeface="宋体"/>
              <a:cs typeface="Arial"/>
            </a:rPr>
            <a:t>最优方案是方案</a:t>
          </a:r>
          <a:r>
            <a:rPr lang="zh-CN" altLang="en-US" sz="1100" b="0" i="0" u="none" strike="noStrike" baseline="0">
              <a:solidFill>
                <a:srgbClr val="000000"/>
              </a:solidFill>
              <a:latin typeface="Arial"/>
              <a:ea typeface="宋体"/>
              <a:cs typeface="Arial"/>
            </a:rPr>
            <a:t>X”</a:t>
          </a:r>
          <a:r>
            <a:rPr lang="zh-CN" altLang="en-US" sz="1100" b="0" i="0" u="none" strike="noStrike" baseline="0">
              <a:solidFill>
                <a:srgbClr val="000000"/>
              </a:solidFill>
              <a:latin typeface="宋体"/>
              <a:ea typeface="宋体"/>
              <a:cs typeface="Arial"/>
            </a:rPr>
            <a:t>；</a:t>
          </a:r>
        </a:p>
        <a:p>
          <a:pPr algn="l" rtl="0">
            <a:defRPr sz="1000"/>
          </a:pPr>
          <a:r>
            <a:rPr lang="zh-CN" altLang="en-US" sz="1100" b="0" i="0" u="none" strike="noStrike" baseline="0">
              <a:solidFill>
                <a:srgbClr val="000000"/>
              </a:solidFill>
              <a:latin typeface="Arial"/>
              <a:cs typeface="Arial"/>
            </a:rPr>
            <a:t>3</a:t>
          </a:r>
          <a:r>
            <a:rPr lang="zh-CN" altLang="en-US" sz="1100" b="0" i="0" u="none" strike="noStrike" baseline="0">
              <a:solidFill>
                <a:srgbClr val="000000"/>
              </a:solidFill>
              <a:latin typeface="宋体"/>
              <a:ea typeface="宋体"/>
              <a:cs typeface="Arial"/>
            </a:rPr>
            <a:t>、用模拟运算表分析贴现率在</a:t>
          </a:r>
          <a:r>
            <a:rPr lang="zh-CN" altLang="en-US" sz="1100" b="0" i="0" u="none" strike="noStrike" baseline="0">
              <a:solidFill>
                <a:srgbClr val="000000"/>
              </a:solidFill>
              <a:latin typeface="Arial"/>
              <a:ea typeface="宋体"/>
              <a:cs typeface="Arial"/>
            </a:rPr>
            <a:t>1%</a:t>
          </a:r>
          <a:r>
            <a:rPr lang="zh-CN" altLang="en-US" sz="1100" b="0" i="0" u="none" strike="noStrike" baseline="0">
              <a:solidFill>
                <a:srgbClr val="000000"/>
              </a:solidFill>
              <a:latin typeface="宋体"/>
              <a:ea typeface="宋体"/>
              <a:cs typeface="Arial"/>
            </a:rPr>
            <a:t>至</a:t>
          </a:r>
          <a:r>
            <a:rPr lang="zh-CN" altLang="en-US" sz="1100" b="0" i="0" u="none" strike="noStrike" baseline="0">
              <a:solidFill>
                <a:srgbClr val="000000"/>
              </a:solidFill>
              <a:latin typeface="Arial"/>
              <a:ea typeface="宋体"/>
              <a:cs typeface="Arial"/>
            </a:rPr>
            <a:t>15%</a:t>
          </a:r>
          <a:r>
            <a:rPr lang="zh-CN" altLang="en-US" sz="1100" b="0" i="0" u="none" strike="noStrike" baseline="0">
              <a:solidFill>
                <a:srgbClr val="000000"/>
              </a:solidFill>
              <a:latin typeface="宋体"/>
              <a:ea typeface="宋体"/>
              <a:cs typeface="Arial"/>
            </a:rPr>
            <a:t>范围变化时，两个方案的净现值变化；</a:t>
          </a:r>
        </a:p>
        <a:p>
          <a:pPr algn="l" rtl="0">
            <a:lnSpc>
              <a:spcPts val="1300"/>
            </a:lnSpc>
            <a:defRPr sz="1000"/>
          </a:pPr>
          <a:r>
            <a:rPr lang="zh-CN" altLang="en-US" sz="1100" b="0" i="0" u="none" strike="noStrike" baseline="0">
              <a:solidFill>
                <a:srgbClr val="000000"/>
              </a:solidFill>
              <a:latin typeface="Arial"/>
              <a:cs typeface="Arial"/>
            </a:rPr>
            <a:t>4</a:t>
          </a:r>
          <a:r>
            <a:rPr lang="zh-CN" altLang="en-US" sz="1100" b="0" i="0" u="none" strike="noStrike" baseline="0">
              <a:solidFill>
                <a:srgbClr val="000000"/>
              </a:solidFill>
              <a:latin typeface="宋体"/>
              <a:ea typeface="宋体"/>
              <a:cs typeface="Arial"/>
            </a:rPr>
            <a:t>、采用附表加插值法计算两个方案相等时的贴现率及净现值。</a:t>
          </a:r>
          <a:endParaRPr lang="zh-CN" altLang="en-US" sz="1100" b="0" i="0" u="none" strike="noStrike" baseline="0">
            <a:solidFill>
              <a:srgbClr val="000000"/>
            </a:solidFill>
            <a:latin typeface="宋体"/>
            <a:ea typeface="宋体"/>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190500</xdr:colOff>
      <xdr:row>16</xdr:row>
      <xdr:rowOff>0</xdr:rowOff>
    </xdr:from>
    <xdr:to>
      <xdr:col>15</xdr:col>
      <xdr:colOff>209550</xdr:colOff>
      <xdr:row>27</xdr:row>
      <xdr:rowOff>9525</xdr:rowOff>
    </xdr:to>
    <xdr:grpSp>
      <xdr:nvGrpSpPr>
        <xdr:cNvPr id="43009" name="Group 1"/>
        <xdr:cNvGrpSpPr>
          <a:grpSpLocks/>
        </xdr:cNvGrpSpPr>
      </xdr:nvGrpSpPr>
      <xdr:grpSpPr bwMode="auto">
        <a:xfrm>
          <a:off x="476250" y="3048000"/>
          <a:ext cx="6410325" cy="2105025"/>
          <a:chOff x="17" y="301"/>
          <a:chExt cx="673" cy="198"/>
        </a:xfrm>
      </xdr:grpSpPr>
      <xdr:sp macro="" textlink="">
        <xdr:nvSpPr>
          <xdr:cNvPr id="43010" name="Text Box 2"/>
          <xdr:cNvSpPr txBox="1">
            <a:spLocks noChangeArrowheads="1"/>
          </xdr:cNvSpPr>
        </xdr:nvSpPr>
        <xdr:spPr bwMode="auto">
          <a:xfrm>
            <a:off x="17" y="301"/>
            <a:ext cx="673" cy="198"/>
          </a:xfrm>
          <a:prstGeom prst="rect">
            <a:avLst/>
          </a:prstGeom>
          <a:solidFill>
            <a:srgbClr xmlns:mc="http://schemas.openxmlformats.org/markup-compatibility/2006" xmlns:a14="http://schemas.microsoft.com/office/drawing/2010/main" val="FFFF99" mc:Ignorable="a14" a14:legacySpreadsheetColorIndex="43"/>
          </a:solidFill>
          <a:ln w="9525">
            <a:solidFill>
              <a:srgbClr val="000000"/>
            </a:solidFill>
            <a:miter lim="800000"/>
            <a:headEnd/>
            <a:tailEnd/>
          </a:ln>
        </xdr:spPr>
        <xdr:txBody>
          <a:bodyPr vertOverflow="clip" wrap="square" lIns="27432" tIns="18288" rIns="0" bIns="0" anchor="t"/>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8</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15</a:t>
            </a:r>
            <a:r>
              <a:rPr lang="zh-CN" altLang="en-US" sz="1100" b="1" i="0" u="none" strike="noStrike" baseline="0">
                <a:solidFill>
                  <a:srgbClr val="000000"/>
                </a:solidFill>
                <a:latin typeface="宋体"/>
                <a:ea typeface="宋体"/>
                <a:cs typeface="Arial"/>
              </a:rPr>
              <a:t>分）</a:t>
            </a:r>
            <a:r>
              <a:rPr lang="zh-CN" altLang="en-US" sz="1100" b="0" i="0" u="none" strike="noStrike" baseline="0">
                <a:solidFill>
                  <a:srgbClr val="000000"/>
                </a:solidFill>
                <a:latin typeface="宋体"/>
                <a:ea typeface="宋体"/>
                <a:cs typeface="Arial"/>
              </a:rPr>
              <a:t>某工厂在生产过程中需要使用一台机器，该机器中有一个零件的使用寿命服从如下的概率分布：</a:t>
            </a: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defRPr sz="1000"/>
            </a:pPr>
            <a:r>
              <a:rPr lang="zh-CN" altLang="en-US" sz="1100" b="0" i="0" u="none" strike="noStrike" baseline="0">
                <a:solidFill>
                  <a:srgbClr val="000000"/>
                </a:solidFill>
                <a:latin typeface="宋体"/>
                <a:ea typeface="宋体"/>
                <a:cs typeface="Arial"/>
              </a:rPr>
              <a:t>零件损坏后机器就停止运转了，因此必须通知修理工来维修，修理工的到达延误时间为</a:t>
            </a:r>
            <a:r>
              <a:rPr lang="zh-CN" altLang="en-US" sz="1100" b="0" i="0" u="none" strike="noStrike" baseline="0">
                <a:solidFill>
                  <a:srgbClr val="000000"/>
                </a:solidFill>
                <a:latin typeface="Arial"/>
                <a:ea typeface="宋体"/>
                <a:cs typeface="Arial"/>
              </a:rPr>
              <a:t>5~8</a:t>
            </a:r>
            <a:r>
              <a:rPr lang="zh-CN" altLang="en-US" sz="1100" b="0" i="0" u="none" strike="noStrike" baseline="0">
                <a:solidFill>
                  <a:srgbClr val="000000"/>
                </a:solidFill>
                <a:latin typeface="宋体"/>
                <a:ea typeface="宋体"/>
                <a:cs typeface="Arial"/>
              </a:rPr>
              <a:t>分钟之间均匀分布的随机数。机器停机一分钟所造成的损失是</a:t>
            </a:r>
            <a:r>
              <a:rPr lang="zh-CN" altLang="en-US" sz="1100" b="0" i="0" u="none" strike="noStrike" baseline="0">
                <a:solidFill>
                  <a:srgbClr val="000000"/>
                </a:solidFill>
                <a:latin typeface="Arial"/>
                <a:ea typeface="宋体"/>
                <a:cs typeface="Arial"/>
              </a:rPr>
              <a:t>5</a:t>
            </a:r>
            <a:r>
              <a:rPr lang="zh-CN" altLang="en-US" sz="1100" b="0" i="0" u="none" strike="noStrike" baseline="0">
                <a:solidFill>
                  <a:srgbClr val="000000"/>
                </a:solidFill>
                <a:latin typeface="宋体"/>
                <a:ea typeface="宋体"/>
                <a:cs typeface="Arial"/>
              </a:rPr>
              <a:t>元，更换一个零件的时间为</a:t>
            </a:r>
            <a:r>
              <a:rPr lang="zh-CN" altLang="en-US" sz="1100" b="0" i="0" u="none" strike="noStrike" baseline="0">
                <a:solidFill>
                  <a:srgbClr val="000000"/>
                </a:solidFill>
                <a:latin typeface="Arial"/>
                <a:ea typeface="宋体"/>
                <a:cs typeface="Arial"/>
              </a:rPr>
              <a:t>20</a:t>
            </a:r>
            <a:r>
              <a:rPr lang="zh-CN" altLang="en-US" sz="1100" b="0" i="0" u="none" strike="noStrike" baseline="0">
                <a:solidFill>
                  <a:srgbClr val="000000"/>
                </a:solidFill>
                <a:latin typeface="宋体"/>
                <a:ea typeface="宋体"/>
                <a:cs typeface="Arial"/>
              </a:rPr>
              <a:t>分钟。</a:t>
            </a:r>
          </a:p>
          <a:p>
            <a:pPr algn="l" rtl="0">
              <a:lnSpc>
                <a:spcPts val="1300"/>
              </a:lnSpc>
              <a:defRPr sz="1000"/>
            </a:pPr>
            <a:r>
              <a:rPr lang="zh-CN" altLang="en-US" sz="1100" b="0" i="0" u="none" strike="noStrike" baseline="0">
                <a:solidFill>
                  <a:srgbClr val="000000"/>
                </a:solidFill>
                <a:latin typeface="Arial"/>
                <a:cs typeface="Arial"/>
              </a:rPr>
              <a:t>1</a:t>
            </a:r>
            <a:r>
              <a:rPr lang="zh-CN" altLang="en-US" sz="1100" b="0" i="0" u="none" strike="noStrike" baseline="0">
                <a:solidFill>
                  <a:srgbClr val="000000"/>
                </a:solidFill>
                <a:latin typeface="宋体"/>
                <a:ea typeface="宋体"/>
                <a:cs typeface="Arial"/>
              </a:rPr>
              <a:t>、试做一次模拟，计算机器运转</a:t>
            </a:r>
            <a:r>
              <a:rPr lang="zh-CN" altLang="en-US" sz="1100" b="0" i="0" u="none" strike="noStrike" baseline="0">
                <a:solidFill>
                  <a:srgbClr val="000000"/>
                </a:solidFill>
                <a:latin typeface="Arial"/>
                <a:ea typeface="宋体"/>
                <a:cs typeface="Arial"/>
              </a:rPr>
              <a:t>20000</a:t>
            </a:r>
            <a:r>
              <a:rPr lang="zh-CN" altLang="en-US" sz="1100" b="0" i="0" u="none" strike="noStrike" baseline="0">
                <a:solidFill>
                  <a:srgbClr val="000000"/>
                </a:solidFill>
                <a:latin typeface="宋体"/>
                <a:ea typeface="宋体"/>
                <a:cs typeface="Arial"/>
              </a:rPr>
              <a:t>小时内的零件更换个数、修理工到达延误时间、工人延误时的停机成本、更换零件的停机时间和停机成本。</a:t>
            </a:r>
          </a:p>
          <a:p>
            <a:pPr algn="l" rtl="0">
              <a:lnSpc>
                <a:spcPts val="1300"/>
              </a:lnSpc>
              <a:defRPr sz="1000"/>
            </a:pPr>
            <a:r>
              <a:rPr lang="zh-CN" altLang="en-US" sz="1100" b="0" i="0" u="none" strike="noStrike" baseline="0">
                <a:solidFill>
                  <a:srgbClr val="000000"/>
                </a:solidFill>
                <a:latin typeface="Arial"/>
                <a:cs typeface="Arial"/>
              </a:rPr>
              <a:t>2</a:t>
            </a:r>
            <a:r>
              <a:rPr lang="zh-CN" altLang="en-US" sz="1100" b="0" i="0" u="none" strike="noStrike" baseline="0">
                <a:solidFill>
                  <a:srgbClr val="000000"/>
                </a:solidFill>
                <a:latin typeface="宋体"/>
                <a:ea typeface="宋体"/>
                <a:cs typeface="Arial"/>
              </a:rPr>
              <a:t>、对延误时间做</a:t>
            </a:r>
            <a:r>
              <a:rPr lang="zh-CN" altLang="en-US" sz="1100" b="0" i="0" u="none" strike="noStrike" baseline="0">
                <a:solidFill>
                  <a:srgbClr val="000000"/>
                </a:solidFill>
                <a:latin typeface="Arial"/>
                <a:ea typeface="宋体"/>
                <a:cs typeface="Arial"/>
              </a:rPr>
              <a:t>30</a:t>
            </a:r>
            <a:r>
              <a:rPr lang="zh-CN" altLang="en-US" sz="1100" b="0" i="0" u="none" strike="noStrike" baseline="0">
                <a:solidFill>
                  <a:srgbClr val="000000"/>
                </a:solidFill>
                <a:latin typeface="宋体"/>
                <a:ea typeface="宋体"/>
                <a:cs typeface="Arial"/>
              </a:rPr>
              <a:t>次模拟，计算平均延误时间。</a:t>
            </a:r>
            <a:endParaRPr lang="zh-CN" altLang="en-US" sz="1100" b="0" i="0" u="none" strike="noStrike" baseline="0">
              <a:solidFill>
                <a:srgbClr val="000000"/>
              </a:solidFill>
              <a:latin typeface="宋体"/>
              <a:ea typeface="宋体"/>
            </a:endParaRPr>
          </a:p>
        </xdr:txBody>
      </xdr:sp>
      <xdr:pic>
        <xdr:nvPicPr>
          <xdr:cNvPr id="43011"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 y="351"/>
            <a:ext cx="593" cy="37"/>
          </a:xfrm>
          <a:prstGeom prst="rect">
            <a:avLst/>
          </a:prstGeom>
          <a:solidFill>
            <a:srgbClr xmlns:mc="http://schemas.openxmlformats.org/markup-compatibility/2006" xmlns:a14="http://schemas.microsoft.com/office/drawing/2010/main" val="FFFF99" mc:Ignorable="a14" a14:legacySpreadsheetColorIndex="43"/>
          </a:solidFill>
          <a:ln>
            <a:noFill/>
          </a:ln>
          <a:extLs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5"/>
  <sheetViews>
    <sheetView showGridLines="0" tabSelected="1" workbookViewId="0">
      <selection activeCell="M7" sqref="M7"/>
    </sheetView>
  </sheetViews>
  <sheetFormatPr defaultRowHeight="14.25"/>
  <cols>
    <col min="1" max="1" width="9" style="3"/>
    <col min="2" max="2" width="15.125" style="3" customWidth="1"/>
    <col min="3" max="4" width="9" style="3"/>
    <col min="5" max="5" width="15.75" style="3" customWidth="1"/>
    <col min="6" max="16384" width="9" style="3"/>
  </cols>
  <sheetData>
    <row r="1" spans="1:256" ht="15.75">
      <c r="A1" s="1" t="s">
        <v>2</v>
      </c>
      <c r="B1" s="2"/>
      <c r="D1" s="1" t="s">
        <v>0</v>
      </c>
      <c r="E1" s="4"/>
      <c r="G1" s="5"/>
      <c r="IV1" s="6" t="s">
        <v>1</v>
      </c>
    </row>
    <row r="2" spans="1:256">
      <c r="F2" s="10"/>
    </row>
    <row r="4" spans="1:256" ht="25.5">
      <c r="A4" s="12"/>
    </row>
    <row r="6" spans="1:256">
      <c r="I6" s="8" t="s">
        <v>6</v>
      </c>
      <c r="J6" s="8" t="s">
        <v>11</v>
      </c>
    </row>
    <row r="7" spans="1:256" ht="15.75">
      <c r="I7" s="11" t="s">
        <v>13</v>
      </c>
      <c r="J7" s="105">
        <v>10</v>
      </c>
    </row>
    <row r="8" spans="1:256" ht="15.75">
      <c r="I8" s="11" t="s">
        <v>3</v>
      </c>
      <c r="J8" s="105">
        <v>10</v>
      </c>
    </row>
    <row r="9" spans="1:256" ht="15.75">
      <c r="I9" s="11" t="s">
        <v>4</v>
      </c>
      <c r="J9" s="105">
        <v>15</v>
      </c>
    </row>
    <row r="10" spans="1:256" ht="15.75">
      <c r="I10" s="11" t="s">
        <v>5</v>
      </c>
      <c r="J10" s="105">
        <v>10</v>
      </c>
    </row>
    <row r="11" spans="1:256" ht="15.75">
      <c r="I11" s="11" t="s">
        <v>8</v>
      </c>
      <c r="J11" s="105">
        <v>15</v>
      </c>
    </row>
    <row r="12" spans="1:256" ht="15.75">
      <c r="I12" s="11" t="s">
        <v>9</v>
      </c>
      <c r="J12" s="105">
        <v>10</v>
      </c>
    </row>
    <row r="13" spans="1:256" ht="15.75">
      <c r="I13" s="11" t="s">
        <v>10</v>
      </c>
      <c r="J13" s="105">
        <v>15</v>
      </c>
    </row>
    <row r="14" spans="1:256" ht="15.75">
      <c r="I14" s="11" t="s">
        <v>12</v>
      </c>
      <c r="J14" s="105">
        <v>15</v>
      </c>
    </row>
    <row r="15" spans="1:256" ht="15.75">
      <c r="I15" s="7" t="s">
        <v>7</v>
      </c>
      <c r="J15" s="9">
        <f>SUM(J7:J14)</f>
        <v>100</v>
      </c>
    </row>
  </sheetData>
  <phoneticPr fontId="2" type="noConversion"/>
  <pageMargins left="0.75" right="0.75" top="1" bottom="1" header="0.5" footer="0.5"/>
  <pageSetup paperSize="9" orientation="portrait"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showGridLines="0" workbookViewId="0">
      <selection activeCell="F16" sqref="F16"/>
    </sheetView>
  </sheetViews>
  <sheetFormatPr defaultColWidth="11.125" defaultRowHeight="15"/>
  <cols>
    <col min="1" max="1" width="2.25" style="13" customWidth="1"/>
    <col min="2" max="2" width="22.25" style="13" bestFit="1" customWidth="1"/>
    <col min="3" max="3" width="10" style="13" bestFit="1" customWidth="1"/>
    <col min="4" max="5" width="11.125" style="13" customWidth="1"/>
    <col min="6" max="7" width="11.125" style="14" customWidth="1"/>
    <col min="8" max="16384" width="11.125" style="13"/>
  </cols>
  <sheetData>
    <row r="1" spans="1:7" ht="12" customHeight="1">
      <c r="B1" s="14"/>
      <c r="C1" s="14"/>
    </row>
    <row r="2" spans="1:7">
      <c r="B2" s="113" t="s">
        <v>105</v>
      </c>
      <c r="C2" s="106"/>
      <c r="D2" s="17"/>
      <c r="F2" s="18"/>
      <c r="G2" s="18"/>
    </row>
    <row r="3" spans="1:7">
      <c r="D3" s="17"/>
      <c r="G3" s="19"/>
    </row>
    <row r="4" spans="1:7">
      <c r="B4" s="107"/>
      <c r="C4" s="108" t="s">
        <v>106</v>
      </c>
      <c r="D4" s="17"/>
      <c r="F4" s="20"/>
    </row>
    <row r="5" spans="1:7">
      <c r="B5" s="114" t="s">
        <v>107</v>
      </c>
      <c r="C5" s="109"/>
      <c r="D5" s="17"/>
      <c r="F5" s="20"/>
    </row>
    <row r="6" spans="1:7">
      <c r="B6" s="115" t="s">
        <v>108</v>
      </c>
      <c r="C6" s="110"/>
    </row>
    <row r="7" spans="1:7">
      <c r="A7" s="14"/>
      <c r="B7" s="113" t="s">
        <v>109</v>
      </c>
      <c r="C7" s="109"/>
      <c r="D7" s="14"/>
      <c r="F7" s="18"/>
    </row>
    <row r="8" spans="1:7">
      <c r="G8" s="20"/>
    </row>
    <row r="9" spans="1:7">
      <c r="B9" s="113" t="s">
        <v>110</v>
      </c>
      <c r="C9" s="109"/>
    </row>
    <row r="10" spans="1:7">
      <c r="B10" s="116" t="s">
        <v>111</v>
      </c>
      <c r="C10" s="111"/>
      <c r="F10" s="18"/>
    </row>
    <row r="11" spans="1:7">
      <c r="B11" s="113" t="s">
        <v>112</v>
      </c>
      <c r="C11" s="109"/>
    </row>
    <row r="12" spans="1:7">
      <c r="B12" s="113" t="s">
        <v>113</v>
      </c>
      <c r="C12" s="109"/>
    </row>
    <row r="13" spans="1:7">
      <c r="B13" s="113" t="s">
        <v>114</v>
      </c>
      <c r="C13" s="109"/>
    </row>
    <row r="15" spans="1:7" ht="16.5">
      <c r="B15" s="113" t="s">
        <v>115</v>
      </c>
      <c r="C15" s="106"/>
      <c r="F15" s="18"/>
    </row>
    <row r="16" spans="1:7" ht="16.5">
      <c r="B16" s="113" t="s">
        <v>116</v>
      </c>
      <c r="C16" s="106"/>
    </row>
    <row r="17" spans="2:6">
      <c r="B17" s="15"/>
      <c r="C17" s="16"/>
    </row>
    <row r="18" spans="2:6">
      <c r="B18" s="15"/>
      <c r="C18" s="16"/>
    </row>
    <row r="19" spans="2:6">
      <c r="B19" s="117" t="s">
        <v>117</v>
      </c>
      <c r="C19" s="106"/>
    </row>
    <row r="20" spans="2:6">
      <c r="B20" s="117" t="s">
        <v>118</v>
      </c>
      <c r="C20" s="106"/>
    </row>
    <row r="21" spans="2:6">
      <c r="B21" s="117" t="s">
        <v>119</v>
      </c>
      <c r="C21" s="106"/>
    </row>
    <row r="22" spans="2:6">
      <c r="B22" s="113" t="s">
        <v>120</v>
      </c>
      <c r="C22" s="112"/>
    </row>
    <row r="23" spans="2:6">
      <c r="B23" s="113" t="s">
        <v>121</v>
      </c>
      <c r="C23" s="109"/>
      <c r="F23" s="18"/>
    </row>
    <row r="24" spans="2:6">
      <c r="B24" s="113" t="s">
        <v>122</v>
      </c>
      <c r="C24" s="109"/>
      <c r="F24" s="16"/>
    </row>
    <row r="25" spans="2:6">
      <c r="B25" s="14"/>
      <c r="C25" s="14"/>
    </row>
    <row r="26" spans="2:6">
      <c r="B26" s="14"/>
      <c r="C26" s="14"/>
    </row>
    <row r="27" spans="2:6">
      <c r="B27" s="123"/>
      <c r="C27" s="123"/>
    </row>
  </sheetData>
  <mergeCells count="1">
    <mergeCell ref="B27:C27"/>
  </mergeCells>
  <phoneticPr fontId="2" type="noConversion"/>
  <printOptions headings="1"/>
  <pageMargins left="0.75" right="0.75" top="1" bottom="1" header="0.5" footer="0.5"/>
  <pageSetup paperSize="9" orientation="portrait" horizontalDpi="4294967293" verticalDpi="4294967293"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6"/>
  <sheetViews>
    <sheetView showGridLines="0" workbookViewId="0">
      <selection activeCell="E11" sqref="E11"/>
    </sheetView>
  </sheetViews>
  <sheetFormatPr defaultRowHeight="15"/>
  <cols>
    <col min="1" max="2" width="2.375" style="27" customWidth="1"/>
    <col min="3" max="3" width="12.5" style="27" customWidth="1"/>
    <col min="4" max="4" width="7.75" style="27" bestFit="1" customWidth="1"/>
    <col min="5" max="5" width="7.5" style="27" customWidth="1"/>
    <col min="6" max="6" width="2.375" style="27" customWidth="1"/>
    <col min="7" max="7" width="9" style="27"/>
    <col min="8" max="8" width="17.625" style="27" customWidth="1"/>
    <col min="9" max="16384" width="9" style="27"/>
  </cols>
  <sheetData>
    <row r="2" spans="2:6">
      <c r="B2" s="26"/>
      <c r="C2" s="26"/>
      <c r="D2" s="26"/>
      <c r="E2" s="26"/>
      <c r="F2" s="26"/>
    </row>
    <row r="3" spans="2:6">
      <c r="B3" s="26"/>
      <c r="C3" s="126" t="s">
        <v>19</v>
      </c>
      <c r="D3" s="127"/>
      <c r="E3" s="23">
        <v>20</v>
      </c>
      <c r="F3" s="26"/>
    </row>
    <row r="4" spans="2:6">
      <c r="B4" s="26"/>
      <c r="C4" s="26"/>
      <c r="D4" s="26"/>
      <c r="E4" s="26"/>
      <c r="F4" s="26"/>
    </row>
    <row r="5" spans="2:6">
      <c r="B5" s="26"/>
      <c r="C5" s="28"/>
      <c r="D5" s="24" t="s">
        <v>14</v>
      </c>
      <c r="E5" s="24" t="s">
        <v>15</v>
      </c>
      <c r="F5" s="26"/>
    </row>
    <row r="6" spans="2:6">
      <c r="B6" s="26"/>
      <c r="C6" s="22" t="s">
        <v>16</v>
      </c>
      <c r="D6" s="29"/>
      <c r="E6" s="34">
        <v>12</v>
      </c>
      <c r="F6" s="26"/>
    </row>
    <row r="7" spans="2:6">
      <c r="B7" s="26"/>
      <c r="C7" s="22" t="s">
        <v>17</v>
      </c>
      <c r="D7" s="34">
        <v>12</v>
      </c>
      <c r="E7" s="34">
        <v>20</v>
      </c>
      <c r="F7" s="26"/>
    </row>
    <row r="8" spans="2:6">
      <c r="B8" s="26"/>
      <c r="C8" s="30" t="s">
        <v>20</v>
      </c>
      <c r="D8" s="34">
        <f>E3*D7</f>
        <v>240</v>
      </c>
      <c r="E8" s="34">
        <f>(E3-E6)*E7</f>
        <v>160</v>
      </c>
      <c r="F8" s="26"/>
    </row>
    <row r="9" spans="2:6">
      <c r="B9" s="26"/>
      <c r="C9" s="26"/>
      <c r="D9" s="26"/>
      <c r="E9" s="26"/>
      <c r="F9" s="26"/>
    </row>
    <row r="10" spans="2:6" ht="16.5">
      <c r="B10" s="26"/>
      <c r="C10" s="126" t="s">
        <v>21</v>
      </c>
      <c r="D10" s="127"/>
      <c r="E10" s="34">
        <v>30</v>
      </c>
      <c r="F10" s="26"/>
    </row>
    <row r="11" spans="2:6" ht="16.5">
      <c r="B11" s="26"/>
      <c r="C11" s="128" t="s">
        <v>22</v>
      </c>
      <c r="D11" s="127"/>
      <c r="E11" s="34">
        <f>E10*D7</f>
        <v>360</v>
      </c>
      <c r="F11" s="26"/>
    </row>
    <row r="12" spans="2:6">
      <c r="B12" s="26"/>
      <c r="C12" s="31"/>
      <c r="D12" s="31"/>
      <c r="E12" s="25"/>
      <c r="F12" s="26"/>
    </row>
    <row r="13" spans="2:6">
      <c r="B13" s="26"/>
      <c r="C13" s="129" t="s">
        <v>18</v>
      </c>
      <c r="D13" s="130"/>
      <c r="E13" s="32"/>
      <c r="F13" s="26"/>
    </row>
    <row r="14" spans="2:6">
      <c r="B14" s="26"/>
      <c r="C14" s="125"/>
      <c r="D14" s="125"/>
      <c r="E14" s="26"/>
      <c r="F14" s="26"/>
    </row>
    <row r="15" spans="2:6">
      <c r="C15" s="124"/>
      <c r="D15" s="124"/>
    </row>
    <row r="16" spans="2:6">
      <c r="E16" s="33"/>
    </row>
  </sheetData>
  <mergeCells count="6">
    <mergeCell ref="C15:D15"/>
    <mergeCell ref="C14:D14"/>
    <mergeCell ref="C3:D3"/>
    <mergeCell ref="C10:D10"/>
    <mergeCell ref="C11:D11"/>
    <mergeCell ref="C13:D13"/>
  </mergeCells>
  <phoneticPr fontId="2" type="noConversion"/>
  <pageMargins left="0.75" right="0.75" top="1" bottom="1" header="0.5" footer="0.5"/>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showGridLines="0" workbookViewId="0">
      <selection activeCell="F9" sqref="F9"/>
    </sheetView>
  </sheetViews>
  <sheetFormatPr defaultRowHeight="15"/>
  <cols>
    <col min="1" max="1" width="2.625" style="27" customWidth="1"/>
    <col min="2" max="2" width="20.75" style="27" bestFit="1" customWidth="1"/>
    <col min="3" max="3" width="10" style="27" customWidth="1"/>
    <col min="4" max="5" width="2.375" style="27" customWidth="1"/>
    <col min="6" max="17" width="7.25" style="27" customWidth="1"/>
    <col min="18" max="16384" width="9" style="27"/>
  </cols>
  <sheetData>
    <row r="1" spans="1:4">
      <c r="A1" s="35"/>
      <c r="B1" s="35"/>
      <c r="C1" s="35"/>
      <c r="D1" s="35"/>
    </row>
    <row r="2" spans="1:4">
      <c r="A2" s="35"/>
      <c r="B2" s="36" t="s">
        <v>23</v>
      </c>
      <c r="C2" s="119">
        <v>0.05</v>
      </c>
      <c r="D2" s="37"/>
    </row>
    <row r="3" spans="1:4">
      <c r="A3" s="35"/>
      <c r="B3" s="118" t="s">
        <v>24</v>
      </c>
      <c r="C3" s="120">
        <v>1500</v>
      </c>
      <c r="D3" s="37"/>
    </row>
    <row r="4" spans="1:4">
      <c r="A4" s="35"/>
      <c r="B4" s="118" t="s">
        <v>25</v>
      </c>
      <c r="C4" s="121">
        <v>0.1</v>
      </c>
      <c r="D4" s="37"/>
    </row>
    <row r="5" spans="1:4">
      <c r="A5" s="35"/>
      <c r="B5" s="118" t="s">
        <v>26</v>
      </c>
      <c r="C5" s="120">
        <v>1800</v>
      </c>
      <c r="D5" s="37"/>
    </row>
    <row r="6" spans="1:4">
      <c r="A6" s="35"/>
      <c r="B6" s="38" t="s">
        <v>27</v>
      </c>
      <c r="C6" s="120">
        <v>15000</v>
      </c>
      <c r="D6" s="35"/>
    </row>
    <row r="7" spans="1:4">
      <c r="A7" s="35"/>
      <c r="B7" s="38" t="s">
        <v>28</v>
      </c>
      <c r="C7" s="122">
        <v>600</v>
      </c>
      <c r="D7" s="35"/>
    </row>
    <row r="8" spans="1:4">
      <c r="A8" s="35"/>
      <c r="B8" s="38" t="s">
        <v>29</v>
      </c>
      <c r="C8" s="122">
        <v>40</v>
      </c>
      <c r="D8" s="35"/>
    </row>
    <row r="9" spans="1:4">
      <c r="A9" s="35"/>
      <c r="B9" s="38" t="s">
        <v>30</v>
      </c>
      <c r="C9" s="122">
        <v>6</v>
      </c>
      <c r="D9" s="35"/>
    </row>
    <row r="10" spans="1:4">
      <c r="A10" s="35"/>
      <c r="B10" s="38" t="s">
        <v>31</v>
      </c>
      <c r="C10" s="39"/>
      <c r="D10" s="35"/>
    </row>
    <row r="11" spans="1:4">
      <c r="A11" s="35"/>
      <c r="B11" s="38" t="s">
        <v>32</v>
      </c>
      <c r="C11" s="40">
        <v>900</v>
      </c>
      <c r="D11" s="35"/>
    </row>
    <row r="12" spans="1:4">
      <c r="A12" s="35"/>
      <c r="B12" s="38" t="s">
        <v>33</v>
      </c>
      <c r="C12" s="39"/>
      <c r="D12" s="35"/>
    </row>
    <row r="13" spans="1:4">
      <c r="A13" s="35"/>
      <c r="B13" s="38" t="s">
        <v>34</v>
      </c>
      <c r="C13" s="39"/>
      <c r="D13" s="35"/>
    </row>
    <row r="14" spans="1:4">
      <c r="A14" s="35"/>
      <c r="B14" s="38" t="s">
        <v>35</v>
      </c>
      <c r="C14" s="39"/>
      <c r="D14" s="35"/>
    </row>
    <row r="15" spans="1:4">
      <c r="A15" s="35"/>
      <c r="B15" s="38" t="s">
        <v>36</v>
      </c>
      <c r="C15" s="41"/>
      <c r="D15" s="35"/>
    </row>
    <row r="16" spans="1:4">
      <c r="A16" s="35"/>
      <c r="B16" s="35"/>
      <c r="C16" s="42"/>
      <c r="D16" s="35"/>
    </row>
    <row r="17" spans="1:4">
      <c r="A17" s="35"/>
      <c r="B17" s="38" t="s">
        <v>37</v>
      </c>
      <c r="C17" s="43"/>
      <c r="D17" s="35"/>
    </row>
    <row r="18" spans="1:4">
      <c r="A18" s="35"/>
      <c r="B18" s="44" t="s">
        <v>38</v>
      </c>
      <c r="C18" s="39"/>
      <c r="D18" s="35"/>
    </row>
    <row r="19" spans="1:4">
      <c r="A19" s="35"/>
      <c r="B19" s="44" t="s">
        <v>39</v>
      </c>
      <c r="C19" s="39"/>
      <c r="D19" s="35"/>
    </row>
    <row r="20" spans="1:4">
      <c r="A20" s="35"/>
      <c r="B20" s="44" t="s">
        <v>40</v>
      </c>
      <c r="C20" s="39"/>
      <c r="D20" s="35"/>
    </row>
    <row r="21" spans="1:4">
      <c r="A21" s="35"/>
      <c r="B21" s="44" t="s">
        <v>41</v>
      </c>
      <c r="C21" s="41"/>
      <c r="D21" s="35"/>
    </row>
    <row r="22" spans="1:4">
      <c r="A22" s="35"/>
      <c r="B22" s="35"/>
      <c r="C22" s="35"/>
      <c r="D22" s="35"/>
    </row>
  </sheetData>
  <phoneticPr fontId="2" type="noConversion"/>
  <pageMargins left="0.75" right="0.75" top="1" bottom="1" header="0.5" footer="0.5"/>
  <pageSetup paperSize="9" orientation="portrait"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G16" sqref="G16"/>
    </sheetView>
  </sheetViews>
  <sheetFormatPr defaultRowHeight="14.25"/>
  <cols>
    <col min="1" max="1" width="12.75" style="45" bestFit="1" customWidth="1"/>
    <col min="2" max="16384" width="9" style="45"/>
  </cols>
  <sheetData/>
  <phoneticPr fontId="2" type="noConversion"/>
  <pageMargins left="0.75" right="0.75" top="1" bottom="1" header="0.5" footer="0.5"/>
  <pageSetup paperSize="9" orientation="portrait" horizontalDpi="300" verticalDpi="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25"/>
  <sheetViews>
    <sheetView showGridLines="0" topLeftCell="A2" workbookViewId="0">
      <selection activeCell="D11" sqref="D11"/>
    </sheetView>
  </sheetViews>
  <sheetFormatPr defaultRowHeight="15"/>
  <cols>
    <col min="1" max="1" width="4.5" style="51" customWidth="1"/>
    <col min="2" max="2" width="12.5" style="51" customWidth="1"/>
    <col min="3" max="3" width="10.375" style="51" customWidth="1"/>
    <col min="4" max="4" width="6.625" style="51" customWidth="1"/>
    <col min="5" max="5" width="7.25" style="51" customWidth="1"/>
    <col min="6" max="6" width="12.125" style="51" customWidth="1"/>
    <col min="7" max="7" width="12.875" style="51" customWidth="1"/>
    <col min="8" max="8" width="10" style="51" customWidth="1"/>
    <col min="9" max="9" width="9" style="51"/>
    <col min="10" max="10" width="7.875" style="51" customWidth="1"/>
    <col min="11" max="12" width="7.25" style="51" customWidth="1"/>
    <col min="13" max="16384" width="9" style="51"/>
  </cols>
  <sheetData>
    <row r="2" spans="2:14" ht="28.5">
      <c r="B2" s="46" t="s">
        <v>42</v>
      </c>
      <c r="C2" s="46" t="s">
        <v>43</v>
      </c>
      <c r="D2" s="46" t="s">
        <v>44</v>
      </c>
      <c r="E2" s="46" t="s">
        <v>45</v>
      </c>
      <c r="F2" s="47" t="s">
        <v>47</v>
      </c>
      <c r="G2" s="47" t="s">
        <v>46</v>
      </c>
      <c r="H2" s="50"/>
    </row>
    <row r="3" spans="2:14">
      <c r="B3" s="52" t="s">
        <v>48</v>
      </c>
      <c r="C3" s="53" t="s">
        <v>49</v>
      </c>
      <c r="D3" s="53" t="s">
        <v>50</v>
      </c>
      <c r="E3" s="53"/>
      <c r="F3" s="54">
        <v>2</v>
      </c>
      <c r="G3" s="52">
        <v>2000</v>
      </c>
      <c r="H3" s="55"/>
    </row>
    <row r="4" spans="2:14">
      <c r="B4" s="52" t="s">
        <v>51</v>
      </c>
      <c r="C4" s="53"/>
      <c r="D4" s="53"/>
      <c r="E4" s="53"/>
      <c r="F4" s="54">
        <v>1.5</v>
      </c>
      <c r="G4" s="52">
        <v>2500</v>
      </c>
      <c r="H4" s="55"/>
    </row>
    <row r="5" spans="2:14">
      <c r="B5" s="52" t="s">
        <v>52</v>
      </c>
      <c r="C5" s="53" t="s">
        <v>53</v>
      </c>
      <c r="D5" s="53" t="s">
        <v>54</v>
      </c>
      <c r="E5" s="53" t="s">
        <v>55</v>
      </c>
      <c r="F5" s="54">
        <v>1</v>
      </c>
      <c r="G5" s="52">
        <v>1200</v>
      </c>
      <c r="H5" s="55"/>
    </row>
    <row r="6" spans="2:14" ht="28.5">
      <c r="B6" s="47" t="s">
        <v>56</v>
      </c>
      <c r="C6" s="54">
        <v>0.5</v>
      </c>
      <c r="D6" s="54">
        <v>0.4</v>
      </c>
      <c r="E6" s="54">
        <v>0.3</v>
      </c>
    </row>
    <row r="7" spans="2:14" ht="28.5">
      <c r="B7" s="47" t="s">
        <v>57</v>
      </c>
      <c r="C7" s="54">
        <v>3.4</v>
      </c>
      <c r="D7" s="54">
        <v>2.85</v>
      </c>
      <c r="E7" s="54">
        <v>2.25</v>
      </c>
    </row>
    <row r="10" spans="2:14" ht="42">
      <c r="B10" s="46" t="s">
        <v>58</v>
      </c>
      <c r="C10" s="46" t="s">
        <v>59</v>
      </c>
      <c r="D10" s="47" t="s">
        <v>60</v>
      </c>
      <c r="E10" s="47" t="s">
        <v>61</v>
      </c>
      <c r="F10" s="46" t="s">
        <v>62</v>
      </c>
      <c r="G10" s="47" t="s">
        <v>60</v>
      </c>
      <c r="H10" s="47" t="s">
        <v>61</v>
      </c>
      <c r="I10" s="46" t="s">
        <v>63</v>
      </c>
      <c r="J10" s="47" t="s">
        <v>60</v>
      </c>
      <c r="K10" s="47" t="s">
        <v>61</v>
      </c>
      <c r="L10" s="49" t="s">
        <v>64</v>
      </c>
      <c r="M10" s="47" t="s">
        <v>65</v>
      </c>
      <c r="N10" s="47" t="s">
        <v>66</v>
      </c>
    </row>
    <row r="11" spans="2:14">
      <c r="B11" s="52" t="s">
        <v>48</v>
      </c>
      <c r="C11" s="56"/>
      <c r="D11" s="57"/>
      <c r="E11" s="57">
        <v>0.6</v>
      </c>
      <c r="F11" s="56"/>
      <c r="G11" s="57"/>
      <c r="H11" s="57">
        <v>0.15</v>
      </c>
      <c r="I11" s="56"/>
      <c r="J11" s="58"/>
      <c r="K11" s="58"/>
      <c r="L11" s="59"/>
      <c r="M11" s="54">
        <v>2</v>
      </c>
      <c r="N11" s="52">
        <v>2000</v>
      </c>
    </row>
    <row r="12" spans="2:14">
      <c r="B12" s="52" t="s">
        <v>51</v>
      </c>
      <c r="C12" s="56"/>
      <c r="D12" s="58"/>
      <c r="E12" s="58"/>
      <c r="F12" s="56"/>
      <c r="G12" s="58"/>
      <c r="H12" s="58"/>
      <c r="I12" s="56"/>
      <c r="J12" s="58"/>
      <c r="K12" s="58"/>
      <c r="L12" s="59"/>
      <c r="M12" s="54">
        <v>1.5</v>
      </c>
      <c r="N12" s="52">
        <v>2500</v>
      </c>
    </row>
    <row r="13" spans="2:14">
      <c r="B13" s="52" t="s">
        <v>52</v>
      </c>
      <c r="C13" s="56"/>
      <c r="D13" s="57"/>
      <c r="E13" s="57">
        <v>0.2</v>
      </c>
      <c r="F13" s="56"/>
      <c r="G13" s="57"/>
      <c r="H13" s="57">
        <v>0.6</v>
      </c>
      <c r="I13" s="56"/>
      <c r="J13" s="57"/>
      <c r="K13" s="57">
        <v>0.5</v>
      </c>
      <c r="L13" s="59"/>
      <c r="M13" s="54">
        <v>1</v>
      </c>
      <c r="N13" s="52">
        <v>1200</v>
      </c>
    </row>
    <row r="14" spans="2:14" ht="21" customHeight="1">
      <c r="B14" s="46" t="s">
        <v>67</v>
      </c>
      <c r="C14" s="56"/>
      <c r="D14" s="58"/>
      <c r="E14" s="58"/>
      <c r="F14" s="56"/>
      <c r="G14" s="58"/>
      <c r="H14" s="58"/>
      <c r="I14" s="56"/>
      <c r="J14" s="58"/>
      <c r="K14" s="58"/>
      <c r="L14" s="60"/>
      <c r="M14" s="61"/>
      <c r="N14" s="55"/>
    </row>
    <row r="15" spans="2:14" ht="28.5">
      <c r="B15" s="47" t="s">
        <v>56</v>
      </c>
      <c r="C15" s="54">
        <v>0.5</v>
      </c>
      <c r="D15" s="58"/>
      <c r="E15" s="58"/>
      <c r="F15" s="54">
        <v>0.4</v>
      </c>
      <c r="G15" s="58"/>
      <c r="H15" s="58"/>
      <c r="I15" s="54">
        <v>0.3</v>
      </c>
      <c r="J15" s="58"/>
      <c r="K15" s="58"/>
      <c r="L15" s="60"/>
    </row>
    <row r="16" spans="2:14" ht="28.5">
      <c r="B16" s="47" t="s">
        <v>57</v>
      </c>
      <c r="C16" s="54">
        <v>3.4</v>
      </c>
      <c r="D16" s="58"/>
      <c r="E16" s="58"/>
      <c r="F16" s="54">
        <v>2.85</v>
      </c>
      <c r="G16" s="58"/>
      <c r="H16" s="58"/>
      <c r="I16" s="54">
        <v>2.25</v>
      </c>
      <c r="J16" s="58"/>
      <c r="K16" s="58"/>
      <c r="L16" s="60"/>
    </row>
    <row r="17" spans="2:12">
      <c r="B17" s="46" t="s">
        <v>68</v>
      </c>
      <c r="C17" s="54"/>
      <c r="D17" s="58"/>
      <c r="E17" s="58"/>
      <c r="F17" s="54"/>
      <c r="G17" s="58"/>
      <c r="H17" s="58"/>
      <c r="I17" s="54"/>
      <c r="J17" s="58"/>
      <c r="K17" s="58"/>
      <c r="L17" s="60"/>
    </row>
    <row r="18" spans="2:12">
      <c r="B18" s="46" t="s">
        <v>69</v>
      </c>
      <c r="C18" s="54"/>
      <c r="D18" s="58"/>
      <c r="E18" s="58"/>
      <c r="F18" s="54"/>
      <c r="G18" s="58"/>
      <c r="H18" s="58"/>
      <c r="I18" s="54"/>
      <c r="J18" s="58"/>
      <c r="K18" s="58"/>
      <c r="L18" s="60"/>
    </row>
    <row r="19" spans="2:12">
      <c r="B19" s="46" t="s">
        <v>70</v>
      </c>
      <c r="C19" s="54"/>
      <c r="D19" s="58"/>
      <c r="E19" s="58"/>
      <c r="F19" s="54"/>
      <c r="G19" s="58"/>
      <c r="H19" s="58"/>
      <c r="I19" s="54"/>
      <c r="J19" s="58"/>
      <c r="K19" s="58"/>
      <c r="L19" s="60"/>
    </row>
    <row r="21" spans="2:12">
      <c r="B21" s="48" t="s">
        <v>71</v>
      </c>
      <c r="C21" s="63"/>
    </row>
    <row r="24" spans="2:12">
      <c r="B24" s="62"/>
    </row>
    <row r="25" spans="2:12">
      <c r="B25" s="62"/>
    </row>
  </sheetData>
  <phoneticPr fontId="2"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G16" sqref="G16"/>
    </sheetView>
  </sheetViews>
  <sheetFormatPr defaultColWidth="8" defaultRowHeight="15"/>
  <cols>
    <col min="1" max="16384" width="8" style="64"/>
  </cols>
  <sheetData/>
  <phoneticPr fontId="2" type="noConversion"/>
  <pageMargins left="0.75" right="0.75" top="1" bottom="1" header="0.5" footer="0.5"/>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1"/>
  <sheetViews>
    <sheetView showGridLines="0" workbookViewId="0">
      <selection activeCell="B34" sqref="B34"/>
    </sheetView>
  </sheetViews>
  <sheetFormatPr defaultRowHeight="15"/>
  <cols>
    <col min="1" max="1" width="3.875" style="27" customWidth="1"/>
    <col min="2" max="2" width="50.375" style="27" bestFit="1" customWidth="1"/>
    <col min="3" max="3" width="17.375" style="27" bestFit="1" customWidth="1"/>
    <col min="4" max="4" width="14" style="27" customWidth="1"/>
    <col min="5" max="16384" width="9" style="27"/>
  </cols>
  <sheetData>
    <row r="2" spans="2:5">
      <c r="B2" s="65" t="s">
        <v>72</v>
      </c>
      <c r="C2" s="66">
        <v>10</v>
      </c>
    </row>
    <row r="3" spans="2:5">
      <c r="B3" s="65" t="s">
        <v>75</v>
      </c>
      <c r="C3" s="66">
        <v>150</v>
      </c>
    </row>
    <row r="4" spans="2:5">
      <c r="B4" s="65" t="s">
        <v>76</v>
      </c>
      <c r="C4" s="66">
        <v>90</v>
      </c>
    </row>
    <row r="5" spans="2:5">
      <c r="B5" s="67" t="s">
        <v>73</v>
      </c>
      <c r="C5" s="68">
        <v>0.08</v>
      </c>
    </row>
    <row r="6" spans="2:5">
      <c r="C6" s="131" t="s">
        <v>77</v>
      </c>
      <c r="D6" s="132"/>
    </row>
    <row r="7" spans="2:5">
      <c r="B7" s="66"/>
      <c r="C7" s="38" t="s">
        <v>78</v>
      </c>
      <c r="D7" s="38" t="s">
        <v>79</v>
      </c>
    </row>
    <row r="8" spans="2:5">
      <c r="B8" s="38" t="s">
        <v>80</v>
      </c>
      <c r="C8" s="69">
        <v>1500</v>
      </c>
      <c r="D8" s="69">
        <v>1000</v>
      </c>
    </row>
    <row r="9" spans="2:5">
      <c r="B9" s="44" t="s">
        <v>123</v>
      </c>
      <c r="C9" s="70"/>
      <c r="D9" s="69">
        <v>20</v>
      </c>
    </row>
    <row r="10" spans="2:5">
      <c r="B10" s="38" t="s">
        <v>81</v>
      </c>
      <c r="C10" s="69">
        <v>400</v>
      </c>
      <c r="D10" s="70"/>
    </row>
    <row r="11" spans="2:5">
      <c r="B11" s="38" t="s">
        <v>82</v>
      </c>
      <c r="C11" s="69">
        <v>100</v>
      </c>
      <c r="D11" s="70"/>
    </row>
    <row r="12" spans="2:5">
      <c r="B12" s="38" t="s">
        <v>83</v>
      </c>
      <c r="C12" s="69">
        <v>300</v>
      </c>
      <c r="D12" s="70"/>
    </row>
    <row r="13" spans="2:5">
      <c r="B13" s="67" t="s">
        <v>84</v>
      </c>
      <c r="C13" s="71"/>
      <c r="D13" s="72"/>
      <c r="E13" s="73"/>
    </row>
    <row r="14" spans="2:5">
      <c r="B14" s="67" t="s">
        <v>85</v>
      </c>
      <c r="C14" s="74"/>
      <c r="D14" s="75"/>
    </row>
    <row r="15" spans="2:5">
      <c r="B15" s="67" t="s">
        <v>86</v>
      </c>
      <c r="C15" s="76"/>
    </row>
    <row r="16" spans="2:5">
      <c r="B16" s="67" t="s">
        <v>74</v>
      </c>
      <c r="C16" s="77"/>
      <c r="D16" s="78"/>
    </row>
    <row r="17" spans="2:4">
      <c r="B17" s="67" t="s">
        <v>87</v>
      </c>
      <c r="C17" s="79"/>
      <c r="D17" s="80"/>
    </row>
    <row r="19" spans="2:4">
      <c r="B19" s="21"/>
    </row>
    <row r="20" spans="2:4">
      <c r="B20" s="21"/>
      <c r="C20" s="81"/>
    </row>
    <row r="21" spans="2:4">
      <c r="B21" s="21"/>
      <c r="C21" s="82"/>
    </row>
  </sheetData>
  <mergeCells count="1">
    <mergeCell ref="C6:D6"/>
  </mergeCells>
  <phoneticPr fontId="2" type="noConversion"/>
  <pageMargins left="0.75" right="0.75" top="1" bottom="1" header="0.5" footer="0.5"/>
  <pageSetup paperSize="9" orientation="portrait" horizontalDpi="300"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26"/>
  <sheetViews>
    <sheetView showGridLines="0" topLeftCell="A3" workbookViewId="0">
      <selection activeCell="T24" sqref="T24"/>
    </sheetView>
  </sheetViews>
  <sheetFormatPr defaultRowHeight="15"/>
  <cols>
    <col min="1" max="2" width="1.875" style="89" customWidth="1"/>
    <col min="3" max="3" width="29.375" style="89" customWidth="1"/>
    <col min="4" max="4" width="7.125" style="89" customWidth="1"/>
    <col min="5" max="7" width="1.875" style="89" customWidth="1"/>
    <col min="8" max="8" width="9.375" style="89" customWidth="1"/>
    <col min="9" max="9" width="5.25" style="89" bestFit="1" customWidth="1"/>
    <col min="10" max="10" width="9" style="89"/>
    <col min="11" max="13" width="1.875" style="89" customWidth="1"/>
    <col min="14" max="14" width="3.5" style="89" bestFit="1" customWidth="1"/>
    <col min="15" max="17" width="9" style="89"/>
    <col min="18" max="18" width="2.625" style="89" customWidth="1"/>
    <col min="19" max="19" width="2.625" style="104" customWidth="1"/>
    <col min="20" max="16384" width="9" style="89"/>
  </cols>
  <sheetData>
    <row r="2" spans="2:19">
      <c r="B2" s="83"/>
      <c r="C2" s="83"/>
      <c r="D2" s="84"/>
      <c r="E2" s="83"/>
      <c r="F2" s="85"/>
      <c r="G2" s="83"/>
      <c r="H2" s="86" t="s">
        <v>88</v>
      </c>
      <c r="I2" s="87"/>
      <c r="J2" s="87"/>
      <c r="K2" s="83"/>
      <c r="L2" s="85"/>
      <c r="M2" s="83"/>
      <c r="N2" s="83"/>
      <c r="O2" s="83"/>
      <c r="P2" s="83"/>
      <c r="Q2" s="83"/>
      <c r="R2" s="83"/>
      <c r="S2" s="88"/>
    </row>
    <row r="3" spans="2:19">
      <c r="B3" s="83"/>
      <c r="C3" s="90" t="s">
        <v>92</v>
      </c>
      <c r="D3" s="91">
        <v>5</v>
      </c>
      <c r="E3" s="83"/>
      <c r="F3" s="85"/>
      <c r="G3" s="83"/>
      <c r="H3" s="92" t="s">
        <v>89</v>
      </c>
      <c r="I3" s="92" t="s">
        <v>93</v>
      </c>
      <c r="J3" s="92" t="s">
        <v>94</v>
      </c>
      <c r="K3" s="83"/>
      <c r="L3" s="85"/>
      <c r="M3" s="83"/>
      <c r="N3" s="83"/>
      <c r="O3" s="92" t="s">
        <v>89</v>
      </c>
      <c r="P3" s="92" t="s">
        <v>95</v>
      </c>
      <c r="Q3" s="92" t="s">
        <v>96</v>
      </c>
      <c r="R3" s="83"/>
      <c r="S3" s="88"/>
    </row>
    <row r="4" spans="2:19">
      <c r="B4" s="83"/>
      <c r="C4" s="93" t="s">
        <v>103</v>
      </c>
      <c r="D4" s="94">
        <v>20</v>
      </c>
      <c r="E4" s="83"/>
      <c r="F4" s="85"/>
      <c r="G4" s="83"/>
      <c r="H4" s="92" t="s">
        <v>97</v>
      </c>
      <c r="I4" s="95"/>
      <c r="J4" s="96"/>
      <c r="K4" s="83"/>
      <c r="L4" s="85"/>
      <c r="M4" s="83"/>
      <c r="N4" s="97">
        <v>1</v>
      </c>
      <c r="O4" s="97"/>
      <c r="P4" s="97"/>
      <c r="Q4" s="97"/>
      <c r="R4" s="83"/>
      <c r="S4" s="88"/>
    </row>
    <row r="5" spans="2:19">
      <c r="B5" s="83"/>
      <c r="C5" s="93" t="s">
        <v>98</v>
      </c>
      <c r="D5" s="94">
        <v>5</v>
      </c>
      <c r="E5" s="83"/>
      <c r="F5" s="85"/>
      <c r="G5" s="83"/>
      <c r="H5" s="98">
        <v>1000</v>
      </c>
      <c r="I5" s="99">
        <v>0.05</v>
      </c>
      <c r="J5" s="96"/>
      <c r="K5" s="83"/>
      <c r="L5" s="85"/>
      <c r="M5" s="83"/>
      <c r="N5" s="97">
        <v>2</v>
      </c>
      <c r="O5" s="97"/>
      <c r="P5" s="97"/>
      <c r="Q5" s="97"/>
      <c r="R5" s="83"/>
      <c r="S5" s="88"/>
    </row>
    <row r="6" spans="2:19">
      <c r="B6" s="83"/>
      <c r="C6" s="93" t="s">
        <v>99</v>
      </c>
      <c r="D6" s="94">
        <v>8</v>
      </c>
      <c r="E6" s="83"/>
      <c r="F6" s="85"/>
      <c r="G6" s="83"/>
      <c r="H6" s="98">
        <v>1100</v>
      </c>
      <c r="I6" s="99">
        <v>0.12</v>
      </c>
      <c r="J6" s="96"/>
      <c r="K6" s="83"/>
      <c r="L6" s="85"/>
      <c r="M6" s="83"/>
      <c r="N6" s="97">
        <v>3</v>
      </c>
      <c r="O6" s="97"/>
      <c r="P6" s="97"/>
      <c r="Q6" s="97"/>
      <c r="R6" s="83"/>
      <c r="S6" s="88"/>
    </row>
    <row r="7" spans="2:19">
      <c r="B7" s="83"/>
      <c r="C7" s="83"/>
      <c r="D7" s="83"/>
      <c r="E7" s="83"/>
      <c r="F7" s="85"/>
      <c r="G7" s="83"/>
      <c r="H7" s="98">
        <v>1200</v>
      </c>
      <c r="I7" s="99">
        <v>0.161</v>
      </c>
      <c r="J7" s="96"/>
      <c r="K7" s="83"/>
      <c r="L7" s="85"/>
      <c r="M7" s="83"/>
      <c r="N7" s="97">
        <v>4</v>
      </c>
      <c r="O7" s="97"/>
      <c r="P7" s="97"/>
      <c r="Q7" s="97"/>
      <c r="R7" s="83"/>
      <c r="S7" s="88"/>
    </row>
    <row r="8" spans="2:19">
      <c r="B8" s="83"/>
      <c r="C8" s="93" t="s">
        <v>90</v>
      </c>
      <c r="D8" s="100"/>
      <c r="E8" s="83"/>
      <c r="F8" s="85"/>
      <c r="G8" s="83"/>
      <c r="H8" s="98">
        <v>1300</v>
      </c>
      <c r="I8" s="99">
        <v>0.193</v>
      </c>
      <c r="J8" s="96"/>
      <c r="K8" s="83"/>
      <c r="L8" s="85"/>
      <c r="M8" s="83"/>
      <c r="N8" s="97">
        <v>5</v>
      </c>
      <c r="O8" s="97"/>
      <c r="P8" s="97"/>
      <c r="Q8" s="97"/>
      <c r="R8" s="83"/>
      <c r="S8" s="88"/>
    </row>
    <row r="9" spans="2:19">
      <c r="B9" s="83"/>
      <c r="C9" s="90" t="s">
        <v>100</v>
      </c>
      <c r="D9" s="100"/>
      <c r="E9" s="83"/>
      <c r="F9" s="85"/>
      <c r="G9" s="83"/>
      <c r="H9" s="98">
        <v>1400</v>
      </c>
      <c r="I9" s="99">
        <v>0.183</v>
      </c>
      <c r="J9" s="96"/>
      <c r="K9" s="83"/>
      <c r="L9" s="85"/>
      <c r="M9" s="83"/>
      <c r="N9" s="97">
        <v>6</v>
      </c>
      <c r="O9" s="97"/>
      <c r="P9" s="97"/>
      <c r="Q9" s="97"/>
      <c r="R9" s="83"/>
      <c r="S9" s="88"/>
    </row>
    <row r="10" spans="2:19">
      <c r="B10" s="83"/>
      <c r="C10" s="93" t="s">
        <v>101</v>
      </c>
      <c r="D10" s="101"/>
      <c r="E10" s="83"/>
      <c r="F10" s="85"/>
      <c r="G10" s="83"/>
      <c r="H10" s="98">
        <v>1500</v>
      </c>
      <c r="I10" s="99">
        <v>0.151</v>
      </c>
      <c r="J10" s="96"/>
      <c r="K10" s="83"/>
      <c r="L10" s="85"/>
      <c r="M10" s="83"/>
      <c r="N10" s="97">
        <v>7</v>
      </c>
      <c r="O10" s="97"/>
      <c r="P10" s="97"/>
      <c r="Q10" s="97"/>
      <c r="R10" s="83"/>
      <c r="S10" s="88"/>
    </row>
    <row r="11" spans="2:19">
      <c r="B11" s="83"/>
      <c r="C11" s="90" t="s">
        <v>102</v>
      </c>
      <c r="D11" s="102"/>
      <c r="E11" s="83"/>
      <c r="F11" s="85"/>
      <c r="G11" s="83"/>
      <c r="H11" s="98">
        <v>1600</v>
      </c>
      <c r="I11" s="99">
        <v>8.6000000000000007E-2</v>
      </c>
      <c r="J11" s="96"/>
      <c r="K11" s="83"/>
      <c r="L11" s="85"/>
      <c r="M11" s="83"/>
      <c r="N11" s="97">
        <v>8</v>
      </c>
      <c r="O11" s="97"/>
      <c r="P11" s="97"/>
      <c r="Q11" s="97"/>
      <c r="R11" s="83"/>
      <c r="S11" s="88"/>
    </row>
    <row r="12" spans="2:19">
      <c r="B12" s="83"/>
      <c r="C12" s="90" t="s">
        <v>91</v>
      </c>
      <c r="D12" s="101"/>
      <c r="E12" s="83"/>
      <c r="F12" s="85"/>
      <c r="G12" s="83"/>
      <c r="H12" s="98">
        <v>1700</v>
      </c>
      <c r="I12" s="99">
        <v>2.8000000000000001E-2</v>
      </c>
      <c r="J12" s="96"/>
      <c r="K12" s="83"/>
      <c r="L12" s="85"/>
      <c r="M12" s="83"/>
      <c r="N12" s="97">
        <v>9</v>
      </c>
      <c r="O12" s="97"/>
      <c r="P12" s="97"/>
      <c r="Q12" s="97"/>
      <c r="R12" s="83"/>
      <c r="S12" s="88"/>
    </row>
    <row r="13" spans="2:19">
      <c r="B13" s="83"/>
      <c r="C13" s="83"/>
      <c r="D13" s="83"/>
      <c r="E13" s="83"/>
      <c r="F13" s="85"/>
      <c r="G13" s="83"/>
      <c r="H13" s="98">
        <v>1800</v>
      </c>
      <c r="I13" s="99">
        <v>1.6E-2</v>
      </c>
      <c r="J13" s="96"/>
      <c r="K13" s="83"/>
      <c r="L13" s="85"/>
      <c r="M13" s="83"/>
      <c r="N13" s="97">
        <v>10</v>
      </c>
      <c r="O13" s="97"/>
      <c r="P13" s="97"/>
      <c r="Q13" s="97"/>
      <c r="R13" s="83"/>
      <c r="S13" s="88"/>
    </row>
    <row r="14" spans="2:19">
      <c r="B14" s="83"/>
      <c r="C14" s="103" t="s">
        <v>104</v>
      </c>
      <c r="D14" s="101"/>
      <c r="E14" s="83"/>
      <c r="F14" s="85"/>
      <c r="G14" s="83"/>
      <c r="H14" s="98">
        <v>1900</v>
      </c>
      <c r="I14" s="99">
        <v>1.2E-2</v>
      </c>
      <c r="J14" s="96"/>
      <c r="K14" s="83"/>
      <c r="L14" s="85"/>
      <c r="M14" s="83"/>
      <c r="N14" s="97">
        <v>11</v>
      </c>
      <c r="O14" s="97"/>
      <c r="P14" s="97"/>
      <c r="Q14" s="97"/>
      <c r="R14" s="83"/>
      <c r="S14" s="88"/>
    </row>
    <row r="15" spans="2:19">
      <c r="B15" s="83"/>
      <c r="C15" s="83"/>
      <c r="D15" s="83"/>
      <c r="E15" s="83"/>
      <c r="F15" s="85"/>
      <c r="G15" s="83"/>
      <c r="H15" s="83"/>
      <c r="I15" s="83"/>
      <c r="J15" s="83"/>
      <c r="K15" s="83"/>
      <c r="L15" s="85"/>
      <c r="M15" s="83"/>
      <c r="N15" s="97">
        <v>12</v>
      </c>
      <c r="O15" s="97"/>
      <c r="P15" s="97"/>
      <c r="Q15" s="97"/>
      <c r="R15" s="83"/>
      <c r="S15" s="88"/>
    </row>
    <row r="16" spans="2:19">
      <c r="F16" s="85"/>
      <c r="G16" s="85"/>
      <c r="H16" s="85"/>
      <c r="I16" s="85"/>
      <c r="J16" s="85"/>
      <c r="K16" s="85"/>
      <c r="L16" s="85"/>
      <c r="M16" s="83"/>
      <c r="N16" s="97">
        <v>13</v>
      </c>
      <c r="O16" s="97"/>
      <c r="P16" s="97"/>
      <c r="Q16" s="97"/>
      <c r="R16" s="83"/>
      <c r="S16" s="88"/>
    </row>
    <row r="17" spans="2:19">
      <c r="F17" s="85"/>
      <c r="G17" s="85"/>
      <c r="H17" s="85"/>
      <c r="I17" s="85"/>
      <c r="J17" s="85"/>
      <c r="K17" s="85"/>
      <c r="L17" s="85"/>
      <c r="M17" s="83"/>
      <c r="N17" s="97">
        <v>14</v>
      </c>
      <c r="O17" s="97"/>
      <c r="P17" s="97"/>
      <c r="Q17" s="97"/>
      <c r="R17" s="83"/>
      <c r="S17" s="88"/>
    </row>
    <row r="18" spans="2:19">
      <c r="B18" s="85"/>
      <c r="C18" s="85"/>
      <c r="D18" s="85"/>
      <c r="E18" s="85"/>
      <c r="F18" s="85"/>
      <c r="G18" s="85"/>
      <c r="H18" s="85"/>
      <c r="I18" s="85"/>
      <c r="J18" s="85"/>
      <c r="K18" s="85"/>
      <c r="L18" s="85"/>
      <c r="M18" s="83"/>
      <c r="N18" s="97">
        <v>15</v>
      </c>
      <c r="O18" s="97"/>
      <c r="P18" s="97"/>
      <c r="Q18" s="97"/>
      <c r="R18" s="83"/>
      <c r="S18" s="88"/>
    </row>
    <row r="19" spans="2:19">
      <c r="B19" s="85"/>
      <c r="C19" s="85"/>
      <c r="D19" s="85"/>
      <c r="E19" s="85"/>
      <c r="F19" s="85"/>
      <c r="G19" s="85"/>
      <c r="H19" s="85"/>
      <c r="I19" s="85"/>
      <c r="J19" s="85"/>
      <c r="K19" s="85"/>
      <c r="L19" s="85"/>
      <c r="M19" s="83"/>
      <c r="N19" s="97">
        <v>16</v>
      </c>
      <c r="O19" s="97"/>
      <c r="P19" s="97"/>
      <c r="Q19" s="97"/>
      <c r="R19" s="83"/>
      <c r="S19" s="88"/>
    </row>
    <row r="20" spans="2:19">
      <c r="B20" s="85"/>
      <c r="C20" s="85"/>
      <c r="D20" s="85"/>
      <c r="E20" s="85"/>
      <c r="F20" s="85"/>
      <c r="G20" s="85"/>
      <c r="H20" s="85"/>
      <c r="I20" s="85"/>
      <c r="J20" s="85"/>
      <c r="K20" s="85"/>
      <c r="L20" s="85"/>
      <c r="M20" s="83"/>
      <c r="N20" s="97">
        <v>17</v>
      </c>
      <c r="O20" s="97"/>
      <c r="P20" s="97"/>
      <c r="Q20" s="97"/>
      <c r="R20" s="83"/>
      <c r="S20" s="88"/>
    </row>
    <row r="21" spans="2:19">
      <c r="B21" s="85"/>
      <c r="C21" s="85"/>
      <c r="D21" s="85"/>
      <c r="E21" s="85"/>
      <c r="F21" s="85"/>
      <c r="G21" s="85"/>
      <c r="H21" s="85"/>
      <c r="I21" s="85"/>
      <c r="J21" s="85"/>
      <c r="K21" s="85"/>
      <c r="L21" s="85"/>
      <c r="M21" s="83"/>
      <c r="N21" s="97">
        <v>18</v>
      </c>
      <c r="O21" s="97"/>
      <c r="P21" s="97"/>
      <c r="Q21" s="97"/>
      <c r="R21" s="83"/>
      <c r="S21" s="88"/>
    </row>
    <row r="22" spans="2:19">
      <c r="B22" s="85"/>
      <c r="C22" s="85"/>
      <c r="D22" s="85"/>
      <c r="E22" s="85"/>
      <c r="F22" s="85"/>
      <c r="G22" s="85"/>
      <c r="H22" s="85"/>
      <c r="I22" s="85"/>
      <c r="J22" s="85"/>
      <c r="K22" s="85"/>
      <c r="L22" s="85"/>
      <c r="M22" s="83"/>
      <c r="N22" s="97">
        <v>19</v>
      </c>
      <c r="O22" s="97"/>
      <c r="P22" s="97"/>
      <c r="Q22" s="97"/>
      <c r="R22" s="83"/>
      <c r="S22" s="88"/>
    </row>
    <row r="23" spans="2:19">
      <c r="B23" s="85"/>
      <c r="C23" s="85"/>
      <c r="D23" s="85"/>
      <c r="E23" s="85"/>
      <c r="F23" s="85"/>
      <c r="G23" s="85"/>
      <c r="H23" s="85"/>
      <c r="I23" s="85"/>
      <c r="J23" s="85"/>
      <c r="K23" s="85"/>
      <c r="L23" s="85"/>
      <c r="M23" s="83"/>
      <c r="N23" s="97">
        <v>20</v>
      </c>
      <c r="O23" s="97"/>
      <c r="P23" s="97"/>
      <c r="Q23" s="97"/>
      <c r="R23" s="83"/>
      <c r="S23" s="88"/>
    </row>
    <row r="24" spans="2:19">
      <c r="B24" s="85"/>
      <c r="C24" s="85"/>
      <c r="D24" s="85"/>
      <c r="E24" s="85"/>
      <c r="F24" s="85"/>
      <c r="G24" s="85"/>
      <c r="H24" s="85"/>
      <c r="I24" s="85"/>
      <c r="J24" s="85"/>
      <c r="K24" s="85"/>
      <c r="L24" s="85"/>
      <c r="M24" s="83"/>
      <c r="N24" s="83"/>
      <c r="O24" s="83"/>
      <c r="P24" s="83"/>
      <c r="Q24" s="83"/>
      <c r="R24" s="83"/>
      <c r="S24" s="88"/>
    </row>
    <row r="25" spans="2:19">
      <c r="B25" s="85"/>
      <c r="C25" s="85"/>
      <c r="D25" s="85"/>
      <c r="E25" s="85"/>
      <c r="F25" s="85"/>
      <c r="G25" s="85"/>
      <c r="H25" s="85"/>
      <c r="I25" s="85"/>
      <c r="J25" s="85"/>
      <c r="K25" s="85"/>
      <c r="L25" s="85"/>
    </row>
    <row r="26" spans="2:19">
      <c r="F26" s="85"/>
      <c r="G26" s="85"/>
      <c r="K26" s="85"/>
      <c r="L26" s="85"/>
    </row>
  </sheetData>
  <phoneticPr fontId="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考试须知</vt:lpstr>
      <vt:lpstr>第1题</vt:lpstr>
      <vt:lpstr>第2题</vt:lpstr>
      <vt:lpstr>第3题</vt:lpstr>
      <vt:lpstr>第4题</vt:lpstr>
      <vt:lpstr>第5题</vt:lpstr>
      <vt:lpstr>第6题</vt:lpstr>
      <vt:lpstr>第7题</vt:lpstr>
      <vt:lpstr>第8题</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C02</dc:creator>
  <cp:lastModifiedBy>C02</cp:lastModifiedBy>
  <dcterms:created xsi:type="dcterms:W3CDTF">1996-12-17T01:32:42Z</dcterms:created>
  <dcterms:modified xsi:type="dcterms:W3CDTF">2018-06-10T07:39:32Z</dcterms:modified>
</cp:coreProperties>
</file>