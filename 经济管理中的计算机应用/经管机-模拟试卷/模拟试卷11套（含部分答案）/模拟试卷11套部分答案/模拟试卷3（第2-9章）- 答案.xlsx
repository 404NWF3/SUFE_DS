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ctrlProps/ctrlProp3.xml" ContentType="application/vnd.ms-excel.controlproperties+xml"/>
  <Override PartName="/xl/charts/chart2.xml" ContentType="application/vnd.openxmlformats-officedocument.drawingml.chart+xml"/>
  <Override PartName="/xl/drawings/drawing5.xml" ContentType="application/vnd.openxmlformats-officedocument.drawing+xml"/>
  <Override PartName="/xl/ctrlProps/ctrlProp4.xml" ContentType="application/vnd.ms-excel.controlproperties+xml"/>
  <Override PartName="/xl/ctrlProps/ctrlProp5.xml" ContentType="application/vnd.ms-excel.controlproperties+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xml"/>
  <Override PartName="/xl/ctrlProps/ctrlProp6.xml" ContentType="application/vnd.ms-excel.controlproperties+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0 计算机应用 2020年\0 幻灯片和例题\期中 期末 复习\复习 模拟试卷11套（含部分答案）\模拟试卷11套部分答案\"/>
    </mc:Choice>
  </mc:AlternateContent>
  <bookViews>
    <workbookView xWindow="-15" yWindow="45" windowWidth="7680" windowHeight="8505" firstSheet="5" activeTab="8"/>
  </bookViews>
  <sheets>
    <sheet name="第1题答案" sheetId="25" r:id="rId1"/>
    <sheet name="第2题答案" sheetId="30" r:id="rId2"/>
    <sheet name="第3题答案" sheetId="26" r:id="rId3"/>
    <sheet name="第4题答案" sheetId="23" r:id="rId4"/>
    <sheet name="第5题答案" sheetId="29" r:id="rId5"/>
    <sheet name="第6题答案" sheetId="28" r:id="rId6"/>
    <sheet name="第7题答案" sheetId="24" r:id="rId7"/>
    <sheet name="第8题答案-方法2" sheetId="31" r:id="rId8"/>
    <sheet name="第8题答案-方法1" sheetId="32" r:id="rId9"/>
    <sheet name="第8题" sheetId="33" r:id="rId10"/>
    <sheet name="第8题-练习" sheetId="34" r:id="rId11"/>
  </sheets>
  <definedNames>
    <definedName name="solver_adj" localSheetId="6" hidden="1">第7题答案!$C$20:$F$23</definedName>
    <definedName name="solver_cvg" localSheetId="6" hidden="1">0.0001</definedName>
    <definedName name="solver_drv" localSheetId="6" hidden="1">1</definedName>
    <definedName name="solver_eng" localSheetId="6" hidden="1">1</definedName>
    <definedName name="solver_est" localSheetId="6" hidden="1">1</definedName>
    <definedName name="solver_itr" localSheetId="6" hidden="1">2147483647</definedName>
    <definedName name="solver_lhs1" localSheetId="6" hidden="1">第7题答案!$C$20:$F$23</definedName>
    <definedName name="solver_lhs2" localSheetId="6" hidden="1">第7题答案!$C$24:$F$24</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1</definedName>
    <definedName name="solver_nod" localSheetId="6" hidden="1">2147483647</definedName>
    <definedName name="solver_num" localSheetId="6" hidden="1">2</definedName>
    <definedName name="solver_nwt" localSheetId="6" hidden="1">1</definedName>
    <definedName name="solver_opt" localSheetId="6" hidden="1">第7题答案!$F$25</definedName>
    <definedName name="solver_pre" localSheetId="6" hidden="1">0.000001</definedName>
    <definedName name="solver_rbv" localSheetId="6" hidden="1">1</definedName>
    <definedName name="solver_rel1" localSheetId="6" hidden="1">5</definedName>
    <definedName name="solver_rel2" localSheetId="6" hidden="1">3</definedName>
    <definedName name="solver_rhs1" localSheetId="6" hidden="1">二进制</definedName>
    <definedName name="solver_rhs2" localSheetId="6" hidden="1">1</definedName>
    <definedName name="solver_rlx" localSheetId="6" hidden="1">2</definedName>
    <definedName name="solver_rsd" localSheetId="6" hidden="1">0</definedName>
    <definedName name="solver_scl" localSheetId="6" hidden="1">1</definedName>
    <definedName name="solver_sho" localSheetId="6" hidden="1">2</definedName>
    <definedName name="solver_ssz" localSheetId="6" hidden="1">100</definedName>
    <definedName name="solver_tim" localSheetId="6" hidden="1">2147483647</definedName>
    <definedName name="solver_tol" localSheetId="6" hidden="1">0.01</definedName>
    <definedName name="solver_typ" localSheetId="6" hidden="1">2</definedName>
    <definedName name="solver_val" localSheetId="6" hidden="1">0</definedName>
    <definedName name="solver_ver" localSheetId="6" hidden="1">3</definedName>
    <definedName name="查询来自_MS_Access_Database" localSheetId="0" hidden="1">第1题答案!$A$1:$F$1060</definedName>
  </definedNames>
  <calcPr calcId="162913"/>
  <pivotCaches>
    <pivotCache cacheId="0" r:id="rId12"/>
  </pivotCaches>
</workbook>
</file>

<file path=xl/calcChain.xml><?xml version="1.0" encoding="utf-8"?>
<calcChain xmlns="http://schemas.openxmlformats.org/spreadsheetml/2006/main">
  <c r="C17" i="34" l="1"/>
  <c r="C12" i="34"/>
  <c r="O17" i="32"/>
  <c r="O16" i="32"/>
  <c r="O15" i="32"/>
  <c r="O14" i="32"/>
  <c r="C17" i="32"/>
  <c r="F8" i="32"/>
  <c r="C12" i="32"/>
  <c r="F7" i="32"/>
  <c r="F6" i="32"/>
  <c r="R6" i="32" s="1"/>
  <c r="O23" i="31"/>
  <c r="O22" i="31"/>
  <c r="O21" i="31"/>
  <c r="O20" i="31"/>
  <c r="C17" i="31"/>
  <c r="F14" i="31"/>
  <c r="C12" i="31"/>
  <c r="F10" i="31"/>
  <c r="F6" i="31"/>
  <c r="R6" i="31" s="1"/>
  <c r="O18" i="34" l="1"/>
  <c r="O18" i="32"/>
  <c r="P15" i="32" s="1"/>
  <c r="O24" i="31"/>
  <c r="P20" i="31" s="1"/>
  <c r="S6" i="32"/>
  <c r="J6" i="32"/>
  <c r="J7" i="32" s="1"/>
  <c r="J8" i="32" s="1"/>
  <c r="N6" i="32"/>
  <c r="N7" i="32" s="1"/>
  <c r="N8" i="32" s="1"/>
  <c r="G6" i="32"/>
  <c r="G7" i="32" s="1"/>
  <c r="G8" i="32" s="1"/>
  <c r="K6" i="32"/>
  <c r="K7" i="32" s="1"/>
  <c r="K8" i="32" s="1"/>
  <c r="O6" i="32"/>
  <c r="O7" i="32" s="1"/>
  <c r="O8" i="32" s="1"/>
  <c r="H6" i="32"/>
  <c r="H7" i="32" s="1"/>
  <c r="H8" i="32" s="1"/>
  <c r="L6" i="32"/>
  <c r="L7" i="32" s="1"/>
  <c r="P6" i="32"/>
  <c r="P7" i="32" s="1"/>
  <c r="P8" i="32" s="1"/>
  <c r="I6" i="32"/>
  <c r="I7" i="32" s="1"/>
  <c r="I8" i="32" s="1"/>
  <c r="M6" i="32"/>
  <c r="M7" i="32" s="1"/>
  <c r="M8" i="32" s="1"/>
  <c r="P22" i="31"/>
  <c r="S6" i="31"/>
  <c r="G6" i="31"/>
  <c r="G9" i="31" s="1"/>
  <c r="G10" i="31" s="1"/>
  <c r="G13" i="31" s="1"/>
  <c r="G14" i="31" s="1"/>
  <c r="O6" i="31"/>
  <c r="O9" i="31" s="1"/>
  <c r="O10" i="31" s="1"/>
  <c r="O13" i="31" s="1"/>
  <c r="O14" i="31" s="1"/>
  <c r="H6" i="31"/>
  <c r="H9" i="31" s="1"/>
  <c r="H10" i="31" s="1"/>
  <c r="H13" i="31" s="1"/>
  <c r="H14" i="31" s="1"/>
  <c r="L6" i="31"/>
  <c r="L9" i="31" s="1"/>
  <c r="L10" i="31" s="1"/>
  <c r="L13" i="31" s="1"/>
  <c r="L14" i="31" s="1"/>
  <c r="P6" i="31"/>
  <c r="P9" i="31" s="1"/>
  <c r="P10" i="31" s="1"/>
  <c r="P13" i="31" s="1"/>
  <c r="P14" i="31" s="1"/>
  <c r="J6" i="31"/>
  <c r="J9" i="31" s="1"/>
  <c r="J10" i="31" s="1"/>
  <c r="J13" i="31" s="1"/>
  <c r="J14" i="31" s="1"/>
  <c r="N6" i="31"/>
  <c r="N9" i="31" s="1"/>
  <c r="N10" i="31" s="1"/>
  <c r="N13" i="31" s="1"/>
  <c r="N14" i="31" s="1"/>
  <c r="K6" i="31"/>
  <c r="K9" i="31" s="1"/>
  <c r="K10" i="31" s="1"/>
  <c r="K13" i="31" s="1"/>
  <c r="K14" i="31" s="1"/>
  <c r="I6" i="31"/>
  <c r="I9" i="31" s="1"/>
  <c r="M6" i="31"/>
  <c r="M9" i="31" s="1"/>
  <c r="M10" i="31" s="1"/>
  <c r="M13" i="31" s="1"/>
  <c r="M14" i="31" s="1"/>
  <c r="C2" i="28"/>
  <c r="P23" i="31" l="1"/>
  <c r="P16" i="32"/>
  <c r="P14" i="32"/>
  <c r="P17" i="32"/>
  <c r="P21" i="31"/>
  <c r="L8" i="32"/>
  <c r="R8" i="32"/>
  <c r="R7" i="32"/>
  <c r="C14" i="32" s="1"/>
  <c r="C16" i="32" s="1"/>
  <c r="R10" i="31"/>
  <c r="I10" i="31"/>
  <c r="I13" i="31" s="1"/>
  <c r="I14" i="31" s="1"/>
  <c r="E2" i="30"/>
  <c r="E3" i="30"/>
  <c r="E4" i="30"/>
  <c r="E5" i="30"/>
  <c r="E6" i="30"/>
  <c r="E7" i="30"/>
  <c r="E8" i="30"/>
  <c r="E9" i="30"/>
  <c r="E10" i="30"/>
  <c r="E11" i="30"/>
  <c r="E12" i="30"/>
  <c r="E13" i="30"/>
  <c r="E14" i="30"/>
  <c r="E15" i="30"/>
  <c r="E16" i="30"/>
  <c r="E17" i="30"/>
  <c r="E18" i="30"/>
  <c r="E19" i="30"/>
  <c r="E20" i="30"/>
  <c r="E21" i="30"/>
  <c r="E22" i="30"/>
  <c r="E23" i="30"/>
  <c r="E24" i="30"/>
  <c r="E25" i="30"/>
  <c r="E26" i="30"/>
  <c r="E27" i="30"/>
  <c r="G27" i="30"/>
  <c r="H27" i="30"/>
  <c r="E28" i="30"/>
  <c r="E29" i="30"/>
  <c r="E30" i="30"/>
  <c r="I30" i="30"/>
  <c r="E31" i="30"/>
  <c r="G31" i="30"/>
  <c r="F31" i="30" s="1"/>
  <c r="J31" i="30"/>
  <c r="E32" i="30"/>
  <c r="G32" i="30"/>
  <c r="F32" i="30" s="1"/>
  <c r="J32" i="30"/>
  <c r="E33" i="30"/>
  <c r="G33" i="30"/>
  <c r="F33" i="30" s="1"/>
  <c r="J33" i="30"/>
  <c r="E34" i="30"/>
  <c r="G34" i="30"/>
  <c r="F34" i="30" s="1"/>
  <c r="J34" i="30"/>
  <c r="E35" i="30"/>
  <c r="G35" i="30"/>
  <c r="F35" i="30" s="1"/>
  <c r="J35" i="30"/>
  <c r="E36" i="30"/>
  <c r="G36" i="30"/>
  <c r="F36" i="30" s="1"/>
  <c r="J36" i="30"/>
  <c r="E37" i="30"/>
  <c r="G37" i="30"/>
  <c r="F37" i="30" s="1"/>
  <c r="J37" i="30"/>
  <c r="E38" i="30"/>
  <c r="G38" i="30"/>
  <c r="F38" i="30" s="1"/>
  <c r="J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E159" i="30"/>
  <c r="E160" i="30"/>
  <c r="E161" i="30"/>
  <c r="E162" i="30"/>
  <c r="E163" i="30"/>
  <c r="E164" i="30"/>
  <c r="E165" i="30"/>
  <c r="E166" i="30"/>
  <c r="E167" i="30"/>
  <c r="E168" i="30"/>
  <c r="E169" i="30"/>
  <c r="E170" i="30"/>
  <c r="E171" i="30"/>
  <c r="E172" i="30"/>
  <c r="E173" i="30"/>
  <c r="E174" i="30"/>
  <c r="E175" i="30"/>
  <c r="E176" i="30"/>
  <c r="E177" i="30"/>
  <c r="E178" i="30"/>
  <c r="E179" i="30"/>
  <c r="E180" i="30"/>
  <c r="E181" i="30"/>
  <c r="E182" i="30"/>
  <c r="E183" i="30"/>
  <c r="E184" i="30"/>
  <c r="E185" i="30"/>
  <c r="E186" i="30"/>
  <c r="E187" i="30"/>
  <c r="E188" i="30"/>
  <c r="E189" i="30"/>
  <c r="E190" i="30"/>
  <c r="E191" i="30"/>
  <c r="E192" i="30"/>
  <c r="E193" i="30"/>
  <c r="E194" i="30"/>
  <c r="E195" i="30"/>
  <c r="E196" i="30"/>
  <c r="E197" i="30"/>
  <c r="E198" i="30"/>
  <c r="E199" i="30"/>
  <c r="E200" i="30"/>
  <c r="E201" i="30"/>
  <c r="E202" i="30"/>
  <c r="E203" i="30"/>
  <c r="E204" i="30"/>
  <c r="E205" i="30"/>
  <c r="E206" i="30"/>
  <c r="E207" i="30"/>
  <c r="E208" i="30"/>
  <c r="E209" i="30"/>
  <c r="E210" i="30"/>
  <c r="E211" i="30"/>
  <c r="E212" i="30"/>
  <c r="E213" i="30"/>
  <c r="E214" i="30"/>
  <c r="E215" i="30"/>
  <c r="E216" i="30"/>
  <c r="E217" i="30"/>
  <c r="E218" i="30"/>
  <c r="E219" i="30"/>
  <c r="E220" i="30"/>
  <c r="E221" i="30"/>
  <c r="E222" i="30"/>
  <c r="E223" i="30"/>
  <c r="E224" i="30"/>
  <c r="E225" i="30"/>
  <c r="E226" i="30"/>
  <c r="E227" i="30"/>
  <c r="E228" i="30"/>
  <c r="E229" i="30"/>
  <c r="E230" i="30"/>
  <c r="E231" i="30"/>
  <c r="E232" i="30"/>
  <c r="E233" i="30"/>
  <c r="E234" i="30"/>
  <c r="E235" i="30"/>
  <c r="E236" i="30"/>
  <c r="E237" i="30"/>
  <c r="E238" i="30"/>
  <c r="E239" i="30"/>
  <c r="E240" i="30"/>
  <c r="E241" i="30"/>
  <c r="E242" i="30"/>
  <c r="E243" i="30"/>
  <c r="E244" i="30"/>
  <c r="E245" i="30"/>
  <c r="E246" i="30"/>
  <c r="E247" i="30"/>
  <c r="E248" i="30"/>
  <c r="E249" i="30"/>
  <c r="E250" i="30"/>
  <c r="E251" i="30"/>
  <c r="E252" i="30"/>
  <c r="E253" i="30"/>
  <c r="E254" i="30"/>
  <c r="E255" i="30"/>
  <c r="E256" i="30"/>
  <c r="E257" i="30"/>
  <c r="E258" i="30"/>
  <c r="E259" i="30"/>
  <c r="E260" i="30"/>
  <c r="E261" i="30"/>
  <c r="E262" i="30"/>
  <c r="E263" i="30"/>
  <c r="E264" i="30"/>
  <c r="E265" i="30"/>
  <c r="E266" i="30"/>
  <c r="E267" i="30"/>
  <c r="E268" i="30"/>
  <c r="E269" i="30"/>
  <c r="E270" i="30"/>
  <c r="E271" i="30"/>
  <c r="E272" i="30"/>
  <c r="E273" i="30"/>
  <c r="E274" i="30"/>
  <c r="E275" i="30"/>
  <c r="E276" i="30"/>
  <c r="E277" i="30"/>
  <c r="E278" i="30"/>
  <c r="E279" i="30"/>
  <c r="E280" i="30"/>
  <c r="E281" i="30"/>
  <c r="E282" i="30"/>
  <c r="E283" i="30"/>
  <c r="E284" i="30"/>
  <c r="E285" i="30"/>
  <c r="E286" i="30"/>
  <c r="E287" i="30"/>
  <c r="E288" i="30"/>
  <c r="E289" i="30"/>
  <c r="E290" i="30"/>
  <c r="E291" i="30"/>
  <c r="E292" i="30"/>
  <c r="E293" i="30"/>
  <c r="E294" i="30"/>
  <c r="E295" i="30"/>
  <c r="E296" i="30"/>
  <c r="E297" i="30"/>
  <c r="E298" i="30"/>
  <c r="E299" i="30"/>
  <c r="E300" i="30"/>
  <c r="E301" i="30"/>
  <c r="E302" i="30"/>
  <c r="E303" i="30"/>
  <c r="E304" i="30"/>
  <c r="E305" i="30"/>
  <c r="E306" i="30"/>
  <c r="E307" i="30"/>
  <c r="E308" i="30"/>
  <c r="E309" i="30"/>
  <c r="E310" i="30"/>
  <c r="E311" i="30"/>
  <c r="E312" i="30"/>
  <c r="E313" i="30"/>
  <c r="E314" i="30"/>
  <c r="E315" i="30"/>
  <c r="E316" i="30"/>
  <c r="E317" i="30"/>
  <c r="E318" i="30"/>
  <c r="E319" i="30"/>
  <c r="E320" i="30"/>
  <c r="E321" i="30"/>
  <c r="E322" i="30"/>
  <c r="E323" i="30"/>
  <c r="E324" i="30"/>
  <c r="E325" i="30"/>
  <c r="E326" i="30"/>
  <c r="E327" i="30"/>
  <c r="E328" i="30"/>
  <c r="E329" i="30"/>
  <c r="E330" i="30"/>
  <c r="E331" i="30"/>
  <c r="E332" i="30"/>
  <c r="E333" i="30"/>
  <c r="E334" i="30"/>
  <c r="E335" i="30"/>
  <c r="E336" i="30"/>
  <c r="E337" i="30"/>
  <c r="E338" i="30"/>
  <c r="E339" i="30"/>
  <c r="E340" i="30"/>
  <c r="E341" i="30"/>
  <c r="E342" i="30"/>
  <c r="E343" i="30"/>
  <c r="E344" i="30"/>
  <c r="E345" i="30"/>
  <c r="E346" i="30"/>
  <c r="E347" i="30"/>
  <c r="E348" i="30"/>
  <c r="E349" i="30"/>
  <c r="E350" i="30"/>
  <c r="E351" i="30"/>
  <c r="E352" i="30"/>
  <c r="E353" i="30"/>
  <c r="E354" i="30"/>
  <c r="E355" i="30"/>
  <c r="E356" i="30"/>
  <c r="E357" i="30"/>
  <c r="E358" i="30"/>
  <c r="E359" i="30"/>
  <c r="E360" i="30"/>
  <c r="E361" i="30"/>
  <c r="E362" i="30"/>
  <c r="E363" i="30"/>
  <c r="E364" i="30"/>
  <c r="E365" i="30"/>
  <c r="E366" i="30"/>
  <c r="E367" i="30"/>
  <c r="E368" i="30"/>
  <c r="E369" i="30"/>
  <c r="E370" i="30"/>
  <c r="E371" i="30"/>
  <c r="E372" i="30"/>
  <c r="E373" i="30"/>
  <c r="E374" i="30"/>
  <c r="E375" i="30"/>
  <c r="E376" i="30"/>
  <c r="E377" i="30"/>
  <c r="E378" i="30"/>
  <c r="E379" i="30"/>
  <c r="E380" i="30"/>
  <c r="E381" i="30"/>
  <c r="E382" i="30"/>
  <c r="E383" i="30"/>
  <c r="E384" i="30"/>
  <c r="E385" i="30"/>
  <c r="E386" i="30"/>
  <c r="E387" i="30"/>
  <c r="E388" i="30"/>
  <c r="E389" i="30"/>
  <c r="E390" i="30"/>
  <c r="E391" i="30"/>
  <c r="E392" i="30"/>
  <c r="E393" i="30"/>
  <c r="E394" i="30"/>
  <c r="E395" i="30"/>
  <c r="E396" i="30"/>
  <c r="E397" i="30"/>
  <c r="E398" i="30"/>
  <c r="E399" i="30"/>
  <c r="E400" i="30"/>
  <c r="E401" i="30"/>
  <c r="E402" i="30"/>
  <c r="E403" i="30"/>
  <c r="E404" i="30"/>
  <c r="E405" i="30"/>
  <c r="E406" i="30"/>
  <c r="E407" i="30"/>
  <c r="E408" i="30"/>
  <c r="E409" i="30"/>
  <c r="E410" i="30"/>
  <c r="E411" i="30"/>
  <c r="E412" i="30"/>
  <c r="E413" i="30"/>
  <c r="E414" i="30"/>
  <c r="E415" i="30"/>
  <c r="E416" i="30"/>
  <c r="E417" i="30"/>
  <c r="E418" i="30"/>
  <c r="E419" i="30"/>
  <c r="E420" i="30"/>
  <c r="E421" i="30"/>
  <c r="E422" i="30"/>
  <c r="E423" i="30"/>
  <c r="E424" i="30"/>
  <c r="E425" i="30"/>
  <c r="E426" i="30"/>
  <c r="E427" i="30"/>
  <c r="E428" i="30"/>
  <c r="E429" i="30"/>
  <c r="E430" i="30"/>
  <c r="E431" i="30"/>
  <c r="E432" i="30"/>
  <c r="E433" i="30"/>
  <c r="E434" i="30"/>
  <c r="E435" i="30"/>
  <c r="E436" i="30"/>
  <c r="E437" i="30"/>
  <c r="E438" i="30"/>
  <c r="E439" i="30"/>
  <c r="E440" i="30"/>
  <c r="E441" i="30"/>
  <c r="E442" i="30"/>
  <c r="E443" i="30"/>
  <c r="E444" i="30"/>
  <c r="E445" i="30"/>
  <c r="E446" i="30"/>
  <c r="E447" i="30"/>
  <c r="E448" i="30"/>
  <c r="E449" i="30"/>
  <c r="E450" i="30"/>
  <c r="E451" i="30"/>
  <c r="E452" i="30"/>
  <c r="E453" i="30"/>
  <c r="E454" i="30"/>
  <c r="E455" i="30"/>
  <c r="E456" i="30"/>
  <c r="E457" i="30"/>
  <c r="E458" i="30"/>
  <c r="E459" i="30"/>
  <c r="E460" i="30"/>
  <c r="E461" i="30"/>
  <c r="E462" i="30"/>
  <c r="E463" i="30"/>
  <c r="E464" i="30"/>
  <c r="E465" i="30"/>
  <c r="E466" i="30"/>
  <c r="E467" i="30"/>
  <c r="E468" i="30"/>
  <c r="E469" i="30"/>
  <c r="E470" i="30"/>
  <c r="E471" i="30"/>
  <c r="E472" i="30"/>
  <c r="E473" i="30"/>
  <c r="E474" i="30"/>
  <c r="E475" i="30"/>
  <c r="E476" i="30"/>
  <c r="E477" i="30"/>
  <c r="E478" i="30"/>
  <c r="E479" i="30"/>
  <c r="E480" i="30"/>
  <c r="E481" i="30"/>
  <c r="E482" i="30"/>
  <c r="E483" i="30"/>
  <c r="E484" i="30"/>
  <c r="E485" i="30"/>
  <c r="E486" i="30"/>
  <c r="E487" i="30"/>
  <c r="E488" i="30"/>
  <c r="E489" i="30"/>
  <c r="E490" i="30"/>
  <c r="E491" i="30"/>
  <c r="E492" i="30"/>
  <c r="E493" i="30"/>
  <c r="E494" i="30"/>
  <c r="E495" i="30"/>
  <c r="E496" i="30"/>
  <c r="E497" i="30"/>
  <c r="E498" i="30"/>
  <c r="E499" i="30"/>
  <c r="E500" i="30"/>
  <c r="E501" i="30"/>
  <c r="E502" i="30"/>
  <c r="E503" i="30"/>
  <c r="E504" i="30"/>
  <c r="E505" i="30"/>
  <c r="E506" i="30"/>
  <c r="E507" i="30"/>
  <c r="E508" i="30"/>
  <c r="E509" i="30"/>
  <c r="E510" i="30"/>
  <c r="E511" i="30"/>
  <c r="E512" i="30"/>
  <c r="E513" i="30"/>
  <c r="E514" i="30"/>
  <c r="E515" i="30"/>
  <c r="E516" i="30"/>
  <c r="E517" i="30"/>
  <c r="E518" i="30"/>
  <c r="E519" i="30"/>
  <c r="E520" i="30"/>
  <c r="E521" i="30"/>
  <c r="E522" i="30"/>
  <c r="E523" i="30"/>
  <c r="E524" i="30"/>
  <c r="E525" i="30"/>
  <c r="E526" i="30"/>
  <c r="E527" i="30"/>
  <c r="E528" i="30"/>
  <c r="E529" i="30"/>
  <c r="E530" i="30"/>
  <c r="E531" i="30"/>
  <c r="E532" i="30"/>
  <c r="E533" i="30"/>
  <c r="E534" i="30"/>
  <c r="E535" i="30"/>
  <c r="E536" i="30"/>
  <c r="E537" i="30"/>
  <c r="E538" i="30"/>
  <c r="E539" i="30"/>
  <c r="E540" i="30"/>
  <c r="E541" i="30"/>
  <c r="E542" i="30"/>
  <c r="E543" i="30"/>
  <c r="E544" i="30"/>
  <c r="E545" i="30"/>
  <c r="E546" i="30"/>
  <c r="E547" i="30"/>
  <c r="E548" i="30"/>
  <c r="E549" i="30"/>
  <c r="E550" i="30"/>
  <c r="E551" i="30"/>
  <c r="E552" i="30"/>
  <c r="E553" i="30"/>
  <c r="E554" i="30"/>
  <c r="E555" i="30"/>
  <c r="E556" i="30"/>
  <c r="E557" i="30"/>
  <c r="E558" i="30"/>
  <c r="E559" i="30"/>
  <c r="E560" i="30"/>
  <c r="E561" i="30"/>
  <c r="E562" i="30"/>
  <c r="E563" i="30"/>
  <c r="E564" i="30"/>
  <c r="E565" i="30"/>
  <c r="E566" i="30"/>
  <c r="E567" i="30"/>
  <c r="E568" i="30"/>
  <c r="E569" i="30"/>
  <c r="E570" i="30"/>
  <c r="E571" i="30"/>
  <c r="E572" i="30"/>
  <c r="E573" i="30"/>
  <c r="E574" i="30"/>
  <c r="E575" i="30"/>
  <c r="E576" i="30"/>
  <c r="E577" i="30"/>
  <c r="E578" i="30"/>
  <c r="E579" i="30"/>
  <c r="E580" i="30"/>
  <c r="E581" i="30"/>
  <c r="E582" i="30"/>
  <c r="E583" i="30"/>
  <c r="E584" i="30"/>
  <c r="E585" i="30"/>
  <c r="E586" i="30"/>
  <c r="E587" i="30"/>
  <c r="E588" i="30"/>
  <c r="E589" i="30"/>
  <c r="E590" i="30"/>
  <c r="E591" i="30"/>
  <c r="E592" i="30"/>
  <c r="E593" i="30"/>
  <c r="E594" i="30"/>
  <c r="E595" i="30"/>
  <c r="E596" i="30"/>
  <c r="E597" i="30"/>
  <c r="E598" i="30"/>
  <c r="E599" i="30"/>
  <c r="E600" i="30"/>
  <c r="E601" i="30"/>
  <c r="E602" i="30"/>
  <c r="E603" i="30"/>
  <c r="E604" i="30"/>
  <c r="E605" i="30"/>
  <c r="E606" i="30"/>
  <c r="E607" i="30"/>
  <c r="E608" i="30"/>
  <c r="E609" i="30"/>
  <c r="E610" i="30"/>
  <c r="E611" i="30"/>
  <c r="E612" i="30"/>
  <c r="E613" i="30"/>
  <c r="E614" i="30"/>
  <c r="E615" i="30"/>
  <c r="E616" i="30"/>
  <c r="E617" i="30"/>
  <c r="E618" i="30"/>
  <c r="E619" i="30"/>
  <c r="E620" i="30"/>
  <c r="E621" i="30"/>
  <c r="E622" i="30"/>
  <c r="E623" i="30"/>
  <c r="E624" i="30"/>
  <c r="E625" i="30"/>
  <c r="E626" i="30"/>
  <c r="E627" i="30"/>
  <c r="E628" i="30"/>
  <c r="E629" i="30"/>
  <c r="E630" i="30"/>
  <c r="E631" i="30"/>
  <c r="E632" i="30"/>
  <c r="E633" i="30"/>
  <c r="E634" i="30"/>
  <c r="E635" i="30"/>
  <c r="E636" i="30"/>
  <c r="E637" i="30"/>
  <c r="E638" i="30"/>
  <c r="E639" i="30"/>
  <c r="E640" i="30"/>
  <c r="E641" i="30"/>
  <c r="E642" i="30"/>
  <c r="E643" i="30"/>
  <c r="E644" i="30"/>
  <c r="E645" i="30"/>
  <c r="E646" i="30"/>
  <c r="E647" i="30"/>
  <c r="E648" i="30"/>
  <c r="E649" i="30"/>
  <c r="E650" i="30"/>
  <c r="E651" i="30"/>
  <c r="E652" i="30"/>
  <c r="E653" i="30"/>
  <c r="E654" i="30"/>
  <c r="E655" i="30"/>
  <c r="E656" i="30"/>
  <c r="E657" i="30"/>
  <c r="E658" i="30"/>
  <c r="E659" i="30"/>
  <c r="E660" i="30"/>
  <c r="E661" i="30"/>
  <c r="E662" i="30"/>
  <c r="E663" i="30"/>
  <c r="E664" i="30"/>
  <c r="E665" i="30"/>
  <c r="E666" i="30"/>
  <c r="E667" i="30"/>
  <c r="E668" i="30"/>
  <c r="E669" i="30"/>
  <c r="E670" i="30"/>
  <c r="E671" i="30"/>
  <c r="E672" i="30"/>
  <c r="E673" i="30"/>
  <c r="E674" i="30"/>
  <c r="E675" i="30"/>
  <c r="E676" i="30"/>
  <c r="E677" i="30"/>
  <c r="E678" i="30"/>
  <c r="E679" i="30"/>
  <c r="E680" i="30"/>
  <c r="E681" i="30"/>
  <c r="E682" i="30"/>
  <c r="E683" i="30"/>
  <c r="E684" i="30"/>
  <c r="E685" i="30"/>
  <c r="E686" i="30"/>
  <c r="E687" i="30"/>
  <c r="E688" i="30"/>
  <c r="E689" i="30"/>
  <c r="E690" i="30"/>
  <c r="E691" i="30"/>
  <c r="E692" i="30"/>
  <c r="E693" i="30"/>
  <c r="E694" i="30"/>
  <c r="E695" i="30"/>
  <c r="E696" i="30"/>
  <c r="E697" i="30"/>
  <c r="E698" i="30"/>
  <c r="E699" i="30"/>
  <c r="E700" i="30"/>
  <c r="E701" i="30"/>
  <c r="E702" i="30"/>
  <c r="E703" i="30"/>
  <c r="E704" i="30"/>
  <c r="E705" i="30"/>
  <c r="E706" i="30"/>
  <c r="E707" i="30"/>
  <c r="E708" i="30"/>
  <c r="E709" i="30"/>
  <c r="E710" i="30"/>
  <c r="E711" i="30"/>
  <c r="E712" i="30"/>
  <c r="E713" i="30"/>
  <c r="E714" i="30"/>
  <c r="E715" i="30"/>
  <c r="E716" i="30"/>
  <c r="E717" i="30"/>
  <c r="E718" i="30"/>
  <c r="E719" i="30"/>
  <c r="E720" i="30"/>
  <c r="E721" i="30"/>
  <c r="E722" i="30"/>
  <c r="E723" i="30"/>
  <c r="E724" i="30"/>
  <c r="E725" i="30"/>
  <c r="E726" i="30"/>
  <c r="E727" i="30"/>
  <c r="E728" i="30"/>
  <c r="E729" i="30"/>
  <c r="E730" i="30"/>
  <c r="E731" i="30"/>
  <c r="E732" i="30"/>
  <c r="E733" i="30"/>
  <c r="E734" i="30"/>
  <c r="E735" i="30"/>
  <c r="E736" i="30"/>
  <c r="E737" i="30"/>
  <c r="E738" i="30"/>
  <c r="E739" i="30"/>
  <c r="E740" i="30"/>
  <c r="E741" i="30"/>
  <c r="E742" i="30"/>
  <c r="E743" i="30"/>
  <c r="E744" i="30"/>
  <c r="E745" i="30"/>
  <c r="E746" i="30"/>
  <c r="E747" i="30"/>
  <c r="E748" i="30"/>
  <c r="E749" i="30"/>
  <c r="E750" i="30"/>
  <c r="E751" i="30"/>
  <c r="E752" i="30"/>
  <c r="E753" i="30"/>
  <c r="E754" i="30"/>
  <c r="E755" i="30"/>
  <c r="E756" i="30"/>
  <c r="E757" i="30"/>
  <c r="E758" i="30"/>
  <c r="E759" i="30"/>
  <c r="E760" i="30"/>
  <c r="E761" i="30"/>
  <c r="E762" i="30"/>
  <c r="E763" i="30"/>
  <c r="E764" i="30"/>
  <c r="E765" i="30"/>
  <c r="E766" i="30"/>
  <c r="E767" i="30"/>
  <c r="E768" i="30"/>
  <c r="E769" i="30"/>
  <c r="E770" i="30"/>
  <c r="E771" i="30"/>
  <c r="E772" i="30"/>
  <c r="E773" i="30"/>
  <c r="E774" i="30"/>
  <c r="E775" i="30"/>
  <c r="E776" i="30"/>
  <c r="E777" i="30"/>
  <c r="E778" i="30"/>
  <c r="E779" i="30"/>
  <c r="E780" i="30"/>
  <c r="E781" i="30"/>
  <c r="E782" i="30"/>
  <c r="E783" i="30"/>
  <c r="E784" i="30"/>
  <c r="E785" i="30"/>
  <c r="E786" i="30"/>
  <c r="E787" i="30"/>
  <c r="E788" i="30"/>
  <c r="E789" i="30"/>
  <c r="E790" i="30"/>
  <c r="E791" i="30"/>
  <c r="E792" i="30"/>
  <c r="E793" i="30"/>
  <c r="E794" i="30"/>
  <c r="E795" i="30"/>
  <c r="E796" i="30"/>
  <c r="E797" i="30"/>
  <c r="E798" i="30"/>
  <c r="E799" i="30"/>
  <c r="E800" i="30"/>
  <c r="E801" i="30"/>
  <c r="E802" i="30"/>
  <c r="E803" i="30"/>
  <c r="E804" i="30"/>
  <c r="E805" i="30"/>
  <c r="E806" i="30"/>
  <c r="E807" i="30"/>
  <c r="E808" i="30"/>
  <c r="E809" i="30"/>
  <c r="E810" i="30"/>
  <c r="E811" i="30"/>
  <c r="E812" i="30"/>
  <c r="E813" i="30"/>
  <c r="E814" i="30"/>
  <c r="E815" i="30"/>
  <c r="E816" i="30"/>
  <c r="E817" i="30"/>
  <c r="E818" i="30"/>
  <c r="E819" i="30"/>
  <c r="E820" i="30"/>
  <c r="E821" i="30"/>
  <c r="E822" i="30"/>
  <c r="E823" i="30"/>
  <c r="E824" i="30"/>
  <c r="E825" i="30"/>
  <c r="E826" i="30"/>
  <c r="E827" i="30"/>
  <c r="E828" i="30"/>
  <c r="E829" i="30"/>
  <c r="E830" i="30"/>
  <c r="E831" i="30"/>
  <c r="E832" i="30"/>
  <c r="E833" i="30"/>
  <c r="E834" i="30"/>
  <c r="E835" i="30"/>
  <c r="E836" i="30"/>
  <c r="E837" i="30"/>
  <c r="E838" i="30"/>
  <c r="E839" i="30"/>
  <c r="E840" i="30"/>
  <c r="E841" i="30"/>
  <c r="E842" i="30"/>
  <c r="E843" i="30"/>
  <c r="E844" i="30"/>
  <c r="E845" i="30"/>
  <c r="E846" i="30"/>
  <c r="E847" i="30"/>
  <c r="E848" i="30"/>
  <c r="E849" i="30"/>
  <c r="E850" i="30"/>
  <c r="E851" i="30"/>
  <c r="E852" i="30"/>
  <c r="E853" i="30"/>
  <c r="E854" i="30"/>
  <c r="E855" i="30"/>
  <c r="E856" i="30"/>
  <c r="E857" i="30"/>
  <c r="E858" i="30"/>
  <c r="E859" i="30"/>
  <c r="E860" i="30"/>
  <c r="E861" i="30"/>
  <c r="E862" i="30"/>
  <c r="E863" i="30"/>
  <c r="E864" i="30"/>
  <c r="E865" i="30"/>
  <c r="E866" i="30"/>
  <c r="E867" i="30"/>
  <c r="E868" i="30"/>
  <c r="E869" i="30"/>
  <c r="E870" i="30"/>
  <c r="E871" i="30"/>
  <c r="E872" i="30"/>
  <c r="E873" i="30"/>
  <c r="E874" i="30"/>
  <c r="E875" i="30"/>
  <c r="E876" i="30"/>
  <c r="E877" i="30"/>
  <c r="E878" i="30"/>
  <c r="E879" i="30"/>
  <c r="E880" i="30"/>
  <c r="E881" i="30"/>
  <c r="E882" i="30"/>
  <c r="E883" i="30"/>
  <c r="E884" i="30"/>
  <c r="E885" i="30"/>
  <c r="E886" i="30"/>
  <c r="E887" i="30"/>
  <c r="E888" i="30"/>
  <c r="E889" i="30"/>
  <c r="E890" i="30"/>
  <c r="E891" i="30"/>
  <c r="E892" i="30"/>
  <c r="E893" i="30"/>
  <c r="E894" i="30"/>
  <c r="E895" i="30"/>
  <c r="E896" i="30"/>
  <c r="E897" i="30"/>
  <c r="E898" i="30"/>
  <c r="E899" i="30"/>
  <c r="E900" i="30"/>
  <c r="E901" i="30"/>
  <c r="E902" i="30"/>
  <c r="E903" i="30"/>
  <c r="E904" i="30"/>
  <c r="E905" i="30"/>
  <c r="E906" i="30"/>
  <c r="E907" i="30"/>
  <c r="E908" i="30"/>
  <c r="E909" i="30"/>
  <c r="E910" i="30"/>
  <c r="E911" i="30"/>
  <c r="E912" i="30"/>
  <c r="E913" i="30"/>
  <c r="E914" i="30"/>
  <c r="E915" i="30"/>
  <c r="E916" i="30"/>
  <c r="E917" i="30"/>
  <c r="E918" i="30"/>
  <c r="E919" i="30"/>
  <c r="E920" i="30"/>
  <c r="E921" i="30"/>
  <c r="E922" i="30"/>
  <c r="E923" i="30"/>
  <c r="E924" i="30"/>
  <c r="E925" i="30"/>
  <c r="E926" i="30"/>
  <c r="E927" i="30"/>
  <c r="E928" i="30"/>
  <c r="E929" i="30"/>
  <c r="E930" i="30"/>
  <c r="E931" i="30"/>
  <c r="E932" i="30"/>
  <c r="E933" i="30"/>
  <c r="E934" i="30"/>
  <c r="E935" i="30"/>
  <c r="E936" i="30"/>
  <c r="E937" i="30"/>
  <c r="E938" i="30"/>
  <c r="E939" i="30"/>
  <c r="E940" i="30"/>
  <c r="E941" i="30"/>
  <c r="E942" i="30"/>
  <c r="E943" i="30"/>
  <c r="E944" i="30"/>
  <c r="E945" i="30"/>
  <c r="E946" i="30"/>
  <c r="E947" i="30"/>
  <c r="E948" i="30"/>
  <c r="E949" i="30"/>
  <c r="E950" i="30"/>
  <c r="E951" i="30"/>
  <c r="E952" i="30"/>
  <c r="E953" i="30"/>
  <c r="E954" i="30"/>
  <c r="E955" i="30"/>
  <c r="E956" i="30"/>
  <c r="E957" i="30"/>
  <c r="E958" i="30"/>
  <c r="E959" i="30"/>
  <c r="E960" i="30"/>
  <c r="E961" i="30"/>
  <c r="E962" i="30"/>
  <c r="E963" i="30"/>
  <c r="E964" i="30"/>
  <c r="E965" i="30"/>
  <c r="E966" i="30"/>
  <c r="E967" i="30"/>
  <c r="E968" i="30"/>
  <c r="E969" i="30"/>
  <c r="E970" i="30"/>
  <c r="E971" i="30"/>
  <c r="E972" i="30"/>
  <c r="E973" i="30"/>
  <c r="E974" i="30"/>
  <c r="E975" i="30"/>
  <c r="E976" i="30"/>
  <c r="E977" i="30"/>
  <c r="E978" i="30"/>
  <c r="E979" i="30"/>
  <c r="E980" i="30"/>
  <c r="E981" i="30"/>
  <c r="E982" i="30"/>
  <c r="E983" i="30"/>
  <c r="E984" i="30"/>
  <c r="E985" i="30"/>
  <c r="E986" i="30"/>
  <c r="E987" i="30"/>
  <c r="E988" i="30"/>
  <c r="E989" i="30"/>
  <c r="E990" i="30"/>
  <c r="E991" i="30"/>
  <c r="E992" i="30"/>
  <c r="E993" i="30"/>
  <c r="E994" i="30"/>
  <c r="E995" i="30"/>
  <c r="E996" i="30"/>
  <c r="E997" i="30"/>
  <c r="E998" i="30"/>
  <c r="E999" i="30"/>
  <c r="E1000" i="30"/>
  <c r="E1001" i="30"/>
  <c r="E1002" i="30"/>
  <c r="E1003" i="30"/>
  <c r="E1004" i="30"/>
  <c r="E1005" i="30"/>
  <c r="E1006" i="30"/>
  <c r="E1007" i="30"/>
  <c r="E1008" i="30"/>
  <c r="E1009" i="30"/>
  <c r="E1010" i="30"/>
  <c r="E1011" i="30"/>
  <c r="E1012" i="30"/>
  <c r="E1013" i="30"/>
  <c r="E1014" i="30"/>
  <c r="E1015" i="30"/>
  <c r="E1016" i="30"/>
  <c r="E1017" i="30"/>
  <c r="E1018" i="30"/>
  <c r="E1019" i="30"/>
  <c r="E1020" i="30"/>
  <c r="E1021" i="30"/>
  <c r="E1022" i="30"/>
  <c r="E1023" i="30"/>
  <c r="E1024" i="30"/>
  <c r="E1025" i="30"/>
  <c r="E1026" i="30"/>
  <c r="E1027" i="30"/>
  <c r="E1028" i="30"/>
  <c r="E1029" i="30"/>
  <c r="E1030" i="30"/>
  <c r="E1031" i="30"/>
  <c r="E1032" i="30"/>
  <c r="E1033" i="30"/>
  <c r="E1034" i="30"/>
  <c r="E1035" i="30"/>
  <c r="E1036" i="30"/>
  <c r="E1037" i="30"/>
  <c r="E1038" i="30"/>
  <c r="E1039" i="30"/>
  <c r="E1040" i="30"/>
  <c r="E1041" i="30"/>
  <c r="E1042" i="30"/>
  <c r="E1043" i="30"/>
  <c r="E1044" i="30"/>
  <c r="E1045" i="30"/>
  <c r="E1046" i="30"/>
  <c r="E1047" i="30"/>
  <c r="E1048" i="30"/>
  <c r="E1049" i="30"/>
  <c r="E1050" i="30"/>
  <c r="E1051" i="30"/>
  <c r="E1052" i="30"/>
  <c r="E1053" i="30"/>
  <c r="E1054" i="30"/>
  <c r="E1055" i="30"/>
  <c r="E1056" i="30"/>
  <c r="E1057" i="30"/>
  <c r="E1058" i="30"/>
  <c r="E1059" i="30"/>
  <c r="E1060" i="30"/>
  <c r="E1061" i="30"/>
  <c r="E1062" i="30"/>
  <c r="E1063" i="30"/>
  <c r="E1064" i="30"/>
  <c r="E1065" i="30"/>
  <c r="E1066" i="30"/>
  <c r="E1067" i="30"/>
  <c r="E1068" i="30"/>
  <c r="E1069" i="30"/>
  <c r="E1070" i="30"/>
  <c r="E1071" i="30"/>
  <c r="E1072" i="30"/>
  <c r="E1073" i="30"/>
  <c r="E1074" i="30"/>
  <c r="E1075" i="30"/>
  <c r="E1076" i="30"/>
  <c r="E1077" i="30"/>
  <c r="E1078" i="30"/>
  <c r="E1079" i="30"/>
  <c r="E1080" i="30"/>
  <c r="E1081" i="30"/>
  <c r="E1082" i="30"/>
  <c r="E1083" i="30"/>
  <c r="E1084" i="30"/>
  <c r="E1085" i="30"/>
  <c r="E1086" i="30"/>
  <c r="E1087" i="30"/>
  <c r="E1088" i="30"/>
  <c r="E1089" i="30"/>
  <c r="E1090" i="30"/>
  <c r="E1091" i="30"/>
  <c r="E1092" i="30"/>
  <c r="E1093" i="30"/>
  <c r="E1094" i="30"/>
  <c r="E1095" i="30"/>
  <c r="E1096" i="30"/>
  <c r="E1097" i="30"/>
  <c r="E1098" i="30"/>
  <c r="E1099" i="30"/>
  <c r="E1100" i="30"/>
  <c r="E1101" i="30"/>
  <c r="E1102" i="30"/>
  <c r="E1103" i="30"/>
  <c r="E1104" i="30"/>
  <c r="E1105" i="30"/>
  <c r="E1106" i="30"/>
  <c r="E1107" i="30"/>
  <c r="E1108" i="30"/>
  <c r="E1109" i="30"/>
  <c r="E1110" i="30"/>
  <c r="E1111" i="30"/>
  <c r="E1112" i="30"/>
  <c r="E1113" i="30"/>
  <c r="E1114" i="30"/>
  <c r="E1115" i="30"/>
  <c r="E1116" i="30"/>
  <c r="E1117" i="30"/>
  <c r="E1118" i="30"/>
  <c r="E1119" i="30"/>
  <c r="E1120" i="30"/>
  <c r="E1121" i="30"/>
  <c r="E1122" i="30"/>
  <c r="E1123" i="30"/>
  <c r="E1124" i="30"/>
  <c r="E1125" i="30"/>
  <c r="E1126" i="30"/>
  <c r="E1127" i="30"/>
  <c r="E1128" i="30"/>
  <c r="E1129" i="30"/>
  <c r="E1130" i="30"/>
  <c r="E1131" i="30"/>
  <c r="E1132" i="30"/>
  <c r="E1133" i="30"/>
  <c r="E1134" i="30"/>
  <c r="E1135" i="30"/>
  <c r="E1136" i="30"/>
  <c r="E1137" i="30"/>
  <c r="E1138" i="30"/>
  <c r="E1139" i="30"/>
  <c r="E1140" i="30"/>
  <c r="E1141" i="30"/>
  <c r="E1142" i="30"/>
  <c r="E1143" i="30"/>
  <c r="E1144" i="30"/>
  <c r="E1145" i="30"/>
  <c r="E1146" i="30"/>
  <c r="E1147" i="30"/>
  <c r="E1148" i="30"/>
  <c r="E1149" i="30"/>
  <c r="E1150" i="30"/>
  <c r="E1151" i="30"/>
  <c r="E1152" i="30"/>
  <c r="E1153" i="30"/>
  <c r="E1154" i="30"/>
  <c r="E1155" i="30"/>
  <c r="E1156" i="30"/>
  <c r="E1157" i="30"/>
  <c r="E1158" i="30"/>
  <c r="E1159" i="30"/>
  <c r="E1160" i="30"/>
  <c r="E1161" i="30"/>
  <c r="E1162" i="30"/>
  <c r="E1163" i="30"/>
  <c r="E1164" i="30"/>
  <c r="E1165" i="30"/>
  <c r="E1166" i="30"/>
  <c r="E1167" i="30"/>
  <c r="E1168" i="30"/>
  <c r="E1169" i="30"/>
  <c r="E1170" i="30"/>
  <c r="E1171" i="30"/>
  <c r="E1172" i="30"/>
  <c r="E1173" i="30"/>
  <c r="E1174" i="30"/>
  <c r="E1175" i="30"/>
  <c r="E1176" i="30"/>
  <c r="E1177" i="30"/>
  <c r="E1178" i="30"/>
  <c r="E1179" i="30"/>
  <c r="E1180" i="30"/>
  <c r="E1181" i="30"/>
  <c r="E1182" i="30"/>
  <c r="E1183" i="30"/>
  <c r="E1184" i="30"/>
  <c r="E1185" i="30"/>
  <c r="E1186" i="30"/>
  <c r="E1187" i="30"/>
  <c r="E1188" i="30"/>
  <c r="E1189" i="30"/>
  <c r="E1190" i="30"/>
  <c r="E1191" i="30"/>
  <c r="E1192" i="30"/>
  <c r="E1193" i="30"/>
  <c r="E1194" i="30"/>
  <c r="E1195" i="30"/>
  <c r="E1196" i="30"/>
  <c r="E1197" i="30"/>
  <c r="E1198" i="30"/>
  <c r="E1199" i="30"/>
  <c r="E1200" i="30"/>
  <c r="E1201" i="30"/>
  <c r="E1202" i="30"/>
  <c r="E1203" i="30"/>
  <c r="E1204" i="30"/>
  <c r="E1205" i="30"/>
  <c r="E1206" i="30"/>
  <c r="E1207" i="30"/>
  <c r="E1208" i="30"/>
  <c r="E1209" i="30"/>
  <c r="E1210" i="30"/>
  <c r="E1211" i="30"/>
  <c r="E1212" i="30"/>
  <c r="E1213" i="30"/>
  <c r="E1214" i="30"/>
  <c r="E1215" i="30"/>
  <c r="E1216" i="30"/>
  <c r="E1217" i="30"/>
  <c r="E1218" i="30"/>
  <c r="E1219" i="30"/>
  <c r="E1220" i="30"/>
  <c r="E1221" i="30"/>
  <c r="E1222" i="30"/>
  <c r="E1223" i="30"/>
  <c r="E1224" i="30"/>
  <c r="E1225" i="30"/>
  <c r="E1226" i="30"/>
  <c r="E1227" i="30"/>
  <c r="E1228" i="30"/>
  <c r="E1229" i="30"/>
  <c r="E1230" i="30"/>
  <c r="E1231" i="30"/>
  <c r="E1232" i="30"/>
  <c r="E1233" i="30"/>
  <c r="E1234" i="30"/>
  <c r="E1235" i="30"/>
  <c r="E1236" i="30"/>
  <c r="E1237" i="30"/>
  <c r="E1238" i="30"/>
  <c r="E1239" i="30"/>
  <c r="E1240" i="30"/>
  <c r="E1241" i="30"/>
  <c r="E1242" i="30"/>
  <c r="E1243" i="30"/>
  <c r="E1244" i="30"/>
  <c r="E1245" i="30"/>
  <c r="E1246" i="30"/>
  <c r="E1247" i="30"/>
  <c r="E1248" i="30"/>
  <c r="E1249" i="30"/>
  <c r="E1250" i="30"/>
  <c r="E1251" i="30"/>
  <c r="E1252" i="30"/>
  <c r="E1253" i="30"/>
  <c r="E1254" i="30"/>
  <c r="E1255" i="30"/>
  <c r="E1256" i="30"/>
  <c r="E1257" i="30"/>
  <c r="E1258" i="30"/>
  <c r="E1259" i="30"/>
  <c r="E1260" i="30"/>
  <c r="E1261" i="30"/>
  <c r="E1262" i="30"/>
  <c r="E1263" i="30"/>
  <c r="E1264" i="30"/>
  <c r="E1265" i="30"/>
  <c r="E1266" i="30"/>
  <c r="E1267" i="30"/>
  <c r="E1268" i="30"/>
  <c r="E1269" i="30"/>
  <c r="E1270" i="30"/>
  <c r="E1271" i="30"/>
  <c r="E1272" i="30"/>
  <c r="E1273" i="30"/>
  <c r="E1274" i="30"/>
  <c r="E1275" i="30"/>
  <c r="E1276" i="30"/>
  <c r="E1277" i="30"/>
  <c r="E1278" i="30"/>
  <c r="E1279" i="30"/>
  <c r="E1280" i="30"/>
  <c r="E1281" i="30"/>
  <c r="E1282" i="30"/>
  <c r="E1283" i="30"/>
  <c r="E1284" i="30"/>
  <c r="E1285" i="30"/>
  <c r="E1286" i="30"/>
  <c r="E1287" i="30"/>
  <c r="E1288" i="30"/>
  <c r="E1289" i="30"/>
  <c r="E1290" i="30"/>
  <c r="E1291" i="30"/>
  <c r="E1292" i="30"/>
  <c r="E1293" i="30"/>
  <c r="E1294" i="30"/>
  <c r="E1295" i="30"/>
  <c r="E1296" i="30"/>
  <c r="E1297" i="30"/>
  <c r="E1298" i="30"/>
  <c r="E1299" i="30"/>
  <c r="E1300" i="30"/>
  <c r="E1301" i="30"/>
  <c r="E1302" i="30"/>
  <c r="E1303" i="30"/>
  <c r="E1304" i="30"/>
  <c r="E1305" i="30"/>
  <c r="E1306" i="30"/>
  <c r="E1307" i="30"/>
  <c r="E1308" i="30"/>
  <c r="E1309" i="30"/>
  <c r="E1310" i="30"/>
  <c r="E1311" i="30"/>
  <c r="E1312" i="30"/>
  <c r="E1313" i="30"/>
  <c r="E1314" i="30"/>
  <c r="E1315" i="30"/>
  <c r="E1316" i="30"/>
  <c r="E1317" i="30"/>
  <c r="E1318" i="30"/>
  <c r="E1319" i="30"/>
  <c r="E1320" i="30"/>
  <c r="E1321" i="30"/>
  <c r="E1322" i="30"/>
  <c r="E1323" i="30"/>
  <c r="E1324" i="30"/>
  <c r="E1325" i="30"/>
  <c r="E1326" i="30"/>
  <c r="E1327" i="30"/>
  <c r="E1328" i="30"/>
  <c r="E1329" i="30"/>
  <c r="E1330" i="30"/>
  <c r="E1331" i="30"/>
  <c r="E1332" i="30"/>
  <c r="E1333" i="30"/>
  <c r="E1334" i="30"/>
  <c r="E1335" i="30"/>
  <c r="E1336" i="30"/>
  <c r="E1337" i="30"/>
  <c r="E1338" i="30"/>
  <c r="E1339" i="30"/>
  <c r="E1340" i="30"/>
  <c r="E1341" i="30"/>
  <c r="E1342" i="30"/>
  <c r="E1343" i="30"/>
  <c r="E1344" i="30"/>
  <c r="E1345" i="30"/>
  <c r="E1346" i="30"/>
  <c r="E1347" i="30"/>
  <c r="E1348" i="30"/>
  <c r="E1349" i="30"/>
  <c r="E1350" i="30"/>
  <c r="E1351" i="30"/>
  <c r="E1352" i="30"/>
  <c r="E1353" i="30"/>
  <c r="E1354" i="30"/>
  <c r="E1355" i="30"/>
  <c r="E1356" i="30"/>
  <c r="E1357" i="30"/>
  <c r="E1358" i="30"/>
  <c r="E1359" i="30"/>
  <c r="E1360" i="30"/>
  <c r="E1361" i="30"/>
  <c r="E1362" i="30"/>
  <c r="E1363" i="30"/>
  <c r="E1364" i="30"/>
  <c r="E1365" i="30"/>
  <c r="E1366" i="30"/>
  <c r="E1367" i="30"/>
  <c r="E1368" i="30"/>
  <c r="E1369" i="30"/>
  <c r="E1370" i="30"/>
  <c r="E1371" i="30"/>
  <c r="E1372" i="30"/>
  <c r="E1373" i="30"/>
  <c r="E1374" i="30"/>
  <c r="E1375" i="30"/>
  <c r="E1376" i="30"/>
  <c r="E1377" i="30"/>
  <c r="E1378" i="30"/>
  <c r="E1379" i="30"/>
  <c r="E1380" i="30"/>
  <c r="E1381" i="30"/>
  <c r="E1382" i="30"/>
  <c r="E1383" i="30"/>
  <c r="E1384" i="30"/>
  <c r="E1385" i="30"/>
  <c r="E1386" i="30"/>
  <c r="E1387" i="30"/>
  <c r="E1388" i="30"/>
  <c r="E1389" i="30"/>
  <c r="E1390" i="30"/>
  <c r="E1391" i="30"/>
  <c r="E1392" i="30"/>
  <c r="E1393" i="30"/>
  <c r="E1394" i="30"/>
  <c r="E1395" i="30"/>
  <c r="E1396" i="30"/>
  <c r="E1397" i="30"/>
  <c r="E1398" i="30"/>
  <c r="E1399" i="30"/>
  <c r="E1400" i="30"/>
  <c r="E1401" i="30"/>
  <c r="E1402" i="30"/>
  <c r="E1403" i="30"/>
  <c r="E1404" i="30"/>
  <c r="E1405" i="30"/>
  <c r="E1406" i="30"/>
  <c r="E1407" i="30"/>
  <c r="E1408" i="30"/>
  <c r="E1409" i="30"/>
  <c r="E1410" i="30"/>
  <c r="E1411" i="30"/>
  <c r="E1412" i="30"/>
  <c r="E1413" i="30"/>
  <c r="E1414" i="30"/>
  <c r="E1415" i="30"/>
  <c r="E1416" i="30"/>
  <c r="E1417" i="30"/>
  <c r="E1418" i="30"/>
  <c r="E1419" i="30"/>
  <c r="E1420" i="30"/>
  <c r="E1421" i="30"/>
  <c r="E1422" i="30"/>
  <c r="E1423" i="30"/>
  <c r="E1424" i="30"/>
  <c r="E1425" i="30"/>
  <c r="E1426" i="30"/>
  <c r="E1427" i="30"/>
  <c r="E1428" i="30"/>
  <c r="E1429" i="30"/>
  <c r="E1430" i="30"/>
  <c r="E1431" i="30"/>
  <c r="E1432" i="30"/>
  <c r="E1433" i="30"/>
  <c r="E1434" i="30"/>
  <c r="E1435" i="30"/>
  <c r="E1436" i="30"/>
  <c r="E1437" i="30"/>
  <c r="E1438" i="30"/>
  <c r="E1439" i="30"/>
  <c r="E1440" i="30"/>
  <c r="E1441" i="30"/>
  <c r="E1442" i="30"/>
  <c r="E1443" i="30"/>
  <c r="E1444" i="30"/>
  <c r="E1445" i="30"/>
  <c r="E1446" i="30"/>
  <c r="E1447" i="30"/>
  <c r="E1448" i="30"/>
  <c r="E1449" i="30"/>
  <c r="E1450" i="30"/>
  <c r="E1451" i="30"/>
  <c r="E1452" i="30"/>
  <c r="E1453" i="30"/>
  <c r="E1454" i="30"/>
  <c r="E1455" i="30"/>
  <c r="E1456" i="30"/>
  <c r="E1457" i="30"/>
  <c r="E1458" i="30"/>
  <c r="E1459" i="30"/>
  <c r="E1460" i="30"/>
  <c r="E1461" i="30"/>
  <c r="E1462" i="30"/>
  <c r="E1463" i="30"/>
  <c r="E1464" i="30"/>
  <c r="E1465" i="30"/>
  <c r="E1466" i="30"/>
  <c r="E1467" i="30"/>
  <c r="E1468" i="30"/>
  <c r="E1469" i="30"/>
  <c r="E1470" i="30"/>
  <c r="E1471" i="30"/>
  <c r="E1472" i="30"/>
  <c r="E1473" i="30"/>
  <c r="E1474" i="30"/>
  <c r="E1475" i="30"/>
  <c r="E1476" i="30"/>
  <c r="E1477" i="30"/>
  <c r="E1478" i="30"/>
  <c r="E1479" i="30"/>
  <c r="E1480" i="30"/>
  <c r="E1481" i="30"/>
  <c r="E1482" i="30"/>
  <c r="E1483" i="30"/>
  <c r="E1484" i="30"/>
  <c r="E1485" i="30"/>
  <c r="E1486" i="30"/>
  <c r="E1487" i="30"/>
  <c r="E1488" i="30"/>
  <c r="E1489" i="30"/>
  <c r="E1490" i="30"/>
  <c r="E1491" i="30"/>
  <c r="E1492" i="30"/>
  <c r="E1493" i="30"/>
  <c r="E1494" i="30"/>
  <c r="E1495" i="30"/>
  <c r="E1496" i="30"/>
  <c r="E1497" i="30"/>
  <c r="E1498" i="30"/>
  <c r="E1499" i="30"/>
  <c r="E1500" i="30"/>
  <c r="E1501" i="30"/>
  <c r="E1502" i="30"/>
  <c r="E1503" i="30"/>
  <c r="E1504" i="30"/>
  <c r="E1505" i="30"/>
  <c r="E1506" i="30"/>
  <c r="E1507" i="30"/>
  <c r="E1508" i="30"/>
  <c r="E1509" i="30"/>
  <c r="E1510" i="30"/>
  <c r="E1511" i="30"/>
  <c r="E1512" i="30"/>
  <c r="E1513" i="30"/>
  <c r="E1514" i="30"/>
  <c r="E1515" i="30"/>
  <c r="E1516" i="30"/>
  <c r="E1517" i="30"/>
  <c r="E1518" i="30"/>
  <c r="E1519" i="30"/>
  <c r="E1520" i="30"/>
  <c r="E1521" i="30"/>
  <c r="E1522" i="30"/>
  <c r="E1523" i="30"/>
  <c r="E1524" i="30"/>
  <c r="E1525" i="30"/>
  <c r="E1526" i="30"/>
  <c r="E1527" i="30"/>
  <c r="E1528" i="30"/>
  <c r="E1529" i="30"/>
  <c r="E1530" i="30"/>
  <c r="E1531" i="30"/>
  <c r="E1532" i="30"/>
  <c r="E1533" i="30"/>
  <c r="E1534" i="30"/>
  <c r="E1535" i="30"/>
  <c r="E1536" i="30"/>
  <c r="E1537" i="30"/>
  <c r="E1538" i="30"/>
  <c r="E1539" i="30"/>
  <c r="E1540" i="30"/>
  <c r="E1541" i="30"/>
  <c r="E1542" i="30"/>
  <c r="E1543" i="30"/>
  <c r="E1544" i="30"/>
  <c r="E1545" i="30"/>
  <c r="E1546" i="30"/>
  <c r="E1547" i="30"/>
  <c r="E1548" i="30"/>
  <c r="E1549" i="30"/>
  <c r="E1550" i="30"/>
  <c r="E1551" i="30"/>
  <c r="E1552" i="30"/>
  <c r="E1553" i="30"/>
  <c r="E1554" i="30"/>
  <c r="E1555" i="30"/>
  <c r="E1556" i="30"/>
  <c r="E1557" i="30"/>
  <c r="E1558" i="30"/>
  <c r="E1559" i="30"/>
  <c r="E1560" i="30"/>
  <c r="E1561" i="30"/>
  <c r="E1562" i="30"/>
  <c r="E1563" i="30"/>
  <c r="E1564" i="30"/>
  <c r="E1565" i="30"/>
  <c r="E1566" i="30"/>
  <c r="E1567" i="30"/>
  <c r="E1568" i="30"/>
  <c r="E1569" i="30"/>
  <c r="E1570" i="30"/>
  <c r="E1571" i="30"/>
  <c r="E1572" i="30"/>
  <c r="E1573" i="30"/>
  <c r="E1574" i="30"/>
  <c r="E1575" i="30"/>
  <c r="E1576" i="30"/>
  <c r="E1577" i="30"/>
  <c r="E1578" i="30"/>
  <c r="E1579" i="30"/>
  <c r="E1580" i="30"/>
  <c r="E1581" i="30"/>
  <c r="E1582" i="30"/>
  <c r="E1583" i="30"/>
  <c r="E1584" i="30"/>
  <c r="E1585" i="30"/>
  <c r="E1586" i="30"/>
  <c r="E1587" i="30"/>
  <c r="E1588" i="30"/>
  <c r="E1589" i="30"/>
  <c r="E1590" i="30"/>
  <c r="E1591" i="30"/>
  <c r="E1592" i="30"/>
  <c r="E1593" i="30"/>
  <c r="E1594" i="30"/>
  <c r="E1595" i="30"/>
  <c r="E1596" i="30"/>
  <c r="E1597" i="30"/>
  <c r="E1598" i="30"/>
  <c r="E1599" i="30"/>
  <c r="E1600" i="30"/>
  <c r="E1601" i="30"/>
  <c r="E1602" i="30"/>
  <c r="E1603" i="30"/>
  <c r="E1604" i="30"/>
  <c r="E1605" i="30"/>
  <c r="E1606" i="30"/>
  <c r="E1607" i="30"/>
  <c r="E1608" i="30"/>
  <c r="E1609" i="30"/>
  <c r="E1610" i="30"/>
  <c r="E1611" i="30"/>
  <c r="E1612" i="30"/>
  <c r="E1613" i="30"/>
  <c r="E1614" i="30"/>
  <c r="E1615" i="30"/>
  <c r="E1616" i="30"/>
  <c r="E1617" i="30"/>
  <c r="E1618" i="30"/>
  <c r="E1619" i="30"/>
  <c r="E1620" i="30"/>
  <c r="E1621" i="30"/>
  <c r="E1622" i="30"/>
  <c r="E1623" i="30"/>
  <c r="E1624" i="30"/>
  <c r="E1625" i="30"/>
  <c r="E1626" i="30"/>
  <c r="E1627" i="30"/>
  <c r="E1628" i="30"/>
  <c r="E1629" i="30"/>
  <c r="E1630" i="30"/>
  <c r="E1631" i="30"/>
  <c r="E1632" i="30"/>
  <c r="E1633" i="30"/>
  <c r="E1634" i="30"/>
  <c r="E1635" i="30"/>
  <c r="E1636" i="30"/>
  <c r="E1637" i="30"/>
  <c r="E1638" i="30"/>
  <c r="E1639" i="30"/>
  <c r="E1640" i="30"/>
  <c r="E1641" i="30"/>
  <c r="E1642" i="30"/>
  <c r="E1643" i="30"/>
  <c r="E1644" i="30"/>
  <c r="E1645" i="30"/>
  <c r="E1646" i="30"/>
  <c r="E1647" i="30"/>
  <c r="E1648" i="30"/>
  <c r="E1649" i="30"/>
  <c r="E1650" i="30"/>
  <c r="E1651" i="30"/>
  <c r="E1652" i="30"/>
  <c r="E1653" i="30"/>
  <c r="E1654" i="30"/>
  <c r="E1655" i="30"/>
  <c r="E1656" i="30"/>
  <c r="E1657" i="30"/>
  <c r="E1658" i="30"/>
  <c r="E1659" i="30"/>
  <c r="E1660" i="30"/>
  <c r="E1661" i="30"/>
  <c r="E1662" i="30"/>
  <c r="E1663" i="30"/>
  <c r="E1664" i="30"/>
  <c r="E1665" i="30"/>
  <c r="E1666" i="30"/>
  <c r="E1667" i="30"/>
  <c r="E1668" i="30"/>
  <c r="E1669" i="30"/>
  <c r="E1670" i="30"/>
  <c r="E1671" i="30"/>
  <c r="E1672" i="30"/>
  <c r="E1673" i="30"/>
  <c r="E1674" i="30"/>
  <c r="E1675" i="30"/>
  <c r="E1676" i="30"/>
  <c r="E1677" i="30"/>
  <c r="E1678" i="30"/>
  <c r="E1679" i="30"/>
  <c r="E1680" i="30"/>
  <c r="E1681" i="30"/>
  <c r="E1682" i="30"/>
  <c r="E1683" i="30"/>
  <c r="E1684" i="30"/>
  <c r="E1685" i="30"/>
  <c r="E1686" i="30"/>
  <c r="E1687" i="30"/>
  <c r="E1688" i="30"/>
  <c r="E1689" i="30"/>
  <c r="E1690" i="30"/>
  <c r="E1691" i="30"/>
  <c r="E1692" i="30"/>
  <c r="E1693" i="30"/>
  <c r="E1694" i="30"/>
  <c r="E1695" i="30"/>
  <c r="E1696" i="30"/>
  <c r="E1697" i="30"/>
  <c r="E1698" i="30"/>
  <c r="E1699" i="30"/>
  <c r="E1700" i="30"/>
  <c r="E1701" i="30"/>
  <c r="E1702" i="30"/>
  <c r="E1703" i="30"/>
  <c r="E1704" i="30"/>
  <c r="E1705" i="30"/>
  <c r="E1706" i="30"/>
  <c r="E1707" i="30"/>
  <c r="E1708" i="30"/>
  <c r="E1709" i="30"/>
  <c r="E1710" i="30"/>
  <c r="E1711" i="30"/>
  <c r="E1712" i="30"/>
  <c r="E1713" i="30"/>
  <c r="E1714" i="30"/>
  <c r="E1715" i="30"/>
  <c r="E1716" i="30"/>
  <c r="E1717" i="30"/>
  <c r="E1718" i="30"/>
  <c r="E1719" i="30"/>
  <c r="E1720" i="30"/>
  <c r="E1721" i="30"/>
  <c r="E1722" i="30"/>
  <c r="E1723" i="30"/>
  <c r="E1724" i="30"/>
  <c r="E1725" i="30"/>
  <c r="E1726" i="30"/>
  <c r="E1727" i="30"/>
  <c r="E1728" i="30"/>
  <c r="E1729" i="30"/>
  <c r="E1730" i="30"/>
  <c r="E1731" i="30"/>
  <c r="E1732" i="30"/>
  <c r="E1733" i="30"/>
  <c r="E1734" i="30"/>
  <c r="E1735" i="30"/>
  <c r="E1736" i="30"/>
  <c r="E1737" i="30"/>
  <c r="E1738" i="30"/>
  <c r="E1739" i="30"/>
  <c r="E1740" i="30"/>
  <c r="E1741" i="30"/>
  <c r="E1742" i="30"/>
  <c r="E1743" i="30"/>
  <c r="E1744" i="30"/>
  <c r="E1745" i="30"/>
  <c r="E1746" i="30"/>
  <c r="E1747" i="30"/>
  <c r="E1748" i="30"/>
  <c r="E1749" i="30"/>
  <c r="E1750" i="30"/>
  <c r="E1751" i="30"/>
  <c r="E1752" i="30"/>
  <c r="E1753" i="30"/>
  <c r="E1754" i="30"/>
  <c r="E1755" i="30"/>
  <c r="E1756" i="30"/>
  <c r="E1757" i="30"/>
  <c r="E1758" i="30"/>
  <c r="E1759" i="30"/>
  <c r="E1760" i="30"/>
  <c r="E1761" i="30"/>
  <c r="E1762" i="30"/>
  <c r="E1763" i="30"/>
  <c r="E1764" i="30"/>
  <c r="E1765" i="30"/>
  <c r="E1766" i="30"/>
  <c r="E1767" i="30"/>
  <c r="E1768" i="30"/>
  <c r="E1769" i="30"/>
  <c r="E1770" i="30"/>
  <c r="E1771" i="30"/>
  <c r="E1772" i="30"/>
  <c r="E1773" i="30"/>
  <c r="E1774" i="30"/>
  <c r="E1775" i="30"/>
  <c r="E1776" i="30"/>
  <c r="E1777" i="30"/>
  <c r="E1778" i="30"/>
  <c r="E1779" i="30"/>
  <c r="E1780" i="30"/>
  <c r="E1781" i="30"/>
  <c r="E1782" i="30"/>
  <c r="E1783" i="30"/>
  <c r="E1784" i="30"/>
  <c r="E1785" i="30"/>
  <c r="E1786" i="30"/>
  <c r="E1787" i="30"/>
  <c r="E1788" i="30"/>
  <c r="E1789" i="30"/>
  <c r="E1790" i="30"/>
  <c r="E1791" i="30"/>
  <c r="E1792" i="30"/>
  <c r="E1793" i="30"/>
  <c r="E1794" i="30"/>
  <c r="E1795" i="30"/>
  <c r="E1796" i="30"/>
  <c r="E1797" i="30"/>
  <c r="E1798" i="30"/>
  <c r="E1799" i="30"/>
  <c r="E1800" i="30"/>
  <c r="E1801" i="30"/>
  <c r="E1802" i="30"/>
  <c r="E1803" i="30"/>
  <c r="E1804" i="30"/>
  <c r="E1805" i="30"/>
  <c r="E1806" i="30"/>
  <c r="E1807" i="30"/>
  <c r="E1808" i="30"/>
  <c r="E1809" i="30"/>
  <c r="E1810" i="30"/>
  <c r="E1811" i="30"/>
  <c r="E1812" i="30"/>
  <c r="E1813" i="30"/>
  <c r="E1814" i="30"/>
  <c r="E1815" i="30"/>
  <c r="E1816" i="30"/>
  <c r="E1817" i="30"/>
  <c r="E1818" i="30"/>
  <c r="E1819" i="30"/>
  <c r="E1820" i="30"/>
  <c r="E1821" i="30"/>
  <c r="E1822" i="30"/>
  <c r="E1823" i="30"/>
  <c r="E1824" i="30"/>
  <c r="E1825" i="30"/>
  <c r="E1826" i="30"/>
  <c r="E1827" i="30"/>
  <c r="E1828" i="30"/>
  <c r="E1829" i="30"/>
  <c r="E1830" i="30"/>
  <c r="E1831" i="30"/>
  <c r="E1832" i="30"/>
  <c r="E1833" i="30"/>
  <c r="E1834" i="30"/>
  <c r="E1835" i="30"/>
  <c r="E1836" i="30"/>
  <c r="E1837" i="30"/>
  <c r="E1838" i="30"/>
  <c r="E1839" i="30"/>
  <c r="E1840" i="30"/>
  <c r="E1841" i="30"/>
  <c r="E1842" i="30"/>
  <c r="E1843" i="30"/>
  <c r="E1844" i="30"/>
  <c r="E1845" i="30"/>
  <c r="E1846" i="30"/>
  <c r="E1847" i="30"/>
  <c r="E1848" i="30"/>
  <c r="E1849" i="30"/>
  <c r="E1850" i="30"/>
  <c r="E1851" i="30"/>
  <c r="E1852" i="30"/>
  <c r="E1853" i="30"/>
  <c r="E1854" i="30"/>
  <c r="E1855" i="30"/>
  <c r="E1856" i="30"/>
  <c r="E1857" i="30"/>
  <c r="E1858" i="30"/>
  <c r="E1859" i="30"/>
  <c r="E1860" i="30"/>
  <c r="E1861" i="30"/>
  <c r="E1862" i="30"/>
  <c r="E1863" i="30"/>
  <c r="E1864" i="30"/>
  <c r="E1865" i="30"/>
  <c r="E1866" i="30"/>
  <c r="E1867" i="30"/>
  <c r="E1868" i="30"/>
  <c r="E1869" i="30"/>
  <c r="E1870" i="30"/>
  <c r="E1871" i="30"/>
  <c r="E1872" i="30"/>
  <c r="E1873" i="30"/>
  <c r="E1874" i="30"/>
  <c r="E1875" i="30"/>
  <c r="E1876" i="30"/>
  <c r="E1877" i="30"/>
  <c r="E1878" i="30"/>
  <c r="E1879" i="30"/>
  <c r="E1880" i="30"/>
  <c r="E1881" i="30"/>
  <c r="E1882" i="30"/>
  <c r="E1883" i="30"/>
  <c r="E1884" i="30"/>
  <c r="E1885" i="30"/>
  <c r="E1886" i="30"/>
  <c r="E1887" i="30"/>
  <c r="E1888" i="30"/>
  <c r="E1889" i="30"/>
  <c r="E1890" i="30"/>
  <c r="E1891" i="30"/>
  <c r="E1892" i="30"/>
  <c r="E1893" i="30"/>
  <c r="E1894" i="30"/>
  <c r="E1895" i="30"/>
  <c r="E1896" i="30"/>
  <c r="E1897" i="30"/>
  <c r="E1898" i="30"/>
  <c r="E1899" i="30"/>
  <c r="E1900" i="30"/>
  <c r="E1901" i="30"/>
  <c r="E1902" i="30"/>
  <c r="E1903" i="30"/>
  <c r="E1904" i="30"/>
  <c r="E1905" i="30"/>
  <c r="E1906" i="30"/>
  <c r="E1907" i="30"/>
  <c r="E1908" i="30"/>
  <c r="E1909" i="30"/>
  <c r="E1910" i="30"/>
  <c r="E1911" i="30"/>
  <c r="E1912" i="30"/>
  <c r="E1913" i="30"/>
  <c r="E1914" i="30"/>
  <c r="E1915" i="30"/>
  <c r="E1916" i="30"/>
  <c r="E1917" i="30"/>
  <c r="E1918" i="30"/>
  <c r="E1919" i="30"/>
  <c r="E1920" i="30"/>
  <c r="E1921" i="30"/>
  <c r="E1922" i="30"/>
  <c r="E1923" i="30"/>
  <c r="E1924" i="30"/>
  <c r="E1925" i="30"/>
  <c r="E1926" i="30"/>
  <c r="E1927" i="30"/>
  <c r="E1928" i="30"/>
  <c r="E1929" i="30"/>
  <c r="E1930" i="30"/>
  <c r="E1931" i="30"/>
  <c r="E1932" i="30"/>
  <c r="E1933" i="30"/>
  <c r="E1934" i="30"/>
  <c r="E1935" i="30"/>
  <c r="E1936" i="30"/>
  <c r="E1937" i="30"/>
  <c r="E1938" i="30"/>
  <c r="E1939" i="30"/>
  <c r="E1940" i="30"/>
  <c r="E1941" i="30"/>
  <c r="E1942" i="30"/>
  <c r="E1943" i="30"/>
  <c r="E1944" i="30"/>
  <c r="E1945" i="30"/>
  <c r="E1946" i="30"/>
  <c r="E1947" i="30"/>
  <c r="E1948" i="30"/>
  <c r="E1949" i="30"/>
  <c r="E1950" i="30"/>
  <c r="E1951" i="30"/>
  <c r="E1952" i="30"/>
  <c r="E1953" i="30"/>
  <c r="E1954" i="30"/>
  <c r="E1955" i="30"/>
  <c r="E1956" i="30"/>
  <c r="E1957" i="30"/>
  <c r="E1958" i="30"/>
  <c r="E1959" i="30"/>
  <c r="E1960" i="30"/>
  <c r="E1961" i="30"/>
  <c r="E1962" i="30"/>
  <c r="E1963" i="30"/>
  <c r="E1964" i="30"/>
  <c r="E1965" i="30"/>
  <c r="E1966" i="30"/>
  <c r="E1967" i="30"/>
  <c r="E1968" i="30"/>
  <c r="E1969" i="30"/>
  <c r="E1970" i="30"/>
  <c r="E1971" i="30"/>
  <c r="E1972" i="30"/>
  <c r="E1973" i="30"/>
  <c r="E1974" i="30"/>
  <c r="E1975" i="30"/>
  <c r="E1976" i="30"/>
  <c r="E1977" i="30"/>
  <c r="E1978" i="30"/>
  <c r="E1979" i="30"/>
  <c r="E1980" i="30"/>
  <c r="E1981" i="30"/>
  <c r="E1982" i="30"/>
  <c r="E1983" i="30"/>
  <c r="E1984" i="30"/>
  <c r="E1985" i="30"/>
  <c r="E1986" i="30"/>
  <c r="E1987" i="30"/>
  <c r="E1988" i="30"/>
  <c r="E1989" i="30"/>
  <c r="E1990" i="30"/>
  <c r="E1991" i="30"/>
  <c r="E1992" i="30"/>
  <c r="E1993" i="30"/>
  <c r="E1994" i="30"/>
  <c r="E1995" i="30"/>
  <c r="E1996" i="30"/>
  <c r="E1997" i="30"/>
  <c r="E1998" i="30"/>
  <c r="E1999" i="30"/>
  <c r="E2000" i="30"/>
  <c r="E2001" i="30"/>
  <c r="E2002" i="30"/>
  <c r="E2003" i="30"/>
  <c r="E2004" i="30"/>
  <c r="E2005" i="30"/>
  <c r="E2006" i="30"/>
  <c r="E2007" i="30"/>
  <c r="E2008" i="30"/>
  <c r="E2009" i="30"/>
  <c r="E2010" i="30"/>
  <c r="E2011" i="30"/>
  <c r="E2012" i="30"/>
  <c r="E2013" i="30"/>
  <c r="E2014" i="30"/>
  <c r="E2015" i="30"/>
  <c r="E2016" i="30"/>
  <c r="E2017" i="30"/>
  <c r="E2018" i="30"/>
  <c r="E2019" i="30"/>
  <c r="E2020" i="30"/>
  <c r="E2021" i="30"/>
  <c r="E2022" i="30"/>
  <c r="E2023" i="30"/>
  <c r="E2024" i="30"/>
  <c r="E2025" i="30"/>
  <c r="E2026" i="30"/>
  <c r="E2027" i="30"/>
  <c r="E2028" i="30"/>
  <c r="E2029" i="30"/>
  <c r="E2030" i="30"/>
  <c r="E2031" i="30"/>
  <c r="E2032" i="30"/>
  <c r="E2033" i="30"/>
  <c r="E2034" i="30"/>
  <c r="E2035" i="30"/>
  <c r="E2036" i="30"/>
  <c r="E2037" i="30"/>
  <c r="E2038" i="30"/>
  <c r="E2039" i="30"/>
  <c r="E2040" i="30"/>
  <c r="E2041" i="30"/>
  <c r="E2042" i="30"/>
  <c r="E2043" i="30"/>
  <c r="E2044" i="30"/>
  <c r="E2045" i="30"/>
  <c r="E2046" i="30"/>
  <c r="E2047" i="30"/>
  <c r="E2048" i="30"/>
  <c r="E2049" i="30"/>
  <c r="E2050" i="30"/>
  <c r="E2051" i="30"/>
  <c r="E2052" i="30"/>
  <c r="E2053" i="30"/>
  <c r="E2054" i="30"/>
  <c r="E2055" i="30"/>
  <c r="E2056" i="30"/>
  <c r="E2057" i="30"/>
  <c r="E2058" i="30"/>
  <c r="E2059" i="30"/>
  <c r="E2060" i="30"/>
  <c r="E2061" i="30"/>
  <c r="E2062" i="30"/>
  <c r="E2063" i="30"/>
  <c r="E2064" i="30"/>
  <c r="E2065" i="30"/>
  <c r="E2066" i="30"/>
  <c r="E2067" i="30"/>
  <c r="E2068" i="30"/>
  <c r="E2069" i="30"/>
  <c r="E2070" i="30"/>
  <c r="E2071" i="30"/>
  <c r="E2072" i="30"/>
  <c r="E2073" i="30"/>
  <c r="E2074" i="30"/>
  <c r="E2075" i="30"/>
  <c r="E2076" i="30"/>
  <c r="E2077" i="30"/>
  <c r="E2078" i="30"/>
  <c r="E2079" i="30"/>
  <c r="E2080" i="30"/>
  <c r="E2081" i="30"/>
  <c r="E2082" i="30"/>
  <c r="E2083" i="30"/>
  <c r="E2084" i="30"/>
  <c r="E2085" i="30"/>
  <c r="E2086" i="30"/>
  <c r="E2087" i="30"/>
  <c r="E2088" i="30"/>
  <c r="E2089" i="30"/>
  <c r="E2090" i="30"/>
  <c r="E2091" i="30"/>
  <c r="E2092" i="30"/>
  <c r="E2093" i="30"/>
  <c r="E2094" i="30"/>
  <c r="E2095" i="30"/>
  <c r="E2096" i="30"/>
  <c r="E2097" i="30"/>
  <c r="E2098" i="30"/>
  <c r="E2099" i="30"/>
  <c r="E2100" i="30"/>
  <c r="E2101" i="30"/>
  <c r="E2102" i="30"/>
  <c r="E2103" i="30"/>
  <c r="E2104" i="30"/>
  <c r="E2105" i="30"/>
  <c r="E2106" i="30"/>
  <c r="E2107" i="30"/>
  <c r="E2108" i="30"/>
  <c r="E2109" i="30"/>
  <c r="E2110" i="30"/>
  <c r="E2111" i="30"/>
  <c r="E2112" i="30"/>
  <c r="E2113" i="30"/>
  <c r="E2114" i="30"/>
  <c r="E2115" i="30"/>
  <c r="E2116" i="30"/>
  <c r="E2117" i="30"/>
  <c r="E2118" i="30"/>
  <c r="E2119" i="30"/>
  <c r="E2120" i="30"/>
  <c r="E2121" i="30"/>
  <c r="E2122" i="30"/>
  <c r="E2123" i="30"/>
  <c r="E2124" i="30"/>
  <c r="E2125" i="30"/>
  <c r="E2126" i="30"/>
  <c r="E2127" i="30"/>
  <c r="E2128" i="30"/>
  <c r="E2129" i="30"/>
  <c r="E2130" i="30"/>
  <c r="E2131" i="30"/>
  <c r="E2132" i="30"/>
  <c r="E2133" i="30"/>
  <c r="E2134" i="30"/>
  <c r="E2135" i="30"/>
  <c r="E2136" i="30"/>
  <c r="E2137" i="30"/>
  <c r="E2138" i="30"/>
  <c r="E2139" i="30"/>
  <c r="E2140" i="30"/>
  <c r="E2141" i="30"/>
  <c r="E2142" i="30"/>
  <c r="E2143" i="30"/>
  <c r="E2144" i="30"/>
  <c r="E2145" i="30"/>
  <c r="E2146" i="30"/>
  <c r="E2147" i="30"/>
  <c r="E2148" i="30"/>
  <c r="E2149" i="30"/>
  <c r="E2150" i="30"/>
  <c r="E2151" i="30"/>
  <c r="E2152" i="30"/>
  <c r="E2153" i="30"/>
  <c r="E2154" i="30"/>
  <c r="E2155" i="30"/>
  <c r="E2156" i="30"/>
  <c r="C15" i="34" l="1"/>
  <c r="C14" i="34"/>
  <c r="C16" i="34" s="1"/>
  <c r="S10" i="31"/>
  <c r="C14" i="31"/>
  <c r="S8" i="32"/>
  <c r="S7" i="32"/>
  <c r="C15" i="32"/>
  <c r="C15" i="31"/>
  <c r="H20" i="31" s="1"/>
  <c r="R14" i="31"/>
  <c r="S14" i="31" s="1"/>
  <c r="G4" i="29"/>
  <c r="G5" i="29"/>
  <c r="G6" i="29"/>
  <c r="G7" i="29"/>
  <c r="B8" i="29"/>
  <c r="B15" i="29" s="1"/>
  <c r="G8" i="29"/>
  <c r="G9" i="29"/>
  <c r="G10" i="29"/>
  <c r="B11" i="29"/>
  <c r="B13" i="29" s="1"/>
  <c r="G11" i="29"/>
  <c r="G12" i="29"/>
  <c r="G13" i="29"/>
  <c r="B14" i="29"/>
  <c r="G14" i="29"/>
  <c r="B18" i="29"/>
  <c r="B20" i="29" s="1"/>
  <c r="B19" i="29"/>
  <c r="A24" i="29"/>
  <c r="C10" i="34" l="1"/>
  <c r="C11" i="34" s="1"/>
  <c r="C19" i="31"/>
  <c r="L20" i="31" s="1"/>
  <c r="C10" i="32"/>
  <c r="C11" i="32" s="1"/>
  <c r="G14" i="32" s="1"/>
  <c r="C19" i="32"/>
  <c r="L14" i="32" s="1"/>
  <c r="H14" i="32"/>
  <c r="I14" i="32"/>
  <c r="C16" i="31"/>
  <c r="I20" i="31" s="1"/>
  <c r="C10" i="31"/>
  <c r="C11" i="31" s="1"/>
  <c r="G20" i="31" s="1"/>
  <c r="B21" i="29"/>
  <c r="B22" i="29" s="1"/>
  <c r="B16" i="29"/>
  <c r="F3" i="29" s="1"/>
  <c r="E3" i="29"/>
  <c r="O1" i="28"/>
  <c r="P1" i="28"/>
  <c r="Q3" i="28"/>
  <c r="H4" i="28"/>
  <c r="L4" i="28"/>
  <c r="Q4" i="28"/>
  <c r="H5" i="28"/>
  <c r="H6" i="28" s="1"/>
  <c r="L5" i="28"/>
  <c r="L6" i="28" s="1"/>
  <c r="L7" i="28" s="1"/>
  <c r="Q5" i="28"/>
  <c r="Q6" i="28"/>
  <c r="Q7" i="28"/>
  <c r="Q8" i="28"/>
  <c r="Q9" i="28"/>
  <c r="Q10" i="28"/>
  <c r="Q11" i="28"/>
  <c r="Q12" i="28"/>
  <c r="Q13" i="28"/>
  <c r="Q14" i="28"/>
  <c r="Q15" i="28"/>
  <c r="Q16" i="28"/>
  <c r="Q17" i="28"/>
  <c r="Q18" i="28"/>
  <c r="Q19" i="28"/>
  <c r="Q20" i="28"/>
  <c r="Q21" i="28"/>
  <c r="Q22" i="28"/>
  <c r="H9" i="29" l="1"/>
  <c r="H6" i="29"/>
  <c r="H12" i="29"/>
  <c r="H10" i="29"/>
  <c r="H7" i="29"/>
  <c r="H8" i="29"/>
  <c r="H4" i="29"/>
  <c r="H13" i="29"/>
  <c r="H11" i="29"/>
  <c r="H5" i="29"/>
  <c r="H14" i="29"/>
  <c r="A25" i="29"/>
  <c r="N24" i="28"/>
  <c r="C12" i="28" s="1"/>
  <c r="P24" i="28"/>
  <c r="H7" i="28"/>
  <c r="H8" i="28" s="1"/>
  <c r="H9" i="28" s="1"/>
  <c r="H10" i="28" s="1"/>
  <c r="H11" i="28" s="1"/>
  <c r="H12" i="28" s="1"/>
  <c r="H13" i="28" s="1"/>
  <c r="H14" i="28" s="1"/>
  <c r="H15" i="28" s="1"/>
  <c r="H16" i="28" s="1"/>
  <c r="H17" i="28" s="1"/>
  <c r="H18" i="28" s="1"/>
  <c r="H19" i="28" s="1"/>
  <c r="H20" i="28" s="1"/>
  <c r="H21" i="28" s="1"/>
  <c r="H22" i="28" s="1"/>
  <c r="H23" i="28" s="1"/>
  <c r="H24" i="28" s="1"/>
  <c r="H25" i="28" s="1"/>
  <c r="H26" i="28" s="1"/>
  <c r="H27" i="28" s="1"/>
  <c r="H28" i="28" s="1"/>
  <c r="H29" i="28" s="1"/>
  <c r="H30" i="28" s="1"/>
  <c r="H31" i="28" s="1"/>
  <c r="H32" i="28" s="1"/>
  <c r="H33" i="28" s="1"/>
  <c r="H34" i="28" s="1"/>
  <c r="H35" i="28" s="1"/>
  <c r="H36" i="28" s="1"/>
  <c r="H37" i="28" s="1"/>
  <c r="H38" i="28" s="1"/>
  <c r="H39" i="28" s="1"/>
  <c r="H40" i="28" s="1"/>
  <c r="H41" i="28" s="1"/>
  <c r="H42" i="28" s="1"/>
  <c r="H43" i="28" s="1"/>
  <c r="H44" i="28" s="1"/>
  <c r="H45" i="28" s="1"/>
  <c r="H46" i="28" s="1"/>
  <c r="H47" i="28" s="1"/>
  <c r="H48" i="28" s="1"/>
  <c r="H49" i="28" s="1"/>
  <c r="H50" i="28" s="1"/>
  <c r="H51" i="28" s="1"/>
  <c r="H52" i="28" s="1"/>
  <c r="H53" i="28" s="1"/>
  <c r="H54" i="28" s="1"/>
  <c r="H55" i="28" s="1"/>
  <c r="H56" i="28" s="1"/>
  <c r="H57" i="28" s="1"/>
  <c r="H58" i="28" s="1"/>
  <c r="H59" i="28" s="1"/>
  <c r="H60" i="28" s="1"/>
  <c r="H61" i="28" s="1"/>
  <c r="H62" i="28" s="1"/>
  <c r="H63" i="28" s="1"/>
  <c r="H64" i="28" s="1"/>
  <c r="H65" i="28" s="1"/>
  <c r="H66" i="28" s="1"/>
  <c r="H67" i="28" s="1"/>
  <c r="H68" i="28" s="1"/>
  <c r="H69" i="28" s="1"/>
  <c r="H70" i="28" s="1"/>
  <c r="H71" i="28" s="1"/>
  <c r="H72" i="28" s="1"/>
  <c r="H73" i="28" s="1"/>
  <c r="H74" i="28" s="1"/>
  <c r="H75" i="28" s="1"/>
  <c r="H76" i="28" s="1"/>
  <c r="L8" i="28"/>
  <c r="L9" i="28" s="1"/>
  <c r="L10" i="28" s="1"/>
  <c r="O24" i="28"/>
  <c r="C13" i="28" s="1"/>
  <c r="D10" i="28" l="1"/>
  <c r="P2" i="28" s="1"/>
  <c r="C10" i="28"/>
  <c r="C11" i="28"/>
  <c r="D11" i="28"/>
  <c r="B2" i="26"/>
  <c r="D2" i="26" s="1"/>
  <c r="B3" i="26"/>
  <c r="D3" i="26"/>
  <c r="B4" i="26"/>
  <c r="D4" i="26" s="1"/>
  <c r="B5" i="26"/>
  <c r="D5" i="26" s="1"/>
  <c r="B6" i="26"/>
  <c r="D6" i="26"/>
  <c r="B7" i="26"/>
  <c r="D7" i="26" s="1"/>
  <c r="B8" i="26"/>
  <c r="D8" i="26" s="1"/>
  <c r="G8" i="26"/>
  <c r="B9" i="26"/>
  <c r="D9" i="26" s="1"/>
  <c r="B10" i="26"/>
  <c r="D10" i="26" s="1"/>
  <c r="B11" i="26"/>
  <c r="D11" i="26" s="1"/>
  <c r="B12" i="26"/>
  <c r="D12" i="26"/>
  <c r="B13" i="26"/>
  <c r="D13" i="26" s="1"/>
  <c r="B14" i="26"/>
  <c r="D14" i="26" s="1"/>
  <c r="E12" i="28" l="1"/>
  <c r="O2" i="28"/>
  <c r="C20" i="28"/>
  <c r="G4" i="26"/>
  <c r="C24" i="24"/>
  <c r="D24" i="24"/>
  <c r="E24" i="24"/>
  <c r="F24" i="24"/>
  <c r="F25" i="24" a="1"/>
  <c r="F25" i="24" s="1"/>
  <c r="B29" i="24" s="1"/>
  <c r="B30" i="24"/>
  <c r="B31" i="24" a="1"/>
  <c r="B31" i="24" s="1"/>
  <c r="B32" i="24" a="1"/>
  <c r="B32" i="24" s="1"/>
  <c r="B33" i="24"/>
  <c r="B34" i="24"/>
  <c r="D18" i="28" l="1"/>
  <c r="C21" i="28"/>
  <c r="C14" i="28" s="1"/>
  <c r="E21" i="28" s="1"/>
  <c r="C18" i="28"/>
  <c r="C6" i="23"/>
  <c r="C7" i="23" s="1"/>
  <c r="D6" i="23"/>
  <c r="D7" i="23" s="1"/>
  <c r="F12" i="23"/>
  <c r="F13" i="23"/>
  <c r="F14" i="23"/>
  <c r="F15" i="23"/>
  <c r="F18" i="23"/>
  <c r="F19" i="23"/>
  <c r="F20" i="23"/>
  <c r="F21" i="23"/>
  <c r="G20" i="23" l="1"/>
  <c r="H10" i="23"/>
  <c r="G10" i="23"/>
  <c r="G19" i="23"/>
</calcChain>
</file>

<file path=xl/connections.xml><?xml version="1.0" encoding="utf-8"?>
<connections xmlns="http://schemas.openxmlformats.org/spreadsheetml/2006/main">
  <connection id="1" name="查询来自 MS Access Database" type="1" refreshedVersion="5" background="1" saveData="1">
    <dbPr connection="DSN=MS Access Database;DBQ=D:\northwind.mdb;DefaultDir=D:\;DriverId=25;FIL=MS Access;MaxBufferSize=2048;PageTimeout=5;" command="SELECT 订单.订购日期, 运货商.公司名称, 客户.地区, 类别.类别名称, 订单明细.单价*数量*(1-折扣), 订单明细.订单ID_x000d__x000a_FROM `D:\Northwind.mdb`.产品 产品, `D:\Northwind.mdb`.订单 订单, `D:\Northwind.mdb`.订单明细 订单明细, `D:\Northwind.mdb`.客户 客户, `D:\Northwind.mdb`.类别 类别, `D:\Northwind.mdb`.运货商 运货商_x000d__x000a_WHERE 订单.客户ID = 客户.客户ID AND 订单明细.订单ID = 订单.订单ID AND 产品.产品ID = 订单明细.产品ID AND 类别.类别ID = 产品.类别ID AND 运货商.运货商ID = 订单.运货商 AND ((订单.订购日期&gt;={ts '1997-01-01 00:00:00'} And 订单.订购日期&lt;={ts '1997-12-31 00:00:00'}))"/>
  </connection>
</connections>
</file>

<file path=xl/sharedStrings.xml><?xml version="1.0" encoding="utf-8"?>
<sst xmlns="http://schemas.openxmlformats.org/spreadsheetml/2006/main" count="7729" uniqueCount="155">
  <si>
    <t>订货批量起点</t>
    <phoneticPr fontId="5" type="noConversion"/>
  </si>
  <si>
    <t>单价折扣率</t>
    <phoneticPr fontId="5" type="noConversion"/>
  </si>
  <si>
    <t>年需求量</t>
    <phoneticPr fontId="5" type="noConversion"/>
  </si>
  <si>
    <t>订货量</t>
    <phoneticPr fontId="5" type="noConversion"/>
  </si>
  <si>
    <t>单价</t>
    <phoneticPr fontId="5" type="noConversion"/>
  </si>
  <si>
    <t>实际单价</t>
    <phoneticPr fontId="5" type="noConversion"/>
  </si>
  <si>
    <t>年采购成本</t>
    <phoneticPr fontId="5" type="noConversion"/>
  </si>
  <si>
    <t>年订货成本</t>
    <phoneticPr fontId="5" type="noConversion"/>
  </si>
  <si>
    <t>年储存成本</t>
    <phoneticPr fontId="5" type="noConversion"/>
  </si>
  <si>
    <t>年总成本</t>
    <phoneticPr fontId="5" type="noConversion"/>
  </si>
  <si>
    <r>
      <t>经济订货量</t>
    </r>
    <r>
      <rPr>
        <sz val="11"/>
        <rFont val="Times New Roman"/>
        <family val="1"/>
      </rPr>
      <t>(EOQ)</t>
    </r>
    <phoneticPr fontId="5" type="noConversion"/>
  </si>
  <si>
    <r>
      <t>EOQ</t>
    </r>
    <r>
      <rPr>
        <sz val="11"/>
        <rFont val="宋体"/>
        <family val="3"/>
        <charset val="134"/>
      </rPr>
      <t>下的年采购成本</t>
    </r>
    <phoneticPr fontId="5" type="noConversion"/>
  </si>
  <si>
    <r>
      <t>EOQ</t>
    </r>
    <r>
      <rPr>
        <sz val="11"/>
        <rFont val="宋体"/>
        <family val="3"/>
        <charset val="134"/>
      </rPr>
      <t>下的年订货成本</t>
    </r>
    <phoneticPr fontId="5" type="noConversion"/>
  </si>
  <si>
    <r>
      <t>EOQ</t>
    </r>
    <r>
      <rPr>
        <sz val="11"/>
        <rFont val="宋体"/>
        <family val="3"/>
        <charset val="134"/>
      </rPr>
      <t>下的年储存成本</t>
    </r>
    <phoneticPr fontId="5" type="noConversion"/>
  </si>
  <si>
    <r>
      <t>EOQ</t>
    </r>
    <r>
      <rPr>
        <sz val="11"/>
        <rFont val="宋体"/>
        <family val="3"/>
        <charset val="134"/>
      </rPr>
      <t>下的年总成本</t>
    </r>
    <phoneticPr fontId="5" type="noConversion"/>
  </si>
  <si>
    <t>项目A</t>
    <phoneticPr fontId="5" type="noConversion"/>
  </si>
  <si>
    <t>第1年利润</t>
    <phoneticPr fontId="5" type="noConversion"/>
  </si>
  <si>
    <t>项目B利润增长期限时的每年利润增长率(年）</t>
    <phoneticPr fontId="5" type="noConversion"/>
  </si>
  <si>
    <t>第6年末出售股权现金收入</t>
    <phoneticPr fontId="5" type="noConversion"/>
  </si>
  <si>
    <t>使用附表插值法计算相对的内部报酬率（两个项目净现值相等时的贴现率）时的净现值</t>
    <phoneticPr fontId="5" type="noConversion"/>
  </si>
  <si>
    <t>加工时数</t>
    <phoneticPr fontId="16" type="noConversion"/>
  </si>
  <si>
    <t>A零件</t>
    <phoneticPr fontId="5" type="noConversion"/>
  </si>
  <si>
    <t>B零件</t>
    <phoneticPr fontId="5" type="noConversion"/>
  </si>
  <si>
    <t>C零件</t>
    <phoneticPr fontId="5" type="noConversion"/>
  </si>
  <si>
    <t>D零件</t>
    <phoneticPr fontId="5" type="noConversion"/>
  </si>
  <si>
    <t>一车间</t>
    <phoneticPr fontId="5" type="noConversion"/>
  </si>
  <si>
    <t>二车间</t>
    <phoneticPr fontId="5" type="noConversion"/>
  </si>
  <si>
    <t>三车间</t>
    <phoneticPr fontId="5" type="noConversion"/>
  </si>
  <si>
    <t>四车间</t>
    <phoneticPr fontId="5" type="noConversion"/>
  </si>
  <si>
    <t>订购日期</t>
  </si>
  <si>
    <t>类别名称</t>
  </si>
  <si>
    <t>销售额</t>
    <phoneticPr fontId="5" type="noConversion"/>
  </si>
  <si>
    <t>客户国家</t>
    <phoneticPr fontId="5" type="noConversion"/>
  </si>
  <si>
    <t>肉/家禽</t>
  </si>
  <si>
    <t>英国</t>
  </si>
  <si>
    <t>面食/谷类</t>
  </si>
  <si>
    <t>乳制品</t>
  </si>
  <si>
    <t>农产品</t>
  </si>
  <si>
    <t>海洋食品</t>
  </si>
  <si>
    <t>美国</t>
  </si>
  <si>
    <t>香料</t>
  </si>
  <si>
    <t>糖果</t>
  </si>
  <si>
    <t>饮料</t>
  </si>
  <si>
    <t>图表数据</t>
    <phoneticPr fontId="16" type="noConversion"/>
  </si>
  <si>
    <t>总成本</t>
  </si>
  <si>
    <t>单位可变成本</t>
    <phoneticPr fontId="16" type="noConversion"/>
  </si>
  <si>
    <t>大于等于3000</t>
    <phoneticPr fontId="16" type="noConversion"/>
  </si>
  <si>
    <t>固定成本</t>
  </si>
  <si>
    <r>
      <rPr>
        <sz val="12"/>
        <rFont val="宋体"/>
        <family val="3"/>
        <charset val="134"/>
      </rPr>
      <t>大于等于</t>
    </r>
    <r>
      <rPr>
        <sz val="12"/>
        <rFont val="Arial"/>
        <family val="2"/>
      </rPr>
      <t>2000</t>
    </r>
    <r>
      <rPr>
        <sz val="12"/>
        <rFont val="宋体"/>
        <family val="3"/>
        <charset val="134"/>
      </rPr>
      <t>且小于</t>
    </r>
    <r>
      <rPr>
        <sz val="12"/>
        <rFont val="Arial"/>
        <family val="2"/>
      </rPr>
      <t>3</t>
    </r>
    <r>
      <rPr>
        <sz val="12"/>
        <rFont val="宋体"/>
        <family val="3"/>
        <charset val="134"/>
      </rPr>
      <t>000</t>
    </r>
    <phoneticPr fontId="16" type="noConversion"/>
  </si>
  <si>
    <r>
      <rPr>
        <b/>
        <sz val="12"/>
        <color theme="1"/>
        <rFont val="宋体"/>
        <family val="3"/>
        <charset val="134"/>
      </rPr>
      <t>产品</t>
    </r>
    <r>
      <rPr>
        <b/>
        <sz val="12"/>
        <color theme="1"/>
        <rFont val="Times New Roman"/>
        <family val="1"/>
      </rPr>
      <t>B</t>
    </r>
    <phoneticPr fontId="5" type="noConversion"/>
  </si>
  <si>
    <r>
      <rPr>
        <b/>
        <sz val="12"/>
        <color theme="1"/>
        <rFont val="宋体"/>
        <family val="3"/>
        <charset val="134"/>
      </rPr>
      <t>产品</t>
    </r>
    <r>
      <rPr>
        <b/>
        <sz val="12"/>
        <color theme="1"/>
        <rFont val="Times New Roman"/>
        <family val="1"/>
      </rPr>
      <t>A</t>
    </r>
    <phoneticPr fontId="5" type="noConversion"/>
  </si>
  <si>
    <t>小于2000</t>
    <phoneticPr fontId="16" type="noConversion"/>
  </si>
  <si>
    <t>产品B</t>
    <phoneticPr fontId="16" type="noConversion"/>
  </si>
  <si>
    <t>产品A</t>
    <phoneticPr fontId="16" type="noConversion"/>
  </si>
  <si>
    <t>生产量</t>
    <phoneticPr fontId="16" type="noConversion"/>
  </si>
  <si>
    <t>生产量</t>
    <phoneticPr fontId="5" type="noConversion"/>
  </si>
  <si>
    <t>单位可变成本</t>
  </si>
  <si>
    <t>单位可变成本</t>
    <phoneticPr fontId="16" type="noConversion"/>
  </si>
  <si>
    <t>总成本</t>
    <phoneticPr fontId="5" type="noConversion"/>
  </si>
  <si>
    <t>控制</t>
    <phoneticPr fontId="5" type="noConversion"/>
  </si>
  <si>
    <t>四车间</t>
    <phoneticPr fontId="5" type="noConversion"/>
  </si>
  <si>
    <t>三车间</t>
    <phoneticPr fontId="5" type="noConversion"/>
  </si>
  <si>
    <t>二车间</t>
    <phoneticPr fontId="5" type="noConversion"/>
  </si>
  <si>
    <t>一车间</t>
    <phoneticPr fontId="5" type="noConversion"/>
  </si>
  <si>
    <t>D零件</t>
    <phoneticPr fontId="5" type="noConversion"/>
  </si>
  <si>
    <t>C零件</t>
    <phoneticPr fontId="5" type="noConversion"/>
  </si>
  <si>
    <t>B零件</t>
    <phoneticPr fontId="5" type="noConversion"/>
  </si>
  <si>
    <t>A零件</t>
    <phoneticPr fontId="5" type="noConversion"/>
  </si>
  <si>
    <t>单位时间成本（元/小时）</t>
    <phoneticPr fontId="16" type="noConversion"/>
  </si>
  <si>
    <t>公司名称</t>
  </si>
  <si>
    <t>地区</t>
  </si>
  <si>
    <t>Expr1004</t>
  </si>
  <si>
    <t>订单ID</t>
  </si>
  <si>
    <t>日用品</t>
  </si>
  <si>
    <t>联邦货运</t>
  </si>
  <si>
    <t>华北</t>
  </si>
  <si>
    <t>列标签</t>
  </si>
  <si>
    <t>点心</t>
  </si>
  <si>
    <t>东部沿海地区</t>
  </si>
  <si>
    <t>中西部地区</t>
  </si>
  <si>
    <t>急速快递</t>
  </si>
  <si>
    <t>华东</t>
  </si>
  <si>
    <t>海鲜</t>
  </si>
  <si>
    <t>行标签</t>
  </si>
  <si>
    <t>销售额总计值</t>
  </si>
  <si>
    <t>承运订单数</t>
  </si>
  <si>
    <t>谷类/麦片</t>
  </si>
  <si>
    <t>第一季</t>
  </si>
  <si>
    <t>调味品</t>
  </si>
  <si>
    <t>第二季</t>
  </si>
  <si>
    <t>第三季</t>
  </si>
  <si>
    <t>统一包裹</t>
  </si>
  <si>
    <t>华南</t>
  </si>
  <si>
    <t>第四季</t>
  </si>
  <si>
    <t>总计</t>
  </si>
  <si>
    <t>特制品</t>
  </si>
  <si>
    <t>西南</t>
  </si>
  <si>
    <t>东北</t>
  </si>
  <si>
    <t>西北</t>
  </si>
  <si>
    <t>Y</t>
    <phoneticPr fontId="5" type="noConversion"/>
  </si>
  <si>
    <t>X</t>
    <phoneticPr fontId="5" type="noConversion"/>
  </si>
  <si>
    <t>MSE</t>
    <phoneticPr fontId="5" type="noConversion"/>
  </si>
  <si>
    <t>b</t>
    <phoneticPr fontId="5" type="noConversion"/>
  </si>
  <si>
    <t>a</t>
    <phoneticPr fontId="5" type="noConversion"/>
  </si>
  <si>
    <t>预测值</t>
    <phoneticPr fontId="5" type="noConversion"/>
  </si>
  <si>
    <r>
      <t>单位产品成本</t>
    </r>
    <r>
      <rPr>
        <sz val="10"/>
        <rFont val="Times New Roman"/>
        <family val="1"/>
      </rPr>
      <t>Y(</t>
    </r>
    <r>
      <rPr>
        <sz val="10"/>
        <rFont val="宋体"/>
        <family val="3"/>
        <charset val="134"/>
      </rPr>
      <t>元</t>
    </r>
    <r>
      <rPr>
        <sz val="10"/>
        <rFont val="Times New Roman"/>
        <family val="1"/>
      </rPr>
      <t>/</t>
    </r>
    <r>
      <rPr>
        <sz val="10"/>
        <rFont val="宋体"/>
        <family val="3"/>
        <charset val="134"/>
      </rPr>
      <t>千克</t>
    </r>
    <r>
      <rPr>
        <sz val="10"/>
        <rFont val="Times New Roman"/>
        <family val="1"/>
      </rPr>
      <t>)</t>
    </r>
    <phoneticPr fontId="5" type="noConversion"/>
  </si>
  <si>
    <t>1/X</t>
    <phoneticPr fontId="5" type="noConversion"/>
  </si>
  <si>
    <r>
      <t>产量</t>
    </r>
    <r>
      <rPr>
        <sz val="10"/>
        <rFont val="Times New Roman"/>
        <family val="1"/>
      </rPr>
      <t>X(</t>
    </r>
    <r>
      <rPr>
        <sz val="10"/>
        <rFont val="宋体"/>
        <family val="3"/>
        <charset val="134"/>
      </rPr>
      <t>吨）</t>
    </r>
    <phoneticPr fontId="5" type="noConversion"/>
  </si>
  <si>
    <t>摸球总得分</t>
    <phoneticPr fontId="5" type="noConversion"/>
  </si>
  <si>
    <t>概率</t>
    <phoneticPr fontId="16" type="noConversion"/>
  </si>
  <si>
    <t>是否正确</t>
    <phoneticPr fontId="16" type="noConversion"/>
  </si>
  <si>
    <t>是否同色</t>
    <phoneticPr fontId="16" type="noConversion"/>
  </si>
  <si>
    <t>第三次摸球</t>
    <phoneticPr fontId="16" type="noConversion"/>
  </si>
  <si>
    <t>摸球总结果</t>
    <phoneticPr fontId="5" type="noConversion"/>
  </si>
  <si>
    <t>得分</t>
    <phoneticPr fontId="16" type="noConversion"/>
  </si>
  <si>
    <t>摸球结果</t>
    <phoneticPr fontId="16" type="noConversion"/>
  </si>
  <si>
    <t>袋中球颜色</t>
    <phoneticPr fontId="16" type="noConversion"/>
  </si>
  <si>
    <t>球编号</t>
    <phoneticPr fontId="16" type="noConversion"/>
  </si>
  <si>
    <t>是否正确</t>
    <phoneticPr fontId="16" type="noConversion"/>
  </si>
  <si>
    <t>第二次摸球</t>
    <phoneticPr fontId="16" type="noConversion"/>
  </si>
  <si>
    <t>摸球总结果</t>
    <phoneticPr fontId="5" type="noConversion"/>
  </si>
  <si>
    <t>得分</t>
    <phoneticPr fontId="16" type="noConversion"/>
  </si>
  <si>
    <t>摸球结果</t>
    <phoneticPr fontId="16" type="noConversion"/>
  </si>
  <si>
    <t>袋中球颜色</t>
    <phoneticPr fontId="16" type="noConversion"/>
  </si>
  <si>
    <t>球编号</t>
    <phoneticPr fontId="16" type="noConversion"/>
  </si>
  <si>
    <t>白球得分</t>
    <phoneticPr fontId="5" type="noConversion"/>
  </si>
  <si>
    <t>第一次摸球</t>
    <phoneticPr fontId="16" type="noConversion"/>
  </si>
  <si>
    <t>黑球得分</t>
    <phoneticPr fontId="5" type="noConversion"/>
  </si>
  <si>
    <t>白色</t>
    <phoneticPr fontId="16" type="noConversion"/>
  </si>
  <si>
    <t>黑色</t>
    <phoneticPr fontId="16" type="noConversion"/>
  </si>
  <si>
    <t>袋中白球个数</t>
    <phoneticPr fontId="5" type="noConversion"/>
  </si>
  <si>
    <t>袋中黑球个数</t>
    <phoneticPr fontId="5" type="noConversion"/>
  </si>
  <si>
    <r>
      <t>黑白球抽样摸球风险分析模拟模型</t>
    </r>
    <r>
      <rPr>
        <sz val="11"/>
        <color rgb="FF000000"/>
        <rFont val="Calibri"/>
        <family val="2"/>
      </rPr>
      <t xml:space="preserve"> </t>
    </r>
    <phoneticPr fontId="16" type="noConversion"/>
  </si>
  <si>
    <t>最大的净现值对应的项目</t>
    <phoneticPr fontId="5" type="noConversion"/>
  </si>
  <si>
    <t>最大的净现值</t>
    <phoneticPr fontId="5" type="noConversion"/>
  </si>
  <si>
    <t>使用公式表示实现最大净现值的方案</t>
    <phoneticPr fontId="5" type="noConversion"/>
  </si>
  <si>
    <t>使用附表插值法计算相对的内部报酬率（两个项目净现值相等时的贴现率）</t>
    <phoneticPr fontId="5" type="noConversion"/>
  </si>
  <si>
    <t>内部报酬率</t>
    <phoneticPr fontId="5" type="noConversion"/>
  </si>
  <si>
    <t>净现值</t>
    <phoneticPr fontId="5" type="noConversion"/>
  </si>
  <si>
    <t>项目A利润增长期限时的每月利润增长率（月）</t>
    <phoneticPr fontId="5" type="noConversion"/>
  </si>
  <si>
    <t>利润增长期限（年）</t>
    <phoneticPr fontId="5" type="noConversion"/>
  </si>
  <si>
    <r>
      <t>第</t>
    </r>
    <r>
      <rPr>
        <sz val="11"/>
        <rFont val="Times New Roman"/>
        <family val="1"/>
      </rPr>
      <t>0</t>
    </r>
    <r>
      <rPr>
        <sz val="11"/>
        <rFont val="宋体"/>
        <family val="3"/>
        <charset val="134"/>
      </rPr>
      <t>年初始投资额</t>
    </r>
    <r>
      <rPr>
        <sz val="11"/>
        <rFont val="Times New Roman"/>
        <family val="1"/>
      </rPr>
      <t/>
    </r>
    <phoneticPr fontId="5" type="noConversion"/>
  </si>
  <si>
    <t>项目B</t>
    <phoneticPr fontId="5" type="noConversion"/>
  </si>
  <si>
    <t>年贴现率</t>
    <phoneticPr fontId="5" type="noConversion"/>
  </si>
  <si>
    <t>投资期限（年）</t>
    <phoneticPr fontId="5" type="noConversion"/>
  </si>
  <si>
    <t>单位年储存成本</t>
    <phoneticPr fontId="5" type="noConversion"/>
  </si>
  <si>
    <t>一次订货的订货成本</t>
    <phoneticPr fontId="5" type="noConversion"/>
  </si>
  <si>
    <t>2015年</t>
    <phoneticPr fontId="5" type="noConversion"/>
  </si>
  <si>
    <t>2014年</t>
    <phoneticPr fontId="5" type="noConversion"/>
  </si>
  <si>
    <t>2013年</t>
    <phoneticPr fontId="5" type="noConversion"/>
  </si>
  <si>
    <t>年</t>
  </si>
  <si>
    <t>客户国家</t>
  </si>
  <si>
    <t>年</t>
    <phoneticPr fontId="5" type="noConversion"/>
  </si>
  <si>
    <t>次数</t>
    <phoneticPr fontId="11" type="noConversion"/>
  </si>
  <si>
    <t>百分比</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</si>
</sst>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8" formatCode="&quot;¥&quot;#,##0.00;[Red]&quot;¥&quot;\-#,##0.00"/>
    <numFmt numFmtId="176" formatCode="0.0_);[Red]\(0.0\)"/>
    <numFmt numFmtId="177" formatCode="0.0"/>
    <numFmt numFmtId="178" formatCode="0_ "/>
    <numFmt numFmtId="179" formatCode="#,##0.00_ ;[Red]\-#,##0.00\ "/>
  </numFmts>
  <fonts count="32" x14ac:knownFonts="1">
    <font>
      <sz val="11"/>
      <color theme="1"/>
      <name val="宋体"/>
      <family val="3"/>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2"/>
      <name val="宋体"/>
      <family val="3"/>
      <charset val="134"/>
    </font>
    <font>
      <sz val="11"/>
      <name val="宋体"/>
      <family val="3"/>
      <charset val="134"/>
    </font>
    <font>
      <sz val="12"/>
      <name val="Arial"/>
      <family val="2"/>
    </font>
    <font>
      <b/>
      <sz val="11"/>
      <name val="宋体"/>
      <family val="3"/>
      <charset val="134"/>
    </font>
    <font>
      <sz val="11"/>
      <name val="Arial"/>
      <family val="2"/>
    </font>
    <font>
      <sz val="9"/>
      <name val="宋体"/>
      <family val="3"/>
      <charset val="134"/>
      <scheme val="minor"/>
    </font>
    <font>
      <sz val="10"/>
      <name val="宋体"/>
      <family val="3"/>
      <charset val="134"/>
    </font>
    <font>
      <sz val="10"/>
      <name val="Times New Roman"/>
      <family val="1"/>
    </font>
    <font>
      <sz val="11"/>
      <name val="Times New Roman"/>
      <family val="1"/>
    </font>
    <font>
      <sz val="11"/>
      <color theme="1"/>
      <name val="宋体"/>
      <family val="2"/>
      <scheme val="minor"/>
    </font>
    <font>
      <sz val="9"/>
      <name val="宋体"/>
      <family val="2"/>
      <charset val="134"/>
      <scheme val="minor"/>
    </font>
    <font>
      <sz val="11"/>
      <color theme="0"/>
      <name val="宋体"/>
      <family val="3"/>
      <charset val="134"/>
    </font>
    <font>
      <sz val="11"/>
      <color indexed="8"/>
      <name val="宋体"/>
      <family val="3"/>
      <charset val="134"/>
    </font>
    <font>
      <sz val="10"/>
      <color indexed="8"/>
      <name val="宋体"/>
      <family val="3"/>
      <charset val="134"/>
    </font>
    <font>
      <b/>
      <sz val="12"/>
      <color theme="1"/>
      <name val="宋体"/>
      <family val="3"/>
      <charset val="134"/>
      <scheme val="minor"/>
    </font>
    <font>
      <sz val="10"/>
      <name val="Arial"/>
      <family val="2"/>
    </font>
    <font>
      <b/>
      <sz val="12"/>
      <color theme="1"/>
      <name val="Times New Roman"/>
      <family val="1"/>
    </font>
    <font>
      <b/>
      <sz val="12"/>
      <color theme="1"/>
      <name val="宋体"/>
      <family val="3"/>
      <charset val="134"/>
    </font>
    <font>
      <b/>
      <sz val="11"/>
      <color indexed="8"/>
      <name val="宋体"/>
      <family val="3"/>
      <charset val="134"/>
    </font>
    <font>
      <sz val="11"/>
      <name val="宋体"/>
      <family val="2"/>
      <charset val="134"/>
      <scheme val="minor"/>
    </font>
    <font>
      <b/>
      <sz val="11"/>
      <color theme="1"/>
      <name val="宋体"/>
      <family val="3"/>
      <charset val="134"/>
      <scheme val="minor"/>
    </font>
    <font>
      <b/>
      <sz val="12"/>
      <color indexed="8"/>
      <name val="宋体"/>
      <family val="3"/>
      <charset val="134"/>
    </font>
    <font>
      <b/>
      <sz val="11"/>
      <color rgb="FFFF0000"/>
      <name val="宋体"/>
      <family val="3"/>
      <charset val="134"/>
      <scheme val="minor"/>
    </font>
    <font>
      <b/>
      <sz val="26"/>
      <color rgb="FF000000"/>
      <name val="宋体"/>
      <family val="3"/>
      <charset val="134"/>
      <scheme val="minor"/>
    </font>
    <font>
      <sz val="11"/>
      <color rgb="FF000000"/>
      <name val="Calibri"/>
      <family val="2"/>
    </font>
    <font>
      <sz val="11"/>
      <color indexed="9"/>
      <name val="宋体"/>
      <family val="3"/>
      <charset val="134"/>
    </font>
  </fonts>
  <fills count="17">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
      <patternFill patternType="solid">
        <fgColor theme="0" tint="-0.14999847407452621"/>
        <bgColor indexed="64"/>
      </patternFill>
    </fill>
    <fill>
      <patternFill patternType="lightDown"/>
    </fill>
    <fill>
      <patternFill patternType="solid">
        <fgColor rgb="FFFFFF00"/>
        <bgColor indexed="64"/>
      </patternFill>
    </fill>
    <fill>
      <patternFill patternType="solid">
        <fgColor theme="0"/>
        <bgColor indexed="64"/>
      </patternFill>
    </fill>
    <fill>
      <patternFill patternType="solid">
        <fgColor rgb="FF99FF66"/>
        <bgColor indexed="64"/>
      </patternFill>
    </fill>
    <fill>
      <patternFill patternType="solid">
        <fgColor rgb="FFCCFFCC"/>
        <bgColor indexed="64"/>
      </patternFill>
    </fill>
    <fill>
      <patternFill patternType="solid">
        <fgColor rgb="FFFFFF99"/>
        <bgColor indexed="64"/>
      </patternFill>
    </fill>
    <fill>
      <patternFill patternType="solid">
        <fgColor indexed="26"/>
        <bgColor indexed="64"/>
      </patternFill>
    </fill>
    <fill>
      <patternFill patternType="solid">
        <fgColor indexed="9"/>
        <bgColor indexed="64"/>
      </patternFill>
    </fill>
    <fill>
      <patternFill patternType="solid">
        <fgColor theme="9" tint="0.59999389629810485"/>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12">
    <xf numFmtId="0" fontId="0" fillId="0" borderId="0">
      <alignment vertical="center"/>
    </xf>
    <xf numFmtId="9" fontId="6" fillId="0" borderId="0" applyFont="0" applyFill="0" applyBorder="0" applyAlignment="0" applyProtection="0">
      <alignment vertical="center"/>
    </xf>
    <xf numFmtId="0" fontId="6" fillId="0" borderId="0"/>
    <xf numFmtId="0" fontId="6" fillId="0" borderId="0">
      <alignment vertical="center"/>
    </xf>
    <xf numFmtId="0" fontId="15" fillId="0" borderId="0"/>
    <xf numFmtId="0" fontId="18" fillId="0" borderId="0">
      <alignment vertical="center"/>
    </xf>
    <xf numFmtId="0" fontId="6" fillId="0" borderId="0"/>
    <xf numFmtId="0" fontId="21" fillId="0" borderId="0"/>
    <xf numFmtId="0" fontId="4" fillId="0" borderId="0">
      <alignment vertical="center"/>
    </xf>
    <xf numFmtId="0" fontId="3" fillId="0" borderId="0">
      <alignment vertical="center"/>
    </xf>
    <xf numFmtId="0" fontId="2" fillId="0" borderId="0">
      <alignment vertical="center"/>
    </xf>
    <xf numFmtId="9" fontId="2" fillId="0" borderId="0" applyFont="0" applyFill="0" applyBorder="0" applyAlignment="0" applyProtection="0">
      <alignment vertical="center"/>
    </xf>
  </cellStyleXfs>
  <cellXfs count="115">
    <xf numFmtId="0" fontId="0" fillId="0" borderId="0" xfId="0">
      <alignment vertical="center"/>
    </xf>
    <xf numFmtId="0" fontId="12" fillId="2" borderId="3" xfId="3" applyFont="1" applyFill="1" applyBorder="1" applyAlignment="1">
      <alignment horizontal="center"/>
    </xf>
    <xf numFmtId="0" fontId="6" fillId="0" borderId="0" xfId="3" applyAlignment="1"/>
    <xf numFmtId="0" fontId="6" fillId="4" borderId="3" xfId="3" applyFill="1" applyBorder="1" applyAlignment="1"/>
    <xf numFmtId="0" fontId="6" fillId="5" borderId="3" xfId="3" applyFill="1" applyBorder="1" applyAlignment="1"/>
    <xf numFmtId="0" fontId="6" fillId="4" borderId="2" xfId="3" applyFill="1" applyBorder="1" applyAlignment="1"/>
    <xf numFmtId="0" fontId="6" fillId="4" borderId="4" xfId="3" applyFill="1" applyBorder="1" applyAlignment="1"/>
    <xf numFmtId="0" fontId="12" fillId="2" borderId="3" xfId="3" applyFont="1" applyFill="1" applyBorder="1" applyAlignment="1"/>
    <xf numFmtId="176" fontId="6" fillId="4" borderId="5" xfId="3" applyNumberFormat="1" applyFill="1" applyBorder="1" applyAlignment="1"/>
    <xf numFmtId="0" fontId="6" fillId="5" borderId="1" xfId="3" applyFill="1" applyBorder="1" applyAlignment="1"/>
    <xf numFmtId="176" fontId="6" fillId="4" borderId="6" xfId="3" applyNumberFormat="1" applyFill="1" applyBorder="1" applyAlignment="1"/>
    <xf numFmtId="0" fontId="12" fillId="2" borderId="1" xfId="3" applyFont="1" applyFill="1" applyBorder="1" applyAlignment="1"/>
    <xf numFmtId="176" fontId="6" fillId="4" borderId="1" xfId="3" applyNumberFormat="1" applyFill="1" applyBorder="1" applyAlignment="1"/>
    <xf numFmtId="176" fontId="6" fillId="4" borderId="7" xfId="3" applyNumberFormat="1" applyFill="1" applyBorder="1" applyAlignment="1"/>
    <xf numFmtId="10" fontId="7" fillId="0" borderId="1" xfId="1" applyNumberFormat="1" applyFont="1" applyBorder="1" applyAlignment="1"/>
    <xf numFmtId="10" fontId="7" fillId="8" borderId="1" xfId="1" applyNumberFormat="1" applyFont="1" applyFill="1" applyBorder="1" applyAlignment="1"/>
    <xf numFmtId="0" fontId="19" fillId="0" borderId="0" xfId="5" applyFont="1">
      <alignment vertical="center"/>
    </xf>
    <xf numFmtId="0" fontId="19" fillId="0" borderId="0" xfId="5" applyFont="1" applyBorder="1" applyAlignment="1">
      <alignment horizontal="center" vertical="center"/>
    </xf>
    <xf numFmtId="0" fontId="9" fillId="2" borderId="1" xfId="6" applyFont="1" applyFill="1" applyBorder="1" applyAlignment="1">
      <alignment horizontal="center"/>
    </xf>
    <xf numFmtId="0" fontId="10" fillId="4" borderId="1" xfId="6" applyFont="1" applyFill="1" applyBorder="1" applyAlignment="1">
      <alignment horizontal="center"/>
    </xf>
    <xf numFmtId="0" fontId="9" fillId="0" borderId="0" xfId="2" applyFont="1" applyAlignment="1"/>
    <xf numFmtId="22" fontId="7" fillId="0" borderId="0" xfId="2" applyNumberFormat="1" applyFont="1"/>
    <xf numFmtId="0" fontId="7" fillId="0" borderId="0" xfId="2" applyFont="1"/>
    <xf numFmtId="0" fontId="8" fillId="0" borderId="0" xfId="7" applyFont="1"/>
    <xf numFmtId="0" fontId="8" fillId="0" borderId="0" xfId="7" applyFont="1" applyAlignment="1">
      <alignment horizontal="center"/>
    </xf>
    <xf numFmtId="0" fontId="8" fillId="0" borderId="0" xfId="7" applyFont="1" applyBorder="1"/>
    <xf numFmtId="177" fontId="8" fillId="0" borderId="0" xfId="7" applyNumberFormat="1" applyFont="1" applyBorder="1"/>
    <xf numFmtId="0" fontId="6" fillId="0" borderId="0" xfId="7" applyFont="1"/>
    <xf numFmtId="0" fontId="8" fillId="9" borderId="0" xfId="7" applyFont="1" applyFill="1" applyBorder="1" applyAlignment="1">
      <alignment horizontal="center"/>
    </xf>
    <xf numFmtId="177" fontId="8" fillId="9" borderId="0" xfId="7" applyNumberFormat="1" applyFont="1" applyFill="1" applyBorder="1" applyAlignment="1">
      <alignment horizontal="center"/>
    </xf>
    <xf numFmtId="177" fontId="8" fillId="9" borderId="1" xfId="7" applyNumberFormat="1" applyFont="1" applyFill="1" applyBorder="1" applyAlignment="1">
      <alignment horizontal="center"/>
    </xf>
    <xf numFmtId="0" fontId="8" fillId="0" borderId="1" xfId="7" applyFont="1" applyBorder="1"/>
    <xf numFmtId="0" fontId="8" fillId="0" borderId="1" xfId="7" applyFont="1" applyBorder="1" applyAlignment="1">
      <alignment horizontal="center"/>
    </xf>
    <xf numFmtId="0" fontId="8" fillId="6" borderId="1" xfId="7" applyFont="1" applyFill="1" applyBorder="1" applyAlignment="1">
      <alignment horizontal="center"/>
    </xf>
    <xf numFmtId="0" fontId="8" fillId="0" borderId="0" xfId="7" applyFont="1" applyFill="1"/>
    <xf numFmtId="0" fontId="8" fillId="9" borderId="0" xfId="7" applyFont="1" applyFill="1" applyBorder="1"/>
    <xf numFmtId="0" fontId="6" fillId="9" borderId="0" xfId="7" applyFont="1" applyFill="1"/>
    <xf numFmtId="0" fontId="8" fillId="10" borderId="1" xfId="7" applyFont="1" applyFill="1" applyBorder="1" applyAlignment="1">
      <alignment horizontal="center"/>
    </xf>
    <xf numFmtId="0" fontId="6" fillId="9" borderId="0" xfId="7" applyFont="1" applyFill="1" applyBorder="1"/>
    <xf numFmtId="0" fontId="6" fillId="0" borderId="0" xfId="7" applyFont="1" applyAlignment="1">
      <alignment horizontal="center"/>
    </xf>
    <xf numFmtId="176" fontId="8" fillId="9" borderId="0" xfId="7" applyNumberFormat="1" applyFont="1" applyFill="1" applyBorder="1"/>
    <xf numFmtId="177" fontId="8" fillId="9" borderId="0" xfId="7" applyNumberFormat="1" applyFont="1" applyFill="1" applyBorder="1"/>
    <xf numFmtId="0" fontId="8" fillId="3" borderId="1" xfId="7" applyFont="1" applyFill="1" applyBorder="1"/>
    <xf numFmtId="0" fontId="6" fillId="2" borderId="1" xfId="7" applyFont="1" applyFill="1" applyBorder="1"/>
    <xf numFmtId="177" fontId="8" fillId="11" borderId="1" xfId="7" applyNumberFormat="1" applyFont="1" applyFill="1" applyBorder="1"/>
    <xf numFmtId="0" fontId="8" fillId="12" borderId="1" xfId="7" applyFont="1" applyFill="1" applyBorder="1" applyAlignment="1">
      <alignment horizontal="center"/>
    </xf>
    <xf numFmtId="0" fontId="6" fillId="6" borderId="1" xfId="7" applyFont="1" applyFill="1" applyBorder="1" applyAlignment="1">
      <alignment horizontal="center"/>
    </xf>
    <xf numFmtId="0" fontId="8" fillId="13" borderId="1" xfId="7" applyFont="1" applyFill="1" applyBorder="1"/>
    <xf numFmtId="0" fontId="22" fillId="0" borderId="0" xfId="7" applyFont="1" applyFill="1" applyBorder="1" applyAlignment="1">
      <alignment horizontal="center"/>
    </xf>
    <xf numFmtId="0" fontId="23" fillId="0" borderId="0" xfId="7" applyFont="1" applyFill="1" applyBorder="1"/>
    <xf numFmtId="0" fontId="8" fillId="14" borderId="1" xfId="7" applyFont="1" applyFill="1" applyBorder="1"/>
    <xf numFmtId="0" fontId="6" fillId="2" borderId="9" xfId="7" applyFont="1" applyFill="1" applyBorder="1"/>
    <xf numFmtId="0" fontId="6" fillId="2" borderId="10" xfId="7" applyFont="1" applyFill="1" applyBorder="1"/>
    <xf numFmtId="0" fontId="4" fillId="0" borderId="0" xfId="8">
      <alignment vertical="center"/>
    </xf>
    <xf numFmtId="0" fontId="24" fillId="6" borderId="1" xfId="5" applyFont="1" applyFill="1" applyBorder="1" applyAlignment="1">
      <alignment horizontal="center" vertical="center"/>
    </xf>
    <xf numFmtId="0" fontId="18" fillId="15" borderId="1" xfId="5" applyFont="1" applyFill="1" applyBorder="1" applyAlignment="1">
      <alignment horizontal="center" vertical="center"/>
    </xf>
    <xf numFmtId="0" fontId="10" fillId="6" borderId="1" xfId="6" applyFont="1" applyFill="1" applyBorder="1" applyAlignment="1">
      <alignment horizontal="center"/>
    </xf>
    <xf numFmtId="0" fontId="3" fillId="0" borderId="0" xfId="9">
      <alignment vertical="center"/>
    </xf>
    <xf numFmtId="22" fontId="3" fillId="0" borderId="0" xfId="9" applyNumberFormat="1">
      <alignment vertical="center"/>
    </xf>
    <xf numFmtId="22" fontId="3" fillId="0" borderId="0" xfId="9" applyNumberFormat="1" applyAlignment="1">
      <alignment horizontal="left" vertical="center"/>
    </xf>
    <xf numFmtId="0" fontId="25" fillId="0" borderId="0" xfId="9" applyNumberFormat="1" applyFont="1">
      <alignment vertical="center"/>
    </xf>
    <xf numFmtId="0" fontId="3" fillId="0" borderId="0" xfId="9" applyAlignment="1">
      <alignment horizontal="left" vertical="center" indent="1"/>
    </xf>
    <xf numFmtId="0" fontId="6" fillId="0" borderId="0" xfId="3">
      <alignment vertical="center"/>
    </xf>
    <xf numFmtId="0" fontId="6" fillId="4" borderId="11" xfId="3" applyFill="1" applyBorder="1" applyAlignment="1"/>
    <xf numFmtId="0" fontId="6" fillId="4" borderId="12" xfId="3" applyFill="1" applyBorder="1" applyAlignment="1"/>
    <xf numFmtId="0" fontId="6" fillId="4" borderId="13" xfId="3" applyFill="1" applyBorder="1" applyAlignment="1"/>
    <xf numFmtId="0" fontId="2" fillId="0" borderId="0" xfId="10">
      <alignment vertical="center"/>
    </xf>
    <xf numFmtId="0" fontId="2" fillId="0" borderId="1" xfId="10" applyBorder="1">
      <alignment vertical="center"/>
    </xf>
    <xf numFmtId="9" fontId="26" fillId="0" borderId="1" xfId="11" applyFont="1" applyBorder="1">
      <alignment vertical="center"/>
    </xf>
    <xf numFmtId="178" fontId="2" fillId="0" borderId="1" xfId="10" applyNumberFormat="1" applyBorder="1">
      <alignment vertical="center"/>
    </xf>
    <xf numFmtId="178" fontId="27" fillId="3" borderId="1" xfId="10" applyNumberFormat="1" applyFont="1" applyFill="1" applyBorder="1" applyAlignment="1">
      <alignment horizontal="right"/>
    </xf>
    <xf numFmtId="0" fontId="2" fillId="2" borderId="10" xfId="10" applyFill="1" applyBorder="1" applyAlignment="1"/>
    <xf numFmtId="10" fontId="27" fillId="3" borderId="1" xfId="11" applyNumberFormat="1" applyFont="1" applyFill="1" applyBorder="1" applyAlignment="1">
      <alignment horizontal="right"/>
    </xf>
    <xf numFmtId="0" fontId="2" fillId="2" borderId="0" xfId="10" applyFill="1" applyBorder="1" applyAlignment="1"/>
    <xf numFmtId="0" fontId="2" fillId="2" borderId="1" xfId="10" applyFill="1" applyBorder="1" applyAlignment="1"/>
    <xf numFmtId="0" fontId="2" fillId="0" borderId="1" xfId="10" applyBorder="1" applyAlignment="1">
      <alignment horizontal="center" vertical="center"/>
    </xf>
    <xf numFmtId="0" fontId="28" fillId="0" borderId="1" xfId="10" applyFont="1" applyBorder="1" applyAlignment="1">
      <alignment horizontal="center" vertical="center"/>
    </xf>
    <xf numFmtId="0" fontId="2" fillId="0" borderId="1" xfId="10" applyFill="1" applyBorder="1" applyAlignment="1">
      <alignment horizontal="center" vertical="center"/>
    </xf>
    <xf numFmtId="0" fontId="2" fillId="0" borderId="9" xfId="10" applyBorder="1" applyAlignment="1">
      <alignment horizontal="center" vertical="center"/>
    </xf>
    <xf numFmtId="0" fontId="2" fillId="0" borderId="1" xfId="10" applyBorder="1" applyAlignment="1">
      <alignment vertical="center"/>
    </xf>
    <xf numFmtId="1" fontId="2" fillId="4" borderId="1" xfId="10" applyNumberFormat="1" applyFill="1" applyBorder="1" applyAlignment="1"/>
    <xf numFmtId="0" fontId="29" fillId="0" borderId="0" xfId="10" applyFont="1">
      <alignment vertical="center"/>
    </xf>
    <xf numFmtId="2" fontId="7" fillId="0" borderId="0" xfId="2" applyNumberFormat="1" applyFont="1"/>
    <xf numFmtId="0" fontId="7" fillId="8" borderId="0" xfId="2" applyFont="1" applyFill="1"/>
    <xf numFmtId="10" fontId="7" fillId="8" borderId="0" xfId="1" applyNumberFormat="1" applyFont="1" applyFill="1" applyAlignment="1"/>
    <xf numFmtId="179" fontId="7" fillId="0" borderId="0" xfId="2" applyNumberFormat="1" applyFont="1"/>
    <xf numFmtId="9" fontId="7" fillId="0" borderId="0" xfId="2" applyNumberFormat="1" applyFont="1"/>
    <xf numFmtId="0" fontId="7" fillId="8" borderId="1" xfId="2" applyFont="1" applyFill="1" applyBorder="1"/>
    <xf numFmtId="0" fontId="7" fillId="6" borderId="1" xfId="2" applyFont="1" applyFill="1" applyBorder="1"/>
    <xf numFmtId="8" fontId="7" fillId="8" borderId="1" xfId="2" applyNumberFormat="1" applyFont="1" applyFill="1" applyBorder="1"/>
    <xf numFmtId="10" fontId="7" fillId="16" borderId="1" xfId="2" applyNumberFormat="1" applyFont="1" applyFill="1" applyBorder="1"/>
    <xf numFmtId="10" fontId="7" fillId="8" borderId="1" xfId="2" applyNumberFormat="1" applyFont="1" applyFill="1" applyBorder="1"/>
    <xf numFmtId="179" fontId="7" fillId="8" borderId="0" xfId="2" applyNumberFormat="1" applyFont="1" applyFill="1"/>
    <xf numFmtId="9" fontId="7" fillId="8" borderId="0" xfId="2" applyNumberFormat="1" applyFont="1" applyFill="1"/>
    <xf numFmtId="0" fontId="7" fillId="0" borderId="1" xfId="2" applyFont="1" applyBorder="1"/>
    <xf numFmtId="0" fontId="7" fillId="7" borderId="1" xfId="2" applyFont="1" applyFill="1" applyBorder="1"/>
    <xf numFmtId="0" fontId="17" fillId="0" borderId="0" xfId="2" applyFont="1"/>
    <xf numFmtId="10" fontId="7" fillId="0" borderId="1" xfId="2" applyNumberFormat="1" applyFont="1" applyBorder="1"/>
    <xf numFmtId="0" fontId="7" fillId="0" borderId="0" xfId="3" applyFont="1" applyFill="1" applyBorder="1">
      <alignment vertical="center"/>
    </xf>
    <xf numFmtId="0" fontId="31" fillId="0" borderId="0" xfId="3" applyFont="1" applyFill="1" applyBorder="1">
      <alignment vertical="center"/>
    </xf>
    <xf numFmtId="177" fontId="10" fillId="0" borderId="0" xfId="3" applyNumberFormat="1" applyFont="1" applyFill="1" applyBorder="1">
      <alignment vertical="center"/>
    </xf>
    <xf numFmtId="0" fontId="14" fillId="0" borderId="0" xfId="3" applyFont="1" applyFill="1" applyBorder="1">
      <alignment vertical="center"/>
    </xf>
    <xf numFmtId="177" fontId="7" fillId="0" borderId="0" xfId="3" applyNumberFormat="1" applyFont="1" applyFill="1" applyBorder="1">
      <alignment vertical="center"/>
    </xf>
    <xf numFmtId="1" fontId="7" fillId="0" borderId="0" xfId="3" applyNumberFormat="1" applyFont="1" applyFill="1" applyBorder="1">
      <alignment vertical="center"/>
    </xf>
    <xf numFmtId="1" fontId="10" fillId="0" borderId="0" xfId="3" applyNumberFormat="1" applyFont="1" applyFill="1" applyBorder="1">
      <alignment vertical="center"/>
    </xf>
    <xf numFmtId="9" fontId="10" fillId="0" borderId="0" xfId="1" applyFont="1" applyFill="1" applyBorder="1">
      <alignment vertical="center"/>
    </xf>
    <xf numFmtId="0" fontId="9" fillId="0" borderId="0" xfId="2" applyFont="1" applyFill="1" applyAlignment="1"/>
    <xf numFmtId="0" fontId="2" fillId="9" borderId="1" xfId="10" applyFill="1" applyBorder="1" applyAlignment="1">
      <alignment horizontal="center" vertical="center"/>
    </xf>
    <xf numFmtId="0" fontId="2" fillId="9" borderId="0" xfId="10" applyFill="1">
      <alignment vertical="center"/>
    </xf>
    <xf numFmtId="0" fontId="2" fillId="9" borderId="9" xfId="10" applyFill="1" applyBorder="1" applyAlignment="1">
      <alignment horizontal="center" vertical="center"/>
    </xf>
    <xf numFmtId="0" fontId="1" fillId="0" borderId="0" xfId="10" applyFont="1">
      <alignment vertical="center"/>
    </xf>
    <xf numFmtId="0" fontId="26" fillId="0" borderId="1" xfId="10" applyFont="1" applyBorder="1">
      <alignment vertical="center"/>
    </xf>
    <xf numFmtId="178" fontId="26" fillId="0" borderId="1" xfId="10" applyNumberFormat="1" applyFont="1" applyBorder="1">
      <alignment vertical="center"/>
    </xf>
    <xf numFmtId="0" fontId="6" fillId="6" borderId="1" xfId="7" applyFont="1" applyFill="1" applyBorder="1" applyAlignment="1">
      <alignment horizontal="center"/>
    </xf>
    <xf numFmtId="0" fontId="20" fillId="0" borderId="8" xfId="8" applyFont="1" applyBorder="1" applyAlignment="1">
      <alignment horizontal="center" vertical="center"/>
    </xf>
  </cellXfs>
  <cellStyles count="12">
    <cellStyle name="百分比 2" xfId="1"/>
    <cellStyle name="百分比 3" xfId="11"/>
    <cellStyle name="常规" xfId="0" builtinId="0"/>
    <cellStyle name="常规 2" xfId="2"/>
    <cellStyle name="常规 3" xfId="3"/>
    <cellStyle name="常规 4" xfId="4"/>
    <cellStyle name="常规 5" xfId="8"/>
    <cellStyle name="常规 6" xfId="9"/>
    <cellStyle name="常规 7" xfId="10"/>
    <cellStyle name="常规_Ch7" xfId="5"/>
    <cellStyle name="常规_第1套第6题解答" xfId="7"/>
    <cellStyle name="常规_第五章试题" xfId="6"/>
  </cellStyles>
  <dxfs count="2">
    <dxf>
      <numFmt numFmtId="27" formatCode="yyyy/m/d\ h:mm"/>
    </dxf>
    <dxf>
      <font>
        <color auto="1"/>
      </font>
    </dxf>
  </dxfs>
  <tableStyles count="0" defaultTableStyle="TableStyleMedium9" defaultPivotStyle="PivotStyleLight16"/>
  <colors>
    <mruColors>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zh-CN" altLang="en-US"/>
              <a:t>不同国家不同年份不同类别销售统计</a:t>
            </a:r>
            <a:endParaRPr lang="en-US" altLang="zh-CN"/>
          </a:p>
        </c:rich>
      </c:tx>
      <c:overlay val="0"/>
    </c:title>
    <c:autoTitleDeleted val="0"/>
    <c:plotArea>
      <c:layout/>
      <c:barChart>
        <c:barDir val="col"/>
        <c:grouping val="clustered"/>
        <c:varyColors val="0"/>
        <c:ser>
          <c:idx val="0"/>
          <c:order val="0"/>
          <c:spPr>
            <a:solidFill>
              <a:srgbClr val="C00000"/>
            </a:solidFill>
          </c:spPr>
          <c:invertIfNegative val="0"/>
          <c:cat>
            <c:strRef>
              <c:f>第2题答案!$F$31:$F$38</c:f>
              <c:strCache>
                <c:ptCount val="8"/>
                <c:pt idx="0">
                  <c:v>饮料</c:v>
                </c:pt>
                <c:pt idx="1">
                  <c:v>乳制品</c:v>
                </c:pt>
                <c:pt idx="2">
                  <c:v>糖果</c:v>
                </c:pt>
                <c:pt idx="3">
                  <c:v>海洋食品</c:v>
                </c:pt>
                <c:pt idx="4">
                  <c:v>肉/家禽</c:v>
                </c:pt>
                <c:pt idx="5">
                  <c:v>农产品</c:v>
                </c:pt>
                <c:pt idx="6">
                  <c:v>香料</c:v>
                </c:pt>
                <c:pt idx="7">
                  <c:v>面食/谷类</c:v>
                </c:pt>
              </c:strCache>
            </c:strRef>
          </c:cat>
          <c:val>
            <c:numRef>
              <c:f>第2题答案!$G$31:$G$38</c:f>
              <c:numCache>
                <c:formatCode>General</c:formatCode>
                <c:ptCount val="8"/>
                <c:pt idx="0">
                  <c:v>92343.799915257841</c:v>
                </c:pt>
                <c:pt idx="1">
                  <c:v>45466.094982476527</c:v>
                </c:pt>
                <c:pt idx="2">
                  <c:v>40761.930462450124</c:v>
                </c:pt>
                <c:pt idx="3">
                  <c:v>37229.344936048983</c:v>
                </c:pt>
                <c:pt idx="4">
                  <c:v>35272.076475645903</c:v>
                </c:pt>
                <c:pt idx="5">
                  <c:v>22575.582494998071</c:v>
                </c:pt>
                <c:pt idx="6">
                  <c:v>21262.867477269472</c:v>
                </c:pt>
                <c:pt idx="7">
                  <c:v>19461.279989832081</c:v>
                </c:pt>
              </c:numCache>
            </c:numRef>
          </c:val>
          <c:extLst>
            <c:ext xmlns:c16="http://schemas.microsoft.com/office/drawing/2014/chart" uri="{C3380CC4-5D6E-409C-BE32-E72D297353CC}">
              <c16:uniqueId val="{00000000-C23A-4797-8B2A-5DC6E4F7F3DE}"/>
            </c:ext>
          </c:extLst>
        </c:ser>
        <c:dLbls>
          <c:showLegendKey val="0"/>
          <c:showVal val="0"/>
          <c:showCatName val="0"/>
          <c:showSerName val="0"/>
          <c:showPercent val="0"/>
          <c:showBubbleSize val="0"/>
        </c:dLbls>
        <c:gapWidth val="62"/>
        <c:axId val="379237640"/>
        <c:axId val="384425528"/>
      </c:barChart>
      <c:lineChart>
        <c:grouping val="standard"/>
        <c:varyColors val="0"/>
        <c:ser>
          <c:idx val="1"/>
          <c:order val="1"/>
          <c:spPr>
            <a:ln>
              <a:solidFill>
                <a:schemeClr val="accent1"/>
              </a:solidFill>
            </a:ln>
          </c:spPr>
          <c:marker>
            <c:symbol val="none"/>
          </c:marker>
          <c:val>
            <c:numRef>
              <c:f>第2题答案!$J$31:$J$38</c:f>
              <c:numCache>
                <c:formatCode>General</c:formatCode>
                <c:ptCount val="8"/>
                <c:pt idx="0">
                  <c:v>39296.622091747377</c:v>
                </c:pt>
                <c:pt idx="1">
                  <c:v>39296.622091747377</c:v>
                </c:pt>
                <c:pt idx="2">
                  <c:v>39296.622091747377</c:v>
                </c:pt>
                <c:pt idx="3">
                  <c:v>39296.622091747377</c:v>
                </c:pt>
                <c:pt idx="4">
                  <c:v>39296.622091747377</c:v>
                </c:pt>
                <c:pt idx="5">
                  <c:v>39296.622091747377</c:v>
                </c:pt>
                <c:pt idx="6">
                  <c:v>39296.622091747377</c:v>
                </c:pt>
                <c:pt idx="7">
                  <c:v>39296.622091747377</c:v>
                </c:pt>
              </c:numCache>
            </c:numRef>
          </c:val>
          <c:smooth val="0"/>
          <c:extLst>
            <c:ext xmlns:c16="http://schemas.microsoft.com/office/drawing/2014/chart" uri="{C3380CC4-5D6E-409C-BE32-E72D297353CC}">
              <c16:uniqueId val="{00000001-C23A-4797-8B2A-5DC6E4F7F3DE}"/>
            </c:ext>
          </c:extLst>
        </c:ser>
        <c:dLbls>
          <c:showLegendKey val="0"/>
          <c:showVal val="0"/>
          <c:showCatName val="0"/>
          <c:showSerName val="0"/>
          <c:showPercent val="0"/>
          <c:showBubbleSize val="0"/>
        </c:dLbls>
        <c:marker val="1"/>
        <c:smooth val="0"/>
        <c:axId val="379237640"/>
        <c:axId val="384425528"/>
      </c:lineChart>
      <c:catAx>
        <c:axId val="379237640"/>
        <c:scaling>
          <c:orientation val="minMax"/>
        </c:scaling>
        <c:delete val="0"/>
        <c:axPos val="b"/>
        <c:numFmt formatCode="General" sourceLinked="0"/>
        <c:majorTickMark val="out"/>
        <c:minorTickMark val="none"/>
        <c:tickLblPos val="nextTo"/>
        <c:crossAx val="384425528"/>
        <c:crosses val="autoZero"/>
        <c:auto val="1"/>
        <c:lblAlgn val="ctr"/>
        <c:lblOffset val="100"/>
        <c:noMultiLvlLbl val="0"/>
      </c:catAx>
      <c:valAx>
        <c:axId val="384425528"/>
        <c:scaling>
          <c:orientation val="minMax"/>
        </c:scaling>
        <c:delete val="0"/>
        <c:axPos val="l"/>
        <c:numFmt formatCode="General" sourceLinked="1"/>
        <c:majorTickMark val="out"/>
        <c:minorTickMark val="none"/>
        <c:tickLblPos val="nextTo"/>
        <c:crossAx val="379237640"/>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成本决策分析</a:t>
            </a:r>
          </a:p>
        </c:rich>
      </c:tx>
      <c:overlay val="0"/>
      <c:spPr>
        <a:noFill/>
        <a:ln>
          <a:noFill/>
        </a:ln>
        <a:effectLst/>
      </c:spPr>
    </c:title>
    <c:autoTitleDeleted val="0"/>
    <c:plotArea>
      <c:layout/>
      <c:scatterChart>
        <c:scatterStyle val="lineMarker"/>
        <c:varyColors val="0"/>
        <c:ser>
          <c:idx val="0"/>
          <c:order val="0"/>
          <c:tx>
            <c:strRef>
              <c:f>第4题答案!$G$2</c:f>
              <c:strCache>
                <c:ptCount val="1"/>
                <c:pt idx="0">
                  <c:v>产品A</c:v>
                </c:pt>
              </c:strCache>
            </c:strRef>
          </c:tx>
          <c:spPr>
            <a:ln w="19050" cap="rnd">
              <a:solidFill>
                <a:schemeClr val="accent1"/>
              </a:solidFill>
              <a:round/>
            </a:ln>
            <a:effectLst/>
          </c:spPr>
          <c:marker>
            <c:symbol val="none"/>
          </c:marker>
          <c:xVal>
            <c:numRef>
              <c:f>第4题答案!$F$11:$F$16</c:f>
              <c:numCache>
                <c:formatCode>General</c:formatCode>
                <c:ptCount val="6"/>
                <c:pt idx="0">
                  <c:v>0</c:v>
                </c:pt>
                <c:pt idx="1">
                  <c:v>1999.999</c:v>
                </c:pt>
                <c:pt idx="2">
                  <c:v>2000</c:v>
                </c:pt>
                <c:pt idx="3">
                  <c:v>2999.9989999999998</c:v>
                </c:pt>
                <c:pt idx="4">
                  <c:v>3000</c:v>
                </c:pt>
                <c:pt idx="5">
                  <c:v>6000</c:v>
                </c:pt>
              </c:numCache>
            </c:numRef>
          </c:xVal>
          <c:yVal>
            <c:numRef>
              <c:f>第4题答案!$G$11:$G$16</c:f>
              <c:numCache>
                <c:formatCode>General</c:formatCode>
                <c:ptCount val="6"/>
                <c:pt idx="0">
                  <c:v>20000</c:v>
                </c:pt>
                <c:pt idx="1">
                  <c:v>109999.955</c:v>
                </c:pt>
                <c:pt idx="2">
                  <c:v>90000</c:v>
                </c:pt>
                <c:pt idx="3">
                  <c:v>124999.965</c:v>
                </c:pt>
                <c:pt idx="4">
                  <c:v>95000</c:v>
                </c:pt>
                <c:pt idx="5">
                  <c:v>170000</c:v>
                </c:pt>
              </c:numCache>
            </c:numRef>
          </c:yVal>
          <c:smooth val="0"/>
          <c:extLst>
            <c:ext xmlns:c16="http://schemas.microsoft.com/office/drawing/2014/chart" uri="{C3380CC4-5D6E-409C-BE32-E72D297353CC}">
              <c16:uniqueId val="{00000000-C366-4A5F-AC49-2105F863A0FF}"/>
            </c:ext>
          </c:extLst>
        </c:ser>
        <c:ser>
          <c:idx val="1"/>
          <c:order val="1"/>
          <c:tx>
            <c:strRef>
              <c:f>第4题答案!$H$2</c:f>
              <c:strCache>
                <c:ptCount val="1"/>
                <c:pt idx="0">
                  <c:v>产品B</c:v>
                </c:pt>
              </c:strCache>
            </c:strRef>
          </c:tx>
          <c:spPr>
            <a:ln w="19050" cap="rnd">
              <a:solidFill>
                <a:srgbClr val="DC3CC1"/>
              </a:solidFill>
              <a:round/>
            </a:ln>
            <a:effectLst/>
          </c:spPr>
          <c:marker>
            <c:symbol val="none"/>
          </c:marker>
          <c:xVal>
            <c:numRef>
              <c:f>第4题答案!$F$11:$F$16</c:f>
              <c:numCache>
                <c:formatCode>General</c:formatCode>
                <c:ptCount val="6"/>
                <c:pt idx="0">
                  <c:v>0</c:v>
                </c:pt>
                <c:pt idx="1">
                  <c:v>1999.999</c:v>
                </c:pt>
                <c:pt idx="2">
                  <c:v>2000</c:v>
                </c:pt>
                <c:pt idx="3">
                  <c:v>2999.9989999999998</c:v>
                </c:pt>
                <c:pt idx="4">
                  <c:v>3000</c:v>
                </c:pt>
                <c:pt idx="5">
                  <c:v>6000</c:v>
                </c:pt>
              </c:numCache>
            </c:numRef>
          </c:xVal>
          <c:yVal>
            <c:numRef>
              <c:f>第4题答案!$H$11:$H$16</c:f>
              <c:numCache>
                <c:formatCode>General</c:formatCode>
                <c:ptCount val="6"/>
                <c:pt idx="0">
                  <c:v>30000</c:v>
                </c:pt>
                <c:pt idx="1">
                  <c:v>89999.97</c:v>
                </c:pt>
                <c:pt idx="2">
                  <c:v>70000</c:v>
                </c:pt>
                <c:pt idx="3">
                  <c:v>89999.98</c:v>
                </c:pt>
                <c:pt idx="4">
                  <c:v>75000</c:v>
                </c:pt>
                <c:pt idx="5">
                  <c:v>120000</c:v>
                </c:pt>
              </c:numCache>
            </c:numRef>
          </c:yVal>
          <c:smooth val="0"/>
          <c:extLst>
            <c:ext xmlns:c16="http://schemas.microsoft.com/office/drawing/2014/chart" uri="{C3380CC4-5D6E-409C-BE32-E72D297353CC}">
              <c16:uniqueId val="{00000001-C366-4A5F-AC49-2105F863A0FF}"/>
            </c:ext>
          </c:extLst>
        </c:ser>
        <c:ser>
          <c:idx val="2"/>
          <c:order val="2"/>
          <c:spPr>
            <a:ln w="19050" cap="rnd">
              <a:solidFill>
                <a:srgbClr val="FF0000"/>
              </a:solidFill>
              <a:round/>
            </a:ln>
            <a:effectLst/>
          </c:spPr>
          <c:marker>
            <c:symbol val="none"/>
          </c:marker>
          <c:xVal>
            <c:numRef>
              <c:f>第4题答案!$F$18:$F$21</c:f>
              <c:numCache>
                <c:formatCode>General</c:formatCode>
                <c:ptCount val="4"/>
                <c:pt idx="0">
                  <c:v>2500</c:v>
                </c:pt>
                <c:pt idx="1">
                  <c:v>2500</c:v>
                </c:pt>
                <c:pt idx="2">
                  <c:v>2500</c:v>
                </c:pt>
                <c:pt idx="3">
                  <c:v>2500</c:v>
                </c:pt>
              </c:numCache>
            </c:numRef>
          </c:xVal>
          <c:yVal>
            <c:numRef>
              <c:f>第4题答案!$G$18:$G$21</c:f>
              <c:numCache>
                <c:formatCode>General</c:formatCode>
                <c:ptCount val="4"/>
                <c:pt idx="0">
                  <c:v>0</c:v>
                </c:pt>
                <c:pt idx="1">
                  <c:v>107500</c:v>
                </c:pt>
                <c:pt idx="2">
                  <c:v>80000</c:v>
                </c:pt>
                <c:pt idx="3" formatCode="0.0">
                  <c:v>180000</c:v>
                </c:pt>
              </c:numCache>
            </c:numRef>
          </c:yVal>
          <c:smooth val="0"/>
          <c:extLst>
            <c:ext xmlns:c16="http://schemas.microsoft.com/office/drawing/2014/chart" uri="{C3380CC4-5D6E-409C-BE32-E72D297353CC}">
              <c16:uniqueId val="{00000002-C366-4A5F-AC49-2105F863A0FF}"/>
            </c:ext>
          </c:extLst>
        </c:ser>
        <c:ser>
          <c:idx val="3"/>
          <c:order val="3"/>
          <c:spPr>
            <a:ln w="19050" cap="rnd">
              <a:solidFill>
                <a:schemeClr val="accent4"/>
              </a:solidFill>
              <a:round/>
            </a:ln>
            <a:effectLst/>
          </c:spPr>
          <c:marker>
            <c:symbol val="square"/>
            <c:size val="6"/>
            <c:spPr>
              <a:solidFill>
                <a:srgbClr val="FF0000"/>
              </a:solidFill>
              <a:ln w="9525">
                <a:noFill/>
              </a:ln>
              <a:effectLst/>
            </c:spPr>
          </c:marker>
          <c:xVal>
            <c:numRef>
              <c:f>第4题答案!$F$19</c:f>
              <c:numCache>
                <c:formatCode>General</c:formatCode>
                <c:ptCount val="1"/>
                <c:pt idx="0">
                  <c:v>2500</c:v>
                </c:pt>
              </c:numCache>
            </c:numRef>
          </c:xVal>
          <c:yVal>
            <c:numRef>
              <c:f>第4题答案!$G$19</c:f>
              <c:numCache>
                <c:formatCode>General</c:formatCode>
                <c:ptCount val="1"/>
                <c:pt idx="0">
                  <c:v>107500</c:v>
                </c:pt>
              </c:numCache>
            </c:numRef>
          </c:yVal>
          <c:smooth val="0"/>
          <c:extLst>
            <c:ext xmlns:c16="http://schemas.microsoft.com/office/drawing/2014/chart" uri="{C3380CC4-5D6E-409C-BE32-E72D297353CC}">
              <c16:uniqueId val="{00000003-C366-4A5F-AC49-2105F863A0FF}"/>
            </c:ext>
          </c:extLst>
        </c:ser>
        <c:ser>
          <c:idx val="4"/>
          <c:order val="4"/>
          <c:spPr>
            <a:ln w="19050" cap="rnd">
              <a:solidFill>
                <a:schemeClr val="accent5"/>
              </a:solidFill>
              <a:round/>
            </a:ln>
            <a:effectLst/>
          </c:spPr>
          <c:marker>
            <c:symbol val="square"/>
            <c:size val="6"/>
            <c:spPr>
              <a:solidFill>
                <a:srgbClr val="FF0000"/>
              </a:solidFill>
              <a:ln w="9525">
                <a:noFill/>
              </a:ln>
              <a:effectLst/>
            </c:spPr>
          </c:marker>
          <c:xVal>
            <c:numRef>
              <c:f>第4题答案!$F$20</c:f>
              <c:numCache>
                <c:formatCode>General</c:formatCode>
                <c:ptCount val="1"/>
                <c:pt idx="0">
                  <c:v>2500</c:v>
                </c:pt>
              </c:numCache>
            </c:numRef>
          </c:xVal>
          <c:yVal>
            <c:numRef>
              <c:f>第4题答案!$G$20</c:f>
              <c:numCache>
                <c:formatCode>General</c:formatCode>
                <c:ptCount val="1"/>
                <c:pt idx="0">
                  <c:v>80000</c:v>
                </c:pt>
              </c:numCache>
            </c:numRef>
          </c:yVal>
          <c:smooth val="0"/>
          <c:extLst>
            <c:ext xmlns:c16="http://schemas.microsoft.com/office/drawing/2014/chart" uri="{C3380CC4-5D6E-409C-BE32-E72D297353CC}">
              <c16:uniqueId val="{00000004-C366-4A5F-AC49-2105F863A0FF}"/>
            </c:ext>
          </c:extLst>
        </c:ser>
        <c:dLbls>
          <c:showLegendKey val="0"/>
          <c:showVal val="0"/>
          <c:showCatName val="0"/>
          <c:showSerName val="0"/>
          <c:showPercent val="0"/>
          <c:showBubbleSize val="0"/>
        </c:dLbls>
        <c:axId val="384428664"/>
        <c:axId val="384429056"/>
      </c:scatterChart>
      <c:valAx>
        <c:axId val="384428664"/>
        <c:scaling>
          <c:orientation val="minMax"/>
          <c:max val="60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84429056"/>
        <c:crosses val="autoZero"/>
        <c:crossBetween val="midCat"/>
      </c:valAx>
      <c:valAx>
        <c:axId val="384429056"/>
        <c:scaling>
          <c:orientation val="minMax"/>
          <c:max val="18000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84428664"/>
        <c:crosses val="autoZero"/>
        <c:crossBetween val="midCat"/>
      </c:valAx>
      <c:spPr>
        <a:noFill/>
        <a:ln>
          <a:noFill/>
        </a:ln>
        <a:effectLst/>
      </c:spPr>
    </c:plotArea>
    <c:legend>
      <c:legendPos val="b"/>
      <c:legendEntry>
        <c:idx val="2"/>
        <c:delete val="1"/>
      </c:legendEntry>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9437418044922"/>
          <c:y val="0.21052703716775345"/>
          <c:w val="0.8192105461587551"/>
          <c:h val="0.66666895103121926"/>
        </c:manualLayout>
      </c:layout>
      <c:barChart>
        <c:barDir val="col"/>
        <c:grouping val="clustered"/>
        <c:varyColors val="0"/>
        <c:ser>
          <c:idx val="1"/>
          <c:order val="0"/>
          <c:spPr>
            <a:solidFill>
              <a:srgbClr val="9999FF"/>
            </a:solidFill>
            <a:ln w="12700">
              <a:solidFill>
                <a:srgbClr val="000000"/>
              </a:solidFill>
              <a:prstDash val="solid"/>
            </a:ln>
          </c:spPr>
          <c:invertIfNegative val="0"/>
          <c:cat>
            <c:numRef>
              <c:f>第5题答案!$D$4:$D$14</c:f>
              <c:numCache>
                <c:formatCode>0</c:formatCode>
                <c:ptCount val="11"/>
                <c:pt idx="0">
                  <c:v>1000</c:v>
                </c:pt>
                <c:pt idx="1">
                  <c:v>1100</c:v>
                </c:pt>
                <c:pt idx="2">
                  <c:v>1200</c:v>
                </c:pt>
                <c:pt idx="3">
                  <c:v>1300</c:v>
                </c:pt>
                <c:pt idx="4">
                  <c:v>1400</c:v>
                </c:pt>
                <c:pt idx="5">
                  <c:v>1500</c:v>
                </c:pt>
                <c:pt idx="6">
                  <c:v>1600</c:v>
                </c:pt>
                <c:pt idx="7">
                  <c:v>1700</c:v>
                </c:pt>
                <c:pt idx="8">
                  <c:v>1800</c:v>
                </c:pt>
                <c:pt idx="9">
                  <c:v>1900</c:v>
                </c:pt>
                <c:pt idx="10">
                  <c:v>2000</c:v>
                </c:pt>
              </c:numCache>
            </c:numRef>
          </c:cat>
          <c:val>
            <c:numRef>
              <c:f>第5题答案!$F$4:$F$14</c:f>
              <c:numCache>
                <c:formatCode>0</c:formatCode>
                <c:ptCount val="11"/>
                <c:pt idx="0">
                  <c:v>625250</c:v>
                </c:pt>
                <c:pt idx="1">
                  <c:v>627113.63636363635</c:v>
                </c:pt>
                <c:pt idx="2">
                  <c:v>629125</c:v>
                </c:pt>
                <c:pt idx="3">
                  <c:v>631250</c:v>
                </c:pt>
                <c:pt idx="4">
                  <c:v>633464.28571428568</c:v>
                </c:pt>
                <c:pt idx="5">
                  <c:v>635750</c:v>
                </c:pt>
                <c:pt idx="6">
                  <c:v>638093.75</c:v>
                </c:pt>
                <c:pt idx="7">
                  <c:v>640485.29411764711</c:v>
                </c:pt>
                <c:pt idx="8">
                  <c:v>642916.66666666663</c:v>
                </c:pt>
                <c:pt idx="9">
                  <c:v>645381.57894736843</c:v>
                </c:pt>
                <c:pt idx="10" formatCode="General">
                  <c:v>647875</c:v>
                </c:pt>
              </c:numCache>
            </c:numRef>
          </c:val>
          <c:extLst>
            <c:ext xmlns:c16="http://schemas.microsoft.com/office/drawing/2014/chart" uri="{C3380CC4-5D6E-409C-BE32-E72D297353CC}">
              <c16:uniqueId val="{00000000-8BA9-4BFC-9C8C-3C010B306A7A}"/>
            </c:ext>
          </c:extLst>
        </c:ser>
        <c:ser>
          <c:idx val="2"/>
          <c:order val="1"/>
          <c:spPr>
            <a:solidFill>
              <a:srgbClr val="FF00FF"/>
            </a:solidFill>
            <a:ln w="12700">
              <a:solidFill>
                <a:srgbClr val="000000"/>
              </a:solidFill>
              <a:prstDash val="solid"/>
            </a:ln>
          </c:spPr>
          <c:invertIfNegative val="0"/>
          <c:cat>
            <c:numRef>
              <c:f>第5题答案!$D$4:$D$14</c:f>
              <c:numCache>
                <c:formatCode>0</c:formatCode>
                <c:ptCount val="11"/>
                <c:pt idx="0">
                  <c:v>1000</c:v>
                </c:pt>
                <c:pt idx="1">
                  <c:v>1100</c:v>
                </c:pt>
                <c:pt idx="2">
                  <c:v>1200</c:v>
                </c:pt>
                <c:pt idx="3">
                  <c:v>1300</c:v>
                </c:pt>
                <c:pt idx="4">
                  <c:v>1400</c:v>
                </c:pt>
                <c:pt idx="5">
                  <c:v>1500</c:v>
                </c:pt>
                <c:pt idx="6">
                  <c:v>1600</c:v>
                </c:pt>
                <c:pt idx="7">
                  <c:v>1700</c:v>
                </c:pt>
                <c:pt idx="8">
                  <c:v>1800</c:v>
                </c:pt>
                <c:pt idx="9">
                  <c:v>1900</c:v>
                </c:pt>
                <c:pt idx="10">
                  <c:v>2000</c:v>
                </c:pt>
              </c:numCache>
            </c:numRef>
          </c:cat>
          <c:val>
            <c:numRef>
              <c:f>第5题答案!$G$4:$G$14</c:f>
              <c:numCache>
                <c:formatCode>General</c:formatCode>
                <c:ptCount val="11"/>
                <c:pt idx="0">
                  <c:v>0</c:v>
                </c:pt>
                <c:pt idx="1">
                  <c:v>0</c:v>
                </c:pt>
                <c:pt idx="2">
                  <c:v>0</c:v>
                </c:pt>
                <c:pt idx="3">
                  <c:v>0</c:v>
                </c:pt>
                <c:pt idx="4">
                  <c:v>0</c:v>
                </c:pt>
                <c:pt idx="5">
                  <c:v>635750</c:v>
                </c:pt>
                <c:pt idx="6">
                  <c:v>0</c:v>
                </c:pt>
                <c:pt idx="7">
                  <c:v>0</c:v>
                </c:pt>
                <c:pt idx="8">
                  <c:v>0</c:v>
                </c:pt>
                <c:pt idx="9">
                  <c:v>0</c:v>
                </c:pt>
                <c:pt idx="10">
                  <c:v>0</c:v>
                </c:pt>
              </c:numCache>
            </c:numRef>
          </c:val>
          <c:extLst>
            <c:ext xmlns:c16="http://schemas.microsoft.com/office/drawing/2014/chart" uri="{C3380CC4-5D6E-409C-BE32-E72D297353CC}">
              <c16:uniqueId val="{00000001-8BA9-4BFC-9C8C-3C010B306A7A}"/>
            </c:ext>
          </c:extLst>
        </c:ser>
        <c:dLbls>
          <c:showLegendKey val="0"/>
          <c:showVal val="0"/>
          <c:showCatName val="0"/>
          <c:showSerName val="0"/>
          <c:showPercent val="0"/>
          <c:showBubbleSize val="0"/>
        </c:dLbls>
        <c:gapWidth val="0"/>
        <c:overlap val="100"/>
        <c:axId val="383791480"/>
        <c:axId val="383791872"/>
      </c:barChart>
      <c:lineChart>
        <c:grouping val="standard"/>
        <c:varyColors val="0"/>
        <c:ser>
          <c:idx val="3"/>
          <c:order val="2"/>
          <c:spPr>
            <a:ln w="25400">
              <a:solidFill>
                <a:srgbClr val="FF0000"/>
              </a:solidFill>
              <a:prstDash val="solid"/>
            </a:ln>
          </c:spPr>
          <c:marker>
            <c:symbol val="none"/>
          </c:marker>
          <c:cat>
            <c:numRef>
              <c:f>第5题答案!$D$4:$D$14</c:f>
              <c:numCache>
                <c:formatCode>0</c:formatCode>
                <c:ptCount val="11"/>
                <c:pt idx="0">
                  <c:v>1000</c:v>
                </c:pt>
                <c:pt idx="1">
                  <c:v>1100</c:v>
                </c:pt>
                <c:pt idx="2">
                  <c:v>1200</c:v>
                </c:pt>
                <c:pt idx="3">
                  <c:v>1300</c:v>
                </c:pt>
                <c:pt idx="4">
                  <c:v>1400</c:v>
                </c:pt>
                <c:pt idx="5">
                  <c:v>1500</c:v>
                </c:pt>
                <c:pt idx="6">
                  <c:v>1600</c:v>
                </c:pt>
                <c:pt idx="7">
                  <c:v>1700</c:v>
                </c:pt>
                <c:pt idx="8">
                  <c:v>1800</c:v>
                </c:pt>
                <c:pt idx="9">
                  <c:v>1900</c:v>
                </c:pt>
                <c:pt idx="10">
                  <c:v>2000</c:v>
                </c:pt>
              </c:numCache>
            </c:numRef>
          </c:cat>
          <c:val>
            <c:numRef>
              <c:f>第5题答案!$H$4:$H$14</c:f>
              <c:numCache>
                <c:formatCode>0.0</c:formatCode>
                <c:ptCount val="11"/>
                <c:pt idx="0">
                  <c:v>632749.04578762571</c:v>
                </c:pt>
                <c:pt idx="1">
                  <c:v>632749.04578762571</c:v>
                </c:pt>
                <c:pt idx="2">
                  <c:v>632749.04578762571</c:v>
                </c:pt>
                <c:pt idx="3">
                  <c:v>632749.04578762571</c:v>
                </c:pt>
                <c:pt idx="4">
                  <c:v>632749.04578762571</c:v>
                </c:pt>
                <c:pt idx="5">
                  <c:v>632749.04578762571</c:v>
                </c:pt>
                <c:pt idx="6">
                  <c:v>632749.04578762571</c:v>
                </c:pt>
                <c:pt idx="7">
                  <c:v>632749.04578762571</c:v>
                </c:pt>
                <c:pt idx="8">
                  <c:v>632749.04578762571</c:v>
                </c:pt>
                <c:pt idx="9">
                  <c:v>632749.04578762571</c:v>
                </c:pt>
                <c:pt idx="10">
                  <c:v>632749.04578762571</c:v>
                </c:pt>
              </c:numCache>
            </c:numRef>
          </c:val>
          <c:smooth val="0"/>
          <c:extLst>
            <c:ext xmlns:c16="http://schemas.microsoft.com/office/drawing/2014/chart" uri="{C3380CC4-5D6E-409C-BE32-E72D297353CC}">
              <c16:uniqueId val="{00000002-8BA9-4BFC-9C8C-3C010B306A7A}"/>
            </c:ext>
          </c:extLst>
        </c:ser>
        <c:dLbls>
          <c:showLegendKey val="0"/>
          <c:showVal val="0"/>
          <c:showCatName val="0"/>
          <c:showSerName val="0"/>
          <c:showPercent val="0"/>
          <c:showBubbleSize val="0"/>
        </c:dLbls>
        <c:marker val="1"/>
        <c:smooth val="0"/>
        <c:axId val="383791480"/>
        <c:axId val="383791872"/>
      </c:lineChart>
      <c:catAx>
        <c:axId val="383791480"/>
        <c:scaling>
          <c:orientation val="minMax"/>
        </c:scaling>
        <c:delete val="0"/>
        <c:axPos val="b"/>
        <c:title>
          <c:tx>
            <c:rich>
              <a:bodyPr rot="0" vert="wordArtVertRtl"/>
              <a:lstStyle/>
              <a:p>
                <a:pPr algn="ctr">
                  <a:defRPr sz="975" b="0" i="0" u="none" strike="noStrike" baseline="0">
                    <a:solidFill>
                      <a:srgbClr val="000000"/>
                    </a:solidFill>
                    <a:latin typeface="宋体"/>
                    <a:ea typeface="宋体"/>
                    <a:cs typeface="宋体"/>
                  </a:defRPr>
                </a:pPr>
                <a:r>
                  <a:rPr lang="zh-CN" altLang="en-US"/>
                  <a:t>订货量</a:t>
                </a:r>
              </a:p>
            </c:rich>
          </c:tx>
          <c:layout>
            <c:manualLayout>
              <c:xMode val="edge"/>
              <c:yMode val="edge"/>
              <c:x val="0.95668725850263825"/>
              <c:y val="0.7438621979927289"/>
            </c:manualLayout>
          </c:layout>
          <c:overlay val="0"/>
          <c:spPr>
            <a:noFill/>
            <a:ln w="25400">
              <a:noFill/>
            </a:ln>
          </c:spPr>
        </c:title>
        <c:numFmt formatCode="0" sourceLinked="1"/>
        <c:majorTickMark val="in"/>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宋体"/>
                <a:ea typeface="宋体"/>
                <a:cs typeface="宋体"/>
              </a:defRPr>
            </a:pPr>
            <a:endParaRPr lang="zh-CN"/>
          </a:p>
        </c:txPr>
        <c:crossAx val="383791872"/>
        <c:crosses val="autoZero"/>
        <c:auto val="1"/>
        <c:lblAlgn val="ctr"/>
        <c:lblOffset val="100"/>
        <c:tickLblSkip val="1"/>
        <c:tickMarkSkip val="1"/>
        <c:noMultiLvlLbl val="0"/>
      </c:catAx>
      <c:valAx>
        <c:axId val="383791872"/>
        <c:scaling>
          <c:orientation val="minMax"/>
          <c:max val="650000"/>
          <c:min val="600000"/>
        </c:scaling>
        <c:delete val="0"/>
        <c:axPos val="l"/>
        <c:numFmt formatCode="0" sourceLinked="1"/>
        <c:majorTickMark val="in"/>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宋体"/>
                <a:ea typeface="宋体"/>
                <a:cs typeface="宋体"/>
              </a:defRPr>
            </a:pPr>
            <a:endParaRPr lang="zh-CN"/>
          </a:p>
        </c:txPr>
        <c:crossAx val="383791480"/>
        <c:crosses val="autoZero"/>
        <c:crossBetween val="between"/>
      </c:valAx>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9437418044922"/>
          <c:y val="0.21052703716775345"/>
          <c:w val="0.8192105461587551"/>
          <c:h val="0.66666895103121926"/>
        </c:manualLayout>
      </c:layout>
      <c:barChart>
        <c:barDir val="col"/>
        <c:grouping val="clustered"/>
        <c:varyColors val="0"/>
        <c:ser>
          <c:idx val="1"/>
          <c:order val="0"/>
          <c:spPr>
            <a:solidFill>
              <a:srgbClr val="9999FF"/>
            </a:solidFill>
            <a:ln w="12700">
              <a:solidFill>
                <a:srgbClr val="000000"/>
              </a:solidFill>
              <a:prstDash val="solid"/>
            </a:ln>
          </c:spPr>
          <c:invertIfNegative val="0"/>
          <c:cat>
            <c:numRef>
              <c:f>第5题答案!$D$4:$D$14</c:f>
              <c:numCache>
                <c:formatCode>0</c:formatCode>
                <c:ptCount val="11"/>
                <c:pt idx="0">
                  <c:v>1000</c:v>
                </c:pt>
                <c:pt idx="1">
                  <c:v>1100</c:v>
                </c:pt>
                <c:pt idx="2">
                  <c:v>1200</c:v>
                </c:pt>
                <c:pt idx="3">
                  <c:v>1300</c:v>
                </c:pt>
                <c:pt idx="4">
                  <c:v>1400</c:v>
                </c:pt>
                <c:pt idx="5">
                  <c:v>1500</c:v>
                </c:pt>
                <c:pt idx="6">
                  <c:v>1600</c:v>
                </c:pt>
                <c:pt idx="7">
                  <c:v>1700</c:v>
                </c:pt>
                <c:pt idx="8">
                  <c:v>1800</c:v>
                </c:pt>
                <c:pt idx="9">
                  <c:v>1900</c:v>
                </c:pt>
                <c:pt idx="10">
                  <c:v>2000</c:v>
                </c:pt>
              </c:numCache>
            </c:numRef>
          </c:cat>
          <c:val>
            <c:numRef>
              <c:f>第5题答案!$F$4:$F$14</c:f>
              <c:numCache>
                <c:formatCode>0</c:formatCode>
                <c:ptCount val="11"/>
                <c:pt idx="0">
                  <c:v>625250</c:v>
                </c:pt>
                <c:pt idx="1">
                  <c:v>627113.63636363635</c:v>
                </c:pt>
                <c:pt idx="2">
                  <c:v>629125</c:v>
                </c:pt>
                <c:pt idx="3">
                  <c:v>631250</c:v>
                </c:pt>
                <c:pt idx="4">
                  <c:v>633464.28571428568</c:v>
                </c:pt>
                <c:pt idx="5">
                  <c:v>635750</c:v>
                </c:pt>
                <c:pt idx="6">
                  <c:v>638093.75</c:v>
                </c:pt>
                <c:pt idx="7">
                  <c:v>640485.29411764711</c:v>
                </c:pt>
                <c:pt idx="8">
                  <c:v>642916.66666666663</c:v>
                </c:pt>
                <c:pt idx="9">
                  <c:v>645381.57894736843</c:v>
                </c:pt>
                <c:pt idx="10" formatCode="General">
                  <c:v>647875</c:v>
                </c:pt>
              </c:numCache>
            </c:numRef>
          </c:val>
          <c:extLst>
            <c:ext xmlns:c16="http://schemas.microsoft.com/office/drawing/2014/chart" uri="{C3380CC4-5D6E-409C-BE32-E72D297353CC}">
              <c16:uniqueId val="{00000000-A166-4588-8CA4-8C955803F757}"/>
            </c:ext>
          </c:extLst>
        </c:ser>
        <c:ser>
          <c:idx val="2"/>
          <c:order val="1"/>
          <c:spPr>
            <a:solidFill>
              <a:srgbClr val="FF00FF"/>
            </a:solidFill>
            <a:ln w="12700">
              <a:solidFill>
                <a:srgbClr val="000000"/>
              </a:solidFill>
              <a:prstDash val="solid"/>
            </a:ln>
          </c:spPr>
          <c:invertIfNegative val="0"/>
          <c:cat>
            <c:numRef>
              <c:f>第5题答案!$D$4:$D$14</c:f>
              <c:numCache>
                <c:formatCode>0</c:formatCode>
                <c:ptCount val="11"/>
                <c:pt idx="0">
                  <c:v>1000</c:v>
                </c:pt>
                <c:pt idx="1">
                  <c:v>1100</c:v>
                </c:pt>
                <c:pt idx="2">
                  <c:v>1200</c:v>
                </c:pt>
                <c:pt idx="3">
                  <c:v>1300</c:v>
                </c:pt>
                <c:pt idx="4">
                  <c:v>1400</c:v>
                </c:pt>
                <c:pt idx="5">
                  <c:v>1500</c:v>
                </c:pt>
                <c:pt idx="6">
                  <c:v>1600</c:v>
                </c:pt>
                <c:pt idx="7">
                  <c:v>1700</c:v>
                </c:pt>
                <c:pt idx="8">
                  <c:v>1800</c:v>
                </c:pt>
                <c:pt idx="9">
                  <c:v>1900</c:v>
                </c:pt>
                <c:pt idx="10">
                  <c:v>2000</c:v>
                </c:pt>
              </c:numCache>
            </c:numRef>
          </c:cat>
          <c:val>
            <c:numRef>
              <c:f>第5题答案!$G$4:$G$14</c:f>
              <c:numCache>
                <c:formatCode>General</c:formatCode>
                <c:ptCount val="11"/>
                <c:pt idx="0">
                  <c:v>0</c:v>
                </c:pt>
                <c:pt idx="1">
                  <c:v>0</c:v>
                </c:pt>
                <c:pt idx="2">
                  <c:v>0</c:v>
                </c:pt>
                <c:pt idx="3">
                  <c:v>0</c:v>
                </c:pt>
                <c:pt idx="4">
                  <c:v>0</c:v>
                </c:pt>
                <c:pt idx="5">
                  <c:v>635750</c:v>
                </c:pt>
                <c:pt idx="6">
                  <c:v>0</c:v>
                </c:pt>
                <c:pt idx="7">
                  <c:v>0</c:v>
                </c:pt>
                <c:pt idx="8">
                  <c:v>0</c:v>
                </c:pt>
                <c:pt idx="9">
                  <c:v>0</c:v>
                </c:pt>
                <c:pt idx="10">
                  <c:v>0</c:v>
                </c:pt>
              </c:numCache>
            </c:numRef>
          </c:val>
          <c:extLst>
            <c:ext xmlns:c16="http://schemas.microsoft.com/office/drawing/2014/chart" uri="{C3380CC4-5D6E-409C-BE32-E72D297353CC}">
              <c16:uniqueId val="{00000001-A166-4588-8CA4-8C955803F757}"/>
            </c:ext>
          </c:extLst>
        </c:ser>
        <c:dLbls>
          <c:showLegendKey val="0"/>
          <c:showVal val="0"/>
          <c:showCatName val="0"/>
          <c:showSerName val="0"/>
          <c:showPercent val="0"/>
          <c:showBubbleSize val="0"/>
        </c:dLbls>
        <c:gapWidth val="0"/>
        <c:overlap val="100"/>
        <c:axId val="383794224"/>
        <c:axId val="448585824"/>
      </c:barChart>
      <c:lineChart>
        <c:grouping val="standard"/>
        <c:varyColors val="0"/>
        <c:ser>
          <c:idx val="3"/>
          <c:order val="2"/>
          <c:spPr>
            <a:ln w="25400">
              <a:solidFill>
                <a:srgbClr val="FF0000"/>
              </a:solidFill>
              <a:prstDash val="solid"/>
            </a:ln>
          </c:spPr>
          <c:marker>
            <c:symbol val="none"/>
          </c:marker>
          <c:cat>
            <c:numRef>
              <c:f>第5题答案!$D$4:$D$14</c:f>
              <c:numCache>
                <c:formatCode>0</c:formatCode>
                <c:ptCount val="11"/>
                <c:pt idx="0">
                  <c:v>1000</c:v>
                </c:pt>
                <c:pt idx="1">
                  <c:v>1100</c:v>
                </c:pt>
                <c:pt idx="2">
                  <c:v>1200</c:v>
                </c:pt>
                <c:pt idx="3">
                  <c:v>1300</c:v>
                </c:pt>
                <c:pt idx="4">
                  <c:v>1400</c:v>
                </c:pt>
                <c:pt idx="5">
                  <c:v>1500</c:v>
                </c:pt>
                <c:pt idx="6">
                  <c:v>1600</c:v>
                </c:pt>
                <c:pt idx="7">
                  <c:v>1700</c:v>
                </c:pt>
                <c:pt idx="8">
                  <c:v>1800</c:v>
                </c:pt>
                <c:pt idx="9">
                  <c:v>1900</c:v>
                </c:pt>
                <c:pt idx="10">
                  <c:v>2000</c:v>
                </c:pt>
              </c:numCache>
            </c:numRef>
          </c:cat>
          <c:val>
            <c:numRef>
              <c:f>第5题答案!$H$4:$H$14</c:f>
              <c:numCache>
                <c:formatCode>0.0</c:formatCode>
                <c:ptCount val="11"/>
                <c:pt idx="0">
                  <c:v>632749.04578762571</c:v>
                </c:pt>
                <c:pt idx="1">
                  <c:v>632749.04578762571</c:v>
                </c:pt>
                <c:pt idx="2">
                  <c:v>632749.04578762571</c:v>
                </c:pt>
                <c:pt idx="3">
                  <c:v>632749.04578762571</c:v>
                </c:pt>
                <c:pt idx="4">
                  <c:v>632749.04578762571</c:v>
                </c:pt>
                <c:pt idx="5">
                  <c:v>632749.04578762571</c:v>
                </c:pt>
                <c:pt idx="6">
                  <c:v>632749.04578762571</c:v>
                </c:pt>
                <c:pt idx="7">
                  <c:v>632749.04578762571</c:v>
                </c:pt>
                <c:pt idx="8">
                  <c:v>632749.04578762571</c:v>
                </c:pt>
                <c:pt idx="9">
                  <c:v>632749.04578762571</c:v>
                </c:pt>
                <c:pt idx="10">
                  <c:v>632749.04578762571</c:v>
                </c:pt>
              </c:numCache>
            </c:numRef>
          </c:val>
          <c:smooth val="0"/>
          <c:extLst>
            <c:ext xmlns:c16="http://schemas.microsoft.com/office/drawing/2014/chart" uri="{C3380CC4-5D6E-409C-BE32-E72D297353CC}">
              <c16:uniqueId val="{00000002-A166-4588-8CA4-8C955803F757}"/>
            </c:ext>
          </c:extLst>
        </c:ser>
        <c:dLbls>
          <c:showLegendKey val="0"/>
          <c:showVal val="0"/>
          <c:showCatName val="0"/>
          <c:showSerName val="0"/>
          <c:showPercent val="0"/>
          <c:showBubbleSize val="0"/>
        </c:dLbls>
        <c:marker val="1"/>
        <c:smooth val="0"/>
        <c:axId val="383794224"/>
        <c:axId val="448585824"/>
      </c:lineChart>
      <c:catAx>
        <c:axId val="383794224"/>
        <c:scaling>
          <c:orientation val="minMax"/>
        </c:scaling>
        <c:delete val="0"/>
        <c:axPos val="b"/>
        <c:title>
          <c:tx>
            <c:rich>
              <a:bodyPr rot="0" vert="wordArtVertRtl"/>
              <a:lstStyle/>
              <a:p>
                <a:pPr algn="ctr">
                  <a:defRPr sz="975" b="0" i="0" u="none" strike="noStrike" baseline="0">
                    <a:solidFill>
                      <a:srgbClr val="000000"/>
                    </a:solidFill>
                    <a:latin typeface="宋体"/>
                    <a:ea typeface="宋体"/>
                    <a:cs typeface="宋体"/>
                  </a:defRPr>
                </a:pPr>
                <a:r>
                  <a:rPr lang="zh-CN" altLang="en-US"/>
                  <a:t>订货量</a:t>
                </a:r>
              </a:p>
            </c:rich>
          </c:tx>
          <c:layout>
            <c:manualLayout>
              <c:xMode val="edge"/>
              <c:yMode val="edge"/>
              <c:x val="0.95668725850263825"/>
              <c:y val="0.7438621979927289"/>
            </c:manualLayout>
          </c:layout>
          <c:overlay val="0"/>
          <c:spPr>
            <a:noFill/>
            <a:ln w="25400">
              <a:noFill/>
            </a:ln>
          </c:spPr>
        </c:title>
        <c:numFmt formatCode="0" sourceLinked="1"/>
        <c:majorTickMark val="in"/>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宋体"/>
                <a:ea typeface="宋体"/>
                <a:cs typeface="宋体"/>
              </a:defRPr>
            </a:pPr>
            <a:endParaRPr lang="zh-CN"/>
          </a:p>
        </c:txPr>
        <c:crossAx val="448585824"/>
        <c:crosses val="autoZero"/>
        <c:auto val="1"/>
        <c:lblAlgn val="ctr"/>
        <c:lblOffset val="100"/>
        <c:tickLblSkip val="1"/>
        <c:tickMarkSkip val="1"/>
        <c:noMultiLvlLbl val="0"/>
      </c:catAx>
      <c:valAx>
        <c:axId val="448585824"/>
        <c:scaling>
          <c:orientation val="minMax"/>
          <c:max val="650000"/>
          <c:min val="600000"/>
        </c:scaling>
        <c:delete val="0"/>
        <c:axPos val="l"/>
        <c:numFmt formatCode="0" sourceLinked="1"/>
        <c:majorTickMark val="in"/>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宋体"/>
                <a:ea typeface="宋体"/>
                <a:cs typeface="宋体"/>
              </a:defRPr>
            </a:pPr>
            <a:endParaRPr lang="zh-CN"/>
          </a:p>
        </c:txPr>
        <c:crossAx val="383794224"/>
        <c:crosses val="autoZero"/>
        <c:crossBetween val="between"/>
      </c:valAx>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553040244969378"/>
          <c:y val="0.23195610965296004"/>
          <c:w val="0.76391404199475066"/>
          <c:h val="0.64838363954505684"/>
        </c:manualLayout>
      </c:layout>
      <c:barChart>
        <c:barDir val="col"/>
        <c:grouping val="clustered"/>
        <c:varyColors val="0"/>
        <c:ser>
          <c:idx val="0"/>
          <c:order val="0"/>
          <c:invertIfNegative val="0"/>
          <c:cat>
            <c:strRef>
              <c:f>第6题答案!$C$3:$D$3</c:f>
              <c:strCache>
                <c:ptCount val="2"/>
                <c:pt idx="0">
                  <c:v>项目A</c:v>
                </c:pt>
                <c:pt idx="1">
                  <c:v>项目B</c:v>
                </c:pt>
              </c:strCache>
            </c:strRef>
          </c:cat>
          <c:val>
            <c:numRef>
              <c:f>第6题答案!$C$10:$D$10</c:f>
              <c:numCache>
                <c:formatCode>"¥"#,##0.00_);[Red]\("¥"#,##0.00\)</c:formatCode>
                <c:ptCount val="2"/>
                <c:pt idx="0">
                  <c:v>809024.39809795551</c:v>
                </c:pt>
                <c:pt idx="1">
                  <c:v>989109.70454733749</c:v>
                </c:pt>
              </c:numCache>
            </c:numRef>
          </c:val>
          <c:extLst>
            <c:ext xmlns:c16="http://schemas.microsoft.com/office/drawing/2014/chart" uri="{C3380CC4-5D6E-409C-BE32-E72D297353CC}">
              <c16:uniqueId val="{00000000-5836-42DE-9526-1A6BE0992099}"/>
            </c:ext>
          </c:extLst>
        </c:ser>
        <c:ser>
          <c:idx val="1"/>
          <c:order val="1"/>
          <c:spPr>
            <a:solidFill>
              <a:srgbClr val="FF0000"/>
            </a:solidFill>
          </c:spPr>
          <c:invertIfNegative val="0"/>
          <c:cat>
            <c:strRef>
              <c:f>第6题答案!$C$3:$D$3</c:f>
              <c:strCache>
                <c:ptCount val="2"/>
                <c:pt idx="0">
                  <c:v>项目A</c:v>
                </c:pt>
                <c:pt idx="1">
                  <c:v>项目B</c:v>
                </c:pt>
              </c:strCache>
            </c:strRef>
          </c:cat>
          <c:val>
            <c:numRef>
              <c:f>第6题答案!$C$18:$D$18</c:f>
              <c:numCache>
                <c:formatCode>"¥"#,##0.00_);[Red]\("¥"#,##0.00\)</c:formatCode>
                <c:ptCount val="2"/>
                <c:pt idx="0">
                  <c:v>0</c:v>
                </c:pt>
                <c:pt idx="1">
                  <c:v>989109.70454733749</c:v>
                </c:pt>
              </c:numCache>
            </c:numRef>
          </c:val>
          <c:extLst>
            <c:ext xmlns:c16="http://schemas.microsoft.com/office/drawing/2014/chart" uri="{C3380CC4-5D6E-409C-BE32-E72D297353CC}">
              <c16:uniqueId val="{00000001-5836-42DE-9526-1A6BE0992099}"/>
            </c:ext>
          </c:extLst>
        </c:ser>
        <c:dLbls>
          <c:showLegendKey val="0"/>
          <c:showVal val="0"/>
          <c:showCatName val="0"/>
          <c:showSerName val="0"/>
          <c:showPercent val="0"/>
          <c:showBubbleSize val="0"/>
        </c:dLbls>
        <c:gapWidth val="150"/>
        <c:overlap val="100"/>
        <c:axId val="448587392"/>
        <c:axId val="448587784"/>
      </c:barChart>
      <c:catAx>
        <c:axId val="448587392"/>
        <c:scaling>
          <c:orientation val="minMax"/>
        </c:scaling>
        <c:delete val="0"/>
        <c:axPos val="b"/>
        <c:numFmt formatCode="General" sourceLinked="0"/>
        <c:majorTickMark val="out"/>
        <c:minorTickMark val="none"/>
        <c:tickLblPos val="nextTo"/>
        <c:crossAx val="448587784"/>
        <c:crosses val="autoZero"/>
        <c:auto val="1"/>
        <c:lblAlgn val="ctr"/>
        <c:lblOffset val="100"/>
        <c:noMultiLvlLbl val="0"/>
      </c:catAx>
      <c:valAx>
        <c:axId val="448587784"/>
        <c:scaling>
          <c:orientation val="minMax"/>
        </c:scaling>
        <c:delete val="0"/>
        <c:axPos val="l"/>
        <c:numFmt formatCode="&quot;¥&quot;#,##0.00_);[Red]\(&quot;¥&quot;#,##0.00\)" sourceLinked="1"/>
        <c:majorTickMark val="out"/>
        <c:minorTickMark val="none"/>
        <c:tickLblPos val="nextTo"/>
        <c:crossAx val="448587392"/>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zh-CN" altLang="en-US"/>
              <a:t>摸球总得分的概率图</a:t>
            </a:r>
          </a:p>
        </c:rich>
      </c:tx>
      <c:layout/>
      <c:overlay val="1"/>
    </c:title>
    <c:autoTitleDeleted val="0"/>
    <c:plotArea>
      <c:layout>
        <c:manualLayout>
          <c:layoutTarget val="inner"/>
          <c:xMode val="edge"/>
          <c:yMode val="edge"/>
          <c:x val="9.1849518810148731E-2"/>
          <c:y val="0.17640055409740449"/>
          <c:w val="0.86926159230096245"/>
          <c:h val="0.7076195683872849"/>
        </c:manualLayout>
      </c:layout>
      <c:barChart>
        <c:barDir val="col"/>
        <c:grouping val="clustered"/>
        <c:varyColors val="0"/>
        <c:ser>
          <c:idx val="0"/>
          <c:order val="0"/>
          <c:invertIfNegative val="0"/>
          <c:cat>
            <c:numRef>
              <c:f>'第8题答案-方法2'!$N$20:$N$23</c:f>
              <c:numCache>
                <c:formatCode>General</c:formatCode>
                <c:ptCount val="4"/>
                <c:pt idx="0">
                  <c:v>3</c:v>
                </c:pt>
                <c:pt idx="1">
                  <c:v>4</c:v>
                </c:pt>
                <c:pt idx="2">
                  <c:v>5</c:v>
                </c:pt>
                <c:pt idx="3">
                  <c:v>6</c:v>
                </c:pt>
              </c:numCache>
            </c:numRef>
          </c:cat>
          <c:val>
            <c:numRef>
              <c:f>'第8题答案-方法2'!$P$20:$P$23</c:f>
              <c:numCache>
                <c:formatCode>0%</c:formatCode>
                <c:ptCount val="4"/>
                <c:pt idx="0">
                  <c:v>0.19800000000000001</c:v>
                </c:pt>
                <c:pt idx="1">
                  <c:v>0.58799999999999997</c:v>
                </c:pt>
                <c:pt idx="2">
                  <c:v>0.20799999999999999</c:v>
                </c:pt>
                <c:pt idx="3">
                  <c:v>6.0000000000000001E-3</c:v>
                </c:pt>
              </c:numCache>
            </c:numRef>
          </c:val>
          <c:extLst>
            <c:ext xmlns:c16="http://schemas.microsoft.com/office/drawing/2014/chart" uri="{C3380CC4-5D6E-409C-BE32-E72D297353CC}">
              <c16:uniqueId val="{00000000-7F35-4C6D-B275-5BFC2D4CFD23}"/>
            </c:ext>
          </c:extLst>
        </c:ser>
        <c:dLbls>
          <c:showLegendKey val="0"/>
          <c:showVal val="0"/>
          <c:showCatName val="0"/>
          <c:showSerName val="0"/>
          <c:showPercent val="0"/>
          <c:showBubbleSize val="0"/>
        </c:dLbls>
        <c:gapWidth val="0"/>
        <c:axId val="383793832"/>
        <c:axId val="383793440"/>
      </c:barChart>
      <c:catAx>
        <c:axId val="383793832"/>
        <c:scaling>
          <c:orientation val="minMax"/>
        </c:scaling>
        <c:delete val="0"/>
        <c:axPos val="b"/>
        <c:numFmt formatCode="General" sourceLinked="1"/>
        <c:majorTickMark val="out"/>
        <c:minorTickMark val="none"/>
        <c:tickLblPos val="nextTo"/>
        <c:crossAx val="383793440"/>
        <c:crosses val="autoZero"/>
        <c:auto val="1"/>
        <c:lblAlgn val="ctr"/>
        <c:lblOffset val="100"/>
        <c:noMultiLvlLbl val="0"/>
      </c:catAx>
      <c:valAx>
        <c:axId val="383793440"/>
        <c:scaling>
          <c:orientation val="minMax"/>
        </c:scaling>
        <c:delete val="0"/>
        <c:axPos val="l"/>
        <c:majorGridlines/>
        <c:numFmt formatCode="0%" sourceLinked="1"/>
        <c:majorTickMark val="out"/>
        <c:minorTickMark val="none"/>
        <c:tickLblPos val="nextTo"/>
        <c:crossAx val="383793832"/>
        <c:crosses val="autoZero"/>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zh-CN" altLang="en-US"/>
              <a:t>摸球总得分的概率图</a:t>
            </a:r>
          </a:p>
        </c:rich>
      </c:tx>
      <c:layout/>
      <c:overlay val="1"/>
    </c:title>
    <c:autoTitleDeleted val="0"/>
    <c:plotArea>
      <c:layout>
        <c:manualLayout>
          <c:layoutTarget val="inner"/>
          <c:xMode val="edge"/>
          <c:yMode val="edge"/>
          <c:x val="9.1849518810148731E-2"/>
          <c:y val="0.17640055409740449"/>
          <c:w val="0.86926159230096245"/>
          <c:h val="0.7076195683872849"/>
        </c:manualLayout>
      </c:layout>
      <c:barChart>
        <c:barDir val="col"/>
        <c:grouping val="clustered"/>
        <c:varyColors val="0"/>
        <c:ser>
          <c:idx val="0"/>
          <c:order val="0"/>
          <c:invertIfNegative val="0"/>
          <c:cat>
            <c:numRef>
              <c:f>'第8题答案-方法1'!$N$14:$N$17</c:f>
              <c:numCache>
                <c:formatCode>General</c:formatCode>
                <c:ptCount val="4"/>
                <c:pt idx="0">
                  <c:v>3</c:v>
                </c:pt>
                <c:pt idx="1">
                  <c:v>4</c:v>
                </c:pt>
                <c:pt idx="2">
                  <c:v>5</c:v>
                </c:pt>
                <c:pt idx="3">
                  <c:v>6</c:v>
                </c:pt>
              </c:numCache>
            </c:numRef>
          </c:cat>
          <c:val>
            <c:numRef>
              <c:f>'第8题答案-方法1'!$P$14:$P$17</c:f>
              <c:numCache>
                <c:formatCode>0%</c:formatCode>
                <c:ptCount val="4"/>
                <c:pt idx="0">
                  <c:v>0.20799999999999999</c:v>
                </c:pt>
                <c:pt idx="1">
                  <c:v>0.56200000000000006</c:v>
                </c:pt>
                <c:pt idx="2">
                  <c:v>0.22</c:v>
                </c:pt>
                <c:pt idx="3">
                  <c:v>0.01</c:v>
                </c:pt>
              </c:numCache>
            </c:numRef>
          </c:val>
          <c:extLst>
            <c:ext xmlns:c16="http://schemas.microsoft.com/office/drawing/2014/chart" uri="{C3380CC4-5D6E-409C-BE32-E72D297353CC}">
              <c16:uniqueId val="{00000000-AFB2-48F9-82E3-C67D0E0BFB14}"/>
            </c:ext>
          </c:extLst>
        </c:ser>
        <c:dLbls>
          <c:showLegendKey val="0"/>
          <c:showVal val="0"/>
          <c:showCatName val="0"/>
          <c:showSerName val="0"/>
          <c:showPercent val="0"/>
          <c:showBubbleSize val="0"/>
        </c:dLbls>
        <c:gapWidth val="0"/>
        <c:axId val="383793832"/>
        <c:axId val="383793440"/>
      </c:barChart>
      <c:catAx>
        <c:axId val="383793832"/>
        <c:scaling>
          <c:orientation val="minMax"/>
        </c:scaling>
        <c:delete val="0"/>
        <c:axPos val="b"/>
        <c:numFmt formatCode="General" sourceLinked="1"/>
        <c:majorTickMark val="out"/>
        <c:minorTickMark val="none"/>
        <c:tickLblPos val="nextTo"/>
        <c:crossAx val="383793440"/>
        <c:crosses val="autoZero"/>
        <c:auto val="1"/>
        <c:lblAlgn val="ctr"/>
        <c:lblOffset val="100"/>
        <c:noMultiLvlLbl val="0"/>
      </c:catAx>
      <c:valAx>
        <c:axId val="383793440"/>
        <c:scaling>
          <c:orientation val="minMax"/>
        </c:scaling>
        <c:delete val="0"/>
        <c:axPos val="l"/>
        <c:majorGridlines/>
        <c:numFmt formatCode="0%" sourceLinked="1"/>
        <c:majorTickMark val="out"/>
        <c:minorTickMark val="none"/>
        <c:tickLblPos val="nextTo"/>
        <c:crossAx val="383793832"/>
        <c:crosses val="autoZero"/>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zh-CN" altLang="en-US"/>
              <a:t>摸球总得分的概率图</a:t>
            </a:r>
          </a:p>
        </c:rich>
      </c:tx>
      <c:layout/>
      <c:overlay val="1"/>
    </c:title>
    <c:autoTitleDeleted val="0"/>
    <c:plotArea>
      <c:layout>
        <c:manualLayout>
          <c:layoutTarget val="inner"/>
          <c:xMode val="edge"/>
          <c:yMode val="edge"/>
          <c:x val="9.1849518810148731E-2"/>
          <c:y val="0.17640055409740449"/>
          <c:w val="0.86926159230096245"/>
          <c:h val="0.7076195683872849"/>
        </c:manualLayout>
      </c:layout>
      <c:barChart>
        <c:barDir val="col"/>
        <c:grouping val="clustered"/>
        <c:varyColors val="0"/>
        <c:ser>
          <c:idx val="0"/>
          <c:order val="0"/>
          <c:invertIfNegative val="0"/>
          <c:cat>
            <c:numRef>
              <c:f>'第8题-练习'!$N$14:$N$17</c:f>
              <c:numCache>
                <c:formatCode>General</c:formatCode>
                <c:ptCount val="4"/>
                <c:pt idx="0">
                  <c:v>3</c:v>
                </c:pt>
                <c:pt idx="1">
                  <c:v>4</c:v>
                </c:pt>
                <c:pt idx="2">
                  <c:v>5</c:v>
                </c:pt>
                <c:pt idx="3">
                  <c:v>6</c:v>
                </c:pt>
              </c:numCache>
            </c:numRef>
          </c:cat>
          <c:val>
            <c:numRef>
              <c:f>'第8题-练习'!$P$14:$P$17</c:f>
              <c:numCache>
                <c:formatCode>0%</c:formatCode>
                <c:ptCount val="4"/>
              </c:numCache>
            </c:numRef>
          </c:val>
          <c:extLst>
            <c:ext xmlns:c16="http://schemas.microsoft.com/office/drawing/2014/chart" uri="{C3380CC4-5D6E-409C-BE32-E72D297353CC}">
              <c16:uniqueId val="{00000000-D9D0-40BD-9BB1-DB8B111FFE6F}"/>
            </c:ext>
          </c:extLst>
        </c:ser>
        <c:dLbls>
          <c:showLegendKey val="0"/>
          <c:showVal val="0"/>
          <c:showCatName val="0"/>
          <c:showSerName val="0"/>
          <c:showPercent val="0"/>
          <c:showBubbleSize val="0"/>
        </c:dLbls>
        <c:gapWidth val="0"/>
        <c:axId val="383793832"/>
        <c:axId val="383793440"/>
      </c:barChart>
      <c:catAx>
        <c:axId val="383793832"/>
        <c:scaling>
          <c:orientation val="minMax"/>
        </c:scaling>
        <c:delete val="0"/>
        <c:axPos val="b"/>
        <c:numFmt formatCode="General" sourceLinked="1"/>
        <c:majorTickMark val="out"/>
        <c:minorTickMark val="none"/>
        <c:tickLblPos val="nextTo"/>
        <c:crossAx val="383793440"/>
        <c:crosses val="autoZero"/>
        <c:auto val="1"/>
        <c:lblAlgn val="ctr"/>
        <c:lblOffset val="100"/>
        <c:noMultiLvlLbl val="0"/>
      </c:catAx>
      <c:valAx>
        <c:axId val="383793440"/>
        <c:scaling>
          <c:orientation val="minMax"/>
        </c:scaling>
        <c:delete val="0"/>
        <c:axPos val="l"/>
        <c:majorGridlines/>
        <c:numFmt formatCode="0%" sourceLinked="1"/>
        <c:majorTickMark val="out"/>
        <c:minorTickMark val="none"/>
        <c:tickLblPos val="nextTo"/>
        <c:crossAx val="383793832"/>
        <c:crosses val="autoZero"/>
        <c:crossBetween val="between"/>
      </c:valAx>
    </c:plotArea>
    <c:plotVisOnly val="1"/>
    <c:dispBlanksAs val="gap"/>
    <c:showDLblsOverMax val="0"/>
  </c:chart>
  <c:printSettings>
    <c:headerFooter/>
    <c:pageMargins b="0.75" l="0.7" r="0.7" t="0.75" header="0.3" footer="0.3"/>
    <c:pageSetup/>
  </c:printSettings>
</c:chartSpace>
</file>

<file path=xl/ctrlProps/ctrlProp1.xml><?xml version="1.0" encoding="utf-8"?>
<formControlPr xmlns="http://schemas.microsoft.com/office/spreadsheetml/2009/9/main" objectType="Drop" dropStyle="combo" dx="16" fmlaLink="$L$25" fmlaRange="$L$26:$L$28" noThreeD="1" sel="3" val="0"/>
</file>

<file path=xl/ctrlProps/ctrlProp2.xml><?xml version="1.0" encoding="utf-8"?>
<formControlPr xmlns="http://schemas.microsoft.com/office/spreadsheetml/2009/9/main" objectType="Drop" dropStyle="combo" dx="16" fmlaLink="$L$29" fmlaRange="$L$30:$L$31" noThreeD="1" sel="2" val="0"/>
</file>

<file path=xl/ctrlProps/ctrlProp3.xml><?xml version="1.0" encoding="utf-8"?>
<formControlPr xmlns="http://schemas.microsoft.com/office/spreadsheetml/2009/9/main" objectType="Spin" dx="31" fmlaLink="$D$2" inc="50" max="6000" page="10" val="2500"/>
</file>

<file path=xl/ctrlProps/ctrlProp4.xml><?xml version="1.0" encoding="utf-8"?>
<formControlPr xmlns="http://schemas.microsoft.com/office/spreadsheetml/2009/9/main" objectType="Spin" dx="15" fmlaLink="$B$1" inc="100" max="2000" min="1000" page="10" val="1500"/>
</file>

<file path=xl/ctrlProps/ctrlProp5.xml><?xml version="1.0" encoding="utf-8"?>
<formControlPr xmlns="http://schemas.microsoft.com/office/spreadsheetml/2009/9/main" objectType="Spin" dx="15" fmlaLink="$B$1" inc="100" max="2000" min="1000" page="10" val="1500"/>
</file>

<file path=xl/ctrlProps/ctrlProp6.xml><?xml version="1.0" encoding="utf-8"?>
<formControlPr xmlns="http://schemas.microsoft.com/office/spreadsheetml/2009/9/main" objectType="Spin" dx="16" fmlaLink="$D$2" max="20" min="1" page="10"/>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tmp"/></Relationships>
</file>

<file path=xl/drawings/_rels/drawing4.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png"/><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13</xdr:col>
      <xdr:colOff>1409700</xdr:colOff>
      <xdr:row>3</xdr:row>
      <xdr:rowOff>144780</xdr:rowOff>
    </xdr:from>
    <xdr:to>
      <xdr:col>21</xdr:col>
      <xdr:colOff>289561</xdr:colOff>
      <xdr:row>9</xdr:row>
      <xdr:rowOff>71438</xdr:rowOff>
    </xdr:to>
    <xdr:sp macro="" textlink="">
      <xdr:nvSpPr>
        <xdr:cNvPr id="2" name="Text Box 11"/>
        <xdr:cNvSpPr txBox="1">
          <a:spLocks noChangeArrowheads="1"/>
        </xdr:cNvSpPr>
      </xdr:nvSpPr>
      <xdr:spPr bwMode="auto">
        <a:xfrm>
          <a:off x="10927080" y="693420"/>
          <a:ext cx="4785361" cy="10239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zh-CN" altLang="en-US" sz="1000" b="1" i="0" u="none" strike="noStrike" baseline="0">
              <a:solidFill>
                <a:srgbClr val="000000"/>
              </a:solidFill>
              <a:latin typeface="宋体"/>
              <a:ea typeface="宋体"/>
            </a:rPr>
            <a:t>第</a:t>
          </a:r>
          <a:r>
            <a:rPr lang="en-US" altLang="zh-CN" sz="1000" b="1" i="0" u="none" strike="noStrike" baseline="0">
              <a:solidFill>
                <a:srgbClr val="000000"/>
              </a:solidFill>
              <a:latin typeface="宋体"/>
              <a:ea typeface="宋体"/>
            </a:rPr>
            <a:t>1</a:t>
          </a:r>
          <a:r>
            <a:rPr lang="zh-CN" altLang="en-US" sz="1000" b="1" i="0" u="none" strike="noStrike" baseline="0">
              <a:solidFill>
                <a:srgbClr val="000000"/>
              </a:solidFill>
              <a:latin typeface="宋体"/>
              <a:ea typeface="宋体"/>
              <a:cs typeface="Times New Roman"/>
            </a:rPr>
            <a:t>题（</a:t>
          </a:r>
          <a:r>
            <a:rPr lang="en-US" altLang="zh-CN" sz="1000" b="1" i="0" u="none" strike="noStrike" baseline="0">
              <a:solidFill>
                <a:srgbClr val="000000"/>
              </a:solidFill>
              <a:latin typeface="宋体"/>
              <a:ea typeface="宋体"/>
              <a:cs typeface="Times New Roman"/>
            </a:rPr>
            <a:t>11</a:t>
          </a:r>
          <a:r>
            <a:rPr lang="zh-CN" altLang="en-US" sz="1000" b="1" i="0" u="none" strike="noStrike" baseline="0">
              <a:solidFill>
                <a:srgbClr val="000000"/>
              </a:solidFill>
              <a:latin typeface="宋体"/>
              <a:ea typeface="宋体"/>
              <a:cs typeface="Times New Roman"/>
            </a:rPr>
            <a:t>分）</a:t>
          </a:r>
          <a:r>
            <a:rPr lang="zh-CN" altLang="en-US" sz="1000" b="0" i="0" u="none" strike="noStrike" baseline="0">
              <a:solidFill>
                <a:srgbClr val="000000"/>
              </a:solidFill>
              <a:latin typeface="Times New Roman"/>
              <a:ea typeface="宋体"/>
              <a:cs typeface="Times New Roman"/>
            </a:rPr>
            <a:t>  </a:t>
          </a:r>
          <a:r>
            <a:rPr lang="zh-CN" altLang="en-US" sz="1000" b="0" i="0" u="none" strike="noStrike" baseline="0">
              <a:solidFill>
                <a:srgbClr val="000000"/>
              </a:solidFill>
              <a:latin typeface="宋体"/>
              <a:ea typeface="宋体"/>
              <a:cs typeface="Times New Roman"/>
            </a:rPr>
            <a:t>利用</a:t>
          </a:r>
          <a:r>
            <a:rPr lang="en-US" altLang="zh-CN" sz="1000" b="0" i="0" u="none" strike="noStrike" baseline="0">
              <a:solidFill>
                <a:srgbClr val="000000"/>
              </a:solidFill>
              <a:latin typeface="宋体"/>
              <a:ea typeface="宋体"/>
              <a:cs typeface="Times New Roman"/>
            </a:rPr>
            <a:t>Northwind</a:t>
          </a:r>
          <a:r>
            <a:rPr lang="zh-CN" altLang="en-US" sz="1000" b="0" i="0" u="none" strike="noStrike" baseline="0">
              <a:solidFill>
                <a:srgbClr val="000000"/>
              </a:solidFill>
              <a:latin typeface="宋体"/>
              <a:ea typeface="宋体"/>
              <a:cs typeface="Times New Roman"/>
            </a:rPr>
            <a:t>数据库中的数据，生成一数据透视表，展示</a:t>
          </a:r>
          <a:r>
            <a:rPr lang="en-US" altLang="zh-CN" sz="1000" b="0" i="0" u="none" strike="noStrike" baseline="0">
              <a:solidFill>
                <a:srgbClr val="000000"/>
              </a:solidFill>
              <a:latin typeface="宋体"/>
              <a:ea typeface="宋体"/>
              <a:cs typeface="Times New Roman"/>
            </a:rPr>
            <a:t>1997</a:t>
          </a:r>
          <a:r>
            <a:rPr lang="zh-CN" altLang="en-US" sz="1000" b="0" i="0" u="none" strike="noStrike" baseline="0">
              <a:solidFill>
                <a:srgbClr val="000000"/>
              </a:solidFill>
              <a:latin typeface="宋体"/>
              <a:ea typeface="宋体"/>
              <a:cs typeface="Times New Roman"/>
            </a:rPr>
            <a:t>年各个季度中，日用品类目，在东部沿海地区和中西部地区，经由各运货商承运的订单数和销售金额情况。其中，华东、华北、华南属于东部沿海地区，东北、西北、西南属于中部地区。</a:t>
          </a:r>
          <a:endParaRPr lang="zh-CN" altLang="en-US" sz="1000" b="0" i="0" u="none" strike="noStrike" baseline="0">
            <a:solidFill>
              <a:srgbClr val="000000"/>
            </a:solidFill>
            <a:latin typeface="宋体"/>
            <a:ea typeface="宋体"/>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xdr:colOff>
      <xdr:row>1</xdr:row>
      <xdr:rowOff>1</xdr:rowOff>
    </xdr:from>
    <xdr:to>
      <xdr:col>13</xdr:col>
      <xdr:colOff>10511</xdr:colOff>
      <xdr:row>23</xdr:row>
      <xdr:rowOff>78828</xdr:rowOff>
    </xdr:to>
    <xdr:sp macro="" textlink="">
      <xdr:nvSpPr>
        <xdr:cNvPr id="2" name="TextBox 2"/>
        <xdr:cNvSpPr txBox="1"/>
      </xdr:nvSpPr>
      <xdr:spPr>
        <a:xfrm>
          <a:off x="3657601" y="182881"/>
          <a:ext cx="4277710" cy="4102187"/>
        </a:xfrm>
        <a:prstGeom prst="rect">
          <a:avLst/>
        </a:prstGeom>
        <a:solidFill>
          <a:schemeClr val="accent6">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zh-CN" altLang="zh-CN" sz="1100" b="1" i="0" baseline="0">
              <a:solidFill>
                <a:schemeClr val="dk1"/>
              </a:solidFill>
              <a:effectLst/>
              <a:latin typeface="+mn-lt"/>
              <a:ea typeface="+mn-ea"/>
              <a:cs typeface="+mn-cs"/>
            </a:rPr>
            <a:t>第</a:t>
          </a:r>
          <a:r>
            <a:rPr lang="en-US" altLang="zh-CN" sz="1100" b="1" i="0" baseline="0">
              <a:solidFill>
                <a:schemeClr val="dk1"/>
              </a:solidFill>
              <a:effectLst/>
              <a:latin typeface="+mn-lt"/>
              <a:ea typeface="+mn-ea"/>
              <a:cs typeface="+mn-cs"/>
            </a:rPr>
            <a:t>2</a:t>
          </a:r>
          <a:r>
            <a:rPr lang="zh-CN" altLang="zh-CN" sz="1100" b="1" i="0" baseline="0">
              <a:solidFill>
                <a:schemeClr val="dk1"/>
              </a:solidFill>
              <a:effectLst/>
              <a:latin typeface="+mn-lt"/>
              <a:ea typeface="+mn-ea"/>
              <a:cs typeface="+mn-cs"/>
            </a:rPr>
            <a:t>题</a:t>
          </a:r>
          <a:r>
            <a:rPr lang="zh-CN" altLang="en-US" sz="1100" b="1" i="0" baseline="0">
              <a:solidFill>
                <a:schemeClr val="dk1"/>
              </a:solidFill>
              <a:effectLst/>
              <a:latin typeface="+mn-lt"/>
              <a:ea typeface="+mn-ea"/>
              <a:cs typeface="+mn-cs"/>
            </a:rPr>
            <a:t>（</a:t>
          </a:r>
          <a:r>
            <a:rPr lang="en-US" altLang="zh-CN" sz="1100" b="1" i="0" baseline="0">
              <a:solidFill>
                <a:schemeClr val="dk1"/>
              </a:solidFill>
              <a:effectLst/>
              <a:latin typeface="+mn-lt"/>
              <a:ea typeface="+mn-ea"/>
              <a:cs typeface="+mn-cs"/>
            </a:rPr>
            <a:t>15</a:t>
          </a:r>
          <a:r>
            <a:rPr lang="zh-CN" altLang="en-US" sz="1100" b="1" i="0" baseline="0">
              <a:solidFill>
                <a:schemeClr val="dk1"/>
              </a:solidFill>
              <a:effectLst/>
              <a:latin typeface="+mn-lt"/>
              <a:ea typeface="+mn-ea"/>
              <a:cs typeface="+mn-cs"/>
            </a:rPr>
            <a:t>分）</a:t>
          </a:r>
          <a:r>
            <a:rPr lang="en-US" altLang="zh-CN" sz="1100" b="0" i="0" baseline="0">
              <a:solidFill>
                <a:schemeClr val="dk1"/>
              </a:solidFill>
              <a:effectLst/>
              <a:latin typeface="+mn-lt"/>
              <a:ea typeface="+mn-ea"/>
              <a:cs typeface="+mn-cs"/>
            </a:rPr>
            <a:t>.</a:t>
          </a:r>
          <a:r>
            <a:rPr lang="zh-CN" altLang="zh-CN" sz="1100" b="0" i="0" baseline="0">
              <a:solidFill>
                <a:schemeClr val="dk1"/>
              </a:solidFill>
              <a:effectLst/>
              <a:latin typeface="+mn-lt"/>
              <a:ea typeface="+mn-ea"/>
              <a:cs typeface="+mn-cs"/>
            </a:rPr>
            <a:t>  </a:t>
          </a:r>
          <a:r>
            <a:rPr lang="zh-CN" altLang="en-US" sz="1100" b="0" i="0" baseline="0">
              <a:solidFill>
                <a:schemeClr val="dk1"/>
              </a:solidFill>
              <a:effectLst/>
              <a:latin typeface="+mn-lt"/>
              <a:ea typeface="+mn-ea"/>
              <a:cs typeface="+mn-cs"/>
            </a:rPr>
            <a:t>根据本工作表中区域</a:t>
          </a:r>
          <a:r>
            <a:rPr lang="en-US" altLang="zh-CN" sz="1100" b="0" i="0" baseline="0">
              <a:solidFill>
                <a:schemeClr val="dk1"/>
              </a:solidFill>
              <a:effectLst/>
              <a:latin typeface="+mn-lt"/>
              <a:ea typeface="+mn-ea"/>
              <a:cs typeface="+mn-cs"/>
            </a:rPr>
            <a:t>A1:D2156</a:t>
          </a:r>
          <a:r>
            <a:rPr lang="zh-CN" altLang="en-US" sz="1100" b="0" i="0" baseline="0">
              <a:solidFill>
                <a:schemeClr val="dk1"/>
              </a:solidFill>
              <a:effectLst/>
              <a:latin typeface="+mn-lt"/>
              <a:ea typeface="+mn-ea"/>
              <a:cs typeface="+mn-cs"/>
            </a:rPr>
            <a:t>中的数据，利用</a:t>
          </a:r>
          <a:r>
            <a:rPr lang="en-US" altLang="zh-CN" sz="1100" b="0" i="0" baseline="0">
              <a:solidFill>
                <a:schemeClr val="dk1"/>
              </a:solidFill>
              <a:effectLst/>
              <a:latin typeface="+mn-lt"/>
              <a:ea typeface="+mn-ea"/>
              <a:cs typeface="+mn-cs"/>
            </a:rPr>
            <a:t>DSUM</a:t>
          </a:r>
          <a:r>
            <a:rPr lang="zh-CN" altLang="en-US" sz="1100" b="0" i="0" baseline="0">
              <a:solidFill>
                <a:schemeClr val="dk1"/>
              </a:solidFill>
              <a:effectLst/>
              <a:latin typeface="+mn-lt"/>
              <a:ea typeface="+mn-ea"/>
              <a:cs typeface="+mn-cs"/>
            </a:rPr>
            <a:t>函数进行汇总。在本工作表制作一个如下图所示的“</a:t>
          </a:r>
          <a:r>
            <a:rPr lang="zh-CN" altLang="zh-CN" sz="1100" b="0" i="0" baseline="0">
              <a:solidFill>
                <a:schemeClr val="dk1"/>
              </a:solidFill>
              <a:effectLst/>
              <a:latin typeface="+mn-lt"/>
              <a:ea typeface="+mn-ea"/>
              <a:cs typeface="+mn-cs"/>
            </a:rPr>
            <a:t>不同国家客户的销售额按产品类别</a:t>
          </a:r>
          <a:r>
            <a:rPr lang="zh-CN" altLang="en-US" sz="1100" b="0" i="0" baseline="0">
              <a:solidFill>
                <a:schemeClr val="dk1"/>
              </a:solidFill>
              <a:effectLst/>
              <a:latin typeface="+mn-lt"/>
              <a:ea typeface="+mn-ea"/>
              <a:cs typeface="+mn-cs"/>
            </a:rPr>
            <a:t>柱形图。具体要求如下：</a:t>
          </a:r>
          <a:endParaRPr lang="en-US" altLang="zh-CN" sz="1100" b="0" i="0" baseline="0">
            <a:solidFill>
              <a:schemeClr val="dk1"/>
            </a:solidFill>
            <a:effectLst/>
            <a:latin typeface="+mn-lt"/>
            <a:ea typeface="+mn-ea"/>
            <a:cs typeface="+mn-cs"/>
          </a:endParaRPr>
        </a:p>
        <a:p>
          <a:pPr marL="0" marR="0" indent="0" defTabSz="914400" rtl="0" eaLnBrk="1" fontAlgn="auto" latinLnBrk="0" hangingPunct="1">
            <a:lnSpc>
              <a:spcPct val="100000"/>
            </a:lnSpc>
            <a:spcBef>
              <a:spcPts val="0"/>
            </a:spcBef>
            <a:spcAft>
              <a:spcPts val="0"/>
            </a:spcAft>
            <a:buClrTx/>
            <a:buSzTx/>
            <a:buFontTx/>
            <a:buNone/>
            <a:tabLst/>
            <a:defRPr/>
          </a:pPr>
          <a:r>
            <a:rPr lang="en-US" altLang="zh-CN" sz="1100" b="0" i="0" baseline="0">
              <a:solidFill>
                <a:schemeClr val="dk1"/>
              </a:solidFill>
              <a:effectLst/>
              <a:latin typeface="+mn-lt"/>
              <a:ea typeface="+mn-ea"/>
              <a:cs typeface="+mn-cs"/>
            </a:rPr>
            <a:t>1</a:t>
          </a:r>
          <a:r>
            <a:rPr lang="zh-CN" altLang="en-US" sz="1100" b="0" i="0" baseline="0">
              <a:solidFill>
                <a:schemeClr val="dk1"/>
              </a:solidFill>
              <a:effectLst/>
              <a:latin typeface="+mn-lt"/>
              <a:ea typeface="+mn-ea"/>
              <a:cs typeface="+mn-cs"/>
            </a:rPr>
            <a:t>）汇总不同类别不同年份不同国家总销售额；</a:t>
          </a:r>
          <a:endParaRPr lang="zh-CN" altLang="zh-CN" b="0">
            <a:effectLst/>
          </a:endParaRPr>
        </a:p>
        <a:p>
          <a:pPr rtl="0"/>
          <a:r>
            <a:rPr lang="en-US" altLang="zh-CN" b="0">
              <a:effectLst/>
            </a:rPr>
            <a:t>2</a:t>
          </a:r>
          <a:r>
            <a:rPr lang="zh-CN" altLang="en-US" b="0">
              <a:effectLst/>
            </a:rPr>
            <a:t>）制作如下的图表，并制作不同年份的组合框，</a:t>
          </a:r>
          <a:r>
            <a:rPr lang="zh-CN" altLang="zh-CN" sz="1100" b="0">
              <a:solidFill>
                <a:schemeClr val="dk1"/>
              </a:solidFill>
              <a:effectLst/>
              <a:latin typeface="+mn-lt"/>
              <a:ea typeface="+mn-ea"/>
              <a:cs typeface="+mn-cs"/>
            </a:rPr>
            <a:t>制作不同</a:t>
          </a:r>
          <a:r>
            <a:rPr lang="zh-CN" altLang="en-US" sz="1100" b="0">
              <a:solidFill>
                <a:schemeClr val="dk1"/>
              </a:solidFill>
              <a:effectLst/>
              <a:latin typeface="+mn-lt"/>
              <a:ea typeface="+mn-ea"/>
              <a:cs typeface="+mn-cs"/>
            </a:rPr>
            <a:t>国家</a:t>
          </a:r>
          <a:r>
            <a:rPr lang="zh-CN" altLang="zh-CN" sz="1100" b="0">
              <a:solidFill>
                <a:schemeClr val="dk1"/>
              </a:solidFill>
              <a:effectLst/>
              <a:latin typeface="+mn-lt"/>
              <a:ea typeface="+mn-ea"/>
              <a:cs typeface="+mn-cs"/>
            </a:rPr>
            <a:t>的组合框，</a:t>
          </a:r>
          <a:r>
            <a:rPr lang="zh-CN" altLang="en-US" sz="1100" b="0">
              <a:solidFill>
                <a:schemeClr val="dk1"/>
              </a:solidFill>
              <a:effectLst/>
              <a:latin typeface="+mn-lt"/>
              <a:ea typeface="+mn-ea"/>
              <a:cs typeface="+mn-cs"/>
            </a:rPr>
            <a:t>当选择不同年份和不同国家后图形显示各</a:t>
          </a:r>
          <a:r>
            <a:rPr lang="zh-CN" altLang="zh-CN" sz="1100" b="0" i="0" baseline="0">
              <a:solidFill>
                <a:schemeClr val="dk1"/>
              </a:solidFill>
              <a:effectLst/>
              <a:latin typeface="+mn-lt"/>
              <a:ea typeface="+mn-ea"/>
              <a:cs typeface="+mn-cs"/>
            </a:rPr>
            <a:t>类别</a:t>
          </a:r>
          <a:r>
            <a:rPr lang="zh-CN" altLang="en-US" sz="1100" b="0" i="0" baseline="0">
              <a:solidFill>
                <a:schemeClr val="dk1"/>
              </a:solidFill>
              <a:effectLst/>
              <a:latin typeface="+mn-lt"/>
              <a:ea typeface="+mn-ea"/>
              <a:cs typeface="+mn-cs"/>
            </a:rPr>
            <a:t>的销售情况。并自动从大到小排列。制作一个反映销售额的平均值的蓝色水平线、结果如图所示。</a:t>
          </a:r>
          <a:endParaRPr lang="en-US" altLang="zh-CN" sz="1100" b="0" i="0" baseline="0">
            <a:solidFill>
              <a:schemeClr val="dk1"/>
            </a:solidFill>
            <a:effectLst/>
            <a:latin typeface="+mn-lt"/>
            <a:ea typeface="+mn-ea"/>
            <a:cs typeface="+mn-cs"/>
          </a:endParaRPr>
        </a:p>
        <a:p>
          <a:pPr rtl="0"/>
          <a:endParaRPr lang="zh-CN" altLang="en-US" sz="1100" b="0"/>
        </a:p>
      </xdr:txBody>
    </xdr:sp>
    <xdr:clientData/>
  </xdr:twoCellAnchor>
  <xdr:oneCellAnchor>
    <xdr:from>
      <xdr:col>6</xdr:col>
      <xdr:colOff>236483</xdr:colOff>
      <xdr:row>9</xdr:row>
      <xdr:rowOff>21020</xdr:rowOff>
    </xdr:from>
    <xdr:ext cx="3999186" cy="2196663"/>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94083" y="1666940"/>
          <a:ext cx="3999186" cy="2196663"/>
        </a:xfrm>
        <a:prstGeom prst="rect">
          <a:avLst/>
        </a:prstGeom>
      </xdr:spPr>
    </xdr:pic>
    <xdr:clientData/>
  </xdr:oneCellAnchor>
  <xdr:twoCellAnchor>
    <xdr:from>
      <xdr:col>3</xdr:col>
      <xdr:colOff>335017</xdr:colOff>
      <xdr:row>39</xdr:row>
      <xdr:rowOff>116271</xdr:rowOff>
    </xdr:from>
    <xdr:to>
      <xdr:col>12</xdr:col>
      <xdr:colOff>564930</xdr:colOff>
      <xdr:row>56</xdr:row>
      <xdr:rowOff>105103</xdr:rowOff>
    </xdr:to>
    <xdr:grpSp>
      <xdr:nvGrpSpPr>
        <xdr:cNvPr id="4" name="组合 3"/>
        <xdr:cNvGrpSpPr/>
      </xdr:nvGrpSpPr>
      <xdr:grpSpPr>
        <a:xfrm>
          <a:off x="2850931" y="6777202"/>
          <a:ext cx="6378465" cy="2892315"/>
          <a:chOff x="2850931" y="6777202"/>
          <a:chExt cx="6378465" cy="2892315"/>
        </a:xfrm>
      </xdr:grpSpPr>
      <xdr:graphicFrame macro="">
        <xdr:nvGraphicFramePr>
          <xdr:cNvPr id="5" name="图表 4"/>
          <xdr:cNvGraphicFramePr/>
        </xdr:nvGraphicFramePr>
        <xdr:xfrm>
          <a:off x="2850931" y="6777202"/>
          <a:ext cx="6378465" cy="2892315"/>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sp macro="" textlink="">
            <xdr:nvSpPr>
              <xdr:cNvPr id="33793" name="Drop Down 1" hidden="1">
                <a:extLst>
                  <a:ext uri="{63B3BB69-23CF-44E3-9099-C40C66FF867C}">
                    <a14:compatExt spid="_x0000_s33793"/>
                  </a:ext>
                </a:extLst>
              </xdr:cNvPr>
              <xdr:cNvSpPr/>
            </xdr:nvSpPr>
            <xdr:spPr bwMode="auto">
              <a:xfrm>
                <a:off x="7860174" y="7192031"/>
                <a:ext cx="721195" cy="189844"/>
              </a:xfrm>
              <a:prstGeom prst="rect">
                <a:avLst/>
              </a:prstGeom>
              <a:noFill/>
              <a:ln>
                <a:noFill/>
              </a:ln>
              <a:extLst>
                <a:ext uri="{91240B29-F687-4F45-9708-019B960494DF}">
                  <a14:hiddenLine w="9525">
                    <a:no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794" name="Drop Down 2" hidden="1">
                <a:extLst>
                  <a:ext uri="{63B3BB69-23CF-44E3-9099-C40C66FF867C}">
                    <a14:compatExt spid="_x0000_s33794"/>
                  </a:ext>
                </a:extLst>
              </xdr:cNvPr>
              <xdr:cNvSpPr/>
            </xdr:nvSpPr>
            <xdr:spPr bwMode="auto">
              <a:xfrm>
                <a:off x="8009868" y="7491905"/>
                <a:ext cx="552450" cy="189843"/>
              </a:xfrm>
              <a:prstGeom prst="rect">
                <a:avLst/>
              </a:prstGeom>
              <a:noFill/>
              <a:ln>
                <a:noFill/>
              </a:ln>
              <a:extLst>
                <a:ext uri="{91240B29-F687-4F45-9708-019B960494DF}">
                  <a14:hiddenLine w="9525">
                    <a:noFill/>
                    <a:miter lim="800000"/>
                    <a:headEnd/>
                    <a:tailEnd/>
                  </a14:hiddenLine>
                </a:ext>
              </a:extLst>
            </xdr:spPr>
          </xdr:sp>
        </mc:Choice>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15</xdr:row>
      <xdr:rowOff>47625</xdr:rowOff>
    </xdr:from>
    <xdr:to>
      <xdr:col>4</xdr:col>
      <xdr:colOff>285750</xdr:colOff>
      <xdr:row>26</xdr:row>
      <xdr:rowOff>47625</xdr:rowOff>
    </xdr:to>
    <xdr:grpSp>
      <xdr:nvGrpSpPr>
        <xdr:cNvPr id="2" name="Group 1"/>
        <xdr:cNvGrpSpPr>
          <a:grpSpLocks/>
        </xdr:cNvGrpSpPr>
      </xdr:nvGrpSpPr>
      <xdr:grpSpPr bwMode="auto">
        <a:xfrm>
          <a:off x="104775" y="2771775"/>
          <a:ext cx="2886075" cy="1990725"/>
          <a:chOff x="264" y="11"/>
          <a:chExt cx="275" cy="187"/>
        </a:xfrm>
      </xdr:grpSpPr>
      <xdr:sp macro="" textlink="">
        <xdr:nvSpPr>
          <xdr:cNvPr id="3" name="Text Box 2"/>
          <xdr:cNvSpPr txBox="1">
            <a:spLocks noChangeArrowheads="1"/>
          </xdr:cNvSpPr>
        </xdr:nvSpPr>
        <xdr:spPr bwMode="auto">
          <a:xfrm>
            <a:off x="264" y="11"/>
            <a:ext cx="275" cy="187"/>
          </a:xfrm>
          <a:prstGeom prst="rect">
            <a:avLst/>
          </a:prstGeom>
          <a:solidFill>
            <a:srgbClr xmlns:mc="http://schemas.openxmlformats.org/markup-compatibility/2006" xmlns:a14="http://schemas.microsoft.com/office/drawing/2010/main" val="CCFFFF" mc:Ignorable="a14" a14:legacySpreadsheetColorIndex="41"/>
          </a:solidFill>
          <a:ln w="31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82800" tIns="82800" rIns="90000" bIns="46800" anchor="t" upright="1"/>
          <a:lstStyle/>
          <a:p>
            <a:pPr algn="l" rtl="0">
              <a:defRPr sz="1000"/>
            </a:pPr>
            <a:r>
              <a:rPr lang="en-US" altLang="zh-CN" sz="1000" b="0" i="0" baseline="0">
                <a:effectLst/>
                <a:latin typeface="+mn-lt"/>
                <a:ea typeface="+mn-ea"/>
                <a:cs typeface="+mn-cs"/>
              </a:rPr>
              <a:t>【</a:t>
            </a:r>
            <a:r>
              <a:rPr lang="zh-CN" altLang="zh-CN" sz="1000" b="0" i="0" baseline="0">
                <a:effectLst/>
                <a:latin typeface="+mn-lt"/>
                <a:ea typeface="+mn-ea"/>
                <a:cs typeface="+mn-cs"/>
              </a:rPr>
              <a:t>第</a:t>
            </a:r>
            <a:r>
              <a:rPr lang="en-US" altLang="zh-CN" sz="1000" b="0" i="0" baseline="0">
                <a:effectLst/>
                <a:latin typeface="+mn-lt"/>
                <a:ea typeface="+mn-ea"/>
                <a:cs typeface="+mn-cs"/>
              </a:rPr>
              <a:t>3</a:t>
            </a:r>
            <a:r>
              <a:rPr lang="zh-CN" altLang="zh-CN" sz="1000" b="0" i="0" baseline="0">
                <a:effectLst/>
                <a:latin typeface="+mn-lt"/>
                <a:ea typeface="+mn-ea"/>
                <a:cs typeface="+mn-cs"/>
              </a:rPr>
              <a:t>题</a:t>
            </a:r>
            <a:r>
              <a:rPr lang="en-US" altLang="zh-CN" sz="1000" b="1" i="0" baseline="0">
                <a:effectLst/>
                <a:latin typeface="+mn-lt"/>
                <a:ea typeface="+mn-ea"/>
                <a:cs typeface="+mn-cs"/>
              </a:rPr>
              <a:t>】(12</a:t>
            </a:r>
            <a:r>
              <a:rPr lang="zh-CN" altLang="zh-CN" sz="1000" b="1" i="0" baseline="0">
                <a:effectLst/>
                <a:latin typeface="+mn-lt"/>
                <a:ea typeface="+mn-ea"/>
                <a:cs typeface="+mn-cs"/>
              </a:rPr>
              <a:t>分</a:t>
            </a:r>
            <a:r>
              <a:rPr lang="en-US" altLang="zh-CN" sz="1000" b="1" i="0" baseline="0">
                <a:effectLst/>
                <a:latin typeface="+mn-lt"/>
                <a:ea typeface="+mn-ea"/>
                <a:cs typeface="+mn-cs"/>
              </a:rPr>
              <a:t>)  </a:t>
            </a:r>
            <a:r>
              <a:rPr lang="zh-CN" altLang="en-US" sz="1000" b="0" i="0" u="none" strike="noStrike" baseline="0">
                <a:solidFill>
                  <a:srgbClr val="000000"/>
                </a:solidFill>
                <a:latin typeface="宋体"/>
                <a:ea typeface="宋体"/>
              </a:rPr>
              <a:t>同一生产面积上某作物单位产品的成本与产量之间近似满足双曲线型关系</a:t>
            </a:r>
          </a:p>
          <a:p>
            <a:pPr algn="l" rtl="0">
              <a:defRPr sz="1000"/>
            </a:pPr>
            <a:endParaRPr lang="zh-CN" altLang="en-US" sz="1000" b="0" i="0" u="none" strike="noStrike" baseline="0">
              <a:solidFill>
                <a:srgbClr val="000000"/>
              </a:solidFill>
              <a:latin typeface="宋体"/>
              <a:ea typeface="宋体"/>
            </a:endParaRPr>
          </a:p>
          <a:p>
            <a:pPr algn="l" rtl="0">
              <a:defRPr sz="1000"/>
            </a:pPr>
            <a:endParaRPr lang="zh-CN" altLang="en-US" sz="1000" b="0" i="0" u="none" strike="noStrike" baseline="0">
              <a:solidFill>
                <a:srgbClr val="000000"/>
              </a:solidFill>
              <a:latin typeface="宋体"/>
              <a:ea typeface="宋体"/>
            </a:endParaRPr>
          </a:p>
          <a:p>
            <a:pPr algn="l" rtl="0">
              <a:defRPr sz="1000"/>
            </a:pPr>
            <a:endParaRPr lang="zh-CN" altLang="en-US" sz="1000" b="0" i="0" u="none" strike="noStrike" baseline="0">
              <a:solidFill>
                <a:srgbClr val="000000"/>
              </a:solidFill>
              <a:latin typeface="宋体"/>
              <a:ea typeface="宋体"/>
            </a:endParaRPr>
          </a:p>
          <a:p>
            <a:pPr algn="l" rtl="0">
              <a:defRPr sz="1000"/>
            </a:pPr>
            <a:r>
              <a:rPr lang="zh-CN" altLang="en-US" sz="1000" b="0" i="0" u="none" strike="noStrike" baseline="0">
                <a:solidFill>
                  <a:srgbClr val="000000"/>
                </a:solidFill>
                <a:latin typeface="宋体"/>
                <a:ea typeface="宋体"/>
              </a:rPr>
              <a:t>试利用本工作表</a:t>
            </a:r>
            <a:r>
              <a:rPr lang="zh-CN" altLang="en-US" sz="1000" b="0" i="0" u="none" strike="noStrike" baseline="0">
                <a:solidFill>
                  <a:srgbClr val="000000"/>
                </a:solidFill>
                <a:latin typeface="Times New Roman"/>
                <a:ea typeface="宋体"/>
                <a:cs typeface="Times New Roman"/>
              </a:rPr>
              <a:t>A1:B14</a:t>
            </a:r>
            <a:r>
              <a:rPr lang="zh-CN" altLang="en-US" sz="1000" b="0" i="0" u="none" strike="noStrike" baseline="0">
                <a:solidFill>
                  <a:srgbClr val="000000"/>
                </a:solidFill>
                <a:latin typeface="宋体"/>
                <a:ea typeface="宋体"/>
                <a:cs typeface="Times New Roman"/>
              </a:rPr>
              <a:t>中数据，建立回归模型，计算：</a:t>
            </a:r>
          </a:p>
          <a:p>
            <a:pPr algn="l" rtl="0">
              <a:defRPr sz="1000"/>
            </a:pPr>
            <a:r>
              <a:rPr lang="zh-CN" altLang="en-US" sz="1000" b="0" i="0" u="none" strike="noStrike" baseline="0">
                <a:solidFill>
                  <a:srgbClr val="000000"/>
                </a:solidFill>
                <a:latin typeface="Times New Roman"/>
                <a:cs typeface="Times New Roman"/>
              </a:rPr>
              <a:t>(1) 用变换法计算</a:t>
            </a:r>
            <a:r>
              <a:rPr lang="zh-CN" altLang="en-US" sz="1000" b="0" i="0" u="none" strike="noStrike" baseline="0">
                <a:solidFill>
                  <a:srgbClr val="000000"/>
                </a:solidFill>
                <a:latin typeface="宋体"/>
                <a:ea typeface="宋体"/>
                <a:cs typeface="Times New Roman"/>
              </a:rPr>
              <a:t>回归方程的系数</a:t>
            </a:r>
            <a:r>
              <a:rPr lang="zh-CN" altLang="en-US" sz="1000" b="0" i="0" u="none" strike="noStrike" baseline="0">
                <a:solidFill>
                  <a:srgbClr val="000000"/>
                </a:solidFill>
                <a:latin typeface="Times New Roman"/>
                <a:ea typeface="宋体"/>
                <a:cs typeface="Times New Roman"/>
              </a:rPr>
              <a:t>a</a:t>
            </a:r>
            <a:r>
              <a:rPr lang="zh-CN" altLang="en-US" sz="1000" b="0" i="0" u="none" strike="noStrike" baseline="0">
                <a:solidFill>
                  <a:srgbClr val="000000"/>
                </a:solidFill>
                <a:latin typeface="宋体"/>
                <a:ea typeface="宋体"/>
                <a:cs typeface="Times New Roman"/>
              </a:rPr>
              <a:t>和</a:t>
            </a:r>
            <a:r>
              <a:rPr lang="zh-CN" altLang="en-US" sz="1000" b="0" i="0" u="none" strike="noStrike" baseline="0">
                <a:solidFill>
                  <a:srgbClr val="000000"/>
                </a:solidFill>
                <a:latin typeface="Times New Roman"/>
                <a:ea typeface="宋体"/>
                <a:cs typeface="Times New Roman"/>
              </a:rPr>
              <a:t>b,</a:t>
            </a:r>
          </a:p>
          <a:p>
            <a:pPr algn="l" rtl="0">
              <a:defRPr sz="1000"/>
            </a:pPr>
            <a:r>
              <a:rPr lang="zh-CN" altLang="en-US" sz="1000" b="0" i="0" u="none" strike="noStrike" baseline="0">
                <a:solidFill>
                  <a:srgbClr val="000000"/>
                </a:solidFill>
                <a:latin typeface="Times New Roman"/>
                <a:ea typeface="宋体"/>
                <a:cs typeface="Times New Roman"/>
              </a:rPr>
              <a:t>(2) </a:t>
            </a:r>
            <a:r>
              <a:rPr lang="zh-CN" altLang="en-US" sz="1000" b="0" i="0" u="none" strike="noStrike" baseline="0">
                <a:solidFill>
                  <a:srgbClr val="000000"/>
                </a:solidFill>
                <a:latin typeface="宋体"/>
                <a:ea typeface="宋体"/>
                <a:cs typeface="Times New Roman"/>
              </a:rPr>
              <a:t>判定系数</a:t>
            </a:r>
            <a:r>
              <a:rPr lang="zh-CN" altLang="en-US" sz="1000" b="0" i="0" u="none" strike="noStrike" baseline="0">
                <a:solidFill>
                  <a:srgbClr val="000000"/>
                </a:solidFill>
                <a:latin typeface="Times New Roman"/>
                <a:ea typeface="宋体"/>
                <a:cs typeface="Times New Roman"/>
              </a:rPr>
              <a:t>R</a:t>
            </a:r>
            <a:r>
              <a:rPr lang="zh-CN" altLang="en-US" sz="1000" b="0" i="0" u="none" strike="noStrike" baseline="0">
                <a:solidFill>
                  <a:srgbClr val="000000"/>
                </a:solidFill>
                <a:latin typeface="宋体"/>
                <a:ea typeface="宋体"/>
                <a:cs typeface="Times New Roman"/>
              </a:rPr>
              <a:t>平方的值，</a:t>
            </a:r>
          </a:p>
          <a:p>
            <a:pPr algn="l" rtl="0">
              <a:defRPr sz="1000"/>
            </a:pPr>
            <a:r>
              <a:rPr lang="zh-CN" altLang="en-US" sz="1000" b="0" i="0" u="none" strike="noStrike" baseline="0">
                <a:solidFill>
                  <a:srgbClr val="000000"/>
                </a:solidFill>
                <a:latin typeface="Times New Roman"/>
                <a:cs typeface="Times New Roman"/>
              </a:rPr>
              <a:t>(3) </a:t>
            </a:r>
            <a:r>
              <a:rPr lang="zh-CN" altLang="en-US" sz="1000" b="0" i="0" u="none" strike="noStrike" baseline="0">
                <a:solidFill>
                  <a:srgbClr val="000000"/>
                </a:solidFill>
                <a:latin typeface="宋体"/>
                <a:ea typeface="宋体"/>
                <a:cs typeface="Times New Roman"/>
              </a:rPr>
              <a:t>产量为</a:t>
            </a:r>
            <a:r>
              <a:rPr lang="zh-CN" altLang="en-US" sz="1000" b="0" i="0" u="none" strike="noStrike" baseline="0">
                <a:solidFill>
                  <a:srgbClr val="000000"/>
                </a:solidFill>
                <a:latin typeface="Times New Roman"/>
                <a:ea typeface="宋体"/>
                <a:cs typeface="Times New Roman"/>
              </a:rPr>
              <a:t>5</a:t>
            </a:r>
            <a:r>
              <a:rPr lang="zh-CN" altLang="en-US" sz="1000" b="0" i="0" u="none" strike="noStrike" baseline="0">
                <a:solidFill>
                  <a:srgbClr val="000000"/>
                </a:solidFill>
                <a:latin typeface="宋体"/>
                <a:ea typeface="宋体"/>
                <a:cs typeface="Times New Roman"/>
              </a:rPr>
              <a:t>吨时的单位产品成本预测值。</a:t>
            </a: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cs typeface="Times New Roman"/>
            </a:endParaRPr>
          </a:p>
          <a:p>
            <a:pPr algn="l" rtl="0">
              <a:defRPr sz="1000"/>
            </a:pPr>
            <a:endParaRPr lang="zh-CN" altLang="en-US" sz="1000" b="0" i="0" u="none" strike="noStrike" baseline="0">
              <a:solidFill>
                <a:srgbClr val="000000"/>
              </a:solidFill>
              <a:latin typeface="宋体"/>
              <a:ea typeface="宋体"/>
            </a:endParaRPr>
          </a:p>
        </xdr:txBody>
      </xdr:sp>
      <mc:AlternateContent xmlns:mc="http://schemas.openxmlformats.org/markup-compatibility/2006">
        <mc:Choice xmlns:a14="http://schemas.microsoft.com/office/drawing/2010/main" Requires="a14">
          <xdr:sp macro="" textlink="">
            <xdr:nvSpPr>
              <xdr:cNvPr id="14337" name="Object 1" hidden="1">
                <a:extLst>
                  <a:ext uri="{63B3BB69-23CF-44E3-9099-C40C66FF867C}">
                    <a14:compatExt spid="_x0000_s14337"/>
                  </a:ext>
                </a:extLst>
              </xdr:cNvPr>
              <xdr:cNvSpPr/>
            </xdr:nvSpPr>
            <xdr:spPr bwMode="auto">
              <a:xfrm>
                <a:off x="332" y="55"/>
                <a:ext cx="136" cy="4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28575</xdr:colOff>
      <xdr:row>5</xdr:row>
      <xdr:rowOff>152400</xdr:rowOff>
    </xdr:from>
    <xdr:to>
      <xdr:col>14</xdr:col>
      <xdr:colOff>485775</xdr:colOff>
      <xdr:row>33</xdr:row>
      <xdr:rowOff>146050</xdr:rowOff>
    </xdr:to>
    <xdr:sp macro="" textlink="">
      <xdr:nvSpPr>
        <xdr:cNvPr id="2" name="TextBox 8"/>
        <xdr:cNvSpPr txBox="1"/>
      </xdr:nvSpPr>
      <xdr:spPr>
        <a:xfrm>
          <a:off x="4966335" y="1066800"/>
          <a:ext cx="3200400" cy="5114290"/>
        </a:xfrm>
        <a:prstGeom prst="rect">
          <a:avLst/>
        </a:prstGeom>
        <a:solidFill>
          <a:srgbClr val="FFCC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t>第</a:t>
          </a:r>
          <a:r>
            <a:rPr lang="en-US" altLang="zh-CN" sz="1200" b="1"/>
            <a:t>4</a:t>
          </a:r>
          <a:r>
            <a:rPr lang="zh-CN" altLang="en-US" sz="1200" b="1"/>
            <a:t>题（</a:t>
          </a:r>
          <a:r>
            <a:rPr lang="en-US" altLang="zh-CN" sz="1200" b="1"/>
            <a:t>12</a:t>
          </a:r>
          <a:r>
            <a:rPr lang="zh-CN" altLang="en-US" sz="1200" b="1"/>
            <a:t>分）  </a:t>
          </a:r>
          <a:r>
            <a:rPr lang="zh-CN" altLang="en-US" sz="1200"/>
            <a:t>某公司生产两种产品：产品</a:t>
          </a:r>
          <a:r>
            <a:rPr lang="en-US" altLang="zh-CN" sz="1200"/>
            <a:t>A</a:t>
          </a:r>
          <a:r>
            <a:rPr lang="zh-CN" altLang="en-US" sz="1200"/>
            <a:t>和产品</a:t>
          </a:r>
          <a:r>
            <a:rPr lang="en-US" altLang="zh-CN" sz="1200"/>
            <a:t>B</a:t>
          </a:r>
          <a:r>
            <a:rPr lang="zh-CN" altLang="en-US" sz="1200"/>
            <a:t>。产品</a:t>
          </a:r>
          <a:r>
            <a:rPr lang="en-US" altLang="zh-CN" sz="1200"/>
            <a:t>A</a:t>
          </a:r>
          <a:r>
            <a:rPr lang="zh-CN" altLang="en-US" sz="1200"/>
            <a:t>和产品</a:t>
          </a:r>
          <a:r>
            <a:rPr lang="en-US" altLang="zh-CN" sz="1200"/>
            <a:t>B</a:t>
          </a:r>
          <a:r>
            <a:rPr lang="zh-CN" altLang="zh-CN" sz="1200">
              <a:solidFill>
                <a:schemeClr val="dk1"/>
              </a:solidFill>
              <a:effectLst/>
              <a:latin typeface="+mn-lt"/>
              <a:ea typeface="+mn-ea"/>
              <a:cs typeface="+mn-cs"/>
            </a:rPr>
            <a:t>的固定成本</a:t>
          </a:r>
          <a:r>
            <a:rPr lang="zh-CN" altLang="en-US" sz="1200">
              <a:solidFill>
                <a:schemeClr val="dk1"/>
              </a:solidFill>
              <a:effectLst/>
              <a:latin typeface="+mn-lt"/>
              <a:ea typeface="+mn-ea"/>
              <a:cs typeface="+mn-cs"/>
            </a:rPr>
            <a:t>分别为</a:t>
          </a:r>
          <a:r>
            <a:rPr lang="en-US" altLang="zh-CN" sz="1200">
              <a:solidFill>
                <a:schemeClr val="dk1"/>
              </a:solidFill>
              <a:effectLst/>
              <a:latin typeface="+mn-lt"/>
              <a:ea typeface="+mn-ea"/>
              <a:cs typeface="+mn-cs"/>
            </a:rPr>
            <a:t>20000</a:t>
          </a:r>
          <a:r>
            <a:rPr lang="zh-CN" altLang="en-US" sz="1200">
              <a:solidFill>
                <a:schemeClr val="dk1"/>
              </a:solidFill>
              <a:effectLst/>
              <a:latin typeface="+mn-lt"/>
              <a:ea typeface="+mn-ea"/>
              <a:cs typeface="+mn-cs"/>
            </a:rPr>
            <a:t>元和</a:t>
          </a:r>
          <a:r>
            <a:rPr lang="en-US" altLang="zh-CN" sz="1200">
              <a:solidFill>
                <a:schemeClr val="dk1"/>
              </a:solidFill>
              <a:effectLst/>
              <a:latin typeface="+mn-lt"/>
              <a:ea typeface="+mn-ea"/>
              <a:cs typeface="+mn-cs"/>
            </a:rPr>
            <a:t>40000</a:t>
          </a:r>
          <a:r>
            <a:rPr lang="zh-CN" altLang="en-US" sz="1200">
              <a:solidFill>
                <a:schemeClr val="dk1"/>
              </a:solidFill>
              <a:effectLst/>
              <a:latin typeface="+mn-lt"/>
              <a:ea typeface="+mn-ea"/>
              <a:cs typeface="+mn-cs"/>
            </a:rPr>
            <a:t>元，</a:t>
          </a:r>
          <a:r>
            <a:rPr lang="zh-CN" altLang="en-US" sz="1200"/>
            <a:t>当前生产量为</a:t>
          </a:r>
          <a:r>
            <a:rPr lang="en-US" altLang="zh-CN" sz="1200"/>
            <a:t>2500</a:t>
          </a:r>
          <a:r>
            <a:rPr lang="zh-CN" altLang="en-US" sz="1200"/>
            <a:t>，各</a:t>
          </a:r>
          <a:r>
            <a:rPr lang="zh-CN" altLang="zh-CN" sz="1200">
              <a:solidFill>
                <a:schemeClr val="dk1"/>
              </a:solidFill>
              <a:effectLst/>
              <a:latin typeface="+mn-lt"/>
              <a:ea typeface="+mn-ea"/>
              <a:cs typeface="+mn-cs"/>
            </a:rPr>
            <a:t>产品的</a:t>
          </a:r>
          <a:r>
            <a:rPr lang="zh-CN" altLang="en-US" sz="1200">
              <a:solidFill>
                <a:schemeClr val="dk1"/>
              </a:solidFill>
              <a:effectLst/>
              <a:latin typeface="+mn-lt"/>
              <a:ea typeface="+mn-ea"/>
              <a:cs typeface="+mn-cs"/>
            </a:rPr>
            <a:t>单位可变成本与生产量的关系如下表所示：</a:t>
          </a:r>
          <a:endParaRPr lang="en-US" altLang="zh-CN" sz="1200">
            <a:solidFill>
              <a:schemeClr val="dk1"/>
            </a:solidFill>
            <a:effectLst/>
            <a:latin typeface="+mn-lt"/>
            <a:ea typeface="+mn-ea"/>
            <a:cs typeface="+mn-cs"/>
          </a:endParaRPr>
        </a:p>
        <a:p>
          <a:endParaRPr lang="en-US" altLang="zh-CN" sz="1200">
            <a:solidFill>
              <a:schemeClr val="dk1"/>
            </a:solidFill>
            <a:effectLst/>
            <a:latin typeface="+mn-lt"/>
            <a:ea typeface="+mn-ea"/>
            <a:cs typeface="+mn-cs"/>
          </a:endParaRPr>
        </a:p>
        <a:p>
          <a:endParaRPr lang="en-US" altLang="zh-CN" sz="1200">
            <a:solidFill>
              <a:schemeClr val="dk1"/>
            </a:solidFill>
            <a:effectLst/>
            <a:latin typeface="+mn-lt"/>
            <a:ea typeface="+mn-ea"/>
            <a:cs typeface="+mn-cs"/>
          </a:endParaRPr>
        </a:p>
        <a:p>
          <a:endParaRPr lang="en-US" altLang="zh-CN" sz="1200">
            <a:solidFill>
              <a:schemeClr val="dk1"/>
            </a:solidFill>
            <a:effectLst/>
            <a:latin typeface="+mn-lt"/>
            <a:ea typeface="+mn-ea"/>
            <a:cs typeface="+mn-cs"/>
          </a:endParaRPr>
        </a:p>
        <a:p>
          <a:endParaRPr lang="en-US" altLang="zh-CN" sz="1200">
            <a:solidFill>
              <a:schemeClr val="dk1"/>
            </a:solidFill>
            <a:effectLst/>
            <a:latin typeface="+mn-lt"/>
            <a:ea typeface="+mn-ea"/>
            <a:cs typeface="+mn-cs"/>
          </a:endParaRPr>
        </a:p>
        <a:p>
          <a:endParaRPr lang="en-US" altLang="zh-CN" sz="1200">
            <a:solidFill>
              <a:schemeClr val="dk1"/>
            </a:solidFill>
            <a:effectLst/>
            <a:latin typeface="+mn-lt"/>
            <a:ea typeface="+mn-ea"/>
            <a:cs typeface="+mn-cs"/>
          </a:endParaRPr>
        </a:p>
        <a:p>
          <a:endParaRPr lang="en-US" altLang="zh-CN" sz="1200">
            <a:solidFill>
              <a:schemeClr val="dk1"/>
            </a:solidFill>
            <a:effectLst/>
            <a:latin typeface="+mn-lt"/>
            <a:ea typeface="+mn-ea"/>
            <a:cs typeface="+mn-cs"/>
          </a:endParaRPr>
        </a:p>
        <a:p>
          <a:r>
            <a:rPr lang="en-US" altLang="zh-CN" sz="1200"/>
            <a:t>1</a:t>
          </a:r>
          <a:r>
            <a:rPr lang="zh-CN" altLang="en-US" sz="1200"/>
            <a:t>、计算生产两种产品各自的总成本。</a:t>
          </a:r>
        </a:p>
        <a:p>
          <a:r>
            <a:rPr lang="en-US" altLang="zh-CN" sz="1200"/>
            <a:t>2</a:t>
          </a:r>
          <a:r>
            <a:rPr lang="zh-CN" altLang="en-US" sz="1200"/>
            <a:t>、绘制如样图所示的成本随生产量变化图表，并</a:t>
          </a:r>
          <a:r>
            <a:rPr lang="zh-CN" altLang="zh-CN" sz="1200">
              <a:solidFill>
                <a:schemeClr val="dk1"/>
              </a:solidFill>
              <a:effectLst/>
              <a:latin typeface="+mn-lt"/>
              <a:ea typeface="+mn-ea"/>
              <a:cs typeface="+mn-cs"/>
            </a:rPr>
            <a:t>在图中添加一条</a:t>
          </a:r>
          <a:r>
            <a:rPr lang="zh-CN" altLang="en-US" sz="1200">
              <a:solidFill>
                <a:schemeClr val="dk1"/>
              </a:solidFill>
              <a:effectLst/>
              <a:latin typeface="+mn-lt"/>
              <a:ea typeface="+mn-ea"/>
              <a:cs typeface="+mn-cs"/>
            </a:rPr>
            <a:t>大红色的当前生产量的</a:t>
          </a:r>
          <a:r>
            <a:rPr lang="zh-CN" altLang="zh-CN" sz="1200">
              <a:solidFill>
                <a:schemeClr val="dk1"/>
              </a:solidFill>
              <a:effectLst/>
              <a:latin typeface="+mn-lt"/>
              <a:ea typeface="+mn-ea"/>
              <a:cs typeface="+mn-cs"/>
            </a:rPr>
            <a:t>垂直参考线</a:t>
          </a:r>
          <a:r>
            <a:rPr lang="zh-CN" altLang="en-US" sz="1200">
              <a:solidFill>
                <a:schemeClr val="dk1"/>
              </a:solidFill>
              <a:effectLst/>
              <a:latin typeface="+mn-lt"/>
              <a:ea typeface="+mn-ea"/>
              <a:cs typeface="+mn-cs"/>
            </a:rPr>
            <a:t>，以及两个红色方形参考点</a:t>
          </a:r>
          <a:r>
            <a:rPr lang="zh-CN" altLang="zh-CN" sz="1200">
              <a:solidFill>
                <a:schemeClr val="dk1"/>
              </a:solidFill>
              <a:effectLst/>
              <a:latin typeface="+mn-lt"/>
              <a:ea typeface="+mn-ea"/>
              <a:cs typeface="+mn-cs"/>
            </a:rPr>
            <a:t> 。</a:t>
          </a:r>
          <a:endParaRPr lang="en-US" altLang="zh-CN" sz="1200">
            <a:solidFill>
              <a:schemeClr val="dk1"/>
            </a:solidFill>
            <a:effectLst/>
            <a:latin typeface="+mn-lt"/>
            <a:ea typeface="+mn-ea"/>
            <a:cs typeface="+mn-cs"/>
          </a:endParaRPr>
        </a:p>
        <a:p>
          <a:r>
            <a:rPr lang="en-US" altLang="zh-CN" sz="1200">
              <a:solidFill>
                <a:schemeClr val="dk1"/>
              </a:solidFill>
              <a:effectLst/>
              <a:latin typeface="+mn-lt"/>
              <a:ea typeface="+mn-ea"/>
              <a:cs typeface="+mn-cs"/>
            </a:rPr>
            <a:t>3</a:t>
          </a:r>
          <a:r>
            <a:rPr lang="zh-CN" altLang="en-US" sz="1200">
              <a:solidFill>
                <a:schemeClr val="dk1"/>
              </a:solidFill>
              <a:effectLst/>
              <a:latin typeface="+mn-lt"/>
              <a:ea typeface="+mn-ea"/>
              <a:cs typeface="+mn-cs"/>
            </a:rPr>
            <a:t>、在当前生产量旁边添加一个可调控件，使当前生产量从</a:t>
          </a:r>
          <a:r>
            <a:rPr lang="en-US" altLang="zh-CN" sz="1200">
              <a:solidFill>
                <a:schemeClr val="dk1"/>
              </a:solidFill>
              <a:effectLst/>
              <a:latin typeface="+mn-lt"/>
              <a:ea typeface="+mn-ea"/>
              <a:cs typeface="+mn-cs"/>
            </a:rPr>
            <a:t>0</a:t>
          </a:r>
          <a:r>
            <a:rPr lang="zh-CN" altLang="en-US" sz="1200">
              <a:solidFill>
                <a:schemeClr val="dk1"/>
              </a:solidFill>
              <a:effectLst/>
              <a:latin typeface="+mn-lt"/>
              <a:ea typeface="+mn-ea"/>
              <a:cs typeface="+mn-cs"/>
            </a:rPr>
            <a:t>按照步长</a:t>
          </a:r>
          <a:r>
            <a:rPr lang="en-US" altLang="zh-CN" sz="1200">
              <a:solidFill>
                <a:schemeClr val="dk1"/>
              </a:solidFill>
              <a:effectLst/>
              <a:latin typeface="+mn-lt"/>
              <a:ea typeface="+mn-ea"/>
              <a:cs typeface="+mn-cs"/>
            </a:rPr>
            <a:t>50</a:t>
          </a:r>
          <a:r>
            <a:rPr lang="zh-CN" altLang="en-US" sz="1200">
              <a:solidFill>
                <a:schemeClr val="dk1"/>
              </a:solidFill>
              <a:effectLst/>
              <a:latin typeface="+mn-lt"/>
              <a:ea typeface="+mn-ea"/>
              <a:cs typeface="+mn-cs"/>
            </a:rPr>
            <a:t>变化到</a:t>
          </a:r>
          <a:r>
            <a:rPr lang="en-US" altLang="zh-CN" sz="1200">
              <a:solidFill>
                <a:schemeClr val="dk1"/>
              </a:solidFill>
              <a:effectLst/>
              <a:latin typeface="+mn-lt"/>
              <a:ea typeface="+mn-ea"/>
              <a:cs typeface="+mn-cs"/>
            </a:rPr>
            <a:t>6000</a:t>
          </a:r>
          <a:r>
            <a:rPr lang="zh-CN" altLang="en-US" sz="1200">
              <a:solidFill>
                <a:schemeClr val="dk1"/>
              </a:solidFill>
              <a:effectLst/>
              <a:latin typeface="+mn-lt"/>
              <a:ea typeface="+mn-ea"/>
              <a:cs typeface="+mn-cs"/>
            </a:rPr>
            <a:t>。</a:t>
          </a:r>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en-US" altLang="zh-CN" sz="1200"/>
        </a:p>
        <a:p>
          <a:endParaRPr lang="zh-CN" altLang="en-US" sz="1200"/>
        </a:p>
        <a:p>
          <a:r>
            <a:rPr lang="en-US" altLang="zh-CN" sz="1200" baseline="0"/>
            <a:t>      </a:t>
          </a:r>
        </a:p>
        <a:p>
          <a:r>
            <a:rPr lang="en-US" altLang="zh-CN" sz="1200" baseline="0"/>
            <a:t>      </a:t>
          </a:r>
        </a:p>
        <a:p>
          <a:r>
            <a:rPr lang="en-US" altLang="zh-CN" sz="1200" baseline="0"/>
            <a:t> </a:t>
          </a:r>
          <a:endParaRPr lang="zh-CN" altLang="zh-CN" sz="1200">
            <a:effectLst/>
          </a:endParaRPr>
        </a:p>
      </xdr:txBody>
    </xdr:sp>
    <xdr:clientData/>
  </xdr:twoCellAnchor>
  <xdr:twoCellAnchor>
    <xdr:from>
      <xdr:col>1</xdr:col>
      <xdr:colOff>12700</xdr:colOff>
      <xdr:row>7</xdr:row>
      <xdr:rowOff>82550</xdr:rowOff>
    </xdr:from>
    <xdr:to>
      <xdr:col>4</xdr:col>
      <xdr:colOff>688975</xdr:colOff>
      <xdr:row>21</xdr:row>
      <xdr:rowOff>44450</xdr:rowOff>
    </xdr:to>
    <xdr:graphicFrame macro="">
      <xdr:nvGraphicFramePr>
        <xdr:cNvPr id="3" name="图表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4</xdr:col>
          <xdr:colOff>9525</xdr:colOff>
          <xdr:row>0</xdr:row>
          <xdr:rowOff>190500</xdr:rowOff>
        </xdr:from>
        <xdr:to>
          <xdr:col>4</xdr:col>
          <xdr:colOff>209550</xdr:colOff>
          <xdr:row>2</xdr:row>
          <xdr:rowOff>19050</xdr:rowOff>
        </xdr:to>
        <xdr:sp macro="" textlink="">
          <xdr:nvSpPr>
            <xdr:cNvPr id="9217" name="Spinner 1" hidden="1">
              <a:extLst>
                <a:ext uri="{63B3BB69-23CF-44E3-9099-C40C66FF867C}">
                  <a14:compatExt spid="_x0000_s9217"/>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781050</xdr:colOff>
      <xdr:row>9</xdr:row>
      <xdr:rowOff>31750</xdr:rowOff>
    </xdr:from>
    <xdr:to>
      <xdr:col>13</xdr:col>
      <xdr:colOff>2540</xdr:colOff>
      <xdr:row>14</xdr:row>
      <xdr:rowOff>57150</xdr:rowOff>
    </xdr:to>
    <xdr:pic>
      <xdr:nvPicPr>
        <xdr:cNvPr id="5" name="图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82590" y="1677670"/>
          <a:ext cx="1652270" cy="93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882650</xdr:colOff>
      <xdr:row>19</xdr:row>
      <xdr:rowOff>139700</xdr:rowOff>
    </xdr:from>
    <xdr:to>
      <xdr:col>14</xdr:col>
      <xdr:colOff>25400</xdr:colOff>
      <xdr:row>33</xdr:row>
      <xdr:rowOff>120650</xdr:rowOff>
    </xdr:to>
    <xdr:pic>
      <xdr:nvPicPr>
        <xdr:cNvPr id="6" name="图片 5"/>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485130" y="3614420"/>
          <a:ext cx="2221230" cy="2541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14</xdr:row>
      <xdr:rowOff>38100</xdr:rowOff>
    </xdr:from>
    <xdr:to>
      <xdr:col>10</xdr:col>
      <xdr:colOff>266700</xdr:colOff>
      <xdr:row>31</xdr:row>
      <xdr:rowOff>95250</xdr:rowOff>
    </xdr:to>
    <xdr:grpSp>
      <xdr:nvGrpSpPr>
        <xdr:cNvPr id="2" name="组合 1"/>
        <xdr:cNvGrpSpPr/>
      </xdr:nvGrpSpPr>
      <xdr:grpSpPr>
        <a:xfrm>
          <a:off x="3924300" y="2514600"/>
          <a:ext cx="5457825" cy="3095625"/>
          <a:chOff x="3543300" y="2514600"/>
          <a:chExt cx="5105400" cy="3095625"/>
        </a:xfrm>
      </xdr:grpSpPr>
      <xdr:graphicFrame macro="">
        <xdr:nvGraphicFramePr>
          <xdr:cNvPr id="3" name="图表 2"/>
          <xdr:cNvGraphicFramePr>
            <a:graphicFrameLocks/>
          </xdr:cNvGraphicFramePr>
        </xdr:nvGraphicFramePr>
        <xdr:xfrm>
          <a:off x="3543300" y="2514600"/>
          <a:ext cx="5105400" cy="3095625"/>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sp macro="" textlink="">
            <xdr:nvSpPr>
              <xdr:cNvPr id="27649" name="Spinner 1" hidden="1">
                <a:extLst>
                  <a:ext uri="{63B3BB69-23CF-44E3-9099-C40C66FF867C}">
                    <a14:compatExt spid="_x0000_s27649"/>
                  </a:ext>
                </a:extLst>
              </xdr:cNvPr>
              <xdr:cNvSpPr/>
            </xdr:nvSpPr>
            <xdr:spPr bwMode="auto">
              <a:xfrm>
                <a:off x="4200525" y="2638425"/>
                <a:ext cx="295275" cy="200025"/>
              </a:xfrm>
              <a:prstGeom prst="rect">
                <a:avLst/>
              </a:prstGeom>
              <a:noFill/>
              <a:ln w="9525">
                <a:miter lim="800000"/>
                <a:headEnd/>
                <a:tailEnd/>
              </a:ln>
            </xdr:spPr>
          </xdr:sp>
        </mc:Choice>
        <mc:Fallback/>
      </mc:AlternateContent>
      <xdr:sp macro="" textlink="$A$24">
        <xdr:nvSpPr>
          <xdr:cNvPr id="5" name="Text Box 3"/>
          <xdr:cNvSpPr txBox="1">
            <a:spLocks noChangeArrowheads="1" noTextEdit="1"/>
          </xdr:cNvSpPr>
        </xdr:nvSpPr>
        <xdr:spPr bwMode="auto">
          <a:xfrm>
            <a:off x="4467224" y="2647950"/>
            <a:ext cx="1514475"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fld id="{A05DCE96-D4B3-4DF4-8A8E-0C0BFE437DFE}" type="TxLink">
              <a:rPr lang="zh-CN" altLang="en-US" sz="1000" b="0" i="0" u="none" strike="noStrike" baseline="0">
                <a:solidFill>
                  <a:srgbClr val="000000"/>
                </a:solidFill>
                <a:latin typeface="宋体"/>
                <a:ea typeface="宋体"/>
              </a:rPr>
              <a:pPr algn="ctr" rtl="0">
                <a:defRPr sz="1000"/>
              </a:pPr>
              <a:t>订货批量起点=1500</a:t>
            </a:fld>
            <a:endParaRPr lang="zh-CN" altLang="en-US" sz="1000" b="0" i="0" u="none" strike="noStrike" baseline="0">
              <a:solidFill>
                <a:srgbClr val="000000"/>
              </a:solidFill>
              <a:latin typeface="宋体"/>
              <a:ea typeface="宋体"/>
            </a:endParaRPr>
          </a:p>
        </xdr:txBody>
      </xdr:sp>
      <xdr:sp macro="" textlink="$A$25">
        <xdr:nvSpPr>
          <xdr:cNvPr id="6" name="Text Box 4"/>
          <xdr:cNvSpPr txBox="1">
            <a:spLocks noChangeArrowheads="1" noTextEdit="1"/>
          </xdr:cNvSpPr>
        </xdr:nvSpPr>
        <xdr:spPr bwMode="auto">
          <a:xfrm>
            <a:off x="6486525" y="2667000"/>
            <a:ext cx="590550" cy="200025"/>
          </a:xfrm>
          <a:prstGeom prst="rect">
            <a:avLst/>
          </a:prstGeom>
          <a:solidFill>
            <a:srgbClr xmlns:mc="http://schemas.openxmlformats.org/markup-compatibility/2006" xmlns:a14="http://schemas.microsoft.com/office/drawing/2010/main" val="FFFFFF" mc:Ignorable="a14" a14:legacySpreadsheetColorIndex="9"/>
          </a:solidFill>
          <a:ln w="635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18288" bIns="0" anchor="t" upright="1">
            <a:noAutofit/>
          </a:bodyPr>
          <a:lstStyle/>
          <a:p>
            <a:pPr algn="ctr" rtl="0">
              <a:defRPr sz="1000"/>
            </a:pPr>
            <a:fld id="{EB6EB724-A089-46F7-A8A2-374F7BBA2D61}" type="TxLink">
              <a:rPr lang="zh-CN" altLang="en-US" sz="1000" b="0" i="0" u="none" strike="noStrike" baseline="0">
                <a:solidFill>
                  <a:srgbClr val="000000"/>
                </a:solidFill>
                <a:latin typeface="宋体"/>
                <a:ea typeface="宋体"/>
              </a:rPr>
              <a:pPr algn="ctr" rtl="0">
                <a:defRPr sz="1000"/>
              </a:pPr>
              <a:t>拒绝折扣</a:t>
            </a:fld>
            <a:endParaRPr lang="zh-CN" altLang="en-US" sz="1000" b="0" i="0" u="none" strike="noStrike" baseline="0">
              <a:solidFill>
                <a:srgbClr val="000000"/>
              </a:solidFill>
              <a:latin typeface="宋体"/>
              <a:ea typeface="宋体"/>
            </a:endParaRPr>
          </a:p>
        </xdr:txBody>
      </xdr:sp>
    </xdr:grpSp>
    <xdr:clientData/>
  </xdr:twoCellAnchor>
  <xdr:twoCellAnchor>
    <xdr:from>
      <xdr:col>0</xdr:col>
      <xdr:colOff>47625</xdr:colOff>
      <xdr:row>35</xdr:row>
      <xdr:rowOff>9525</xdr:rowOff>
    </xdr:from>
    <xdr:to>
      <xdr:col>5</xdr:col>
      <xdr:colOff>314325</xdr:colOff>
      <xdr:row>67</xdr:row>
      <xdr:rowOff>72697</xdr:rowOff>
    </xdr:to>
    <xdr:grpSp>
      <xdr:nvGrpSpPr>
        <xdr:cNvPr id="7" name="组合 6"/>
        <xdr:cNvGrpSpPr/>
      </xdr:nvGrpSpPr>
      <xdr:grpSpPr>
        <a:xfrm>
          <a:off x="47625" y="6210300"/>
          <a:ext cx="5810250" cy="5549572"/>
          <a:chOff x="47625" y="6210300"/>
          <a:chExt cx="5810250" cy="5549572"/>
        </a:xfrm>
      </xdr:grpSpPr>
      <xdr:sp macro="" textlink="">
        <xdr:nvSpPr>
          <xdr:cNvPr id="8" name="Text Box 6"/>
          <xdr:cNvSpPr txBox="1">
            <a:spLocks noChangeArrowheads="1"/>
          </xdr:cNvSpPr>
        </xdr:nvSpPr>
        <xdr:spPr bwMode="auto">
          <a:xfrm>
            <a:off x="47625" y="6210300"/>
            <a:ext cx="5810250" cy="5549572"/>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5</a:t>
            </a:r>
            <a:r>
              <a:rPr lang="zh-CN" altLang="en-US" sz="1100" b="1" i="0" u="none" strike="noStrike" baseline="0">
                <a:solidFill>
                  <a:srgbClr val="000000"/>
                </a:solidFill>
                <a:latin typeface="宋体"/>
                <a:ea typeface="宋体"/>
                <a:cs typeface="Times New Roman"/>
              </a:rPr>
              <a:t>题（</a:t>
            </a:r>
            <a:r>
              <a:rPr lang="en-US" altLang="zh-CN" sz="1100" b="1" i="0" u="none" strike="noStrike" baseline="0">
                <a:solidFill>
                  <a:srgbClr val="000000"/>
                </a:solidFill>
                <a:latin typeface="宋体"/>
                <a:ea typeface="宋体"/>
                <a:cs typeface="Times New Roman"/>
              </a:rPr>
              <a:t>15</a:t>
            </a:r>
            <a:r>
              <a:rPr lang="zh-CN" altLang="en-US" sz="1100" b="1" i="0" u="none" strike="noStrike" baseline="0">
                <a:solidFill>
                  <a:srgbClr val="000000"/>
                </a:solidFill>
                <a:latin typeface="宋体"/>
                <a:ea typeface="宋体"/>
                <a:cs typeface="Times New Roman"/>
              </a:rPr>
              <a:t>分）</a:t>
            </a:r>
            <a:r>
              <a:rPr lang="zh-CN" altLang="en-US" sz="1100" b="0" i="0" u="none" strike="noStrike" baseline="0">
                <a:solidFill>
                  <a:srgbClr val="000000"/>
                </a:solidFill>
                <a:latin typeface="Times New Roman"/>
                <a:ea typeface="宋体"/>
                <a:cs typeface="Times New Roman"/>
              </a:rPr>
              <a:t> </a:t>
            </a:r>
            <a:r>
              <a:rPr lang="zh-CN" altLang="en-US" sz="1100" b="0" i="0" u="none" strike="noStrike" baseline="0">
                <a:solidFill>
                  <a:srgbClr val="000000"/>
                </a:solidFill>
                <a:latin typeface="宋体" panose="02010600030101010101" pitchFamily="2" charset="-122"/>
                <a:ea typeface="宋体" panose="02010600030101010101" pitchFamily="2" charset="-122"/>
                <a:cs typeface="Times New Roman"/>
              </a:rPr>
              <a:t>某企业全年需耗用某元件15000件，该元件每次订货成本为650元，单件存货的年储存成本为55元，该元件的采购单价为40元。假定供货单位要求，企业一次订货批量起点达到1100件，可享受2%的单价折扣，请在本工作表中完成下列操作：</a:t>
            </a:r>
          </a:p>
          <a:p>
            <a:pPr algn="l" rtl="0">
              <a:lnSpc>
                <a:spcPts val="1200"/>
              </a:lnSpc>
              <a:defRPr sz="1000"/>
            </a:pPr>
            <a:r>
              <a:rPr lang="zh-CN" altLang="en-US" sz="1100" b="0" i="0" u="none" strike="noStrike" baseline="0">
                <a:solidFill>
                  <a:srgbClr val="000000"/>
                </a:solidFill>
                <a:latin typeface="宋体" panose="02010600030101010101" pitchFamily="2" charset="-122"/>
                <a:ea typeface="宋体" panose="02010600030101010101" pitchFamily="2" charset="-122"/>
                <a:cs typeface="Times New Roman"/>
              </a:rPr>
              <a:t>1、计算企业按照订货批量起点进行订货时的年采购成本、年订货成本、年储存成本、年总成本；</a:t>
            </a:r>
          </a:p>
          <a:p>
            <a:pPr algn="l" rtl="0">
              <a:lnSpc>
                <a:spcPts val="1200"/>
              </a:lnSpc>
              <a:defRPr sz="1000"/>
            </a:pPr>
            <a:r>
              <a:rPr lang="zh-CN" altLang="en-US" sz="1100" b="0" i="0" u="none" strike="noStrike" baseline="0">
                <a:solidFill>
                  <a:srgbClr val="000000"/>
                </a:solidFill>
                <a:latin typeface="宋体" panose="02010600030101010101" pitchFamily="2" charset="-122"/>
                <a:ea typeface="宋体" panose="02010600030101010101" pitchFamily="2" charset="-122"/>
                <a:cs typeface="Times New Roman"/>
              </a:rPr>
              <a:t>2、计算企业按照经济订货量进行订货时的年采购成本、年订货成本、年储存成本、年总成本；</a:t>
            </a:r>
          </a:p>
          <a:p>
            <a:pPr algn="l" rtl="0">
              <a:defRPr sz="1000"/>
            </a:pPr>
            <a:r>
              <a:rPr lang="zh-CN" altLang="en-US" sz="1100" b="0" i="0" u="none" strike="noStrike" baseline="0">
                <a:solidFill>
                  <a:srgbClr val="000000"/>
                </a:solidFill>
                <a:latin typeface="宋体" panose="02010600030101010101" pitchFamily="2" charset="-122"/>
                <a:ea typeface="宋体" panose="02010600030101010101" pitchFamily="2" charset="-122"/>
                <a:cs typeface="Times New Roman"/>
              </a:rPr>
              <a:t>3、假设供货单位的订货批量起点可在1000-2000间以100为步长进行调节，如样图所示，画出订货量按照订货批量起点变化时，11次总成本的柱形图；</a:t>
            </a:r>
          </a:p>
          <a:p>
            <a:pPr algn="l" rtl="0">
              <a:lnSpc>
                <a:spcPts val="1200"/>
              </a:lnSpc>
              <a:defRPr sz="1000"/>
            </a:pPr>
            <a:r>
              <a:rPr lang="zh-CN" altLang="en-US" sz="1100" b="0" i="0" u="none" strike="noStrike" baseline="0">
                <a:solidFill>
                  <a:srgbClr val="000000"/>
                </a:solidFill>
                <a:latin typeface="宋体" panose="02010600030101010101" pitchFamily="2" charset="-122"/>
                <a:ea typeface="宋体" panose="02010600030101010101" pitchFamily="2" charset="-122"/>
                <a:cs typeface="Times New Roman"/>
              </a:rPr>
              <a:t>4、以微调项在1000-2000间按步长100对订货批量起点进行调节，以红色柱子反映当时的年总成本；</a:t>
            </a:r>
          </a:p>
          <a:p>
            <a:pPr algn="l" rtl="0">
              <a:lnSpc>
                <a:spcPts val="1200"/>
              </a:lnSpc>
              <a:defRPr sz="1000"/>
            </a:pPr>
            <a:r>
              <a:rPr lang="zh-CN" altLang="en-US" sz="1100" b="0" i="0" u="none" strike="noStrike" baseline="0">
                <a:solidFill>
                  <a:srgbClr val="000000"/>
                </a:solidFill>
                <a:latin typeface="宋体" panose="02010600030101010101" pitchFamily="2" charset="-122"/>
                <a:ea typeface="宋体" panose="02010600030101010101" pitchFamily="2" charset="-122"/>
                <a:cs typeface="Times New Roman"/>
              </a:rPr>
              <a:t>5、以组合图方式用红色折线类型反映EOQ下的年总成本；</a:t>
            </a:r>
          </a:p>
          <a:p>
            <a:pPr algn="l" rtl="0">
              <a:defRPr sz="1000"/>
            </a:pPr>
            <a:r>
              <a:rPr lang="zh-CN" altLang="en-US" sz="1100" b="0" i="0" u="none" strike="noStrike" baseline="0">
                <a:solidFill>
                  <a:srgbClr val="000000"/>
                </a:solidFill>
                <a:latin typeface="宋体" panose="02010600030101010101" pitchFamily="2" charset="-122"/>
                <a:ea typeface="宋体" panose="02010600030101010101" pitchFamily="2" charset="-122"/>
                <a:cs typeface="Times New Roman"/>
              </a:rPr>
              <a:t>6、以文本框反映“接受折扣”、“拒绝折扣”的结论文字。</a:t>
            </a:r>
            <a:endParaRPr lang="zh-CN" altLang="en-US" sz="1100" b="0" i="0" u="none" strike="noStrike" baseline="0">
              <a:solidFill>
                <a:srgbClr val="000000"/>
              </a:solidFill>
              <a:latin typeface="宋体" panose="02010600030101010101" pitchFamily="2" charset="-122"/>
              <a:ea typeface="宋体" panose="02010600030101010101" pitchFamily="2" charset="-122"/>
            </a:endParaRPr>
          </a:p>
        </xdr:txBody>
      </xdr:sp>
      <xdr:grpSp>
        <xdr:nvGrpSpPr>
          <xdr:cNvPr id="9" name="组合 8"/>
          <xdr:cNvGrpSpPr/>
        </xdr:nvGrpSpPr>
        <xdr:grpSpPr>
          <a:xfrm>
            <a:off x="285750" y="8582025"/>
            <a:ext cx="5105400" cy="3095625"/>
            <a:chOff x="3543300" y="2514600"/>
            <a:chExt cx="5105400" cy="3095625"/>
          </a:xfrm>
        </xdr:grpSpPr>
        <xdr:graphicFrame macro="">
          <xdr:nvGraphicFramePr>
            <xdr:cNvPr id="10" name="图表 9"/>
            <xdr:cNvGraphicFramePr>
              <a:graphicFrameLocks/>
            </xdr:cNvGraphicFramePr>
          </xdr:nvGraphicFramePr>
          <xdr:xfrm>
            <a:off x="3543300" y="2514600"/>
            <a:ext cx="5105400" cy="3095625"/>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sp macro="" textlink="">
              <xdr:nvSpPr>
                <xdr:cNvPr id="27650" name="Spinner 2" hidden="1">
                  <a:extLst>
                    <a:ext uri="{63B3BB69-23CF-44E3-9099-C40C66FF867C}">
                      <a14:compatExt spid="_x0000_s27650"/>
                    </a:ext>
                  </a:extLst>
                </xdr:cNvPr>
                <xdr:cNvSpPr/>
              </xdr:nvSpPr>
              <xdr:spPr bwMode="auto">
                <a:xfrm>
                  <a:off x="4200525" y="2638425"/>
                  <a:ext cx="295275" cy="200025"/>
                </a:xfrm>
                <a:prstGeom prst="rect">
                  <a:avLst/>
                </a:prstGeom>
                <a:noFill/>
                <a:ln w="9525">
                  <a:miter lim="800000"/>
                  <a:headEnd/>
                  <a:tailEnd/>
                </a:ln>
              </xdr:spPr>
            </xdr:sp>
          </mc:Choice>
          <mc:Fallback/>
        </mc:AlternateContent>
        <xdr:sp macro="" textlink="$A$24">
          <xdr:nvSpPr>
            <xdr:cNvPr id="12" name="Text Box 3"/>
            <xdr:cNvSpPr txBox="1">
              <a:spLocks noChangeArrowheads="1" noTextEdit="1"/>
            </xdr:cNvSpPr>
          </xdr:nvSpPr>
          <xdr:spPr bwMode="auto">
            <a:xfrm>
              <a:off x="4467224" y="2647950"/>
              <a:ext cx="1514475"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8"/>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fld id="{A05DCE96-D4B3-4DF4-8A8E-0C0BFE437DFE}" type="TxLink">
                <a:rPr lang="zh-CN" altLang="en-US" sz="1000" b="0" i="0" u="none" strike="noStrike" baseline="0">
                  <a:solidFill>
                    <a:srgbClr val="000000"/>
                  </a:solidFill>
                  <a:latin typeface="宋体"/>
                  <a:ea typeface="宋体"/>
                </a:rPr>
                <a:pPr algn="ctr" rtl="0">
                  <a:defRPr sz="1000"/>
                </a:pPr>
                <a:t>订货批量起点=1500</a:t>
              </a:fld>
              <a:endParaRPr lang="zh-CN" altLang="en-US" sz="1000" b="0" i="0" u="none" strike="noStrike" baseline="0">
                <a:solidFill>
                  <a:srgbClr val="000000"/>
                </a:solidFill>
                <a:latin typeface="宋体"/>
                <a:ea typeface="宋体"/>
              </a:endParaRPr>
            </a:p>
          </xdr:txBody>
        </xdr:sp>
        <xdr:sp macro="" textlink="$A$25">
          <xdr:nvSpPr>
            <xdr:cNvPr id="13" name="Text Box 4"/>
            <xdr:cNvSpPr txBox="1">
              <a:spLocks noChangeArrowheads="1" noTextEdit="1"/>
            </xdr:cNvSpPr>
          </xdr:nvSpPr>
          <xdr:spPr bwMode="auto">
            <a:xfrm>
              <a:off x="6486525" y="2667000"/>
              <a:ext cx="590550" cy="200025"/>
            </a:xfrm>
            <a:prstGeom prst="rect">
              <a:avLst/>
            </a:prstGeom>
            <a:solidFill>
              <a:srgbClr xmlns:mc="http://schemas.openxmlformats.org/markup-compatibility/2006" xmlns:a14="http://schemas.microsoft.com/office/drawing/2010/main" val="FFFFFF" mc:Ignorable="a14" a14:legacySpreadsheetColorIndex="9"/>
            </a:solidFill>
            <a:ln w="635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18288" bIns="0" anchor="t" upright="1">
              <a:noAutofit/>
            </a:bodyPr>
            <a:lstStyle/>
            <a:p>
              <a:pPr algn="ctr" rtl="0">
                <a:defRPr sz="1000"/>
              </a:pPr>
              <a:fld id="{EB6EB724-A089-46F7-A8A2-374F7BBA2D61}" type="TxLink">
                <a:rPr lang="zh-CN" altLang="en-US" sz="1000" b="0" i="0" u="none" strike="noStrike" baseline="0">
                  <a:solidFill>
                    <a:srgbClr val="000000"/>
                  </a:solidFill>
                  <a:latin typeface="宋体"/>
                  <a:ea typeface="宋体"/>
                </a:rPr>
                <a:pPr algn="ctr" rtl="0">
                  <a:defRPr sz="1000"/>
                </a:pPr>
                <a:t>拒绝折扣</a:t>
              </a:fld>
              <a:endParaRPr lang="zh-CN" altLang="en-US" sz="1000" b="0" i="0" u="none" strike="noStrike" baseline="0">
                <a:solidFill>
                  <a:srgbClr val="000000"/>
                </a:solidFill>
                <a:latin typeface="宋体"/>
                <a:ea typeface="宋体"/>
              </a:endParaRPr>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847724</xdr:colOff>
      <xdr:row>24</xdr:row>
      <xdr:rowOff>161925</xdr:rowOff>
    </xdr:from>
    <xdr:to>
      <xdr:col>9</xdr:col>
      <xdr:colOff>590549</xdr:colOff>
      <xdr:row>40</xdr:row>
      <xdr:rowOff>161925</xdr:rowOff>
    </xdr:to>
    <xdr:grpSp>
      <xdr:nvGrpSpPr>
        <xdr:cNvPr id="2" name="组合 1"/>
        <xdr:cNvGrpSpPr/>
      </xdr:nvGrpSpPr>
      <xdr:grpSpPr>
        <a:xfrm>
          <a:off x="11934824" y="4295775"/>
          <a:ext cx="5895975" cy="2743200"/>
          <a:chOff x="11477624" y="419100"/>
          <a:chExt cx="5286375" cy="2743200"/>
        </a:xfrm>
      </xdr:grpSpPr>
      <xdr:graphicFrame macro="">
        <xdr:nvGraphicFramePr>
          <xdr:cNvPr id="3" name="图表 2"/>
          <xdr:cNvGraphicFramePr/>
        </xdr:nvGraphicFramePr>
        <xdr:xfrm>
          <a:off x="11477624" y="419100"/>
          <a:ext cx="5286375" cy="2743200"/>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sp macro="" textlink="">
            <xdr:nvSpPr>
              <xdr:cNvPr id="23553" name="Spinner 1" hidden="1">
                <a:extLst>
                  <a:ext uri="{63B3BB69-23CF-44E3-9099-C40C66FF867C}">
                    <a14:compatExt spid="_x0000_s23553"/>
                  </a:ext>
                </a:extLst>
              </xdr:cNvPr>
              <xdr:cNvSpPr/>
            </xdr:nvSpPr>
            <xdr:spPr bwMode="auto">
              <a:xfrm>
                <a:off x="11896725" y="600075"/>
                <a:ext cx="447675" cy="285750"/>
              </a:xfrm>
              <a:prstGeom prst="rect">
                <a:avLst/>
              </a:prstGeom>
              <a:noFill/>
              <a:ln w="9525">
                <a:miter lim="800000"/>
                <a:headEnd/>
                <a:tailEnd/>
              </a:ln>
            </xdr:spPr>
          </xdr:sp>
        </mc:Choice>
        <mc:Fallback/>
      </mc:AlternateContent>
      <xdr:sp macro="" textlink="$E$21">
        <xdr:nvSpPr>
          <xdr:cNvPr id="5" name="TextBox 11"/>
          <xdr:cNvSpPr txBox="1"/>
        </xdr:nvSpPr>
        <xdr:spPr>
          <a:xfrm>
            <a:off x="12515850" y="542925"/>
            <a:ext cx="40386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A49432-5678-4E87-B207-49C4E4BD33BD}" type="TxLink">
              <a:rPr lang="zh-CN" altLang="en-US" sz="1100" b="0" i="0" u="none" strike="noStrike">
                <a:solidFill>
                  <a:srgbClr val="000000"/>
                </a:solidFill>
                <a:latin typeface="宋体"/>
                <a:ea typeface="宋体"/>
              </a:rPr>
              <a:pPr algn="ctr"/>
              <a:t>年贴现率=1%时，使用公式表示实现最大净现值的方案是项目B</a:t>
            </a:fld>
            <a:endParaRPr lang="zh-CN" altLang="en-US" sz="1100"/>
          </a:p>
        </xdr:txBody>
      </xdr:sp>
    </xdr:grpSp>
    <xdr:clientData/>
  </xdr:twoCellAnchor>
  <xdr:twoCellAnchor>
    <xdr:from>
      <xdr:col>1</xdr:col>
      <xdr:colOff>95249</xdr:colOff>
      <xdr:row>24</xdr:row>
      <xdr:rowOff>85724</xdr:rowOff>
    </xdr:from>
    <xdr:to>
      <xdr:col>2</xdr:col>
      <xdr:colOff>2105025</xdr:colOff>
      <xdr:row>65</xdr:row>
      <xdr:rowOff>38099</xdr:rowOff>
    </xdr:to>
    <xdr:grpSp>
      <xdr:nvGrpSpPr>
        <xdr:cNvPr id="6" name="组合 5"/>
        <xdr:cNvGrpSpPr/>
      </xdr:nvGrpSpPr>
      <xdr:grpSpPr>
        <a:xfrm>
          <a:off x="533399" y="4219574"/>
          <a:ext cx="8753476" cy="6981825"/>
          <a:chOff x="495299" y="4219574"/>
          <a:chExt cx="8077201" cy="6981825"/>
        </a:xfrm>
      </xdr:grpSpPr>
      <xdr:sp macro="" textlink="">
        <xdr:nvSpPr>
          <xdr:cNvPr id="7" name="Text Box 1"/>
          <xdr:cNvSpPr txBox="1">
            <a:spLocks noChangeArrowheads="1"/>
          </xdr:cNvSpPr>
        </xdr:nvSpPr>
        <xdr:spPr bwMode="auto">
          <a:xfrm>
            <a:off x="495299" y="4219574"/>
            <a:ext cx="8077201" cy="6981825"/>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100" b="1" i="0" u="none" strike="noStrike" baseline="0">
                <a:solidFill>
                  <a:srgbClr val="000000"/>
                </a:solidFill>
                <a:latin typeface="+mn-ea"/>
                <a:ea typeface="+mn-ea"/>
                <a:cs typeface="Times New Roman"/>
              </a:rPr>
              <a:t>第</a:t>
            </a:r>
            <a:r>
              <a:rPr lang="en-US" altLang="zh-CN" sz="1100" b="1" i="0" u="none" strike="noStrike" baseline="0">
                <a:solidFill>
                  <a:srgbClr val="000000"/>
                </a:solidFill>
                <a:latin typeface="+mn-ea"/>
                <a:ea typeface="+mn-ea"/>
                <a:cs typeface="Times New Roman"/>
              </a:rPr>
              <a:t>6</a:t>
            </a:r>
            <a:r>
              <a:rPr lang="zh-CN" altLang="en-US" sz="1100" b="1" i="0" u="none" strike="noStrike" baseline="0">
                <a:solidFill>
                  <a:srgbClr val="000000"/>
                </a:solidFill>
                <a:latin typeface="+mn-ea"/>
                <a:ea typeface="+mn-ea"/>
                <a:cs typeface="Times New Roman"/>
              </a:rPr>
              <a:t>题（</a:t>
            </a:r>
            <a:r>
              <a:rPr lang="en-US" altLang="zh-CN" sz="1100" b="1" i="0" u="none" strike="noStrike" baseline="0">
                <a:solidFill>
                  <a:srgbClr val="000000"/>
                </a:solidFill>
                <a:latin typeface="+mn-ea"/>
                <a:ea typeface="+mn-ea"/>
                <a:cs typeface="Times New Roman"/>
              </a:rPr>
              <a:t>12</a:t>
            </a:r>
            <a:r>
              <a:rPr lang="zh-CN" altLang="en-US" sz="1100" b="1" i="0" u="none" strike="noStrike" baseline="0">
                <a:solidFill>
                  <a:srgbClr val="000000"/>
                </a:solidFill>
                <a:latin typeface="+mn-ea"/>
                <a:ea typeface="+mn-ea"/>
                <a:cs typeface="Times New Roman"/>
              </a:rPr>
              <a:t>分）</a:t>
            </a:r>
            <a:r>
              <a:rPr lang="zh-CN" altLang="en-US" sz="1100" b="0" i="0" u="none" strike="noStrike" baseline="0">
                <a:solidFill>
                  <a:srgbClr val="000000"/>
                </a:solidFill>
                <a:latin typeface="+mn-ea"/>
                <a:ea typeface="+mn-ea"/>
                <a:cs typeface="Times New Roman"/>
              </a:rPr>
              <a:t>某公司根据市场情况选择两个项目进行投资，投资期为</a:t>
            </a:r>
            <a:r>
              <a:rPr lang="en-US" altLang="zh-CN" sz="1100" b="0" i="0" u="none" strike="noStrike" baseline="0">
                <a:solidFill>
                  <a:srgbClr val="000000"/>
                </a:solidFill>
                <a:latin typeface="+mn-ea"/>
                <a:ea typeface="+mn-ea"/>
                <a:cs typeface="Times New Roman"/>
              </a:rPr>
              <a:t>6</a:t>
            </a:r>
            <a:r>
              <a:rPr lang="zh-CN" altLang="en-US" sz="1100" b="0" i="0" u="none" strike="noStrike" baseline="0">
                <a:solidFill>
                  <a:srgbClr val="000000"/>
                </a:solidFill>
                <a:latin typeface="+mn-ea"/>
                <a:ea typeface="+mn-ea"/>
                <a:cs typeface="Times New Roman"/>
              </a:rPr>
              <a:t>年。投资项目</a:t>
            </a:r>
            <a:r>
              <a:rPr lang="en-US" altLang="zh-CN" sz="1100" b="0" i="0" u="none" strike="noStrike" baseline="0">
                <a:solidFill>
                  <a:srgbClr val="000000"/>
                </a:solidFill>
                <a:latin typeface="+mn-ea"/>
                <a:ea typeface="+mn-ea"/>
                <a:cs typeface="Times New Roman"/>
              </a:rPr>
              <a:t>A</a:t>
            </a:r>
            <a:r>
              <a:rPr lang="zh-CN" altLang="en-US" sz="1100" b="0" i="0" u="none" strike="noStrike" baseline="0">
                <a:solidFill>
                  <a:srgbClr val="000000"/>
                </a:solidFill>
                <a:latin typeface="+mn-ea"/>
                <a:ea typeface="+mn-ea"/>
                <a:cs typeface="Times New Roman"/>
              </a:rPr>
              <a:t>和项目</a:t>
            </a:r>
            <a:r>
              <a:rPr lang="en-US" altLang="zh-CN" sz="1100" b="0" i="0" u="none" strike="noStrike" baseline="0">
                <a:solidFill>
                  <a:srgbClr val="000000"/>
                </a:solidFill>
                <a:latin typeface="+mn-ea"/>
                <a:ea typeface="+mn-ea"/>
                <a:cs typeface="Times New Roman"/>
              </a:rPr>
              <a:t>B</a:t>
            </a:r>
            <a:r>
              <a:rPr lang="zh-CN" altLang="en-US" sz="1100" b="0" i="0" u="none" strike="noStrike" baseline="0">
                <a:solidFill>
                  <a:srgbClr val="000000"/>
                </a:solidFill>
                <a:latin typeface="+mn-ea"/>
                <a:ea typeface="+mn-ea"/>
                <a:cs typeface="Times New Roman"/>
              </a:rPr>
              <a:t>的具体数据如下表所示。</a:t>
            </a:r>
            <a:endParaRPr lang="en-US" altLang="zh-CN" sz="1100" b="0" i="0" u="none" strike="noStrike" baseline="0">
              <a:solidFill>
                <a:srgbClr val="000000"/>
              </a:solidFill>
              <a:latin typeface="+mn-ea"/>
              <a:ea typeface="+mn-ea"/>
              <a:cs typeface="Times New Roman"/>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zh-CN" altLang="en-US" sz="1100" b="0" i="0" u="none" strike="noStrike" baseline="0">
                <a:solidFill>
                  <a:srgbClr val="000000"/>
                </a:solidFill>
                <a:latin typeface="+mn-ea"/>
                <a:ea typeface="+mn-ea"/>
                <a:cs typeface="Times New Roman"/>
              </a:rPr>
              <a:t>说明：利润增长期限指在此期限期间某项目的利润每年或都每月有增长，超过此期限则利润没有增长。</a:t>
            </a:r>
            <a:r>
              <a:rPr lang="zh-CN" altLang="zh-CN" sz="1100" b="0" i="0" baseline="0">
                <a:effectLst/>
                <a:latin typeface="+mn-lt"/>
                <a:ea typeface="+mn-ea"/>
                <a:cs typeface="+mn-cs"/>
              </a:rPr>
              <a:t>计算结果必须使用公式。</a:t>
            </a:r>
            <a:endParaRPr lang="zh-CN" altLang="zh-CN" sz="1100">
              <a:effectLst/>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r>
              <a:rPr lang="zh-CN" altLang="en-US" sz="1100" b="0" i="0" u="none" strike="noStrike" baseline="0">
                <a:solidFill>
                  <a:srgbClr val="000000"/>
                </a:solidFill>
                <a:latin typeface="+mn-ea"/>
                <a:ea typeface="+mn-ea"/>
                <a:cs typeface="Times New Roman"/>
              </a:rPr>
              <a:t>要求：</a:t>
            </a:r>
            <a:endParaRPr lang="en-US" altLang="zh-CN" sz="1100" b="0" i="0" u="none" strike="noStrike" baseline="0">
              <a:solidFill>
                <a:srgbClr val="000000"/>
              </a:solidFill>
              <a:latin typeface="+mn-ea"/>
              <a:ea typeface="+mn-ea"/>
              <a:cs typeface="Times New Roman"/>
            </a:endParaRPr>
          </a:p>
          <a:p>
            <a:pPr algn="l" rtl="0">
              <a:defRPr sz="1000"/>
            </a:pPr>
            <a:r>
              <a:rPr lang="en-US" altLang="zh-CN" sz="1100" b="0" i="0" u="none" strike="noStrike" baseline="0">
                <a:solidFill>
                  <a:srgbClr val="000000"/>
                </a:solidFill>
                <a:latin typeface="+mn-ea"/>
                <a:ea typeface="+mn-ea"/>
                <a:cs typeface="Times New Roman"/>
              </a:rPr>
              <a:t>1</a:t>
            </a:r>
            <a:r>
              <a:rPr lang="zh-CN" altLang="en-US" sz="1100" b="0" i="0" u="none" strike="noStrike" baseline="0">
                <a:solidFill>
                  <a:srgbClr val="000000"/>
                </a:solidFill>
                <a:latin typeface="+mn-ea"/>
                <a:ea typeface="+mn-ea"/>
                <a:cs typeface="Times New Roman"/>
              </a:rPr>
              <a:t>、计算两个项目的净现值。</a:t>
            </a:r>
            <a:endParaRPr lang="en-US" altLang="zh-CN" sz="1100" b="0" i="0" u="none" strike="noStrike" baseline="0">
              <a:solidFill>
                <a:srgbClr val="000000"/>
              </a:solidFill>
              <a:latin typeface="+mn-ea"/>
              <a:ea typeface="+mn-ea"/>
              <a:cs typeface="Times New Roman"/>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u="none" strike="noStrike" baseline="0">
                <a:solidFill>
                  <a:srgbClr val="000000"/>
                </a:solidFill>
                <a:latin typeface="+mn-ea"/>
                <a:ea typeface="+mn-ea"/>
                <a:cs typeface="Times New Roman"/>
              </a:rPr>
              <a:t>2</a:t>
            </a:r>
            <a:r>
              <a:rPr lang="zh-CN" altLang="en-US" sz="1100" b="0" i="0" u="none" strike="noStrike" baseline="0">
                <a:solidFill>
                  <a:srgbClr val="000000"/>
                </a:solidFill>
                <a:latin typeface="+mn-ea"/>
                <a:ea typeface="+mn-ea"/>
                <a:cs typeface="Times New Roman"/>
              </a:rPr>
              <a:t>、</a:t>
            </a:r>
            <a:r>
              <a:rPr lang="zh-CN" altLang="zh-CN" sz="1100" b="0" i="0" baseline="0">
                <a:effectLst/>
                <a:latin typeface="+mn-ea"/>
                <a:ea typeface="+mn-ea"/>
                <a:cs typeface="+mn-cs"/>
              </a:rPr>
              <a:t>计算两个项目的</a:t>
            </a:r>
            <a:r>
              <a:rPr lang="zh-CN" altLang="en-US" sz="1100" b="0" i="0" baseline="0">
                <a:effectLst/>
                <a:latin typeface="+mn-ea"/>
                <a:ea typeface="+mn-ea"/>
                <a:cs typeface="+mn-cs"/>
              </a:rPr>
              <a:t>内部报酬率</a:t>
            </a:r>
            <a:r>
              <a:rPr lang="zh-CN" altLang="zh-CN" sz="1100" b="0" i="0" baseline="0">
                <a:effectLst/>
                <a:latin typeface="+mn-ea"/>
                <a:ea typeface="+mn-ea"/>
                <a:cs typeface="+mn-cs"/>
              </a:rPr>
              <a:t>。</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3</a:t>
            </a:r>
            <a:r>
              <a:rPr lang="zh-CN" altLang="en-US" sz="1100" b="0" i="0" baseline="0">
                <a:effectLst/>
                <a:latin typeface="+mn-ea"/>
                <a:ea typeface="+mn-ea"/>
                <a:cs typeface="+mn-cs"/>
              </a:rPr>
              <a:t>、</a:t>
            </a:r>
            <a:r>
              <a:rPr lang="zh-CN" altLang="zh-CN" sz="1100" b="0" i="0" baseline="0">
                <a:effectLst/>
                <a:latin typeface="+mn-ea"/>
                <a:ea typeface="+mn-ea"/>
                <a:cs typeface="+mn-cs"/>
              </a:rPr>
              <a:t>使用附表插</a:t>
            </a:r>
            <a:r>
              <a:rPr lang="zh-CN" altLang="en-US" sz="1100" b="0" i="0" baseline="0">
                <a:effectLst/>
                <a:latin typeface="+mn-ea"/>
                <a:ea typeface="+mn-ea"/>
                <a:cs typeface="+mn-cs"/>
              </a:rPr>
              <a:t>值</a:t>
            </a:r>
            <a:r>
              <a:rPr lang="zh-CN" altLang="zh-CN" sz="1100" b="0" i="0" baseline="0">
                <a:effectLst/>
                <a:latin typeface="+mn-ea"/>
                <a:ea typeface="+mn-ea"/>
                <a:cs typeface="+mn-cs"/>
              </a:rPr>
              <a:t>法计算</a:t>
            </a:r>
            <a:r>
              <a:rPr lang="zh-CN" altLang="en-US" sz="1100" b="0" i="0" baseline="0">
                <a:effectLst/>
                <a:latin typeface="+mn-ea"/>
                <a:ea typeface="+mn-ea"/>
                <a:cs typeface="+mn-cs"/>
              </a:rPr>
              <a:t>两个项目相对的内部报酬率（两个项目净现值相等时的贴现率）及净现值。</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4</a:t>
            </a:r>
            <a:r>
              <a:rPr lang="zh-CN" altLang="en-US" sz="1100" b="0" i="0" baseline="0">
                <a:effectLst/>
                <a:latin typeface="+mn-ea"/>
                <a:ea typeface="+mn-ea"/>
                <a:cs typeface="+mn-cs"/>
              </a:rPr>
              <a:t>、使用公式表示实现最大净现值的方案。</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5</a:t>
            </a:r>
            <a:r>
              <a:rPr lang="zh-CN" altLang="en-US" sz="1100" b="0" i="0" baseline="0">
                <a:effectLst/>
                <a:latin typeface="+mn-ea"/>
                <a:ea typeface="+mn-ea"/>
                <a:cs typeface="+mn-cs"/>
              </a:rPr>
              <a:t>、按样张，使用柱形图来反映两个项目的净现值，并</a:t>
            </a:r>
            <a:r>
              <a:rPr lang="zh-CN" altLang="zh-CN" sz="1100" b="0" i="0" baseline="0">
                <a:effectLst/>
                <a:latin typeface="+mn-lt"/>
                <a:ea typeface="+mn-ea"/>
                <a:cs typeface="+mn-cs"/>
              </a:rPr>
              <a:t>用大红色表示</a:t>
            </a:r>
            <a:r>
              <a:rPr lang="zh-CN" altLang="en-US" sz="1100" b="0" i="0" baseline="0">
                <a:effectLst/>
                <a:latin typeface="+mn-ea"/>
                <a:ea typeface="+mn-ea"/>
                <a:cs typeface="+mn-cs"/>
              </a:rPr>
              <a:t>实现最大净现值的方案的项目净现值的柱子。</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6</a:t>
            </a:r>
            <a:r>
              <a:rPr lang="zh-CN" altLang="en-US" sz="1100" b="0" i="0" baseline="0">
                <a:effectLst/>
                <a:latin typeface="+mn-ea"/>
                <a:ea typeface="+mn-ea"/>
                <a:cs typeface="+mn-cs"/>
              </a:rPr>
              <a:t>、按</a:t>
            </a:r>
            <a:r>
              <a:rPr lang="en-US" altLang="zh-CN" sz="1100" b="0" i="0" baseline="0">
                <a:effectLst/>
                <a:latin typeface="+mn-ea"/>
                <a:ea typeface="+mn-ea"/>
                <a:cs typeface="+mn-cs"/>
              </a:rPr>
              <a:t>1%</a:t>
            </a:r>
            <a:r>
              <a:rPr lang="zh-CN" altLang="en-US" sz="1100" b="0" i="0" baseline="0">
                <a:effectLst/>
                <a:latin typeface="+mn-ea"/>
                <a:ea typeface="+mn-ea"/>
                <a:cs typeface="+mn-cs"/>
              </a:rPr>
              <a:t>步长将贴现率从</a:t>
            </a:r>
            <a:r>
              <a:rPr lang="en-US" altLang="zh-CN" sz="1100" b="0" i="0" baseline="0">
                <a:effectLst/>
                <a:latin typeface="+mn-ea"/>
                <a:ea typeface="+mn-ea"/>
                <a:cs typeface="+mn-cs"/>
              </a:rPr>
              <a:t>1%</a:t>
            </a:r>
            <a:r>
              <a:rPr lang="zh-CN" altLang="en-US" sz="1100" b="0" i="0" baseline="0">
                <a:effectLst/>
                <a:latin typeface="+mn-ea"/>
                <a:ea typeface="+mn-ea"/>
                <a:cs typeface="+mn-cs"/>
              </a:rPr>
              <a:t>变化到</a:t>
            </a:r>
            <a:r>
              <a:rPr lang="en-US" altLang="zh-CN" sz="1100" b="0" i="0" baseline="0">
                <a:effectLst/>
                <a:latin typeface="+mn-ea"/>
                <a:ea typeface="+mn-ea"/>
                <a:cs typeface="+mn-cs"/>
              </a:rPr>
              <a:t>20%</a:t>
            </a:r>
            <a:r>
              <a:rPr lang="zh-CN" altLang="en-US" sz="1100" b="0" i="0" baseline="0">
                <a:effectLst/>
                <a:latin typeface="+mn-ea"/>
                <a:ea typeface="+mn-ea"/>
                <a:cs typeface="+mn-cs"/>
              </a:rPr>
              <a:t>，在图表上添加数值调节钮控件，并显示结论文字“实现最大净现值的方案是项目</a:t>
            </a:r>
            <a:r>
              <a:rPr lang="en-US" altLang="zh-CN" sz="1100" b="0" i="0" baseline="0">
                <a:effectLst/>
                <a:latin typeface="+mn-ea"/>
                <a:ea typeface="+mn-ea"/>
                <a:cs typeface="+mn-cs"/>
              </a:rPr>
              <a:t>XX</a:t>
            </a:r>
            <a:r>
              <a:rPr lang="zh-CN" altLang="en-US" sz="1100" b="0" i="0" baseline="0">
                <a:effectLst/>
                <a:latin typeface="+mn-ea"/>
                <a:ea typeface="+mn-ea"/>
                <a:cs typeface="+mn-cs"/>
              </a:rPr>
              <a:t>”。</a:t>
            </a:r>
            <a:endParaRPr lang="en-US" altLang="zh-CN" sz="1100" b="0" i="0" baseline="0">
              <a:effectLst/>
              <a:latin typeface="+mn-ea"/>
              <a:ea typeface="+mn-ea"/>
              <a:cs typeface="+mn-cs"/>
            </a:endParaRPr>
          </a:p>
        </xdr:txBody>
      </xdr:sp>
      <xdr:pic>
        <xdr:nvPicPr>
          <xdr:cNvPr id="8" name="图片 7"/>
          <xdr:cNvPicPr>
            <a:picLocks noChangeAspect="1"/>
          </xdr:cNvPicPr>
        </xdr:nvPicPr>
        <xdr:blipFill>
          <a:blip xmlns:r="http://schemas.openxmlformats.org/officeDocument/2006/relationships" r:embed="rId2"/>
          <a:stretch>
            <a:fillRect/>
          </a:stretch>
        </xdr:blipFill>
        <xdr:spPr>
          <a:xfrm>
            <a:off x="2295525" y="8153400"/>
            <a:ext cx="4818988" cy="2752381"/>
          </a:xfrm>
          <a:prstGeom prst="rect">
            <a:avLst/>
          </a:prstGeom>
        </xdr:spPr>
      </xdr:pic>
      <xdr:pic>
        <xdr:nvPicPr>
          <xdr:cNvPr id="9" name="图片 8"/>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76325" y="4791075"/>
            <a:ext cx="6972300" cy="1790700"/>
          </a:xfrm>
          <a:prstGeom prst="rect">
            <a:avLst/>
          </a:prstGeom>
          <a:solidFill>
            <a:schemeClr val="bg1"/>
          </a:solidFill>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333375</xdr:colOff>
      <xdr:row>1</xdr:row>
      <xdr:rowOff>9525</xdr:rowOff>
    </xdr:from>
    <xdr:to>
      <xdr:col>13</xdr:col>
      <xdr:colOff>657225</xdr:colOff>
      <xdr:row>8</xdr:row>
      <xdr:rowOff>85725</xdr:rowOff>
    </xdr:to>
    <xdr:sp macro="" textlink="">
      <xdr:nvSpPr>
        <xdr:cNvPr id="2" name="TextBox 1">
          <a:extLst>
            <a:ext uri="{FF2B5EF4-FFF2-40B4-BE49-F238E27FC236}">
              <a16:creationId xmlns:a16="http://schemas.microsoft.com/office/drawing/2014/main" id="{85CEBF0B-D6AC-46F8-AFEC-FF12987E89A0}"/>
            </a:ext>
          </a:extLst>
        </xdr:cNvPr>
        <xdr:cNvSpPr txBox="1">
          <a:spLocks noChangeArrowheads="1"/>
        </xdr:cNvSpPr>
      </xdr:nvSpPr>
      <xdr:spPr bwMode="auto">
        <a:xfrm>
          <a:off x="5210175" y="192405"/>
          <a:ext cx="3326130" cy="1356360"/>
        </a:xfrm>
        <a:prstGeom prst="rect">
          <a:avLst/>
        </a:prstGeom>
        <a:solidFill>
          <a:schemeClr val="accent1">
            <a:lumMod val="40000"/>
            <a:lumOff val="60000"/>
          </a:schemeClr>
        </a:solidFill>
        <a:ln w="9525">
          <a:solidFill>
            <a:srgbClr val="BCBCBC"/>
          </a:solidFill>
          <a:miter lim="800000"/>
          <a:headEnd/>
          <a:tailEnd/>
        </a:ln>
      </xdr:spPr>
      <xdr:txBody>
        <a:bodyPr vertOverflow="clip" wrap="square" lIns="27432" tIns="18288"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zh-CN" altLang="zh-CN" sz="1200" b="1" i="0" baseline="0">
              <a:effectLst/>
              <a:latin typeface="+mn-ea"/>
              <a:ea typeface="+mn-ea"/>
              <a:cs typeface="+mn-cs"/>
            </a:rPr>
            <a:t>第</a:t>
          </a:r>
          <a:r>
            <a:rPr lang="en-US" altLang="zh-CN" sz="1200" b="1" i="0" baseline="0">
              <a:effectLst/>
              <a:latin typeface="+mn-ea"/>
              <a:ea typeface="+mn-ea"/>
              <a:cs typeface="+mn-cs"/>
            </a:rPr>
            <a:t>7</a:t>
          </a:r>
          <a:r>
            <a:rPr lang="zh-CN" altLang="zh-CN" sz="1200" b="1" i="0" baseline="0">
              <a:effectLst/>
              <a:latin typeface="+mn-ea"/>
              <a:ea typeface="+mn-ea"/>
              <a:cs typeface="+mn-cs"/>
            </a:rPr>
            <a:t>题（</a:t>
          </a:r>
          <a:r>
            <a:rPr lang="en-US" altLang="zh-CN" sz="1200" b="1" i="0" baseline="0">
              <a:effectLst/>
              <a:latin typeface="+mn-ea"/>
              <a:ea typeface="+mn-ea"/>
              <a:cs typeface="+mn-cs"/>
            </a:rPr>
            <a:t>12</a:t>
          </a:r>
          <a:r>
            <a:rPr lang="zh-CN" altLang="zh-CN" sz="1200" b="1" i="0" baseline="0">
              <a:effectLst/>
              <a:latin typeface="+mn-ea"/>
              <a:ea typeface="+mn-ea"/>
              <a:cs typeface="+mn-cs"/>
            </a:rPr>
            <a:t>分） </a:t>
          </a:r>
          <a:r>
            <a:rPr lang="zh-CN" altLang="en-US" sz="1200" b="0" i="0" baseline="0">
              <a:effectLst/>
              <a:latin typeface="+mn-ea"/>
              <a:ea typeface="+mn-ea"/>
              <a:cs typeface="+mn-cs"/>
            </a:rPr>
            <a:t>前进汽车零配件厂所生产的某一配件有</a:t>
          </a:r>
          <a:r>
            <a:rPr lang="en-US" altLang="zh-CN" sz="1200" b="0" i="0" baseline="0">
              <a:effectLst/>
              <a:latin typeface="+mn-ea"/>
              <a:ea typeface="+mn-ea"/>
              <a:cs typeface="+mn-cs"/>
            </a:rPr>
            <a:t>A</a:t>
          </a:r>
          <a:r>
            <a:rPr lang="zh-CN" altLang="en-US" sz="1200" b="0" i="0" baseline="0">
              <a:effectLst/>
              <a:latin typeface="+mn-ea"/>
              <a:ea typeface="+mn-ea"/>
              <a:cs typeface="+mn-cs"/>
            </a:rPr>
            <a:t>、</a:t>
          </a:r>
          <a:r>
            <a:rPr lang="en-US" altLang="zh-CN" sz="1200" b="0" i="0" baseline="0">
              <a:effectLst/>
              <a:latin typeface="+mn-ea"/>
              <a:ea typeface="+mn-ea"/>
              <a:cs typeface="+mn-cs"/>
            </a:rPr>
            <a:t>B</a:t>
          </a:r>
          <a:r>
            <a:rPr lang="zh-CN" altLang="en-US" sz="1200" b="0" i="0" baseline="0">
              <a:effectLst/>
              <a:latin typeface="+mn-ea"/>
              <a:ea typeface="+mn-ea"/>
              <a:cs typeface="+mn-cs"/>
            </a:rPr>
            <a:t>、</a:t>
          </a:r>
          <a:r>
            <a:rPr lang="en-US" altLang="zh-CN" sz="1200" b="0" i="0" baseline="0">
              <a:effectLst/>
              <a:latin typeface="+mn-ea"/>
              <a:ea typeface="+mn-ea"/>
              <a:cs typeface="+mn-cs"/>
            </a:rPr>
            <a:t>C</a:t>
          </a:r>
          <a:r>
            <a:rPr lang="zh-CN" altLang="en-US" sz="1200" b="0" i="0" baseline="0">
              <a:effectLst/>
              <a:latin typeface="+mn-ea"/>
              <a:ea typeface="+mn-ea"/>
              <a:cs typeface="+mn-cs"/>
            </a:rPr>
            <a:t>、</a:t>
          </a:r>
          <a:r>
            <a:rPr lang="en-US" altLang="zh-CN" sz="1200" b="0" i="0" baseline="0">
              <a:effectLst/>
              <a:latin typeface="+mn-ea"/>
              <a:ea typeface="+mn-ea"/>
              <a:cs typeface="+mn-cs"/>
            </a:rPr>
            <a:t>D</a:t>
          </a:r>
          <a:r>
            <a:rPr lang="zh-CN" altLang="en-US" sz="1200" b="0" i="0" baseline="0">
              <a:effectLst/>
              <a:latin typeface="+mn-ea"/>
              <a:ea typeface="+mn-ea"/>
              <a:cs typeface="+mn-cs"/>
            </a:rPr>
            <a:t>四种零件，一车间、二</a:t>
          </a:r>
          <a:r>
            <a:rPr lang="zh-CN" altLang="zh-CN" sz="1200" b="0" i="0" baseline="0">
              <a:effectLst/>
              <a:latin typeface="+mn-ea"/>
              <a:ea typeface="+mn-ea"/>
              <a:cs typeface="+mn-cs"/>
            </a:rPr>
            <a:t>车间、</a:t>
          </a:r>
          <a:r>
            <a:rPr lang="zh-CN" altLang="en-US" sz="1200" b="0" i="0" baseline="0">
              <a:effectLst/>
              <a:latin typeface="+mn-ea"/>
              <a:ea typeface="+mn-ea"/>
              <a:cs typeface="+mn-cs"/>
            </a:rPr>
            <a:t>三</a:t>
          </a:r>
          <a:r>
            <a:rPr lang="zh-CN" altLang="zh-CN" sz="1200" b="0" i="0" baseline="0">
              <a:effectLst/>
              <a:latin typeface="+mn-ea"/>
              <a:ea typeface="+mn-ea"/>
              <a:cs typeface="+mn-cs"/>
            </a:rPr>
            <a:t>车间</a:t>
          </a:r>
          <a:r>
            <a:rPr lang="zh-CN" altLang="en-US" sz="1200" b="0" i="0" baseline="0">
              <a:effectLst/>
              <a:latin typeface="+mn-ea"/>
              <a:ea typeface="+mn-ea"/>
              <a:cs typeface="+mn-cs"/>
            </a:rPr>
            <a:t>和四</a:t>
          </a:r>
          <a:r>
            <a:rPr lang="zh-CN" altLang="zh-CN" sz="1200" b="0" i="0" baseline="0">
              <a:effectLst/>
              <a:latin typeface="+mn-ea"/>
              <a:ea typeface="+mn-ea"/>
              <a:cs typeface="+mn-cs"/>
            </a:rPr>
            <a:t>车间</a:t>
          </a:r>
          <a:r>
            <a:rPr lang="zh-CN" altLang="en-US" sz="1200" b="0" i="0" baseline="0">
              <a:effectLst/>
              <a:latin typeface="+mn-ea"/>
              <a:ea typeface="+mn-ea"/>
              <a:cs typeface="+mn-cs"/>
            </a:rPr>
            <a:t>均能加工这四种零件，它们各自生产这些零件所需要的时间和单位时间成本如表所示。试用规划求解工具求解该工厂应该如何加工任务，使得总成本最小？并保存规划求解模型。</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19</xdr:row>
      <xdr:rowOff>123825</xdr:rowOff>
    </xdr:from>
    <xdr:to>
      <xdr:col>4</xdr:col>
      <xdr:colOff>723900</xdr:colOff>
      <xdr:row>35</xdr:row>
      <xdr:rowOff>95250</xdr:rowOff>
    </xdr:to>
    <xdr:sp macro="" textlink="">
      <xdr:nvSpPr>
        <xdr:cNvPr id="2" name="TextBox 2"/>
        <xdr:cNvSpPr txBox="1"/>
      </xdr:nvSpPr>
      <xdr:spPr>
        <a:xfrm>
          <a:off x="295275" y="3714750"/>
          <a:ext cx="3514725" cy="2714625"/>
        </a:xfrm>
        <a:prstGeom prst="rect">
          <a:avLst/>
        </a:prstGeom>
        <a:solidFill>
          <a:srgbClr val="C8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en-US" sz="1200" b="1" baseline="0"/>
            <a:t>第</a:t>
          </a:r>
          <a:r>
            <a:rPr lang="en-US" altLang="zh-CN" sz="1200" b="1" baseline="0"/>
            <a:t>8</a:t>
          </a:r>
          <a:r>
            <a:rPr lang="zh-CN" altLang="en-US" sz="1200" b="1" baseline="0"/>
            <a:t>题（</a:t>
          </a:r>
          <a:r>
            <a:rPr lang="en-US" altLang="zh-CN" sz="1200" b="1" baseline="0"/>
            <a:t>11</a:t>
          </a:r>
          <a:r>
            <a:rPr lang="zh-CN" altLang="en-US" sz="1200" b="1" baseline="0"/>
            <a:t>分）</a:t>
          </a:r>
          <a:r>
            <a:rPr lang="zh-CN" altLang="zh-CN" sz="1100" b="1" i="0" baseline="0">
              <a:solidFill>
                <a:schemeClr val="dk1"/>
              </a:solidFill>
              <a:effectLst/>
              <a:latin typeface="+mn-lt"/>
              <a:ea typeface="+mn-ea"/>
              <a:cs typeface="+mn-cs"/>
            </a:rPr>
            <a:t>黑白</a:t>
          </a:r>
          <a:r>
            <a:rPr lang="zh-CN" altLang="en-US" sz="1100" b="1" i="0" baseline="0">
              <a:solidFill>
                <a:schemeClr val="dk1"/>
              </a:solidFill>
              <a:effectLst/>
              <a:latin typeface="+mn-lt"/>
              <a:ea typeface="+mn-ea"/>
              <a:cs typeface="+mn-cs"/>
            </a:rPr>
            <a:t>球抽样摸球</a:t>
          </a:r>
          <a:r>
            <a:rPr lang="zh-CN" altLang="zh-CN" sz="1100" b="1" i="0">
              <a:solidFill>
                <a:schemeClr val="dk1"/>
              </a:solidFill>
              <a:effectLst/>
              <a:latin typeface="+mn-lt"/>
              <a:ea typeface="+mn-ea"/>
              <a:cs typeface="+mn-cs"/>
            </a:rPr>
            <a:t>风险分析</a:t>
          </a:r>
          <a:r>
            <a:rPr lang="zh-CN" altLang="en-US" sz="1100" b="1" i="0">
              <a:solidFill>
                <a:schemeClr val="dk1"/>
              </a:solidFill>
              <a:effectLst/>
              <a:latin typeface="+mn-lt"/>
              <a:ea typeface="+mn-ea"/>
              <a:cs typeface="+mn-cs"/>
            </a:rPr>
            <a:t>模拟</a:t>
          </a:r>
          <a:r>
            <a:rPr lang="zh-CN" altLang="zh-CN" sz="1100" b="1" i="0">
              <a:solidFill>
                <a:schemeClr val="dk1"/>
              </a:solidFill>
              <a:effectLst/>
              <a:latin typeface="+mn-lt"/>
              <a:ea typeface="+mn-ea"/>
              <a:cs typeface="+mn-cs"/>
            </a:rPr>
            <a:t>模型</a:t>
          </a:r>
          <a:r>
            <a:rPr lang="zh-CN" altLang="zh-CN" sz="1100">
              <a:solidFill>
                <a:schemeClr val="dk1"/>
              </a:solidFill>
              <a:effectLst/>
              <a:latin typeface="+mn-lt"/>
              <a:ea typeface="+mn-ea"/>
              <a:cs typeface="+mn-cs"/>
            </a:rPr>
            <a:t> 。</a:t>
          </a:r>
          <a:r>
            <a:rPr lang="zh-CN" altLang="en-US" sz="1100">
              <a:solidFill>
                <a:schemeClr val="dk1"/>
              </a:solidFill>
              <a:effectLst/>
              <a:latin typeface="+mn-lt"/>
              <a:ea typeface="+mn-ea"/>
              <a:cs typeface="+mn-cs"/>
            </a:rPr>
            <a:t>一袋中有</a:t>
          </a: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个黑球，</a:t>
          </a:r>
          <a:r>
            <a:rPr lang="en-US" altLang="zh-CN" sz="1100">
              <a:solidFill>
                <a:schemeClr val="dk1"/>
              </a:solidFill>
              <a:effectLst/>
              <a:latin typeface="+mn-lt"/>
              <a:ea typeface="+mn-ea"/>
              <a:cs typeface="+mn-cs"/>
            </a:rPr>
            <a:t>7</a:t>
          </a:r>
          <a:r>
            <a:rPr lang="zh-CN" altLang="en-US" sz="1100">
              <a:solidFill>
                <a:schemeClr val="dk1"/>
              </a:solidFill>
              <a:effectLst/>
              <a:latin typeface="+mn-lt"/>
              <a:ea typeface="+mn-ea"/>
              <a:cs typeface="+mn-cs"/>
            </a:rPr>
            <a:t>个白球，从袋中任意取出</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个球，然后放进</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个另一颜色的球（例如取出</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个白球就放进</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个黑球）。</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）如此连续取出</a:t>
          </a: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个球，求第一次取出时黑球，而第二次、第三次取出的是白球的概率；</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2</a:t>
          </a:r>
          <a:r>
            <a:rPr lang="zh-CN" altLang="en-US" sz="1100">
              <a:solidFill>
                <a:schemeClr val="dk1"/>
              </a:solidFill>
              <a:effectLst/>
              <a:latin typeface="+mn-lt"/>
              <a:ea typeface="+mn-ea"/>
              <a:cs typeface="+mn-cs"/>
            </a:rPr>
            <a:t>）</a:t>
          </a:r>
          <a:r>
            <a:rPr lang="zh-CN" altLang="zh-CN" sz="1100">
              <a:solidFill>
                <a:schemeClr val="dk1"/>
              </a:solidFill>
              <a:effectLst/>
              <a:latin typeface="+mn-lt"/>
              <a:ea typeface="+mn-ea"/>
              <a:cs typeface="+mn-cs"/>
            </a:rPr>
            <a:t>如此连续取出</a:t>
          </a:r>
          <a:r>
            <a:rPr lang="en-US" altLang="zh-CN" sz="1100">
              <a:solidFill>
                <a:schemeClr val="dk1"/>
              </a:solidFill>
              <a:effectLst/>
              <a:latin typeface="+mn-lt"/>
              <a:ea typeface="+mn-ea"/>
              <a:cs typeface="+mn-cs"/>
            </a:rPr>
            <a:t>2</a:t>
          </a:r>
          <a:r>
            <a:rPr lang="zh-CN" altLang="zh-CN" sz="1100">
              <a:solidFill>
                <a:schemeClr val="dk1"/>
              </a:solidFill>
              <a:effectLst/>
              <a:latin typeface="+mn-lt"/>
              <a:ea typeface="+mn-ea"/>
              <a:cs typeface="+mn-cs"/>
            </a:rPr>
            <a:t>个球</a:t>
          </a:r>
          <a:r>
            <a:rPr lang="zh-CN" altLang="en-US" sz="1100">
              <a:solidFill>
                <a:schemeClr val="dk1"/>
              </a:solidFill>
              <a:effectLst/>
              <a:latin typeface="+mn-lt"/>
              <a:ea typeface="+mn-ea"/>
              <a:cs typeface="+mn-cs"/>
            </a:rPr>
            <a:t>，已知取出的</a:t>
          </a:r>
          <a:r>
            <a:rPr lang="en-US" altLang="zh-CN" sz="1100">
              <a:solidFill>
                <a:schemeClr val="dk1"/>
              </a:solidFill>
              <a:effectLst/>
              <a:latin typeface="+mn-lt"/>
              <a:ea typeface="+mn-ea"/>
              <a:cs typeface="+mn-cs"/>
            </a:rPr>
            <a:t>2</a:t>
          </a:r>
          <a:r>
            <a:rPr lang="zh-CN" altLang="en-US" sz="1100">
              <a:solidFill>
                <a:schemeClr val="dk1"/>
              </a:solidFill>
              <a:effectLst/>
              <a:latin typeface="+mn-lt"/>
              <a:ea typeface="+mn-ea"/>
              <a:cs typeface="+mn-cs"/>
            </a:rPr>
            <a:t>个球是具有相同的颜色，求它们都是白球的概率；</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a:t>
          </a:r>
          <a:r>
            <a:rPr lang="zh-CN" altLang="zh-CN" sz="1100">
              <a:solidFill>
                <a:schemeClr val="dk1"/>
              </a:solidFill>
              <a:effectLst/>
              <a:latin typeface="+mn-lt"/>
              <a:ea typeface="+mn-ea"/>
              <a:cs typeface="+mn-cs"/>
            </a:rPr>
            <a:t>如此连续取出</a:t>
          </a:r>
          <a:r>
            <a:rPr lang="en-US" altLang="zh-CN" sz="1100">
              <a:solidFill>
                <a:schemeClr val="dk1"/>
              </a:solidFill>
              <a:effectLst/>
              <a:latin typeface="+mn-lt"/>
              <a:ea typeface="+mn-ea"/>
              <a:cs typeface="+mn-cs"/>
            </a:rPr>
            <a:t>3</a:t>
          </a:r>
          <a:r>
            <a:rPr lang="zh-CN" altLang="zh-CN" sz="1100">
              <a:solidFill>
                <a:schemeClr val="dk1"/>
              </a:solidFill>
              <a:effectLst/>
              <a:latin typeface="+mn-lt"/>
              <a:ea typeface="+mn-ea"/>
              <a:cs typeface="+mn-cs"/>
            </a:rPr>
            <a:t>个球</a:t>
          </a:r>
          <a:r>
            <a:rPr lang="zh-CN" altLang="en-US" sz="1100">
              <a:solidFill>
                <a:schemeClr val="dk1"/>
              </a:solidFill>
              <a:effectLst/>
              <a:latin typeface="+mn-lt"/>
              <a:ea typeface="+mn-ea"/>
              <a:cs typeface="+mn-cs"/>
            </a:rPr>
            <a:t>，若黑球得分为</a:t>
          </a:r>
          <a:r>
            <a:rPr lang="en-US" altLang="zh-CN" sz="1100">
              <a:solidFill>
                <a:schemeClr val="dk1"/>
              </a:solidFill>
              <a:effectLst/>
              <a:latin typeface="+mn-lt"/>
              <a:ea typeface="+mn-ea"/>
              <a:cs typeface="+mn-cs"/>
            </a:rPr>
            <a:t>2</a:t>
          </a:r>
          <a:r>
            <a:rPr lang="zh-CN" altLang="en-US" sz="1100">
              <a:solidFill>
                <a:schemeClr val="dk1"/>
              </a:solidFill>
              <a:effectLst/>
              <a:latin typeface="+mn-lt"/>
              <a:ea typeface="+mn-ea"/>
              <a:cs typeface="+mn-cs"/>
            </a:rPr>
            <a:t>分，白球得分为</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分，求总得分从</a:t>
          </a: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分到</a:t>
          </a:r>
          <a:r>
            <a:rPr lang="en-US" altLang="zh-CN" sz="1100">
              <a:solidFill>
                <a:schemeClr val="dk1"/>
              </a:solidFill>
              <a:effectLst/>
              <a:latin typeface="+mn-lt"/>
              <a:ea typeface="+mn-ea"/>
              <a:cs typeface="+mn-cs"/>
            </a:rPr>
            <a:t>6</a:t>
          </a:r>
          <a:r>
            <a:rPr lang="zh-CN" altLang="en-US" sz="1100">
              <a:solidFill>
                <a:schemeClr val="dk1"/>
              </a:solidFill>
              <a:effectLst/>
              <a:latin typeface="+mn-lt"/>
              <a:ea typeface="+mn-ea"/>
              <a:cs typeface="+mn-cs"/>
            </a:rPr>
            <a:t>分的概率分别是多少。</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zh-CN" altLang="zh-CN" sz="1100">
              <a:solidFill>
                <a:schemeClr val="dk1"/>
              </a:solidFill>
              <a:effectLst/>
              <a:latin typeface="+mn-lt"/>
              <a:ea typeface="+mn-ea"/>
              <a:cs typeface="+mn-cs"/>
            </a:rPr>
            <a:t>请你</a:t>
          </a:r>
          <a:r>
            <a:rPr lang="zh-CN" altLang="zh-CN" sz="1100" b="0">
              <a:solidFill>
                <a:schemeClr val="dk1"/>
              </a:solidFill>
              <a:effectLst/>
              <a:latin typeface="+mn-lt"/>
              <a:ea typeface="+mn-ea"/>
              <a:cs typeface="+mn-cs"/>
            </a:rPr>
            <a:t>在</a:t>
          </a:r>
          <a:r>
            <a:rPr lang="en-US" altLang="zh-CN" sz="1100" b="0">
              <a:solidFill>
                <a:schemeClr val="dk1"/>
              </a:solidFill>
              <a:effectLst/>
              <a:latin typeface="+mn-lt"/>
              <a:ea typeface="+mn-ea"/>
              <a:cs typeface="+mn-cs"/>
            </a:rPr>
            <a:t>EXCEL</a:t>
          </a:r>
          <a:r>
            <a:rPr lang="zh-CN" altLang="zh-CN" sz="1100" b="0">
              <a:solidFill>
                <a:schemeClr val="dk1"/>
              </a:solidFill>
              <a:effectLst/>
              <a:latin typeface="+mn-lt"/>
              <a:ea typeface="+mn-ea"/>
              <a:cs typeface="+mn-cs"/>
            </a:rPr>
            <a:t>工作表上用系统</a:t>
          </a:r>
          <a:r>
            <a:rPr lang="zh-CN" altLang="zh-CN" sz="1100">
              <a:solidFill>
                <a:schemeClr val="dk1"/>
              </a:solidFill>
              <a:effectLst/>
              <a:latin typeface="+mn-lt"/>
              <a:ea typeface="+mn-ea"/>
              <a:cs typeface="+mn-cs"/>
            </a:rPr>
            <a:t>模拟仿真模型的方法来求解（模拟试验次数</a:t>
          </a:r>
          <a:r>
            <a:rPr lang="en-US" altLang="zh-CN" sz="1100">
              <a:solidFill>
                <a:schemeClr val="dk1"/>
              </a:solidFill>
              <a:effectLst/>
              <a:latin typeface="+mn-lt"/>
              <a:ea typeface="+mn-ea"/>
              <a:cs typeface="+mn-cs"/>
            </a:rPr>
            <a:t>500</a:t>
          </a:r>
          <a:r>
            <a:rPr lang="zh-CN" altLang="zh-CN" sz="1100">
              <a:solidFill>
                <a:schemeClr val="dk1"/>
              </a:solidFill>
              <a:effectLst/>
              <a:latin typeface="+mn-lt"/>
              <a:ea typeface="+mn-ea"/>
              <a:cs typeface="+mn-cs"/>
            </a:rPr>
            <a:t>次即可）。</a:t>
          </a:r>
          <a:endParaRPr lang="zh-CN" altLang="zh-CN">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200" baseline="0">
            <a:solidFill>
              <a:schemeClr val="dk1"/>
            </a:solidFill>
            <a:effectLst/>
            <a:latin typeface="+mn-lt"/>
            <a:ea typeface="+mn-ea"/>
            <a:cs typeface="+mn-cs"/>
          </a:endParaRPr>
        </a:p>
      </xdr:txBody>
    </xdr:sp>
    <xdr:clientData/>
  </xdr:twoCellAnchor>
  <xdr:twoCellAnchor>
    <xdr:from>
      <xdr:col>19</xdr:col>
      <xdr:colOff>619125</xdr:colOff>
      <xdr:row>17</xdr:row>
      <xdr:rowOff>42862</xdr:rowOff>
    </xdr:from>
    <xdr:to>
      <xdr:col>26</xdr:col>
      <xdr:colOff>123825</xdr:colOff>
      <xdr:row>33</xdr:row>
      <xdr:rowOff>33337</xdr:rowOff>
    </xdr:to>
    <xdr:graphicFrame macro="">
      <xdr:nvGraphicFramePr>
        <xdr:cNvPr id="3" name="图表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25</xdr:row>
      <xdr:rowOff>85725</xdr:rowOff>
    </xdr:from>
    <xdr:to>
      <xdr:col>4</xdr:col>
      <xdr:colOff>733425</xdr:colOff>
      <xdr:row>41</xdr:row>
      <xdr:rowOff>57150</xdr:rowOff>
    </xdr:to>
    <xdr:sp macro="" textlink="">
      <xdr:nvSpPr>
        <xdr:cNvPr id="2" name="TextBox 2"/>
        <xdr:cNvSpPr txBox="1"/>
      </xdr:nvSpPr>
      <xdr:spPr>
        <a:xfrm>
          <a:off x="304800" y="4705350"/>
          <a:ext cx="3514725" cy="2714625"/>
        </a:xfrm>
        <a:prstGeom prst="rect">
          <a:avLst/>
        </a:prstGeom>
        <a:solidFill>
          <a:srgbClr val="C8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en-US" sz="1200" b="1" baseline="0"/>
            <a:t>第</a:t>
          </a:r>
          <a:r>
            <a:rPr lang="en-US" altLang="zh-CN" sz="1200" b="1" baseline="0"/>
            <a:t>8</a:t>
          </a:r>
          <a:r>
            <a:rPr lang="zh-CN" altLang="en-US" sz="1200" b="1" baseline="0"/>
            <a:t>题（</a:t>
          </a:r>
          <a:r>
            <a:rPr lang="en-US" altLang="zh-CN" sz="1200" b="1" baseline="0"/>
            <a:t>11</a:t>
          </a:r>
          <a:r>
            <a:rPr lang="zh-CN" altLang="en-US" sz="1200" b="1" baseline="0"/>
            <a:t>分）</a:t>
          </a:r>
          <a:r>
            <a:rPr lang="zh-CN" altLang="zh-CN" sz="1100" b="1" i="0" baseline="0">
              <a:solidFill>
                <a:schemeClr val="dk1"/>
              </a:solidFill>
              <a:effectLst/>
              <a:latin typeface="+mn-lt"/>
              <a:ea typeface="+mn-ea"/>
              <a:cs typeface="+mn-cs"/>
            </a:rPr>
            <a:t>黑白</a:t>
          </a:r>
          <a:r>
            <a:rPr lang="zh-CN" altLang="en-US" sz="1100" b="1" i="0" baseline="0">
              <a:solidFill>
                <a:schemeClr val="dk1"/>
              </a:solidFill>
              <a:effectLst/>
              <a:latin typeface="+mn-lt"/>
              <a:ea typeface="+mn-ea"/>
              <a:cs typeface="+mn-cs"/>
            </a:rPr>
            <a:t>球抽样摸球</a:t>
          </a:r>
          <a:r>
            <a:rPr lang="zh-CN" altLang="zh-CN" sz="1100" b="1" i="0">
              <a:solidFill>
                <a:schemeClr val="dk1"/>
              </a:solidFill>
              <a:effectLst/>
              <a:latin typeface="+mn-lt"/>
              <a:ea typeface="+mn-ea"/>
              <a:cs typeface="+mn-cs"/>
            </a:rPr>
            <a:t>风险分析</a:t>
          </a:r>
          <a:r>
            <a:rPr lang="zh-CN" altLang="en-US" sz="1100" b="1" i="0">
              <a:solidFill>
                <a:schemeClr val="dk1"/>
              </a:solidFill>
              <a:effectLst/>
              <a:latin typeface="+mn-lt"/>
              <a:ea typeface="+mn-ea"/>
              <a:cs typeface="+mn-cs"/>
            </a:rPr>
            <a:t>模拟</a:t>
          </a:r>
          <a:r>
            <a:rPr lang="zh-CN" altLang="zh-CN" sz="1100" b="1" i="0">
              <a:solidFill>
                <a:schemeClr val="dk1"/>
              </a:solidFill>
              <a:effectLst/>
              <a:latin typeface="+mn-lt"/>
              <a:ea typeface="+mn-ea"/>
              <a:cs typeface="+mn-cs"/>
            </a:rPr>
            <a:t>模型</a:t>
          </a:r>
          <a:r>
            <a:rPr lang="zh-CN" altLang="zh-CN" sz="1100">
              <a:solidFill>
                <a:schemeClr val="dk1"/>
              </a:solidFill>
              <a:effectLst/>
              <a:latin typeface="+mn-lt"/>
              <a:ea typeface="+mn-ea"/>
              <a:cs typeface="+mn-cs"/>
            </a:rPr>
            <a:t> 。</a:t>
          </a:r>
          <a:r>
            <a:rPr lang="zh-CN" altLang="en-US" sz="1100">
              <a:solidFill>
                <a:schemeClr val="dk1"/>
              </a:solidFill>
              <a:effectLst/>
              <a:latin typeface="+mn-lt"/>
              <a:ea typeface="+mn-ea"/>
              <a:cs typeface="+mn-cs"/>
            </a:rPr>
            <a:t>一袋中有</a:t>
          </a: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个黑球，</a:t>
          </a:r>
          <a:r>
            <a:rPr lang="en-US" altLang="zh-CN" sz="1100">
              <a:solidFill>
                <a:schemeClr val="dk1"/>
              </a:solidFill>
              <a:effectLst/>
              <a:latin typeface="+mn-lt"/>
              <a:ea typeface="+mn-ea"/>
              <a:cs typeface="+mn-cs"/>
            </a:rPr>
            <a:t>7</a:t>
          </a:r>
          <a:r>
            <a:rPr lang="zh-CN" altLang="en-US" sz="1100">
              <a:solidFill>
                <a:schemeClr val="dk1"/>
              </a:solidFill>
              <a:effectLst/>
              <a:latin typeface="+mn-lt"/>
              <a:ea typeface="+mn-ea"/>
              <a:cs typeface="+mn-cs"/>
            </a:rPr>
            <a:t>个白球，从袋中任意取出</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个球，然后放进</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个另一颜色的球（例如取出</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个白球就放进</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个黑球）。</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）如此连续取出</a:t>
          </a: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个球，求第一次取出时黑球，而第二次、第三次取出的是白球的概率；</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2</a:t>
          </a:r>
          <a:r>
            <a:rPr lang="zh-CN" altLang="en-US" sz="1100">
              <a:solidFill>
                <a:schemeClr val="dk1"/>
              </a:solidFill>
              <a:effectLst/>
              <a:latin typeface="+mn-lt"/>
              <a:ea typeface="+mn-ea"/>
              <a:cs typeface="+mn-cs"/>
            </a:rPr>
            <a:t>）</a:t>
          </a:r>
          <a:r>
            <a:rPr lang="zh-CN" altLang="zh-CN" sz="1100">
              <a:solidFill>
                <a:schemeClr val="dk1"/>
              </a:solidFill>
              <a:effectLst/>
              <a:latin typeface="+mn-lt"/>
              <a:ea typeface="+mn-ea"/>
              <a:cs typeface="+mn-cs"/>
            </a:rPr>
            <a:t>如此连续取出</a:t>
          </a:r>
          <a:r>
            <a:rPr lang="en-US" altLang="zh-CN" sz="1100">
              <a:solidFill>
                <a:schemeClr val="dk1"/>
              </a:solidFill>
              <a:effectLst/>
              <a:latin typeface="+mn-lt"/>
              <a:ea typeface="+mn-ea"/>
              <a:cs typeface="+mn-cs"/>
            </a:rPr>
            <a:t>2</a:t>
          </a:r>
          <a:r>
            <a:rPr lang="zh-CN" altLang="zh-CN" sz="1100">
              <a:solidFill>
                <a:schemeClr val="dk1"/>
              </a:solidFill>
              <a:effectLst/>
              <a:latin typeface="+mn-lt"/>
              <a:ea typeface="+mn-ea"/>
              <a:cs typeface="+mn-cs"/>
            </a:rPr>
            <a:t>个球</a:t>
          </a:r>
          <a:r>
            <a:rPr lang="zh-CN" altLang="en-US" sz="1100">
              <a:solidFill>
                <a:schemeClr val="dk1"/>
              </a:solidFill>
              <a:effectLst/>
              <a:latin typeface="+mn-lt"/>
              <a:ea typeface="+mn-ea"/>
              <a:cs typeface="+mn-cs"/>
            </a:rPr>
            <a:t>，已知取出的</a:t>
          </a:r>
          <a:r>
            <a:rPr lang="en-US" altLang="zh-CN" sz="1100">
              <a:solidFill>
                <a:schemeClr val="dk1"/>
              </a:solidFill>
              <a:effectLst/>
              <a:latin typeface="+mn-lt"/>
              <a:ea typeface="+mn-ea"/>
              <a:cs typeface="+mn-cs"/>
            </a:rPr>
            <a:t>2</a:t>
          </a:r>
          <a:r>
            <a:rPr lang="zh-CN" altLang="en-US" sz="1100">
              <a:solidFill>
                <a:schemeClr val="dk1"/>
              </a:solidFill>
              <a:effectLst/>
              <a:latin typeface="+mn-lt"/>
              <a:ea typeface="+mn-ea"/>
              <a:cs typeface="+mn-cs"/>
            </a:rPr>
            <a:t>个球是具有相同的颜色，求它们都是白球的概率；</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a:t>
          </a:r>
          <a:r>
            <a:rPr lang="zh-CN" altLang="zh-CN" sz="1100">
              <a:solidFill>
                <a:schemeClr val="dk1"/>
              </a:solidFill>
              <a:effectLst/>
              <a:latin typeface="+mn-lt"/>
              <a:ea typeface="+mn-ea"/>
              <a:cs typeface="+mn-cs"/>
            </a:rPr>
            <a:t>如此连续取出</a:t>
          </a:r>
          <a:r>
            <a:rPr lang="en-US" altLang="zh-CN" sz="1100">
              <a:solidFill>
                <a:schemeClr val="dk1"/>
              </a:solidFill>
              <a:effectLst/>
              <a:latin typeface="+mn-lt"/>
              <a:ea typeface="+mn-ea"/>
              <a:cs typeface="+mn-cs"/>
            </a:rPr>
            <a:t>3</a:t>
          </a:r>
          <a:r>
            <a:rPr lang="zh-CN" altLang="zh-CN" sz="1100">
              <a:solidFill>
                <a:schemeClr val="dk1"/>
              </a:solidFill>
              <a:effectLst/>
              <a:latin typeface="+mn-lt"/>
              <a:ea typeface="+mn-ea"/>
              <a:cs typeface="+mn-cs"/>
            </a:rPr>
            <a:t>个球</a:t>
          </a:r>
          <a:r>
            <a:rPr lang="zh-CN" altLang="en-US" sz="1100">
              <a:solidFill>
                <a:schemeClr val="dk1"/>
              </a:solidFill>
              <a:effectLst/>
              <a:latin typeface="+mn-lt"/>
              <a:ea typeface="+mn-ea"/>
              <a:cs typeface="+mn-cs"/>
            </a:rPr>
            <a:t>，</a:t>
          </a:r>
          <a:r>
            <a:rPr lang="zh-CN" altLang="en-US" sz="1100" b="1">
              <a:solidFill>
                <a:srgbClr val="FF0000"/>
              </a:solidFill>
              <a:effectLst/>
              <a:latin typeface="+mn-lt"/>
              <a:ea typeface="+mn-ea"/>
              <a:cs typeface="+mn-cs"/>
            </a:rPr>
            <a:t>若黑球得分为</a:t>
          </a:r>
          <a:r>
            <a:rPr lang="en-US" altLang="zh-CN" sz="1100" b="1">
              <a:solidFill>
                <a:srgbClr val="FF0000"/>
              </a:solidFill>
              <a:effectLst/>
              <a:latin typeface="+mn-lt"/>
              <a:ea typeface="+mn-ea"/>
              <a:cs typeface="+mn-cs"/>
            </a:rPr>
            <a:t>2</a:t>
          </a:r>
          <a:r>
            <a:rPr lang="zh-CN" altLang="en-US" sz="1100" b="1">
              <a:solidFill>
                <a:srgbClr val="FF0000"/>
              </a:solidFill>
              <a:effectLst/>
              <a:latin typeface="+mn-lt"/>
              <a:ea typeface="+mn-ea"/>
              <a:cs typeface="+mn-cs"/>
            </a:rPr>
            <a:t>分，白球得分为</a:t>
          </a:r>
          <a:r>
            <a:rPr lang="en-US" altLang="zh-CN" sz="1100" b="1">
              <a:solidFill>
                <a:srgbClr val="FF0000"/>
              </a:solidFill>
              <a:effectLst/>
              <a:latin typeface="+mn-lt"/>
              <a:ea typeface="+mn-ea"/>
              <a:cs typeface="+mn-cs"/>
            </a:rPr>
            <a:t>1</a:t>
          </a:r>
          <a:r>
            <a:rPr lang="zh-CN" altLang="en-US" sz="1100" b="1">
              <a:solidFill>
                <a:srgbClr val="FF0000"/>
              </a:solidFill>
              <a:effectLst/>
              <a:latin typeface="+mn-lt"/>
              <a:ea typeface="+mn-ea"/>
              <a:cs typeface="+mn-cs"/>
            </a:rPr>
            <a:t>分</a:t>
          </a:r>
          <a:r>
            <a:rPr lang="zh-CN" altLang="en-US" sz="1100">
              <a:solidFill>
                <a:schemeClr val="dk1"/>
              </a:solidFill>
              <a:effectLst/>
              <a:latin typeface="+mn-lt"/>
              <a:ea typeface="+mn-ea"/>
              <a:cs typeface="+mn-cs"/>
            </a:rPr>
            <a:t>，求总得分从</a:t>
          </a: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分到</a:t>
          </a:r>
          <a:r>
            <a:rPr lang="en-US" altLang="zh-CN" sz="1100">
              <a:solidFill>
                <a:schemeClr val="dk1"/>
              </a:solidFill>
              <a:effectLst/>
              <a:latin typeface="+mn-lt"/>
              <a:ea typeface="+mn-ea"/>
              <a:cs typeface="+mn-cs"/>
            </a:rPr>
            <a:t>6</a:t>
          </a:r>
          <a:r>
            <a:rPr lang="zh-CN" altLang="en-US" sz="1100">
              <a:solidFill>
                <a:schemeClr val="dk1"/>
              </a:solidFill>
              <a:effectLst/>
              <a:latin typeface="+mn-lt"/>
              <a:ea typeface="+mn-ea"/>
              <a:cs typeface="+mn-cs"/>
            </a:rPr>
            <a:t>分的概率分别是多少。</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zh-CN" altLang="zh-CN" sz="1100">
              <a:solidFill>
                <a:schemeClr val="dk1"/>
              </a:solidFill>
              <a:effectLst/>
              <a:latin typeface="+mn-lt"/>
              <a:ea typeface="+mn-ea"/>
              <a:cs typeface="+mn-cs"/>
            </a:rPr>
            <a:t>请你</a:t>
          </a:r>
          <a:r>
            <a:rPr lang="zh-CN" altLang="zh-CN" sz="1100" b="0">
              <a:solidFill>
                <a:schemeClr val="dk1"/>
              </a:solidFill>
              <a:effectLst/>
              <a:latin typeface="+mn-lt"/>
              <a:ea typeface="+mn-ea"/>
              <a:cs typeface="+mn-cs"/>
            </a:rPr>
            <a:t>在</a:t>
          </a:r>
          <a:r>
            <a:rPr lang="en-US" altLang="zh-CN" sz="1100" b="0">
              <a:solidFill>
                <a:schemeClr val="dk1"/>
              </a:solidFill>
              <a:effectLst/>
              <a:latin typeface="+mn-lt"/>
              <a:ea typeface="+mn-ea"/>
              <a:cs typeface="+mn-cs"/>
            </a:rPr>
            <a:t>EXCEL</a:t>
          </a:r>
          <a:r>
            <a:rPr lang="zh-CN" altLang="zh-CN" sz="1100" b="0">
              <a:solidFill>
                <a:schemeClr val="dk1"/>
              </a:solidFill>
              <a:effectLst/>
              <a:latin typeface="+mn-lt"/>
              <a:ea typeface="+mn-ea"/>
              <a:cs typeface="+mn-cs"/>
            </a:rPr>
            <a:t>工作表上用系统</a:t>
          </a:r>
          <a:r>
            <a:rPr lang="zh-CN" altLang="zh-CN" sz="1100">
              <a:solidFill>
                <a:schemeClr val="dk1"/>
              </a:solidFill>
              <a:effectLst/>
              <a:latin typeface="+mn-lt"/>
              <a:ea typeface="+mn-ea"/>
              <a:cs typeface="+mn-cs"/>
            </a:rPr>
            <a:t>模拟仿真模型的方法来求解（模拟试验次数</a:t>
          </a:r>
          <a:r>
            <a:rPr lang="en-US" altLang="zh-CN" sz="1100">
              <a:solidFill>
                <a:schemeClr val="dk1"/>
              </a:solidFill>
              <a:effectLst/>
              <a:latin typeface="+mn-lt"/>
              <a:ea typeface="+mn-ea"/>
              <a:cs typeface="+mn-cs"/>
            </a:rPr>
            <a:t>500</a:t>
          </a:r>
          <a:r>
            <a:rPr lang="zh-CN" altLang="zh-CN" sz="1100">
              <a:solidFill>
                <a:schemeClr val="dk1"/>
              </a:solidFill>
              <a:effectLst/>
              <a:latin typeface="+mn-lt"/>
              <a:ea typeface="+mn-ea"/>
              <a:cs typeface="+mn-cs"/>
            </a:rPr>
            <a:t>次即可）。</a:t>
          </a:r>
          <a:endParaRPr lang="zh-CN" altLang="zh-CN">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200" baseline="0">
            <a:solidFill>
              <a:schemeClr val="dk1"/>
            </a:solidFill>
            <a:effectLst/>
            <a:latin typeface="+mn-lt"/>
            <a:ea typeface="+mn-ea"/>
            <a:cs typeface="+mn-cs"/>
          </a:endParaRPr>
        </a:p>
      </xdr:txBody>
    </xdr:sp>
    <xdr:clientData/>
  </xdr:twoCellAnchor>
  <xdr:twoCellAnchor>
    <xdr:from>
      <xdr:col>18</xdr:col>
      <xdr:colOff>247650</xdr:colOff>
      <xdr:row>11</xdr:row>
      <xdr:rowOff>4762</xdr:rowOff>
    </xdr:from>
    <xdr:to>
      <xdr:col>25</xdr:col>
      <xdr:colOff>28575</xdr:colOff>
      <xdr:row>26</xdr:row>
      <xdr:rowOff>119062</xdr:rowOff>
    </xdr:to>
    <xdr:graphicFrame macro="">
      <xdr:nvGraphicFramePr>
        <xdr:cNvPr id="3" name="图表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504825</xdr:colOff>
      <xdr:row>1</xdr:row>
      <xdr:rowOff>66675</xdr:rowOff>
    </xdr:from>
    <xdr:to>
      <xdr:col>11</xdr:col>
      <xdr:colOff>276225</xdr:colOff>
      <xdr:row>22</xdr:row>
      <xdr:rowOff>19050</xdr:rowOff>
    </xdr:to>
    <xdr:sp macro="" textlink="">
      <xdr:nvSpPr>
        <xdr:cNvPr id="2" name="TextBox 2"/>
        <xdr:cNvSpPr txBox="1"/>
      </xdr:nvSpPr>
      <xdr:spPr>
        <a:xfrm>
          <a:off x="1876425" y="238125"/>
          <a:ext cx="5943600" cy="3552825"/>
        </a:xfrm>
        <a:prstGeom prst="rect">
          <a:avLst/>
        </a:prstGeom>
        <a:solidFill>
          <a:srgbClr val="C8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en-US" sz="1800" b="1" baseline="0"/>
            <a:t>第</a:t>
          </a:r>
          <a:r>
            <a:rPr lang="en-US" altLang="zh-CN" sz="1800" b="1" baseline="0"/>
            <a:t>8</a:t>
          </a:r>
          <a:r>
            <a:rPr lang="zh-CN" altLang="en-US" sz="1800" b="1" baseline="0"/>
            <a:t>题（</a:t>
          </a:r>
          <a:r>
            <a:rPr lang="en-US" altLang="zh-CN" sz="1800" b="1" baseline="0"/>
            <a:t>11</a:t>
          </a:r>
          <a:r>
            <a:rPr lang="zh-CN" altLang="en-US" sz="1800" b="1" baseline="0"/>
            <a:t>分）</a:t>
          </a:r>
          <a:r>
            <a:rPr lang="zh-CN" altLang="zh-CN" sz="1600" b="1" i="0" baseline="0">
              <a:solidFill>
                <a:schemeClr val="dk1"/>
              </a:solidFill>
              <a:effectLst/>
              <a:latin typeface="+mn-lt"/>
              <a:ea typeface="+mn-ea"/>
              <a:cs typeface="+mn-cs"/>
            </a:rPr>
            <a:t>黑白</a:t>
          </a:r>
          <a:r>
            <a:rPr lang="zh-CN" altLang="en-US" sz="1600" b="1" i="0" baseline="0">
              <a:solidFill>
                <a:schemeClr val="dk1"/>
              </a:solidFill>
              <a:effectLst/>
              <a:latin typeface="+mn-lt"/>
              <a:ea typeface="+mn-ea"/>
              <a:cs typeface="+mn-cs"/>
            </a:rPr>
            <a:t>球抽样摸球</a:t>
          </a:r>
          <a:r>
            <a:rPr lang="zh-CN" altLang="zh-CN" sz="1600" b="1" i="0">
              <a:solidFill>
                <a:schemeClr val="dk1"/>
              </a:solidFill>
              <a:effectLst/>
              <a:latin typeface="+mn-lt"/>
              <a:ea typeface="+mn-ea"/>
              <a:cs typeface="+mn-cs"/>
            </a:rPr>
            <a:t>风险分析</a:t>
          </a:r>
          <a:r>
            <a:rPr lang="zh-CN" altLang="en-US" sz="1600" b="1" i="0">
              <a:solidFill>
                <a:schemeClr val="dk1"/>
              </a:solidFill>
              <a:effectLst/>
              <a:latin typeface="+mn-lt"/>
              <a:ea typeface="+mn-ea"/>
              <a:cs typeface="+mn-cs"/>
            </a:rPr>
            <a:t>模拟</a:t>
          </a:r>
          <a:r>
            <a:rPr lang="zh-CN" altLang="zh-CN" sz="1600" b="1" i="0">
              <a:solidFill>
                <a:schemeClr val="dk1"/>
              </a:solidFill>
              <a:effectLst/>
              <a:latin typeface="+mn-lt"/>
              <a:ea typeface="+mn-ea"/>
              <a:cs typeface="+mn-cs"/>
            </a:rPr>
            <a:t>模型</a:t>
          </a:r>
          <a:r>
            <a:rPr lang="zh-CN" altLang="zh-CN" sz="1600">
              <a:solidFill>
                <a:schemeClr val="dk1"/>
              </a:solidFill>
              <a:effectLst/>
              <a:latin typeface="+mn-lt"/>
              <a:ea typeface="+mn-ea"/>
              <a:cs typeface="+mn-cs"/>
            </a:rPr>
            <a:t> 。</a:t>
          </a:r>
          <a:r>
            <a:rPr lang="zh-CN" altLang="en-US" sz="1600">
              <a:solidFill>
                <a:schemeClr val="dk1"/>
              </a:solidFill>
              <a:effectLst/>
              <a:latin typeface="+mn-lt"/>
              <a:ea typeface="+mn-ea"/>
              <a:cs typeface="+mn-cs"/>
            </a:rPr>
            <a:t>一袋中有</a:t>
          </a:r>
          <a:r>
            <a:rPr lang="en-US" altLang="zh-CN" sz="1600">
              <a:solidFill>
                <a:schemeClr val="dk1"/>
              </a:solidFill>
              <a:effectLst/>
              <a:latin typeface="+mn-lt"/>
              <a:ea typeface="+mn-ea"/>
              <a:cs typeface="+mn-cs"/>
            </a:rPr>
            <a:t>3</a:t>
          </a:r>
          <a:r>
            <a:rPr lang="zh-CN" altLang="en-US" sz="1600">
              <a:solidFill>
                <a:schemeClr val="dk1"/>
              </a:solidFill>
              <a:effectLst/>
              <a:latin typeface="+mn-lt"/>
              <a:ea typeface="+mn-ea"/>
              <a:cs typeface="+mn-cs"/>
            </a:rPr>
            <a:t>个黑球，</a:t>
          </a:r>
          <a:r>
            <a:rPr lang="en-US" altLang="zh-CN" sz="1600">
              <a:solidFill>
                <a:schemeClr val="dk1"/>
              </a:solidFill>
              <a:effectLst/>
              <a:latin typeface="+mn-lt"/>
              <a:ea typeface="+mn-ea"/>
              <a:cs typeface="+mn-cs"/>
            </a:rPr>
            <a:t>7</a:t>
          </a:r>
          <a:r>
            <a:rPr lang="zh-CN" altLang="en-US" sz="1600">
              <a:solidFill>
                <a:schemeClr val="dk1"/>
              </a:solidFill>
              <a:effectLst/>
              <a:latin typeface="+mn-lt"/>
              <a:ea typeface="+mn-ea"/>
              <a:cs typeface="+mn-cs"/>
            </a:rPr>
            <a:t>个白球，从袋中任意取出</a:t>
          </a:r>
          <a:r>
            <a:rPr lang="en-US" altLang="zh-CN" sz="1600">
              <a:solidFill>
                <a:schemeClr val="dk1"/>
              </a:solidFill>
              <a:effectLst/>
              <a:latin typeface="+mn-lt"/>
              <a:ea typeface="+mn-ea"/>
              <a:cs typeface="+mn-cs"/>
            </a:rPr>
            <a:t>1</a:t>
          </a:r>
          <a:r>
            <a:rPr lang="zh-CN" altLang="en-US" sz="1600">
              <a:solidFill>
                <a:schemeClr val="dk1"/>
              </a:solidFill>
              <a:effectLst/>
              <a:latin typeface="+mn-lt"/>
              <a:ea typeface="+mn-ea"/>
              <a:cs typeface="+mn-cs"/>
            </a:rPr>
            <a:t>个球，然后放进</a:t>
          </a:r>
          <a:r>
            <a:rPr lang="en-US" altLang="zh-CN" sz="1600">
              <a:solidFill>
                <a:schemeClr val="dk1"/>
              </a:solidFill>
              <a:effectLst/>
              <a:latin typeface="+mn-lt"/>
              <a:ea typeface="+mn-ea"/>
              <a:cs typeface="+mn-cs"/>
            </a:rPr>
            <a:t>1</a:t>
          </a:r>
          <a:r>
            <a:rPr lang="zh-CN" altLang="en-US" sz="1600">
              <a:solidFill>
                <a:schemeClr val="dk1"/>
              </a:solidFill>
              <a:effectLst/>
              <a:latin typeface="+mn-lt"/>
              <a:ea typeface="+mn-ea"/>
              <a:cs typeface="+mn-cs"/>
            </a:rPr>
            <a:t>个另一颜色的球（例如取出</a:t>
          </a:r>
          <a:r>
            <a:rPr lang="en-US" altLang="zh-CN" sz="1600">
              <a:solidFill>
                <a:schemeClr val="dk1"/>
              </a:solidFill>
              <a:effectLst/>
              <a:latin typeface="+mn-lt"/>
              <a:ea typeface="+mn-ea"/>
              <a:cs typeface="+mn-cs"/>
            </a:rPr>
            <a:t>1</a:t>
          </a:r>
          <a:r>
            <a:rPr lang="zh-CN" altLang="en-US" sz="1600">
              <a:solidFill>
                <a:schemeClr val="dk1"/>
              </a:solidFill>
              <a:effectLst/>
              <a:latin typeface="+mn-lt"/>
              <a:ea typeface="+mn-ea"/>
              <a:cs typeface="+mn-cs"/>
            </a:rPr>
            <a:t>个白球就放进</a:t>
          </a:r>
          <a:r>
            <a:rPr lang="en-US" altLang="zh-CN" sz="1600">
              <a:solidFill>
                <a:schemeClr val="dk1"/>
              </a:solidFill>
              <a:effectLst/>
              <a:latin typeface="+mn-lt"/>
              <a:ea typeface="+mn-ea"/>
              <a:cs typeface="+mn-cs"/>
            </a:rPr>
            <a:t>1</a:t>
          </a:r>
          <a:r>
            <a:rPr lang="zh-CN" altLang="en-US" sz="1600">
              <a:solidFill>
                <a:schemeClr val="dk1"/>
              </a:solidFill>
              <a:effectLst/>
              <a:latin typeface="+mn-lt"/>
              <a:ea typeface="+mn-ea"/>
              <a:cs typeface="+mn-cs"/>
            </a:rPr>
            <a:t>个黑球）。</a:t>
          </a:r>
          <a:endParaRPr lang="en-US" altLang="zh-CN" sz="16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6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600">
              <a:solidFill>
                <a:schemeClr val="dk1"/>
              </a:solidFill>
              <a:effectLst/>
              <a:latin typeface="+mn-lt"/>
              <a:ea typeface="+mn-ea"/>
              <a:cs typeface="+mn-cs"/>
            </a:rPr>
            <a:t>1</a:t>
          </a:r>
          <a:r>
            <a:rPr lang="zh-CN" altLang="en-US" sz="1600">
              <a:solidFill>
                <a:schemeClr val="dk1"/>
              </a:solidFill>
              <a:effectLst/>
              <a:latin typeface="+mn-lt"/>
              <a:ea typeface="+mn-ea"/>
              <a:cs typeface="+mn-cs"/>
            </a:rPr>
            <a:t>）如此连续取出</a:t>
          </a:r>
          <a:r>
            <a:rPr lang="en-US" altLang="zh-CN" sz="1600">
              <a:solidFill>
                <a:schemeClr val="dk1"/>
              </a:solidFill>
              <a:effectLst/>
              <a:latin typeface="+mn-lt"/>
              <a:ea typeface="+mn-ea"/>
              <a:cs typeface="+mn-cs"/>
            </a:rPr>
            <a:t>3</a:t>
          </a:r>
          <a:r>
            <a:rPr lang="zh-CN" altLang="en-US" sz="1600">
              <a:solidFill>
                <a:schemeClr val="dk1"/>
              </a:solidFill>
              <a:effectLst/>
              <a:latin typeface="+mn-lt"/>
              <a:ea typeface="+mn-ea"/>
              <a:cs typeface="+mn-cs"/>
            </a:rPr>
            <a:t>个球，求第一次取出时黑球，而第二次、第三次取出的是白球的概率；</a:t>
          </a:r>
          <a:endParaRPr lang="en-US" altLang="zh-CN" sz="16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600">
              <a:solidFill>
                <a:schemeClr val="dk1"/>
              </a:solidFill>
              <a:effectLst/>
              <a:latin typeface="+mn-lt"/>
              <a:ea typeface="+mn-ea"/>
              <a:cs typeface="+mn-cs"/>
            </a:rPr>
            <a:t>2</a:t>
          </a:r>
          <a:r>
            <a:rPr lang="zh-CN" altLang="en-US" sz="1600">
              <a:solidFill>
                <a:schemeClr val="dk1"/>
              </a:solidFill>
              <a:effectLst/>
              <a:latin typeface="+mn-lt"/>
              <a:ea typeface="+mn-ea"/>
              <a:cs typeface="+mn-cs"/>
            </a:rPr>
            <a:t>）</a:t>
          </a:r>
          <a:r>
            <a:rPr lang="zh-CN" altLang="zh-CN" sz="1600">
              <a:solidFill>
                <a:schemeClr val="dk1"/>
              </a:solidFill>
              <a:effectLst/>
              <a:latin typeface="+mn-lt"/>
              <a:ea typeface="+mn-ea"/>
              <a:cs typeface="+mn-cs"/>
            </a:rPr>
            <a:t>如此连续取出</a:t>
          </a:r>
          <a:r>
            <a:rPr lang="en-US" altLang="zh-CN" sz="1600">
              <a:solidFill>
                <a:schemeClr val="dk1"/>
              </a:solidFill>
              <a:effectLst/>
              <a:latin typeface="+mn-lt"/>
              <a:ea typeface="+mn-ea"/>
              <a:cs typeface="+mn-cs"/>
            </a:rPr>
            <a:t>2</a:t>
          </a:r>
          <a:r>
            <a:rPr lang="zh-CN" altLang="zh-CN" sz="1600">
              <a:solidFill>
                <a:schemeClr val="dk1"/>
              </a:solidFill>
              <a:effectLst/>
              <a:latin typeface="+mn-lt"/>
              <a:ea typeface="+mn-ea"/>
              <a:cs typeface="+mn-cs"/>
            </a:rPr>
            <a:t>个球</a:t>
          </a:r>
          <a:r>
            <a:rPr lang="zh-CN" altLang="en-US" sz="1600">
              <a:solidFill>
                <a:schemeClr val="dk1"/>
              </a:solidFill>
              <a:effectLst/>
              <a:latin typeface="+mn-lt"/>
              <a:ea typeface="+mn-ea"/>
              <a:cs typeface="+mn-cs"/>
            </a:rPr>
            <a:t>，已知取出的</a:t>
          </a:r>
          <a:r>
            <a:rPr lang="en-US" altLang="zh-CN" sz="1600">
              <a:solidFill>
                <a:schemeClr val="dk1"/>
              </a:solidFill>
              <a:effectLst/>
              <a:latin typeface="+mn-lt"/>
              <a:ea typeface="+mn-ea"/>
              <a:cs typeface="+mn-cs"/>
            </a:rPr>
            <a:t>2</a:t>
          </a:r>
          <a:r>
            <a:rPr lang="zh-CN" altLang="en-US" sz="1600">
              <a:solidFill>
                <a:schemeClr val="dk1"/>
              </a:solidFill>
              <a:effectLst/>
              <a:latin typeface="+mn-lt"/>
              <a:ea typeface="+mn-ea"/>
              <a:cs typeface="+mn-cs"/>
            </a:rPr>
            <a:t>个球是具有相同的颜色，求它们都是白球的概率；</a:t>
          </a:r>
          <a:endParaRPr lang="en-US" altLang="zh-CN" sz="16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600">
              <a:solidFill>
                <a:schemeClr val="dk1"/>
              </a:solidFill>
              <a:effectLst/>
              <a:latin typeface="+mn-lt"/>
              <a:ea typeface="+mn-ea"/>
              <a:cs typeface="+mn-cs"/>
            </a:rPr>
            <a:t>3</a:t>
          </a:r>
          <a:r>
            <a:rPr lang="zh-CN" altLang="en-US" sz="1600">
              <a:solidFill>
                <a:schemeClr val="dk1"/>
              </a:solidFill>
              <a:effectLst/>
              <a:latin typeface="+mn-lt"/>
              <a:ea typeface="+mn-ea"/>
              <a:cs typeface="+mn-cs"/>
            </a:rPr>
            <a:t>）</a:t>
          </a:r>
          <a:r>
            <a:rPr lang="zh-CN" altLang="zh-CN" sz="1600">
              <a:solidFill>
                <a:schemeClr val="dk1"/>
              </a:solidFill>
              <a:effectLst/>
              <a:latin typeface="+mn-lt"/>
              <a:ea typeface="+mn-ea"/>
              <a:cs typeface="+mn-cs"/>
            </a:rPr>
            <a:t>如此连续取出</a:t>
          </a:r>
          <a:r>
            <a:rPr lang="en-US" altLang="zh-CN" sz="1600">
              <a:solidFill>
                <a:schemeClr val="dk1"/>
              </a:solidFill>
              <a:effectLst/>
              <a:latin typeface="+mn-lt"/>
              <a:ea typeface="+mn-ea"/>
              <a:cs typeface="+mn-cs"/>
            </a:rPr>
            <a:t>3</a:t>
          </a:r>
          <a:r>
            <a:rPr lang="zh-CN" altLang="zh-CN" sz="1600">
              <a:solidFill>
                <a:schemeClr val="dk1"/>
              </a:solidFill>
              <a:effectLst/>
              <a:latin typeface="+mn-lt"/>
              <a:ea typeface="+mn-ea"/>
              <a:cs typeface="+mn-cs"/>
            </a:rPr>
            <a:t>个球</a:t>
          </a:r>
          <a:r>
            <a:rPr lang="zh-CN" altLang="en-US" sz="1600">
              <a:solidFill>
                <a:schemeClr val="dk1"/>
              </a:solidFill>
              <a:effectLst/>
              <a:latin typeface="+mn-lt"/>
              <a:ea typeface="+mn-ea"/>
              <a:cs typeface="+mn-cs"/>
            </a:rPr>
            <a:t>，</a:t>
          </a:r>
          <a:r>
            <a:rPr lang="zh-CN" altLang="en-US" sz="1600" b="1">
              <a:solidFill>
                <a:srgbClr val="FF0000"/>
              </a:solidFill>
              <a:effectLst/>
              <a:latin typeface="+mn-lt"/>
              <a:ea typeface="+mn-ea"/>
              <a:cs typeface="+mn-cs"/>
            </a:rPr>
            <a:t>若黑球得分为</a:t>
          </a:r>
          <a:r>
            <a:rPr lang="en-US" altLang="zh-CN" sz="1600" b="1">
              <a:solidFill>
                <a:srgbClr val="FF0000"/>
              </a:solidFill>
              <a:effectLst/>
              <a:latin typeface="+mn-lt"/>
              <a:ea typeface="+mn-ea"/>
              <a:cs typeface="+mn-cs"/>
            </a:rPr>
            <a:t>2</a:t>
          </a:r>
          <a:r>
            <a:rPr lang="zh-CN" altLang="en-US" sz="1600" b="1">
              <a:solidFill>
                <a:srgbClr val="FF0000"/>
              </a:solidFill>
              <a:effectLst/>
              <a:latin typeface="+mn-lt"/>
              <a:ea typeface="+mn-ea"/>
              <a:cs typeface="+mn-cs"/>
            </a:rPr>
            <a:t>分，白球得分为</a:t>
          </a:r>
          <a:r>
            <a:rPr lang="en-US" altLang="zh-CN" sz="1600" b="1">
              <a:solidFill>
                <a:srgbClr val="FF0000"/>
              </a:solidFill>
              <a:effectLst/>
              <a:latin typeface="+mn-lt"/>
              <a:ea typeface="+mn-ea"/>
              <a:cs typeface="+mn-cs"/>
            </a:rPr>
            <a:t>1</a:t>
          </a:r>
          <a:r>
            <a:rPr lang="zh-CN" altLang="en-US" sz="1600" b="1">
              <a:solidFill>
                <a:srgbClr val="FF0000"/>
              </a:solidFill>
              <a:effectLst/>
              <a:latin typeface="+mn-lt"/>
              <a:ea typeface="+mn-ea"/>
              <a:cs typeface="+mn-cs"/>
            </a:rPr>
            <a:t>分</a:t>
          </a:r>
          <a:r>
            <a:rPr lang="zh-CN" altLang="en-US" sz="1600">
              <a:solidFill>
                <a:schemeClr val="dk1"/>
              </a:solidFill>
              <a:effectLst/>
              <a:latin typeface="+mn-lt"/>
              <a:ea typeface="+mn-ea"/>
              <a:cs typeface="+mn-cs"/>
            </a:rPr>
            <a:t>，求总得分从</a:t>
          </a:r>
          <a:r>
            <a:rPr lang="en-US" altLang="zh-CN" sz="1600">
              <a:solidFill>
                <a:schemeClr val="dk1"/>
              </a:solidFill>
              <a:effectLst/>
              <a:latin typeface="+mn-lt"/>
              <a:ea typeface="+mn-ea"/>
              <a:cs typeface="+mn-cs"/>
            </a:rPr>
            <a:t>3</a:t>
          </a:r>
          <a:r>
            <a:rPr lang="zh-CN" altLang="en-US" sz="1600">
              <a:solidFill>
                <a:schemeClr val="dk1"/>
              </a:solidFill>
              <a:effectLst/>
              <a:latin typeface="+mn-lt"/>
              <a:ea typeface="+mn-ea"/>
              <a:cs typeface="+mn-cs"/>
            </a:rPr>
            <a:t>分到</a:t>
          </a:r>
          <a:r>
            <a:rPr lang="en-US" altLang="zh-CN" sz="1600">
              <a:solidFill>
                <a:schemeClr val="dk1"/>
              </a:solidFill>
              <a:effectLst/>
              <a:latin typeface="+mn-lt"/>
              <a:ea typeface="+mn-ea"/>
              <a:cs typeface="+mn-cs"/>
            </a:rPr>
            <a:t>6</a:t>
          </a:r>
          <a:r>
            <a:rPr lang="zh-CN" altLang="en-US" sz="1600">
              <a:solidFill>
                <a:schemeClr val="dk1"/>
              </a:solidFill>
              <a:effectLst/>
              <a:latin typeface="+mn-lt"/>
              <a:ea typeface="+mn-ea"/>
              <a:cs typeface="+mn-cs"/>
            </a:rPr>
            <a:t>分的概率分别是多少。</a:t>
          </a:r>
          <a:endParaRPr lang="en-US" altLang="zh-CN" sz="16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6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zh-CN" altLang="zh-CN" sz="1600">
              <a:solidFill>
                <a:schemeClr val="dk1"/>
              </a:solidFill>
              <a:effectLst/>
              <a:latin typeface="+mn-lt"/>
              <a:ea typeface="+mn-ea"/>
              <a:cs typeface="+mn-cs"/>
            </a:rPr>
            <a:t>请你</a:t>
          </a:r>
          <a:r>
            <a:rPr lang="zh-CN" altLang="zh-CN" sz="1600" b="0">
              <a:solidFill>
                <a:schemeClr val="dk1"/>
              </a:solidFill>
              <a:effectLst/>
              <a:latin typeface="+mn-lt"/>
              <a:ea typeface="+mn-ea"/>
              <a:cs typeface="+mn-cs"/>
            </a:rPr>
            <a:t>在</a:t>
          </a:r>
          <a:r>
            <a:rPr lang="en-US" altLang="zh-CN" sz="1600" b="0">
              <a:solidFill>
                <a:schemeClr val="dk1"/>
              </a:solidFill>
              <a:effectLst/>
              <a:latin typeface="+mn-lt"/>
              <a:ea typeface="+mn-ea"/>
              <a:cs typeface="+mn-cs"/>
            </a:rPr>
            <a:t>EXCEL</a:t>
          </a:r>
          <a:r>
            <a:rPr lang="zh-CN" altLang="zh-CN" sz="1600" b="0">
              <a:solidFill>
                <a:schemeClr val="dk1"/>
              </a:solidFill>
              <a:effectLst/>
              <a:latin typeface="+mn-lt"/>
              <a:ea typeface="+mn-ea"/>
              <a:cs typeface="+mn-cs"/>
            </a:rPr>
            <a:t>工作表上用系统</a:t>
          </a:r>
          <a:r>
            <a:rPr lang="zh-CN" altLang="zh-CN" sz="1600">
              <a:solidFill>
                <a:schemeClr val="dk1"/>
              </a:solidFill>
              <a:effectLst/>
              <a:latin typeface="+mn-lt"/>
              <a:ea typeface="+mn-ea"/>
              <a:cs typeface="+mn-cs"/>
            </a:rPr>
            <a:t>模拟仿真模型的方法来求解（模拟试验次数</a:t>
          </a:r>
          <a:r>
            <a:rPr lang="en-US" altLang="zh-CN" sz="1600">
              <a:solidFill>
                <a:schemeClr val="dk1"/>
              </a:solidFill>
              <a:effectLst/>
              <a:latin typeface="+mn-lt"/>
              <a:ea typeface="+mn-ea"/>
              <a:cs typeface="+mn-cs"/>
            </a:rPr>
            <a:t>500</a:t>
          </a:r>
          <a:r>
            <a:rPr lang="zh-CN" altLang="zh-CN" sz="1600">
              <a:solidFill>
                <a:schemeClr val="dk1"/>
              </a:solidFill>
              <a:effectLst/>
              <a:latin typeface="+mn-lt"/>
              <a:ea typeface="+mn-ea"/>
              <a:cs typeface="+mn-cs"/>
            </a:rPr>
            <a:t>次即可）。</a:t>
          </a:r>
          <a:endParaRPr lang="zh-CN" altLang="zh-CN" sz="1600">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6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800" baseline="0">
            <a:solidFill>
              <a:schemeClr val="dk1"/>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9525</xdr:colOff>
      <xdr:row>25</xdr:row>
      <xdr:rowOff>85725</xdr:rowOff>
    </xdr:from>
    <xdr:to>
      <xdr:col>4</xdr:col>
      <xdr:colOff>733425</xdr:colOff>
      <xdr:row>41</xdr:row>
      <xdr:rowOff>57150</xdr:rowOff>
    </xdr:to>
    <xdr:sp macro="" textlink="">
      <xdr:nvSpPr>
        <xdr:cNvPr id="2" name="TextBox 2"/>
        <xdr:cNvSpPr txBox="1"/>
      </xdr:nvSpPr>
      <xdr:spPr>
        <a:xfrm>
          <a:off x="304800" y="4705350"/>
          <a:ext cx="3514725" cy="2714625"/>
        </a:xfrm>
        <a:prstGeom prst="rect">
          <a:avLst/>
        </a:prstGeom>
        <a:solidFill>
          <a:srgbClr val="C8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en-US" sz="1200" b="1" baseline="0"/>
            <a:t>第</a:t>
          </a:r>
          <a:r>
            <a:rPr lang="en-US" altLang="zh-CN" sz="1200" b="1" baseline="0"/>
            <a:t>8</a:t>
          </a:r>
          <a:r>
            <a:rPr lang="zh-CN" altLang="en-US" sz="1200" b="1" baseline="0"/>
            <a:t>题（</a:t>
          </a:r>
          <a:r>
            <a:rPr lang="en-US" altLang="zh-CN" sz="1200" b="1" baseline="0"/>
            <a:t>11</a:t>
          </a:r>
          <a:r>
            <a:rPr lang="zh-CN" altLang="en-US" sz="1200" b="1" baseline="0"/>
            <a:t>分）</a:t>
          </a:r>
          <a:r>
            <a:rPr lang="zh-CN" altLang="zh-CN" sz="1100" b="1" i="0" baseline="0">
              <a:solidFill>
                <a:schemeClr val="dk1"/>
              </a:solidFill>
              <a:effectLst/>
              <a:latin typeface="+mn-lt"/>
              <a:ea typeface="+mn-ea"/>
              <a:cs typeface="+mn-cs"/>
            </a:rPr>
            <a:t>黑白</a:t>
          </a:r>
          <a:r>
            <a:rPr lang="zh-CN" altLang="en-US" sz="1100" b="1" i="0" baseline="0">
              <a:solidFill>
                <a:schemeClr val="dk1"/>
              </a:solidFill>
              <a:effectLst/>
              <a:latin typeface="+mn-lt"/>
              <a:ea typeface="+mn-ea"/>
              <a:cs typeface="+mn-cs"/>
            </a:rPr>
            <a:t>球抽样摸球</a:t>
          </a:r>
          <a:r>
            <a:rPr lang="zh-CN" altLang="zh-CN" sz="1100" b="1" i="0">
              <a:solidFill>
                <a:schemeClr val="dk1"/>
              </a:solidFill>
              <a:effectLst/>
              <a:latin typeface="+mn-lt"/>
              <a:ea typeface="+mn-ea"/>
              <a:cs typeface="+mn-cs"/>
            </a:rPr>
            <a:t>风险分析</a:t>
          </a:r>
          <a:r>
            <a:rPr lang="zh-CN" altLang="en-US" sz="1100" b="1" i="0">
              <a:solidFill>
                <a:schemeClr val="dk1"/>
              </a:solidFill>
              <a:effectLst/>
              <a:latin typeface="+mn-lt"/>
              <a:ea typeface="+mn-ea"/>
              <a:cs typeface="+mn-cs"/>
            </a:rPr>
            <a:t>模拟</a:t>
          </a:r>
          <a:r>
            <a:rPr lang="zh-CN" altLang="zh-CN" sz="1100" b="1" i="0">
              <a:solidFill>
                <a:schemeClr val="dk1"/>
              </a:solidFill>
              <a:effectLst/>
              <a:latin typeface="+mn-lt"/>
              <a:ea typeface="+mn-ea"/>
              <a:cs typeface="+mn-cs"/>
            </a:rPr>
            <a:t>模型</a:t>
          </a:r>
          <a:r>
            <a:rPr lang="zh-CN" altLang="zh-CN" sz="1100">
              <a:solidFill>
                <a:schemeClr val="dk1"/>
              </a:solidFill>
              <a:effectLst/>
              <a:latin typeface="+mn-lt"/>
              <a:ea typeface="+mn-ea"/>
              <a:cs typeface="+mn-cs"/>
            </a:rPr>
            <a:t> 。</a:t>
          </a:r>
          <a:r>
            <a:rPr lang="zh-CN" altLang="en-US" sz="1100">
              <a:solidFill>
                <a:schemeClr val="dk1"/>
              </a:solidFill>
              <a:effectLst/>
              <a:latin typeface="+mn-lt"/>
              <a:ea typeface="+mn-ea"/>
              <a:cs typeface="+mn-cs"/>
            </a:rPr>
            <a:t>一袋中有</a:t>
          </a: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个黑球，</a:t>
          </a:r>
          <a:r>
            <a:rPr lang="en-US" altLang="zh-CN" sz="1100">
              <a:solidFill>
                <a:schemeClr val="dk1"/>
              </a:solidFill>
              <a:effectLst/>
              <a:latin typeface="+mn-lt"/>
              <a:ea typeface="+mn-ea"/>
              <a:cs typeface="+mn-cs"/>
            </a:rPr>
            <a:t>7</a:t>
          </a:r>
          <a:r>
            <a:rPr lang="zh-CN" altLang="en-US" sz="1100">
              <a:solidFill>
                <a:schemeClr val="dk1"/>
              </a:solidFill>
              <a:effectLst/>
              <a:latin typeface="+mn-lt"/>
              <a:ea typeface="+mn-ea"/>
              <a:cs typeface="+mn-cs"/>
            </a:rPr>
            <a:t>个白球，从袋中任意取出</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个球，然后放进</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个另一颜色的球（例如取出</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个白球就放进</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个黑球）。</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）如此连续取出</a:t>
          </a: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个球，求第一次取出时黑球，而第二次、第三次取出的是白球的概率；</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2</a:t>
          </a:r>
          <a:r>
            <a:rPr lang="zh-CN" altLang="en-US" sz="1100">
              <a:solidFill>
                <a:schemeClr val="dk1"/>
              </a:solidFill>
              <a:effectLst/>
              <a:latin typeface="+mn-lt"/>
              <a:ea typeface="+mn-ea"/>
              <a:cs typeface="+mn-cs"/>
            </a:rPr>
            <a:t>）</a:t>
          </a:r>
          <a:r>
            <a:rPr lang="zh-CN" altLang="zh-CN" sz="1100">
              <a:solidFill>
                <a:schemeClr val="dk1"/>
              </a:solidFill>
              <a:effectLst/>
              <a:latin typeface="+mn-lt"/>
              <a:ea typeface="+mn-ea"/>
              <a:cs typeface="+mn-cs"/>
            </a:rPr>
            <a:t>如此连续取出</a:t>
          </a:r>
          <a:r>
            <a:rPr lang="en-US" altLang="zh-CN" sz="1100">
              <a:solidFill>
                <a:schemeClr val="dk1"/>
              </a:solidFill>
              <a:effectLst/>
              <a:latin typeface="+mn-lt"/>
              <a:ea typeface="+mn-ea"/>
              <a:cs typeface="+mn-cs"/>
            </a:rPr>
            <a:t>2</a:t>
          </a:r>
          <a:r>
            <a:rPr lang="zh-CN" altLang="zh-CN" sz="1100">
              <a:solidFill>
                <a:schemeClr val="dk1"/>
              </a:solidFill>
              <a:effectLst/>
              <a:latin typeface="+mn-lt"/>
              <a:ea typeface="+mn-ea"/>
              <a:cs typeface="+mn-cs"/>
            </a:rPr>
            <a:t>个球</a:t>
          </a:r>
          <a:r>
            <a:rPr lang="zh-CN" altLang="en-US" sz="1100">
              <a:solidFill>
                <a:schemeClr val="dk1"/>
              </a:solidFill>
              <a:effectLst/>
              <a:latin typeface="+mn-lt"/>
              <a:ea typeface="+mn-ea"/>
              <a:cs typeface="+mn-cs"/>
            </a:rPr>
            <a:t>，已知取出的</a:t>
          </a:r>
          <a:r>
            <a:rPr lang="en-US" altLang="zh-CN" sz="1100">
              <a:solidFill>
                <a:schemeClr val="dk1"/>
              </a:solidFill>
              <a:effectLst/>
              <a:latin typeface="+mn-lt"/>
              <a:ea typeface="+mn-ea"/>
              <a:cs typeface="+mn-cs"/>
            </a:rPr>
            <a:t>2</a:t>
          </a:r>
          <a:r>
            <a:rPr lang="zh-CN" altLang="en-US" sz="1100">
              <a:solidFill>
                <a:schemeClr val="dk1"/>
              </a:solidFill>
              <a:effectLst/>
              <a:latin typeface="+mn-lt"/>
              <a:ea typeface="+mn-ea"/>
              <a:cs typeface="+mn-cs"/>
            </a:rPr>
            <a:t>个球是具有相同的颜色，求它们都是白球的概率；</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a:t>
          </a:r>
          <a:r>
            <a:rPr lang="zh-CN" altLang="zh-CN" sz="1100">
              <a:solidFill>
                <a:schemeClr val="dk1"/>
              </a:solidFill>
              <a:effectLst/>
              <a:latin typeface="+mn-lt"/>
              <a:ea typeface="+mn-ea"/>
              <a:cs typeface="+mn-cs"/>
            </a:rPr>
            <a:t>如此连续取出</a:t>
          </a:r>
          <a:r>
            <a:rPr lang="en-US" altLang="zh-CN" sz="1100">
              <a:solidFill>
                <a:schemeClr val="dk1"/>
              </a:solidFill>
              <a:effectLst/>
              <a:latin typeface="+mn-lt"/>
              <a:ea typeface="+mn-ea"/>
              <a:cs typeface="+mn-cs"/>
            </a:rPr>
            <a:t>3</a:t>
          </a:r>
          <a:r>
            <a:rPr lang="zh-CN" altLang="zh-CN" sz="1100">
              <a:solidFill>
                <a:schemeClr val="dk1"/>
              </a:solidFill>
              <a:effectLst/>
              <a:latin typeface="+mn-lt"/>
              <a:ea typeface="+mn-ea"/>
              <a:cs typeface="+mn-cs"/>
            </a:rPr>
            <a:t>个球</a:t>
          </a:r>
          <a:r>
            <a:rPr lang="zh-CN" altLang="en-US" sz="1100">
              <a:solidFill>
                <a:schemeClr val="dk1"/>
              </a:solidFill>
              <a:effectLst/>
              <a:latin typeface="+mn-lt"/>
              <a:ea typeface="+mn-ea"/>
              <a:cs typeface="+mn-cs"/>
            </a:rPr>
            <a:t>，</a:t>
          </a:r>
          <a:r>
            <a:rPr lang="zh-CN" altLang="en-US" sz="1100" b="1">
              <a:solidFill>
                <a:srgbClr val="FF0000"/>
              </a:solidFill>
              <a:effectLst/>
              <a:latin typeface="+mn-lt"/>
              <a:ea typeface="+mn-ea"/>
              <a:cs typeface="+mn-cs"/>
            </a:rPr>
            <a:t>若黑球得分为</a:t>
          </a:r>
          <a:r>
            <a:rPr lang="en-US" altLang="zh-CN" sz="1100" b="1">
              <a:solidFill>
                <a:srgbClr val="FF0000"/>
              </a:solidFill>
              <a:effectLst/>
              <a:latin typeface="+mn-lt"/>
              <a:ea typeface="+mn-ea"/>
              <a:cs typeface="+mn-cs"/>
            </a:rPr>
            <a:t>2</a:t>
          </a:r>
          <a:r>
            <a:rPr lang="zh-CN" altLang="en-US" sz="1100" b="1">
              <a:solidFill>
                <a:srgbClr val="FF0000"/>
              </a:solidFill>
              <a:effectLst/>
              <a:latin typeface="+mn-lt"/>
              <a:ea typeface="+mn-ea"/>
              <a:cs typeface="+mn-cs"/>
            </a:rPr>
            <a:t>分，白球得分为</a:t>
          </a:r>
          <a:r>
            <a:rPr lang="en-US" altLang="zh-CN" sz="1100" b="1">
              <a:solidFill>
                <a:srgbClr val="FF0000"/>
              </a:solidFill>
              <a:effectLst/>
              <a:latin typeface="+mn-lt"/>
              <a:ea typeface="+mn-ea"/>
              <a:cs typeface="+mn-cs"/>
            </a:rPr>
            <a:t>1</a:t>
          </a:r>
          <a:r>
            <a:rPr lang="zh-CN" altLang="en-US" sz="1100" b="1">
              <a:solidFill>
                <a:srgbClr val="FF0000"/>
              </a:solidFill>
              <a:effectLst/>
              <a:latin typeface="+mn-lt"/>
              <a:ea typeface="+mn-ea"/>
              <a:cs typeface="+mn-cs"/>
            </a:rPr>
            <a:t>分</a:t>
          </a:r>
          <a:r>
            <a:rPr lang="zh-CN" altLang="en-US" sz="1100">
              <a:solidFill>
                <a:schemeClr val="dk1"/>
              </a:solidFill>
              <a:effectLst/>
              <a:latin typeface="+mn-lt"/>
              <a:ea typeface="+mn-ea"/>
              <a:cs typeface="+mn-cs"/>
            </a:rPr>
            <a:t>，求总得分从</a:t>
          </a:r>
          <a:r>
            <a:rPr lang="en-US" altLang="zh-CN" sz="1100">
              <a:solidFill>
                <a:schemeClr val="dk1"/>
              </a:solidFill>
              <a:effectLst/>
              <a:latin typeface="+mn-lt"/>
              <a:ea typeface="+mn-ea"/>
              <a:cs typeface="+mn-cs"/>
            </a:rPr>
            <a:t>3</a:t>
          </a:r>
          <a:r>
            <a:rPr lang="zh-CN" altLang="en-US" sz="1100">
              <a:solidFill>
                <a:schemeClr val="dk1"/>
              </a:solidFill>
              <a:effectLst/>
              <a:latin typeface="+mn-lt"/>
              <a:ea typeface="+mn-ea"/>
              <a:cs typeface="+mn-cs"/>
            </a:rPr>
            <a:t>分到</a:t>
          </a:r>
          <a:r>
            <a:rPr lang="en-US" altLang="zh-CN" sz="1100">
              <a:solidFill>
                <a:schemeClr val="dk1"/>
              </a:solidFill>
              <a:effectLst/>
              <a:latin typeface="+mn-lt"/>
              <a:ea typeface="+mn-ea"/>
              <a:cs typeface="+mn-cs"/>
            </a:rPr>
            <a:t>6</a:t>
          </a:r>
          <a:r>
            <a:rPr lang="zh-CN" altLang="en-US" sz="1100">
              <a:solidFill>
                <a:schemeClr val="dk1"/>
              </a:solidFill>
              <a:effectLst/>
              <a:latin typeface="+mn-lt"/>
              <a:ea typeface="+mn-ea"/>
              <a:cs typeface="+mn-cs"/>
            </a:rPr>
            <a:t>分的概率分别是多少。</a:t>
          </a: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zh-CN" altLang="zh-CN" sz="1100">
              <a:solidFill>
                <a:schemeClr val="dk1"/>
              </a:solidFill>
              <a:effectLst/>
              <a:latin typeface="+mn-lt"/>
              <a:ea typeface="+mn-ea"/>
              <a:cs typeface="+mn-cs"/>
            </a:rPr>
            <a:t>请你</a:t>
          </a:r>
          <a:r>
            <a:rPr lang="zh-CN" altLang="zh-CN" sz="1100" b="0">
              <a:solidFill>
                <a:schemeClr val="dk1"/>
              </a:solidFill>
              <a:effectLst/>
              <a:latin typeface="+mn-lt"/>
              <a:ea typeface="+mn-ea"/>
              <a:cs typeface="+mn-cs"/>
            </a:rPr>
            <a:t>在</a:t>
          </a:r>
          <a:r>
            <a:rPr lang="en-US" altLang="zh-CN" sz="1100" b="0">
              <a:solidFill>
                <a:schemeClr val="dk1"/>
              </a:solidFill>
              <a:effectLst/>
              <a:latin typeface="+mn-lt"/>
              <a:ea typeface="+mn-ea"/>
              <a:cs typeface="+mn-cs"/>
            </a:rPr>
            <a:t>EXCEL</a:t>
          </a:r>
          <a:r>
            <a:rPr lang="zh-CN" altLang="zh-CN" sz="1100" b="0">
              <a:solidFill>
                <a:schemeClr val="dk1"/>
              </a:solidFill>
              <a:effectLst/>
              <a:latin typeface="+mn-lt"/>
              <a:ea typeface="+mn-ea"/>
              <a:cs typeface="+mn-cs"/>
            </a:rPr>
            <a:t>工作表上用系统</a:t>
          </a:r>
          <a:r>
            <a:rPr lang="zh-CN" altLang="zh-CN" sz="1100">
              <a:solidFill>
                <a:schemeClr val="dk1"/>
              </a:solidFill>
              <a:effectLst/>
              <a:latin typeface="+mn-lt"/>
              <a:ea typeface="+mn-ea"/>
              <a:cs typeface="+mn-cs"/>
            </a:rPr>
            <a:t>模拟仿真模型的方法来求解（模拟试验次数</a:t>
          </a:r>
          <a:r>
            <a:rPr lang="en-US" altLang="zh-CN" sz="1100">
              <a:solidFill>
                <a:schemeClr val="dk1"/>
              </a:solidFill>
              <a:effectLst/>
              <a:latin typeface="+mn-lt"/>
              <a:ea typeface="+mn-ea"/>
              <a:cs typeface="+mn-cs"/>
            </a:rPr>
            <a:t>500</a:t>
          </a:r>
          <a:r>
            <a:rPr lang="zh-CN" altLang="zh-CN" sz="1100">
              <a:solidFill>
                <a:schemeClr val="dk1"/>
              </a:solidFill>
              <a:effectLst/>
              <a:latin typeface="+mn-lt"/>
              <a:ea typeface="+mn-ea"/>
              <a:cs typeface="+mn-cs"/>
            </a:rPr>
            <a:t>次即可）。</a:t>
          </a:r>
          <a:endParaRPr lang="zh-CN" altLang="zh-CN">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altLang="zh-CN" sz="1200" baseline="0">
            <a:solidFill>
              <a:schemeClr val="dk1"/>
            </a:solidFill>
            <a:effectLst/>
            <a:latin typeface="+mn-lt"/>
            <a:ea typeface="+mn-ea"/>
            <a:cs typeface="+mn-cs"/>
          </a:endParaRPr>
        </a:p>
      </xdr:txBody>
    </xdr:sp>
    <xdr:clientData/>
  </xdr:twoCellAnchor>
  <xdr:twoCellAnchor>
    <xdr:from>
      <xdr:col>20</xdr:col>
      <xdr:colOff>47625</xdr:colOff>
      <xdr:row>10</xdr:row>
      <xdr:rowOff>90487</xdr:rowOff>
    </xdr:from>
    <xdr:to>
      <xdr:col>26</xdr:col>
      <xdr:colOff>228600</xdr:colOff>
      <xdr:row>26</xdr:row>
      <xdr:rowOff>23812</xdr:rowOff>
    </xdr:to>
    <xdr:graphicFrame macro="">
      <xdr:nvGraphicFramePr>
        <xdr:cNvPr id="3" name="图表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35745;&#31639;&#26426;&#24212;&#29992;&#26399;&#26411;&#35797;&#21367;/&#26032;&#24314;&#25991;&#20214;&#22841;/&#31532;1&#39064;&#22235;&#22871;&#31572;&#26696;%20(&#33258;&#21160;&#20445;&#23384;&#3034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uiLili" refreshedDate="43459.831313425922" createdVersion="5" refreshedVersion="5" minRefreshableVersion="3" recordCount="1059">
  <cacheSource type="worksheet">
    <worksheetSource name="表_查询来自_MS_Access_Database" r:id="rId2"/>
  </cacheSource>
  <cacheFields count="7">
    <cacheField name="订购日期" numFmtId="22">
      <sharedItems containsSemiMixedTypes="0" containsNonDate="0" containsDate="1" containsString="0" minDate="1997-01-01T00:00:00" maxDate="1998-01-01T00:00:00" count="261">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sharedItems>
      <fieldGroup base="0">
        <rangePr groupBy="quarters" startDate="1997-01-01T00:00:00" endDate="1998-01-01T00:00:00"/>
        <groupItems count="6">
          <s v="&lt;1997/1/1"/>
          <s v="第一季"/>
          <s v="第二季"/>
          <s v="第三季"/>
          <s v="第四季"/>
          <s v="&gt;1998/1/1"/>
        </groupItems>
      </fieldGroup>
    </cacheField>
    <cacheField name="公司名称" numFmtId="0">
      <sharedItems count="3">
        <s v="联邦货运"/>
        <s v="急速快递"/>
        <s v="统一包裹"/>
      </sharedItems>
    </cacheField>
    <cacheField name="地区" numFmtId="0">
      <sharedItems count="6">
        <s v="华北"/>
        <s v="华东"/>
        <s v="华南"/>
        <s v="西南"/>
        <s v="东北"/>
        <s v="西北"/>
      </sharedItems>
      <fieldGroup par="6"/>
    </cacheField>
    <cacheField name="类别名称" numFmtId="0">
      <sharedItems count="8">
        <s v="肉/家禽"/>
        <s v="饮料"/>
        <s v="点心"/>
        <s v="海鲜"/>
        <s v="谷类/麦片"/>
        <s v="调味品"/>
        <s v="日用品"/>
        <s v="特制品"/>
      </sharedItems>
    </cacheField>
    <cacheField name="Expr1004" numFmtId="0">
      <sharedItems containsSemiMixedTypes="0" containsString="0" containsNumber="1" minValue="4.8" maxValue="10540"/>
    </cacheField>
    <cacheField name="订单ID" numFmtId="0">
      <sharedItems containsSemiMixedTypes="0" containsString="0" containsNumber="1" containsInteger="1" minValue="10400" maxValue="10807"/>
    </cacheField>
    <cacheField name="地区2" numFmtId="0" databaseField="0">
      <fieldGroup base="2">
        <discretePr count="6">
          <x v="0"/>
          <x v="0"/>
          <x v="0"/>
          <x v="1"/>
          <x v="1"/>
          <x v="1"/>
        </discretePr>
        <groupItems count="2">
          <s v="数据组1"/>
          <s v="数据组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59">
  <r>
    <x v="0"/>
    <x v="0"/>
    <x v="0"/>
    <x v="0"/>
    <n v="2079"/>
    <n v="10400"/>
  </r>
  <r>
    <x v="0"/>
    <x v="0"/>
    <x v="0"/>
    <x v="1"/>
    <n v="504"/>
    <n v="10400"/>
  </r>
  <r>
    <x v="0"/>
    <x v="0"/>
    <x v="0"/>
    <x v="2"/>
    <n v="480"/>
    <n v="10400"/>
  </r>
  <r>
    <x v="0"/>
    <x v="1"/>
    <x v="1"/>
    <x v="3"/>
    <n v="372.6"/>
    <n v="10401"/>
  </r>
  <r>
    <x v="0"/>
    <x v="1"/>
    <x v="1"/>
    <x v="4"/>
    <n v="2128"/>
    <n v="10401"/>
  </r>
  <r>
    <x v="0"/>
    <x v="1"/>
    <x v="1"/>
    <x v="5"/>
    <n v="336"/>
    <n v="10401"/>
  </r>
  <r>
    <x v="0"/>
    <x v="1"/>
    <x v="1"/>
    <x v="6"/>
    <n v="1032"/>
    <n v="10401"/>
  </r>
  <r>
    <x v="1"/>
    <x v="2"/>
    <x v="2"/>
    <x v="4"/>
    <n v="432"/>
    <n v="10402"/>
  </r>
  <r>
    <x v="1"/>
    <x v="2"/>
    <x v="2"/>
    <x v="5"/>
    <n v="2281.5"/>
    <n v="10402"/>
  </r>
  <r>
    <x v="2"/>
    <x v="0"/>
    <x v="2"/>
    <x v="2"/>
    <n v="248.1149982601404"/>
    <n v="10403"/>
  </r>
  <r>
    <x v="2"/>
    <x v="0"/>
    <x v="2"/>
    <x v="2"/>
    <n v="606.89999574422836"/>
    <n v="10403"/>
  </r>
  <r>
    <x v="2"/>
    <x v="1"/>
    <x v="2"/>
    <x v="2"/>
    <n v="709.64999944344163"/>
    <n v="10404"/>
  </r>
  <r>
    <x v="2"/>
    <x v="1"/>
    <x v="2"/>
    <x v="4"/>
    <n v="425.59999966621399"/>
    <n v="10404"/>
  </r>
  <r>
    <x v="2"/>
    <x v="1"/>
    <x v="2"/>
    <x v="2"/>
    <n v="455.99999964237213"/>
    <n v="10404"/>
  </r>
  <r>
    <x v="3"/>
    <x v="1"/>
    <x v="2"/>
    <x v="5"/>
    <n v="400"/>
    <n v="10405"/>
  </r>
  <r>
    <x v="4"/>
    <x v="1"/>
    <x v="0"/>
    <x v="1"/>
    <n v="144"/>
    <n v="10406"/>
  </r>
  <r>
    <x v="4"/>
    <x v="1"/>
    <x v="0"/>
    <x v="2"/>
    <n v="215.99999964237213"/>
    <n v="10406"/>
  </r>
  <r>
    <x v="4"/>
    <x v="1"/>
    <x v="0"/>
    <x v="7"/>
    <n v="1375.9199977219105"/>
    <n v="10406"/>
  </r>
  <r>
    <x v="4"/>
    <x v="1"/>
    <x v="0"/>
    <x v="3"/>
    <n v="68.399999886751175"/>
    <n v="10406"/>
  </r>
  <r>
    <x v="4"/>
    <x v="1"/>
    <x v="0"/>
    <x v="3"/>
    <n v="26.459999956190586"/>
    <n v="10406"/>
  </r>
  <r>
    <x v="4"/>
    <x v="2"/>
    <x v="2"/>
    <x v="6"/>
    <n v="504"/>
    <n v="10407"/>
  </r>
  <r>
    <x v="4"/>
    <x v="2"/>
    <x v="2"/>
    <x v="6"/>
    <n v="432"/>
    <n v="10407"/>
  </r>
  <r>
    <x v="4"/>
    <x v="2"/>
    <x v="2"/>
    <x v="6"/>
    <n v="258"/>
    <n v="10407"/>
  </r>
  <r>
    <x v="5"/>
    <x v="1"/>
    <x v="0"/>
    <x v="3"/>
    <n v="208"/>
    <n v="10408"/>
  </r>
  <r>
    <x v="5"/>
    <x v="1"/>
    <x v="0"/>
    <x v="0"/>
    <n v="35.4"/>
    <n v="10408"/>
  </r>
  <r>
    <x v="5"/>
    <x v="1"/>
    <x v="0"/>
    <x v="2"/>
    <n v="1379"/>
    <n v="10408"/>
  </r>
  <r>
    <x v="6"/>
    <x v="1"/>
    <x v="0"/>
    <x v="7"/>
    <n v="223.2"/>
    <n v="10409"/>
  </r>
  <r>
    <x v="6"/>
    <x v="1"/>
    <x v="0"/>
    <x v="2"/>
    <n v="96"/>
    <n v="10409"/>
  </r>
  <r>
    <x v="7"/>
    <x v="0"/>
    <x v="3"/>
    <x v="6"/>
    <n v="98"/>
    <n v="10410"/>
  </r>
  <r>
    <x v="7"/>
    <x v="0"/>
    <x v="3"/>
    <x v="6"/>
    <n v="704"/>
    <n v="10410"/>
  </r>
  <r>
    <x v="7"/>
    <x v="0"/>
    <x v="3"/>
    <x v="3"/>
    <n v="153.99999942630529"/>
    <n v="10411"/>
  </r>
  <r>
    <x v="7"/>
    <x v="0"/>
    <x v="3"/>
    <x v="5"/>
    <n v="495.99999815225601"/>
    <n v="10411"/>
  </r>
  <r>
    <x v="7"/>
    <x v="0"/>
    <x v="3"/>
    <x v="6"/>
    <n v="316.79999881982803"/>
    <n v="10411"/>
  </r>
  <r>
    <x v="8"/>
    <x v="2"/>
    <x v="0"/>
    <x v="7"/>
    <n v="334.7999994456768"/>
    <n v="10412"/>
  </r>
  <r>
    <x v="9"/>
    <x v="2"/>
    <x v="0"/>
    <x v="1"/>
    <n v="345.6"/>
    <n v="10413"/>
  </r>
  <r>
    <x v="9"/>
    <x v="2"/>
    <x v="0"/>
    <x v="2"/>
    <n v="1576"/>
    <n v="10413"/>
  </r>
  <r>
    <x v="9"/>
    <x v="2"/>
    <x v="0"/>
    <x v="1"/>
    <n v="201.6"/>
    <n v="10413"/>
  </r>
  <r>
    <x v="9"/>
    <x v="0"/>
    <x v="2"/>
    <x v="2"/>
    <n v="124.82999990209937"/>
    <n v="10414"/>
  </r>
  <r>
    <x v="9"/>
    <x v="0"/>
    <x v="2"/>
    <x v="6"/>
    <n v="100"/>
    <n v="10414"/>
  </r>
  <r>
    <x v="10"/>
    <x v="1"/>
    <x v="4"/>
    <x v="0"/>
    <n v="62.4"/>
    <n v="10415"/>
  </r>
  <r>
    <x v="10"/>
    <x v="1"/>
    <x v="4"/>
    <x v="6"/>
    <n v="40"/>
    <n v="10415"/>
  </r>
  <r>
    <x v="11"/>
    <x v="0"/>
    <x v="0"/>
    <x v="2"/>
    <n v="146"/>
    <n v="10416"/>
  </r>
  <r>
    <x v="11"/>
    <x v="0"/>
    <x v="0"/>
    <x v="0"/>
    <n v="262"/>
    <n v="10416"/>
  </r>
  <r>
    <x v="11"/>
    <x v="0"/>
    <x v="0"/>
    <x v="4"/>
    <n v="312"/>
    <n v="10416"/>
  </r>
  <r>
    <x v="11"/>
    <x v="0"/>
    <x v="0"/>
    <x v="1"/>
    <n v="10540"/>
    <n v="10417"/>
  </r>
  <r>
    <x v="11"/>
    <x v="0"/>
    <x v="0"/>
    <x v="3"/>
    <n v="14.399999999999999"/>
    <n v="10417"/>
  </r>
  <r>
    <x v="11"/>
    <x v="0"/>
    <x v="0"/>
    <x v="2"/>
    <n v="270"/>
    <n v="10417"/>
  </r>
  <r>
    <x v="11"/>
    <x v="0"/>
    <x v="0"/>
    <x v="5"/>
    <n v="364"/>
    <n v="10417"/>
  </r>
  <r>
    <x v="12"/>
    <x v="1"/>
    <x v="0"/>
    <x v="1"/>
    <n v="912"/>
    <n v="10418"/>
  </r>
  <r>
    <x v="12"/>
    <x v="1"/>
    <x v="0"/>
    <x v="2"/>
    <n v="418"/>
    <n v="10418"/>
  </r>
  <r>
    <x v="12"/>
    <x v="1"/>
    <x v="0"/>
    <x v="5"/>
    <n v="364.8"/>
    <n v="10418"/>
  </r>
  <r>
    <x v="12"/>
    <x v="1"/>
    <x v="0"/>
    <x v="7"/>
    <n v="120"/>
    <n v="10418"/>
  </r>
  <r>
    <x v="13"/>
    <x v="2"/>
    <x v="1"/>
    <x v="6"/>
    <n v="1550.3999987840652"/>
    <n v="10419"/>
  </r>
  <r>
    <x v="13"/>
    <x v="2"/>
    <x v="1"/>
    <x v="6"/>
    <n v="547.19999957084656"/>
    <n v="10419"/>
  </r>
  <r>
    <x v="14"/>
    <x v="1"/>
    <x v="2"/>
    <x v="0"/>
    <n v="1396.7999976873398"/>
    <n v="10420"/>
  </r>
  <r>
    <x v="14"/>
    <x v="1"/>
    <x v="2"/>
    <x v="3"/>
    <n v="8.6399999856948853"/>
    <n v="10420"/>
  </r>
  <r>
    <x v="14"/>
    <x v="1"/>
    <x v="2"/>
    <x v="1"/>
    <n v="86.399999856948853"/>
    <n v="10420"/>
  </r>
  <r>
    <x v="14"/>
    <x v="1"/>
    <x v="2"/>
    <x v="3"/>
    <n v="215.99999964237213"/>
    <n v="10420"/>
  </r>
  <r>
    <x v="14"/>
    <x v="1"/>
    <x v="0"/>
    <x v="2"/>
    <n v="24.819999825954437"/>
    <n v="10421"/>
  </r>
  <r>
    <x v="14"/>
    <x v="1"/>
    <x v="0"/>
    <x v="2"/>
    <n v="747"/>
    <n v="10421"/>
  </r>
  <r>
    <x v="14"/>
    <x v="1"/>
    <x v="0"/>
    <x v="0"/>
    <n v="334.04999765753746"/>
    <n v="10421"/>
  </r>
  <r>
    <x v="14"/>
    <x v="1"/>
    <x v="0"/>
    <x v="5"/>
    <n v="88.399999380111694"/>
    <n v="10421"/>
  </r>
  <r>
    <x v="15"/>
    <x v="1"/>
    <x v="1"/>
    <x v="2"/>
    <n v="49.8"/>
    <n v="10422"/>
  </r>
  <r>
    <x v="16"/>
    <x v="0"/>
    <x v="1"/>
    <x v="6"/>
    <n v="140"/>
    <n v="10423"/>
  </r>
  <r>
    <x v="16"/>
    <x v="0"/>
    <x v="1"/>
    <x v="6"/>
    <n v="880"/>
    <n v="10423"/>
  </r>
  <r>
    <x v="16"/>
    <x v="2"/>
    <x v="4"/>
    <x v="1"/>
    <n v="691.19999742507935"/>
    <n v="10424"/>
  </r>
  <r>
    <x v="16"/>
    <x v="2"/>
    <x v="4"/>
    <x v="1"/>
    <n v="8263.3599692165863"/>
    <n v="10424"/>
  </r>
  <r>
    <x v="16"/>
    <x v="2"/>
    <x v="4"/>
    <x v="2"/>
    <n v="239.99999910593033"/>
    <n v="10424"/>
  </r>
  <r>
    <x v="17"/>
    <x v="2"/>
    <x v="0"/>
    <x v="0"/>
    <n v="144"/>
    <n v="10425"/>
  </r>
  <r>
    <x v="17"/>
    <x v="2"/>
    <x v="0"/>
    <x v="1"/>
    <n v="216"/>
    <n v="10425"/>
  </r>
  <r>
    <x v="18"/>
    <x v="1"/>
    <x v="2"/>
    <x v="4"/>
    <n v="152"/>
    <n v="10426"/>
  </r>
  <r>
    <x v="18"/>
    <x v="1"/>
    <x v="2"/>
    <x v="4"/>
    <n v="186.2"/>
    <n v="10426"/>
  </r>
  <r>
    <x v="18"/>
    <x v="2"/>
    <x v="1"/>
    <x v="7"/>
    <n v="651"/>
    <n v="10427"/>
  </r>
  <r>
    <x v="19"/>
    <x v="1"/>
    <x v="0"/>
    <x v="3"/>
    <n v="192"/>
    <n v="10428"/>
  </r>
  <r>
    <x v="20"/>
    <x v="2"/>
    <x v="0"/>
    <x v="2"/>
    <n v="520"/>
    <n v="10429"/>
  </r>
  <r>
    <x v="20"/>
    <x v="2"/>
    <x v="0"/>
    <x v="5"/>
    <n v="921.375"/>
    <n v="10429"/>
  </r>
  <r>
    <x v="21"/>
    <x v="1"/>
    <x v="2"/>
    <x v="0"/>
    <n v="1123.1999958157539"/>
    <n v="10430"/>
  </r>
  <r>
    <x v="21"/>
    <x v="1"/>
    <x v="2"/>
    <x v="2"/>
    <n v="400"/>
    <n v="10430"/>
  </r>
  <r>
    <x v="21"/>
    <x v="1"/>
    <x v="2"/>
    <x v="4"/>
    <n v="912"/>
    <n v="10430"/>
  </r>
  <r>
    <x v="21"/>
    <x v="1"/>
    <x v="2"/>
    <x v="6"/>
    <n v="2463.9999908208847"/>
    <n v="10430"/>
  </r>
  <r>
    <x v="21"/>
    <x v="2"/>
    <x v="3"/>
    <x v="0"/>
    <n v="1170"/>
    <n v="10431"/>
  </r>
  <r>
    <x v="21"/>
    <x v="2"/>
    <x v="3"/>
    <x v="3"/>
    <n v="551.25"/>
    <n v="10431"/>
  </r>
  <r>
    <x v="21"/>
    <x v="2"/>
    <x v="3"/>
    <x v="2"/>
    <n v="171"/>
    <n v="10431"/>
  </r>
  <r>
    <x v="22"/>
    <x v="2"/>
    <x v="2"/>
    <x v="2"/>
    <n v="249"/>
    <n v="10432"/>
  </r>
  <r>
    <x v="22"/>
    <x v="2"/>
    <x v="2"/>
    <x v="0"/>
    <n v="236"/>
    <n v="10432"/>
  </r>
  <r>
    <x v="23"/>
    <x v="0"/>
    <x v="0"/>
    <x v="4"/>
    <n v="851.2"/>
    <n v="10433"/>
  </r>
  <r>
    <x v="23"/>
    <x v="2"/>
    <x v="1"/>
    <x v="6"/>
    <n v="100.8"/>
    <n v="10434"/>
  </r>
  <r>
    <x v="23"/>
    <x v="2"/>
    <x v="1"/>
    <x v="1"/>
    <n v="220.3199984550476"/>
    <n v="10434"/>
  </r>
  <r>
    <x v="24"/>
    <x v="2"/>
    <x v="2"/>
    <x v="1"/>
    <n v="152"/>
    <n v="10435"/>
  </r>
  <r>
    <x v="24"/>
    <x v="2"/>
    <x v="2"/>
    <x v="4"/>
    <n v="201.6"/>
    <n v="10435"/>
  </r>
  <r>
    <x v="24"/>
    <x v="2"/>
    <x v="2"/>
    <x v="6"/>
    <n v="278"/>
    <n v="10435"/>
  </r>
  <r>
    <x v="25"/>
    <x v="2"/>
    <x v="4"/>
    <x v="3"/>
    <n v="48"/>
    <n v="10436"/>
  </r>
  <r>
    <x v="25"/>
    <x v="2"/>
    <x v="4"/>
    <x v="4"/>
    <n v="1094.3999981880188"/>
    <n v="10436"/>
  </r>
  <r>
    <x v="25"/>
    <x v="2"/>
    <x v="4"/>
    <x v="4"/>
    <n v="718.19999881088734"/>
    <n v="10436"/>
  </r>
  <r>
    <x v="25"/>
    <x v="2"/>
    <x v="4"/>
    <x v="1"/>
    <n v="133.91999977827072"/>
    <n v="10436"/>
  </r>
  <r>
    <x v="25"/>
    <x v="1"/>
    <x v="0"/>
    <x v="0"/>
    <n v="393"/>
    <n v="10437"/>
  </r>
  <r>
    <x v="26"/>
    <x v="2"/>
    <x v="1"/>
    <x v="2"/>
    <n v="87.59999967366457"/>
    <n v="10438"/>
  </r>
  <r>
    <x v="26"/>
    <x v="2"/>
    <x v="1"/>
    <x v="1"/>
    <n v="179.19999933242798"/>
    <n v="10438"/>
  </r>
  <r>
    <x v="26"/>
    <x v="2"/>
    <x v="1"/>
    <x v="4"/>
    <n v="187.19999930262566"/>
    <n v="10438"/>
  </r>
  <r>
    <x v="27"/>
    <x v="0"/>
    <x v="4"/>
    <x v="6"/>
    <n v="456"/>
    <n v="10439"/>
  </r>
  <r>
    <x v="27"/>
    <x v="0"/>
    <x v="4"/>
    <x v="2"/>
    <n v="222.4"/>
    <n v="10439"/>
  </r>
  <r>
    <x v="27"/>
    <x v="0"/>
    <x v="4"/>
    <x v="4"/>
    <n v="159.6"/>
    <n v="10439"/>
  </r>
  <r>
    <x v="27"/>
    <x v="0"/>
    <x v="4"/>
    <x v="7"/>
    <n v="240"/>
    <n v="10439"/>
  </r>
  <r>
    <x v="28"/>
    <x v="2"/>
    <x v="3"/>
    <x v="1"/>
    <n v="581.3999959230423"/>
    <n v="10440"/>
  </r>
  <r>
    <x v="28"/>
    <x v="2"/>
    <x v="3"/>
    <x v="2"/>
    <n v="578.93499594032767"/>
    <n v="10440"/>
  </r>
  <r>
    <x v="28"/>
    <x v="2"/>
    <x v="3"/>
    <x v="0"/>
    <n v="2019.5999858379364"/>
    <n v="10440"/>
  </r>
  <r>
    <x v="28"/>
    <x v="2"/>
    <x v="3"/>
    <x v="5"/>
    <n v="1744.1999877691269"/>
    <n v="10440"/>
  </r>
  <r>
    <x v="28"/>
    <x v="2"/>
    <x v="1"/>
    <x v="2"/>
    <n v="1755"/>
    <n v="10441"/>
  </r>
  <r>
    <x v="29"/>
    <x v="2"/>
    <x v="2"/>
    <x v="6"/>
    <n v="504"/>
    <n v="10442"/>
  </r>
  <r>
    <x v="29"/>
    <x v="2"/>
    <x v="2"/>
    <x v="0"/>
    <n v="472"/>
    <n v="10442"/>
  </r>
  <r>
    <x v="29"/>
    <x v="2"/>
    <x v="2"/>
    <x v="5"/>
    <n v="816"/>
    <n v="10442"/>
  </r>
  <r>
    <x v="30"/>
    <x v="1"/>
    <x v="0"/>
    <x v="6"/>
    <n v="80.639999699592593"/>
    <n v="10443"/>
  </r>
  <r>
    <x v="30"/>
    <x v="1"/>
    <x v="0"/>
    <x v="7"/>
    <n v="436.8"/>
    <n v="10443"/>
  </r>
  <r>
    <x v="30"/>
    <x v="0"/>
    <x v="1"/>
    <x v="0"/>
    <n v="312"/>
    <n v="10444"/>
  </r>
  <r>
    <x v="30"/>
    <x v="0"/>
    <x v="1"/>
    <x v="2"/>
    <n v="373.5"/>
    <n v="10444"/>
  </r>
  <r>
    <x v="30"/>
    <x v="0"/>
    <x v="1"/>
    <x v="1"/>
    <n v="115.2"/>
    <n v="10444"/>
  </r>
  <r>
    <x v="30"/>
    <x v="0"/>
    <x v="1"/>
    <x v="3"/>
    <n v="231"/>
    <n v="10444"/>
  </r>
  <r>
    <x v="31"/>
    <x v="1"/>
    <x v="1"/>
    <x v="1"/>
    <n v="86.4"/>
    <n v="10445"/>
  </r>
  <r>
    <x v="31"/>
    <x v="1"/>
    <x v="1"/>
    <x v="0"/>
    <n v="88.5"/>
    <n v="10445"/>
  </r>
  <r>
    <x v="32"/>
    <x v="1"/>
    <x v="1"/>
    <x v="2"/>
    <n v="78.839999869465828"/>
    <n v="10446"/>
  </r>
  <r>
    <x v="32"/>
    <x v="1"/>
    <x v="1"/>
    <x v="1"/>
    <n v="64.799999892711639"/>
    <n v="10446"/>
  </r>
  <r>
    <x v="32"/>
    <x v="1"/>
    <x v="1"/>
    <x v="6"/>
    <n v="26.999999955296516"/>
    <n v="10446"/>
  </r>
  <r>
    <x v="32"/>
    <x v="1"/>
    <x v="1"/>
    <x v="4"/>
    <n v="75.599999874830246"/>
    <n v="10446"/>
  </r>
  <r>
    <x v="32"/>
    <x v="2"/>
    <x v="0"/>
    <x v="2"/>
    <n v="292"/>
    <n v="10447"/>
  </r>
  <r>
    <x v="32"/>
    <x v="2"/>
    <x v="0"/>
    <x v="5"/>
    <n v="588"/>
    <n v="10447"/>
  </r>
  <r>
    <x v="32"/>
    <x v="2"/>
    <x v="0"/>
    <x v="6"/>
    <n v="34.4"/>
    <n v="10447"/>
  </r>
  <r>
    <x v="33"/>
    <x v="2"/>
    <x v="2"/>
    <x v="2"/>
    <n v="149.4"/>
    <n v="10448"/>
  </r>
  <r>
    <x v="33"/>
    <x v="2"/>
    <x v="2"/>
    <x v="3"/>
    <n v="294"/>
    <n v="10448"/>
  </r>
  <r>
    <x v="34"/>
    <x v="2"/>
    <x v="4"/>
    <x v="3"/>
    <n v="347.2"/>
    <n v="10449"/>
  </r>
  <r>
    <x v="34"/>
    <x v="2"/>
    <x v="4"/>
    <x v="4"/>
    <n v="112"/>
    <n v="10449"/>
  </r>
  <r>
    <x v="34"/>
    <x v="2"/>
    <x v="4"/>
    <x v="2"/>
    <n v="1379"/>
    <n v="10449"/>
  </r>
  <r>
    <x v="35"/>
    <x v="2"/>
    <x v="0"/>
    <x v="3"/>
    <n v="396.79999852180481"/>
    <n v="10450"/>
  </r>
  <r>
    <x v="35"/>
    <x v="2"/>
    <x v="0"/>
    <x v="0"/>
    <n v="28.319999894499777"/>
    <n v="10450"/>
  </r>
  <r>
    <x v="35"/>
    <x v="0"/>
    <x v="0"/>
    <x v="0"/>
    <n v="2073.5999965667725"/>
    <n v="10451"/>
  </r>
  <r>
    <x v="35"/>
    <x v="0"/>
    <x v="0"/>
    <x v="4"/>
    <n v="837.89999861270189"/>
    <n v="10451"/>
  </r>
  <r>
    <x v="35"/>
    <x v="0"/>
    <x v="0"/>
    <x v="5"/>
    <n v="423.35999929904938"/>
    <n v="10451"/>
  </r>
  <r>
    <x v="35"/>
    <x v="0"/>
    <x v="0"/>
    <x v="5"/>
    <n v="514.79999914765358"/>
    <n v="10451"/>
  </r>
  <r>
    <x v="36"/>
    <x v="1"/>
    <x v="3"/>
    <x v="7"/>
    <n v="546"/>
    <n v="10452"/>
  </r>
  <r>
    <x v="36"/>
    <x v="1"/>
    <x v="3"/>
    <x v="5"/>
    <n v="1472.49999884516"/>
    <n v="10452"/>
  </r>
  <r>
    <x v="37"/>
    <x v="2"/>
    <x v="2"/>
    <x v="2"/>
    <n v="137.69999977201223"/>
    <n v="10453"/>
  </r>
  <r>
    <x v="37"/>
    <x v="2"/>
    <x v="2"/>
    <x v="1"/>
    <n v="269.99999955296516"/>
    <n v="10453"/>
  </r>
  <r>
    <x v="37"/>
    <x v="0"/>
    <x v="0"/>
    <x v="2"/>
    <n v="222.39999917149544"/>
    <n v="10454"/>
  </r>
  <r>
    <x v="37"/>
    <x v="0"/>
    <x v="0"/>
    <x v="6"/>
    <n v="31.99999988079071"/>
    <n v="10454"/>
  </r>
  <r>
    <x v="37"/>
    <x v="0"/>
    <x v="0"/>
    <x v="3"/>
    <n v="76.799999713897705"/>
    <n v="10454"/>
  </r>
  <r>
    <x v="38"/>
    <x v="2"/>
    <x v="0"/>
    <x v="1"/>
    <n v="288"/>
    <n v="10455"/>
  </r>
  <r>
    <x v="38"/>
    <x v="2"/>
    <x v="0"/>
    <x v="0"/>
    <n v="1310"/>
    <n v="10455"/>
  </r>
  <r>
    <x v="38"/>
    <x v="2"/>
    <x v="0"/>
    <x v="5"/>
    <n v="570"/>
    <n v="10455"/>
  </r>
  <r>
    <x v="38"/>
    <x v="2"/>
    <x v="0"/>
    <x v="6"/>
    <n v="516"/>
    <n v="10455"/>
  </r>
  <r>
    <x v="39"/>
    <x v="2"/>
    <x v="3"/>
    <x v="2"/>
    <n v="271.99999809265137"/>
    <n v="10456"/>
  </r>
  <r>
    <x v="39"/>
    <x v="2"/>
    <x v="3"/>
    <x v="2"/>
    <n v="285.59999799728394"/>
    <n v="10456"/>
  </r>
  <r>
    <x v="39"/>
    <x v="1"/>
    <x v="3"/>
    <x v="6"/>
    <n v="1584"/>
    <n v="10457"/>
  </r>
  <r>
    <x v="40"/>
    <x v="0"/>
    <x v="0"/>
    <x v="2"/>
    <n v="747"/>
    <n v="10458"/>
  </r>
  <r>
    <x v="40"/>
    <x v="0"/>
    <x v="0"/>
    <x v="7"/>
    <n v="1092"/>
    <n v="10458"/>
  </r>
  <r>
    <x v="40"/>
    <x v="0"/>
    <x v="0"/>
    <x v="1"/>
    <n v="736"/>
    <n v="10458"/>
  </r>
  <r>
    <x v="40"/>
    <x v="0"/>
    <x v="0"/>
    <x v="4"/>
    <n v="456"/>
    <n v="10458"/>
  </r>
  <r>
    <x v="40"/>
    <x v="0"/>
    <x v="0"/>
    <x v="6"/>
    <n v="860"/>
    <n v="10458"/>
  </r>
  <r>
    <x v="41"/>
    <x v="2"/>
    <x v="0"/>
    <x v="7"/>
    <n v="364.79999971389771"/>
    <n v="10459"/>
  </r>
  <r>
    <x v="41"/>
    <x v="2"/>
    <x v="0"/>
    <x v="3"/>
    <n v="182.39999985694885"/>
    <n v="10459"/>
  </r>
  <r>
    <x v="41"/>
    <x v="2"/>
    <x v="0"/>
    <x v="6"/>
    <n v="1112"/>
    <n v="10459"/>
  </r>
  <r>
    <x v="42"/>
    <x v="1"/>
    <x v="1"/>
    <x v="2"/>
    <n v="157.5"/>
    <n v="10460"/>
  </r>
  <r>
    <x v="42"/>
    <x v="1"/>
    <x v="1"/>
    <x v="1"/>
    <n v="18.600000000000001"/>
    <n v="10460"/>
  </r>
  <r>
    <x v="42"/>
    <x v="0"/>
    <x v="0"/>
    <x v="2"/>
    <n v="240"/>
    <n v="10461"/>
  </r>
  <r>
    <x v="42"/>
    <x v="0"/>
    <x v="0"/>
    <x v="3"/>
    <n v="434.70000000000005"/>
    <n v="10461"/>
  </r>
  <r>
    <x v="42"/>
    <x v="0"/>
    <x v="0"/>
    <x v="0"/>
    <n v="864"/>
    <n v="10461"/>
  </r>
  <r>
    <x v="43"/>
    <x v="1"/>
    <x v="2"/>
    <x v="3"/>
    <n v="4.8"/>
    <n v="10462"/>
  </r>
  <r>
    <x v="43"/>
    <x v="1"/>
    <x v="2"/>
    <x v="4"/>
    <n v="151.19999999999999"/>
    <n v="10462"/>
  </r>
  <r>
    <x v="44"/>
    <x v="0"/>
    <x v="0"/>
    <x v="2"/>
    <n v="153.30000000000001"/>
    <n v="10463"/>
  </r>
  <r>
    <x v="44"/>
    <x v="0"/>
    <x v="0"/>
    <x v="4"/>
    <n v="560"/>
    <n v="10463"/>
  </r>
  <r>
    <x v="44"/>
    <x v="2"/>
    <x v="1"/>
    <x v="5"/>
    <n v="225.27999916076661"/>
    <n v="10464"/>
  </r>
  <r>
    <x v="44"/>
    <x v="2"/>
    <x v="1"/>
    <x v="1"/>
    <n v="110.4"/>
    <n v="10464"/>
  </r>
  <r>
    <x v="44"/>
    <x v="2"/>
    <x v="1"/>
    <x v="4"/>
    <n v="729.5999972820282"/>
    <n v="10464"/>
  </r>
  <r>
    <x v="44"/>
    <x v="2"/>
    <x v="1"/>
    <x v="6"/>
    <n v="544"/>
    <n v="10464"/>
  </r>
  <r>
    <x v="45"/>
    <x v="0"/>
    <x v="2"/>
    <x v="1"/>
    <n v="90"/>
    <n v="10465"/>
  </r>
  <r>
    <x v="45"/>
    <x v="0"/>
    <x v="2"/>
    <x v="0"/>
    <n v="1603.7999973446131"/>
    <n v="10465"/>
  </r>
  <r>
    <x v="45"/>
    <x v="0"/>
    <x v="2"/>
    <x v="3"/>
    <n v="294"/>
    <n v="10465"/>
  </r>
  <r>
    <x v="45"/>
    <x v="0"/>
    <x v="2"/>
    <x v="3"/>
    <n v="205.19999966025352"/>
    <n v="10465"/>
  </r>
  <r>
    <x v="45"/>
    <x v="0"/>
    <x v="2"/>
    <x v="2"/>
    <n v="325"/>
    <n v="10465"/>
  </r>
  <r>
    <x v="46"/>
    <x v="1"/>
    <x v="0"/>
    <x v="6"/>
    <n v="168"/>
    <n v="10466"/>
  </r>
  <r>
    <x v="46"/>
    <x v="1"/>
    <x v="0"/>
    <x v="3"/>
    <n v="48"/>
    <n v="10466"/>
  </r>
  <r>
    <x v="46"/>
    <x v="2"/>
    <x v="2"/>
    <x v="1"/>
    <n v="100.8"/>
    <n v="10467"/>
  </r>
  <r>
    <x v="46"/>
    <x v="2"/>
    <x v="2"/>
    <x v="2"/>
    <n v="134.4"/>
    <n v="10467"/>
  </r>
  <r>
    <x v="47"/>
    <x v="0"/>
    <x v="3"/>
    <x v="3"/>
    <n v="165.6"/>
    <n v="10468"/>
  </r>
  <r>
    <x v="47"/>
    <x v="0"/>
    <x v="3"/>
    <x v="1"/>
    <n v="552"/>
    <n v="10468"/>
  </r>
  <r>
    <x v="48"/>
    <x v="1"/>
    <x v="1"/>
    <x v="1"/>
    <n v="516.7999963760376"/>
    <n v="10469"/>
  </r>
  <r>
    <x v="48"/>
    <x v="1"/>
    <x v="1"/>
    <x v="2"/>
    <n v="413.52499710023403"/>
    <n v="10469"/>
  </r>
  <r>
    <x v="48"/>
    <x v="1"/>
    <x v="1"/>
    <x v="5"/>
    <n v="26.349999815225601"/>
    <n v="10469"/>
  </r>
  <r>
    <x v="49"/>
    <x v="2"/>
    <x v="3"/>
    <x v="3"/>
    <n v="1500"/>
    <n v="10470"/>
  </r>
  <r>
    <x v="49"/>
    <x v="2"/>
    <x v="3"/>
    <x v="4"/>
    <n v="108"/>
    <n v="10470"/>
  </r>
  <r>
    <x v="49"/>
    <x v="2"/>
    <x v="3"/>
    <x v="4"/>
    <n v="212.8"/>
    <n v="10470"/>
  </r>
  <r>
    <x v="49"/>
    <x v="0"/>
    <x v="2"/>
    <x v="7"/>
    <n v="720"/>
    <n v="10471"/>
  </r>
  <r>
    <x v="49"/>
    <x v="0"/>
    <x v="2"/>
    <x v="4"/>
    <n v="608"/>
    <n v="10471"/>
  </r>
  <r>
    <x v="50"/>
    <x v="1"/>
    <x v="0"/>
    <x v="1"/>
    <n v="273.59999978542328"/>
    <n v="10472"/>
  </r>
  <r>
    <x v="50"/>
    <x v="1"/>
    <x v="0"/>
    <x v="7"/>
    <n v="763.2"/>
    <n v="10472"/>
  </r>
  <r>
    <x v="51"/>
    <x v="0"/>
    <x v="5"/>
    <x v="6"/>
    <n v="24"/>
    <n v="10473"/>
  </r>
  <r>
    <x v="51"/>
    <x v="0"/>
    <x v="5"/>
    <x v="6"/>
    <n v="206.4"/>
    <n v="10473"/>
  </r>
  <r>
    <x v="51"/>
    <x v="2"/>
    <x v="0"/>
    <x v="7"/>
    <n v="223.2"/>
    <n v="10474"/>
  </r>
  <r>
    <x v="51"/>
    <x v="2"/>
    <x v="0"/>
    <x v="7"/>
    <n v="655.20000000000005"/>
    <n v="10474"/>
  </r>
  <r>
    <x v="51"/>
    <x v="2"/>
    <x v="0"/>
    <x v="3"/>
    <n v="308.7"/>
    <n v="10474"/>
  </r>
  <r>
    <x v="51"/>
    <x v="2"/>
    <x v="0"/>
    <x v="1"/>
    <n v="62"/>
    <n v="10474"/>
  </r>
  <r>
    <x v="52"/>
    <x v="1"/>
    <x v="0"/>
    <x v="6"/>
    <n v="297.49999791383743"/>
    <n v="10475"/>
  </r>
  <r>
    <x v="52"/>
    <x v="1"/>
    <x v="0"/>
    <x v="5"/>
    <n v="693.59999513626099"/>
    <n v="10475"/>
  </r>
  <r>
    <x v="52"/>
    <x v="1"/>
    <x v="0"/>
    <x v="1"/>
    <n v="514.07999639511104"/>
    <n v="10475"/>
  </r>
  <r>
    <x v="53"/>
    <x v="0"/>
    <x v="2"/>
    <x v="0"/>
    <n v="36.479999971389766"/>
    <n v="10476"/>
  </r>
  <r>
    <x v="53"/>
    <x v="0"/>
    <x v="2"/>
    <x v="1"/>
    <n v="144"/>
    <n v="10476"/>
  </r>
  <r>
    <x v="53"/>
    <x v="2"/>
    <x v="0"/>
    <x v="1"/>
    <n v="216"/>
    <n v="10477"/>
  </r>
  <r>
    <x v="53"/>
    <x v="2"/>
    <x v="0"/>
    <x v="2"/>
    <n v="126"/>
    <n v="10477"/>
  </r>
  <r>
    <x v="53"/>
    <x v="2"/>
    <x v="0"/>
    <x v="1"/>
    <n v="216"/>
    <n v="10477"/>
  </r>
  <r>
    <x v="54"/>
    <x v="0"/>
    <x v="0"/>
    <x v="3"/>
    <n v="471.1999996304512"/>
    <n v="10478"/>
  </r>
  <r>
    <x v="55"/>
    <x v="0"/>
    <x v="1"/>
    <x v="1"/>
    <n v="6324"/>
    <n v="10479"/>
  </r>
  <r>
    <x v="55"/>
    <x v="0"/>
    <x v="1"/>
    <x v="0"/>
    <n v="733.6"/>
    <n v="10479"/>
  </r>
  <r>
    <x v="55"/>
    <x v="0"/>
    <x v="1"/>
    <x v="6"/>
    <n v="2640"/>
    <n v="10479"/>
  </r>
  <r>
    <x v="55"/>
    <x v="0"/>
    <x v="1"/>
    <x v="4"/>
    <n v="798"/>
    <n v="10479"/>
  </r>
  <r>
    <x v="56"/>
    <x v="2"/>
    <x v="0"/>
    <x v="2"/>
    <n v="228"/>
    <n v="10480"/>
  </r>
  <r>
    <x v="56"/>
    <x v="2"/>
    <x v="0"/>
    <x v="6"/>
    <n v="528"/>
    <n v="10480"/>
  </r>
  <r>
    <x v="56"/>
    <x v="2"/>
    <x v="0"/>
    <x v="2"/>
    <n v="384"/>
    <n v="10481"/>
  </r>
  <r>
    <x v="56"/>
    <x v="2"/>
    <x v="0"/>
    <x v="6"/>
    <n v="1088"/>
    <n v="10481"/>
  </r>
  <r>
    <x v="57"/>
    <x v="0"/>
    <x v="2"/>
    <x v="3"/>
    <n v="147"/>
    <n v="10482"/>
  </r>
  <r>
    <x v="58"/>
    <x v="2"/>
    <x v="1"/>
    <x v="1"/>
    <n v="372.39999970793724"/>
    <n v="10483"/>
  </r>
  <r>
    <x v="58"/>
    <x v="2"/>
    <x v="1"/>
    <x v="5"/>
    <n v="296.39999976754189"/>
    <n v="10483"/>
  </r>
  <r>
    <x v="58"/>
    <x v="0"/>
    <x v="2"/>
    <x v="2"/>
    <n v="112"/>
    <n v="10484"/>
  </r>
  <r>
    <x v="58"/>
    <x v="0"/>
    <x v="2"/>
    <x v="3"/>
    <n v="147"/>
    <n v="10484"/>
  </r>
  <r>
    <x v="58"/>
    <x v="0"/>
    <x v="2"/>
    <x v="7"/>
    <n v="127.2"/>
    <n v="10484"/>
  </r>
  <r>
    <x v="59"/>
    <x v="2"/>
    <x v="2"/>
    <x v="1"/>
    <n v="273.5999995470047"/>
    <n v="10485"/>
  </r>
  <r>
    <x v="59"/>
    <x v="2"/>
    <x v="2"/>
    <x v="5"/>
    <n v="143.99999976158142"/>
    <n v="10485"/>
  </r>
  <r>
    <x v="59"/>
    <x v="2"/>
    <x v="2"/>
    <x v="0"/>
    <n v="518.39999914169312"/>
    <n v="10485"/>
  </r>
  <r>
    <x v="59"/>
    <x v="2"/>
    <x v="2"/>
    <x v="1"/>
    <n v="647.99999892711639"/>
    <n v="10485"/>
  </r>
  <r>
    <x v="60"/>
    <x v="2"/>
    <x v="2"/>
    <x v="6"/>
    <n v="84"/>
    <n v="10486"/>
  </r>
  <r>
    <x v="60"/>
    <x v="2"/>
    <x v="2"/>
    <x v="7"/>
    <n v="1060"/>
    <n v="10486"/>
  </r>
  <r>
    <x v="60"/>
    <x v="2"/>
    <x v="2"/>
    <x v="7"/>
    <n v="128"/>
    <n v="10486"/>
  </r>
  <r>
    <x v="60"/>
    <x v="2"/>
    <x v="0"/>
    <x v="2"/>
    <n v="36.5"/>
    <n v="10487"/>
  </r>
  <r>
    <x v="60"/>
    <x v="2"/>
    <x v="0"/>
    <x v="2"/>
    <n v="747"/>
    <n v="10487"/>
  </r>
  <r>
    <x v="60"/>
    <x v="2"/>
    <x v="0"/>
    <x v="0"/>
    <n v="106.19999999999999"/>
    <n v="10487"/>
  </r>
  <r>
    <x v="61"/>
    <x v="2"/>
    <x v="0"/>
    <x v="6"/>
    <n v="1320"/>
    <n v="10488"/>
  </r>
  <r>
    <x v="61"/>
    <x v="2"/>
    <x v="0"/>
    <x v="3"/>
    <n v="191.99999928474426"/>
    <n v="10488"/>
  </r>
  <r>
    <x v="62"/>
    <x v="2"/>
    <x v="1"/>
    <x v="6"/>
    <n v="189"/>
    <n v="10489"/>
  </r>
  <r>
    <x v="62"/>
    <x v="2"/>
    <x v="1"/>
    <x v="2"/>
    <n v="250.2"/>
    <n v="10489"/>
  </r>
  <r>
    <x v="63"/>
    <x v="2"/>
    <x v="2"/>
    <x v="6"/>
    <n v="2640"/>
    <n v="10490"/>
  </r>
  <r>
    <x v="63"/>
    <x v="2"/>
    <x v="2"/>
    <x v="2"/>
    <n v="300"/>
    <n v="10490"/>
  </r>
  <r>
    <x v="63"/>
    <x v="2"/>
    <x v="2"/>
    <x v="1"/>
    <n v="223.2"/>
    <n v="10490"/>
  </r>
  <r>
    <x v="63"/>
    <x v="0"/>
    <x v="1"/>
    <x v="5"/>
    <n v="197.62499861419201"/>
    <n v="10491"/>
  </r>
  <r>
    <x v="63"/>
    <x v="0"/>
    <x v="1"/>
    <x v="5"/>
    <n v="61.879999566078183"/>
    <n v="10491"/>
  </r>
  <r>
    <x v="64"/>
    <x v="1"/>
    <x v="3"/>
    <x v="2"/>
    <n v="638.39999949932098"/>
    <n v="10492"/>
  </r>
  <r>
    <x v="64"/>
    <x v="1"/>
    <x v="3"/>
    <x v="4"/>
    <n v="212.79999983310699"/>
    <n v="10492"/>
  </r>
  <r>
    <x v="65"/>
    <x v="0"/>
    <x v="0"/>
    <x v="5"/>
    <n v="226.79999962449074"/>
    <n v="10493"/>
  </r>
  <r>
    <x v="65"/>
    <x v="0"/>
    <x v="0"/>
    <x v="5"/>
    <n v="122.39999979734421"/>
    <n v="10493"/>
  </r>
  <r>
    <x v="65"/>
    <x v="0"/>
    <x v="0"/>
    <x v="6"/>
    <n v="259.19999957084656"/>
    <n v="10493"/>
  </r>
  <r>
    <x v="65"/>
    <x v="2"/>
    <x v="0"/>
    <x v="4"/>
    <n v="912"/>
    <n v="10494"/>
  </r>
  <r>
    <x v="66"/>
    <x v="0"/>
    <x v="0"/>
    <x v="4"/>
    <n v="72"/>
    <n v="10495"/>
  </r>
  <r>
    <x v="66"/>
    <x v="0"/>
    <x v="0"/>
    <x v="3"/>
    <n v="154"/>
    <n v="10495"/>
  </r>
  <r>
    <x v="66"/>
    <x v="0"/>
    <x v="0"/>
    <x v="5"/>
    <n v="52"/>
    <n v="10495"/>
  </r>
  <r>
    <x v="67"/>
    <x v="2"/>
    <x v="0"/>
    <x v="6"/>
    <n v="189.99999985098839"/>
    <n v="10496"/>
  </r>
  <r>
    <x v="67"/>
    <x v="1"/>
    <x v="1"/>
    <x v="4"/>
    <n v="425.6"/>
    <n v="10497"/>
  </r>
  <r>
    <x v="67"/>
    <x v="1"/>
    <x v="1"/>
    <x v="6"/>
    <n v="695"/>
    <n v="10497"/>
  </r>
  <r>
    <x v="67"/>
    <x v="1"/>
    <x v="1"/>
    <x v="5"/>
    <n v="260"/>
    <n v="10497"/>
  </r>
  <r>
    <x v="68"/>
    <x v="2"/>
    <x v="2"/>
    <x v="1"/>
    <n v="63"/>
    <n v="10498"/>
  </r>
  <r>
    <x v="68"/>
    <x v="2"/>
    <x v="2"/>
    <x v="3"/>
    <n v="92"/>
    <n v="10498"/>
  </r>
  <r>
    <x v="68"/>
    <x v="2"/>
    <x v="2"/>
    <x v="4"/>
    <n v="420"/>
    <n v="10498"/>
  </r>
  <r>
    <x v="69"/>
    <x v="2"/>
    <x v="0"/>
    <x v="7"/>
    <n v="912"/>
    <n v="10499"/>
  </r>
  <r>
    <x v="69"/>
    <x v="2"/>
    <x v="0"/>
    <x v="2"/>
    <n v="500"/>
    <n v="10499"/>
  </r>
  <r>
    <x v="70"/>
    <x v="1"/>
    <x v="0"/>
    <x v="5"/>
    <n v="176.6999998614192"/>
    <n v="10500"/>
  </r>
  <r>
    <x v="70"/>
    <x v="1"/>
    <x v="0"/>
    <x v="7"/>
    <n v="346.55999972820285"/>
    <n v="10500"/>
  </r>
  <r>
    <x v="70"/>
    <x v="0"/>
    <x v="0"/>
    <x v="0"/>
    <n v="149"/>
    <n v="10501"/>
  </r>
  <r>
    <x v="71"/>
    <x v="1"/>
    <x v="0"/>
    <x v="3"/>
    <n v="199.5"/>
    <n v="10502"/>
  </r>
  <r>
    <x v="71"/>
    <x v="1"/>
    <x v="0"/>
    <x v="0"/>
    <n v="196.8"/>
    <n v="10502"/>
  </r>
  <r>
    <x v="71"/>
    <x v="1"/>
    <x v="0"/>
    <x v="1"/>
    <n v="420"/>
    <n v="10502"/>
  </r>
  <r>
    <x v="72"/>
    <x v="2"/>
    <x v="0"/>
    <x v="7"/>
    <n v="1627.5"/>
    <n v="10503"/>
  </r>
  <r>
    <x v="72"/>
    <x v="2"/>
    <x v="0"/>
    <x v="5"/>
    <n v="421"/>
    <n v="10503"/>
  </r>
  <r>
    <x v="72"/>
    <x v="0"/>
    <x v="1"/>
    <x v="1"/>
    <n v="228"/>
    <n v="10504"/>
  </r>
  <r>
    <x v="72"/>
    <x v="0"/>
    <x v="1"/>
    <x v="2"/>
    <n v="120"/>
    <n v="10504"/>
  </r>
  <r>
    <x v="72"/>
    <x v="0"/>
    <x v="1"/>
    <x v="0"/>
    <n v="328"/>
    <n v="10504"/>
  </r>
  <r>
    <x v="72"/>
    <x v="0"/>
    <x v="1"/>
    <x v="5"/>
    <n v="712.5"/>
    <n v="10504"/>
  </r>
  <r>
    <x v="73"/>
    <x v="0"/>
    <x v="4"/>
    <x v="2"/>
    <n v="147.9"/>
    <n v="10505"/>
  </r>
  <r>
    <x v="74"/>
    <x v="2"/>
    <x v="3"/>
    <x v="2"/>
    <n v="226.79999962449074"/>
    <n v="10506"/>
  </r>
  <r>
    <x v="74"/>
    <x v="2"/>
    <x v="3"/>
    <x v="1"/>
    <n v="188.99999968707561"/>
    <n v="10506"/>
  </r>
  <r>
    <x v="74"/>
    <x v="1"/>
    <x v="0"/>
    <x v="1"/>
    <n v="586.49999588727951"/>
    <n v="10507"/>
  </r>
  <r>
    <x v="74"/>
    <x v="1"/>
    <x v="0"/>
    <x v="2"/>
    <n v="162.56249886006117"/>
    <n v="10507"/>
  </r>
  <r>
    <x v="75"/>
    <x v="2"/>
    <x v="2"/>
    <x v="3"/>
    <n v="60"/>
    <n v="10508"/>
  </r>
  <r>
    <x v="75"/>
    <x v="2"/>
    <x v="2"/>
    <x v="1"/>
    <n v="180"/>
    <n v="10508"/>
  </r>
  <r>
    <x v="76"/>
    <x v="1"/>
    <x v="0"/>
    <x v="7"/>
    <n v="136.80000000000001"/>
    <n v="10509"/>
  </r>
  <r>
    <x v="77"/>
    <x v="0"/>
    <x v="3"/>
    <x v="0"/>
    <n v="4456.4399999999996"/>
    <n v="10510"/>
  </r>
  <r>
    <x v="77"/>
    <x v="0"/>
    <x v="3"/>
    <x v="1"/>
    <n v="251.0999995842576"/>
    <n v="10510"/>
  </r>
  <r>
    <x v="77"/>
    <x v="0"/>
    <x v="3"/>
    <x v="5"/>
    <n v="934.99999344348907"/>
    <n v="10511"/>
  </r>
  <r>
    <x v="77"/>
    <x v="0"/>
    <x v="3"/>
    <x v="7"/>
    <n v="1274.9999910593033"/>
    <n v="10511"/>
  </r>
  <r>
    <x v="77"/>
    <x v="0"/>
    <x v="3"/>
    <x v="5"/>
    <n v="339.99999761581421"/>
    <n v="10511"/>
  </r>
  <r>
    <x v="78"/>
    <x v="2"/>
    <x v="2"/>
    <x v="1"/>
    <n v="38.249999731779099"/>
    <n v="10512"/>
  </r>
  <r>
    <x v="78"/>
    <x v="2"/>
    <x v="2"/>
    <x v="3"/>
    <n v="91.799999356269836"/>
    <n v="10512"/>
  </r>
  <r>
    <x v="78"/>
    <x v="2"/>
    <x v="2"/>
    <x v="2"/>
    <n v="48.449999660253525"/>
    <n v="10512"/>
  </r>
  <r>
    <x v="78"/>
    <x v="2"/>
    <x v="2"/>
    <x v="6"/>
    <n v="346.79999756813049"/>
    <n v="10512"/>
  </r>
  <r>
    <x v="79"/>
    <x v="1"/>
    <x v="0"/>
    <x v="2"/>
    <n v="319.9999988079071"/>
    <n v="10513"/>
  </r>
  <r>
    <x v="79"/>
    <x v="1"/>
    <x v="0"/>
    <x v="6"/>
    <n v="1279.9999952316284"/>
    <n v="10513"/>
  </r>
  <r>
    <x v="79"/>
    <x v="1"/>
    <x v="0"/>
    <x v="5"/>
    <n v="341.99999872595072"/>
    <n v="10513"/>
  </r>
  <r>
    <x v="79"/>
    <x v="2"/>
    <x v="2"/>
    <x v="2"/>
    <n v="3159"/>
    <n v="10514"/>
  </r>
  <r>
    <x v="79"/>
    <x v="2"/>
    <x v="2"/>
    <x v="7"/>
    <n v="1596"/>
    <n v="10514"/>
  </r>
  <r>
    <x v="79"/>
    <x v="2"/>
    <x v="2"/>
    <x v="4"/>
    <n v="2660"/>
    <n v="10514"/>
  </r>
  <r>
    <x v="79"/>
    <x v="2"/>
    <x v="2"/>
    <x v="5"/>
    <n v="820.95"/>
    <n v="10514"/>
  </r>
  <r>
    <x v="79"/>
    <x v="2"/>
    <x v="2"/>
    <x v="1"/>
    <n v="387.5"/>
    <n v="10514"/>
  </r>
  <r>
    <x v="80"/>
    <x v="1"/>
    <x v="0"/>
    <x v="0"/>
    <n v="1319.1999907493591"/>
    <n v="10515"/>
  </r>
  <r>
    <x v="80"/>
    <x v="1"/>
    <x v="0"/>
    <x v="2"/>
    <n v="872.5"/>
    <n v="10515"/>
  </r>
  <r>
    <x v="80"/>
    <x v="1"/>
    <x v="0"/>
    <x v="2"/>
    <n v="5268"/>
    <n v="10515"/>
  </r>
  <r>
    <x v="80"/>
    <x v="1"/>
    <x v="0"/>
    <x v="6"/>
    <n v="33.999999761581421"/>
    <n v="10515"/>
  </r>
  <r>
    <x v="80"/>
    <x v="1"/>
    <x v="0"/>
    <x v="6"/>
    <n v="2427.5999829769135"/>
    <n v="10515"/>
  </r>
  <r>
    <x v="81"/>
    <x v="0"/>
    <x v="0"/>
    <x v="3"/>
    <n v="1406.2499976716936"/>
    <n v="10516"/>
  </r>
  <r>
    <x v="81"/>
    <x v="0"/>
    <x v="0"/>
    <x v="3"/>
    <n v="694.79999884963036"/>
    <n v="10516"/>
  </r>
  <r>
    <x v="81"/>
    <x v="0"/>
    <x v="0"/>
    <x v="4"/>
    <n v="280"/>
    <n v="10516"/>
  </r>
  <r>
    <x v="81"/>
    <x v="0"/>
    <x v="0"/>
    <x v="4"/>
    <n v="42"/>
    <n v="10517"/>
  </r>
  <r>
    <x v="81"/>
    <x v="0"/>
    <x v="0"/>
    <x v="6"/>
    <n v="220"/>
    <n v="10517"/>
  </r>
  <r>
    <x v="81"/>
    <x v="0"/>
    <x v="0"/>
    <x v="1"/>
    <n v="90"/>
    <n v="10517"/>
  </r>
  <r>
    <x v="82"/>
    <x v="2"/>
    <x v="0"/>
    <x v="1"/>
    <n v="22.5"/>
    <n v="10518"/>
  </r>
  <r>
    <x v="82"/>
    <x v="2"/>
    <x v="0"/>
    <x v="1"/>
    <n v="3952.5"/>
    <n v="10518"/>
  </r>
  <r>
    <x v="82"/>
    <x v="2"/>
    <x v="0"/>
    <x v="5"/>
    <n v="175.05"/>
    <n v="10518"/>
  </r>
  <r>
    <x v="83"/>
    <x v="0"/>
    <x v="0"/>
    <x v="3"/>
    <n v="471.1999996304512"/>
    <n v="10519"/>
  </r>
  <r>
    <x v="83"/>
    <x v="0"/>
    <x v="0"/>
    <x v="4"/>
    <n v="1520"/>
    <n v="10519"/>
  </r>
  <r>
    <x v="83"/>
    <x v="0"/>
    <x v="0"/>
    <x v="6"/>
    <n v="322.99999974668026"/>
    <n v="10519"/>
  </r>
  <r>
    <x v="84"/>
    <x v="1"/>
    <x v="3"/>
    <x v="1"/>
    <n v="36"/>
    <n v="10520"/>
  </r>
  <r>
    <x v="84"/>
    <x v="1"/>
    <x v="3"/>
    <x v="0"/>
    <n v="164"/>
    <n v="10520"/>
  </r>
  <r>
    <x v="84"/>
    <x v="2"/>
    <x v="4"/>
    <x v="1"/>
    <n v="54"/>
    <n v="10521"/>
  </r>
  <r>
    <x v="84"/>
    <x v="2"/>
    <x v="4"/>
    <x v="3"/>
    <n v="96.5"/>
    <n v="10521"/>
  </r>
  <r>
    <x v="84"/>
    <x v="2"/>
    <x v="4"/>
    <x v="2"/>
    <n v="75"/>
    <n v="10521"/>
  </r>
  <r>
    <x v="85"/>
    <x v="1"/>
    <x v="1"/>
    <x v="1"/>
    <n v="575.99999785423279"/>
    <n v="10522"/>
  </r>
  <r>
    <x v="85"/>
    <x v="1"/>
    <x v="1"/>
    <x v="5"/>
    <n v="960"/>
    <n v="10522"/>
  </r>
  <r>
    <x v="85"/>
    <x v="1"/>
    <x v="1"/>
    <x v="3"/>
    <n v="414.23999845683574"/>
    <n v="10522"/>
  </r>
  <r>
    <x v="85"/>
    <x v="1"/>
    <x v="1"/>
    <x v="3"/>
    <n v="367.99999862909317"/>
    <n v="10522"/>
  </r>
  <r>
    <x v="86"/>
    <x v="2"/>
    <x v="0"/>
    <x v="0"/>
    <n v="877.49999854713678"/>
    <n v="10523"/>
  </r>
  <r>
    <x v="86"/>
    <x v="2"/>
    <x v="0"/>
    <x v="2"/>
    <n v="1093.4999981895089"/>
    <n v="10523"/>
  </r>
  <r>
    <x v="86"/>
    <x v="2"/>
    <x v="0"/>
    <x v="3"/>
    <n v="421.19999930262566"/>
    <n v="10523"/>
  </r>
  <r>
    <x v="86"/>
    <x v="2"/>
    <x v="0"/>
    <x v="3"/>
    <n v="52.109999913722277"/>
    <n v="10523"/>
  </r>
  <r>
    <x v="86"/>
    <x v="2"/>
    <x v="1"/>
    <x v="3"/>
    <n v="62"/>
    <n v="10524"/>
  </r>
  <r>
    <x v="86"/>
    <x v="2"/>
    <x v="1"/>
    <x v="3"/>
    <n v="258.89999999999998"/>
    <n v="10524"/>
  </r>
  <r>
    <x v="86"/>
    <x v="2"/>
    <x v="1"/>
    <x v="1"/>
    <n v="2760"/>
    <n v="10524"/>
  </r>
  <r>
    <x v="86"/>
    <x v="2"/>
    <x v="1"/>
    <x v="0"/>
    <n v="111.75"/>
    <n v="10524"/>
  </r>
  <r>
    <x v="87"/>
    <x v="2"/>
    <x v="3"/>
    <x v="3"/>
    <n v="570"/>
    <n v="10525"/>
  </r>
  <r>
    <x v="87"/>
    <x v="2"/>
    <x v="3"/>
    <x v="3"/>
    <n v="248.39999958872795"/>
    <n v="10525"/>
  </r>
  <r>
    <x v="88"/>
    <x v="2"/>
    <x v="0"/>
    <x v="1"/>
    <n v="122.39999914169312"/>
    <n v="10526"/>
  </r>
  <r>
    <x v="88"/>
    <x v="2"/>
    <x v="0"/>
    <x v="3"/>
    <n v="60"/>
    <n v="10526"/>
  </r>
  <r>
    <x v="88"/>
    <x v="2"/>
    <x v="0"/>
    <x v="4"/>
    <n v="968.9999932050705"/>
    <n v="10526"/>
  </r>
  <r>
    <x v="88"/>
    <x v="1"/>
    <x v="0"/>
    <x v="5"/>
    <n v="989.99999836087227"/>
    <n v="10527"/>
  </r>
  <r>
    <x v="88"/>
    <x v="1"/>
    <x v="0"/>
    <x v="3"/>
    <n v="512.99999915063381"/>
    <n v="10527"/>
  </r>
  <r>
    <x v="89"/>
    <x v="2"/>
    <x v="0"/>
    <x v="6"/>
    <n v="63"/>
    <n v="10528"/>
  </r>
  <r>
    <x v="89"/>
    <x v="2"/>
    <x v="0"/>
    <x v="6"/>
    <n v="15.999999940395355"/>
    <n v="10528"/>
  </r>
  <r>
    <x v="89"/>
    <x v="2"/>
    <x v="0"/>
    <x v="6"/>
    <n v="313.2"/>
    <n v="10528"/>
  </r>
  <r>
    <x v="90"/>
    <x v="2"/>
    <x v="1"/>
    <x v="0"/>
    <n v="336"/>
    <n v="10529"/>
  </r>
  <r>
    <x v="90"/>
    <x v="2"/>
    <x v="1"/>
    <x v="2"/>
    <n v="250"/>
    <n v="10529"/>
  </r>
  <r>
    <x v="90"/>
    <x v="2"/>
    <x v="1"/>
    <x v="6"/>
    <n v="360"/>
    <n v="10529"/>
  </r>
  <r>
    <x v="91"/>
    <x v="2"/>
    <x v="1"/>
    <x v="0"/>
    <n v="1560"/>
    <n v="10530"/>
  </r>
  <r>
    <x v="91"/>
    <x v="2"/>
    <x v="1"/>
    <x v="1"/>
    <n v="1150"/>
    <n v="10530"/>
  </r>
  <r>
    <x v="91"/>
    <x v="2"/>
    <x v="1"/>
    <x v="5"/>
    <n v="570"/>
    <n v="10530"/>
  </r>
  <r>
    <x v="91"/>
    <x v="2"/>
    <x v="1"/>
    <x v="1"/>
    <n v="900"/>
    <n v="10530"/>
  </r>
  <r>
    <x v="91"/>
    <x v="1"/>
    <x v="0"/>
    <x v="6"/>
    <n v="110"/>
    <n v="10531"/>
  </r>
  <r>
    <x v="92"/>
    <x v="0"/>
    <x v="0"/>
    <x v="3"/>
    <n v="388.35"/>
    <n v="10532"/>
  </r>
  <r>
    <x v="92"/>
    <x v="0"/>
    <x v="0"/>
    <x v="5"/>
    <n v="408"/>
    <n v="10532"/>
  </r>
  <r>
    <x v="93"/>
    <x v="1"/>
    <x v="1"/>
    <x v="5"/>
    <n v="1044.9999991804361"/>
    <n v="10533"/>
  </r>
  <r>
    <x v="93"/>
    <x v="1"/>
    <x v="1"/>
    <x v="6"/>
    <n v="835.2"/>
    <n v="10533"/>
  </r>
  <r>
    <x v="93"/>
    <x v="1"/>
    <x v="1"/>
    <x v="3"/>
    <n v="341.9999997317791"/>
    <n v="10533"/>
  </r>
  <r>
    <x v="93"/>
    <x v="2"/>
    <x v="1"/>
    <x v="3"/>
    <n v="258.89999999999998"/>
    <n v="10534"/>
  </r>
  <r>
    <x v="93"/>
    <x v="2"/>
    <x v="1"/>
    <x v="3"/>
    <n v="147.19999945163727"/>
    <n v="10534"/>
  </r>
  <r>
    <x v="93"/>
    <x v="2"/>
    <x v="1"/>
    <x v="0"/>
    <n v="59.599999777972698"/>
    <n v="10534"/>
  </r>
  <r>
    <x v="94"/>
    <x v="1"/>
    <x v="0"/>
    <x v="6"/>
    <n v="944.99999843537807"/>
    <n v="10535"/>
  </r>
  <r>
    <x v="94"/>
    <x v="1"/>
    <x v="0"/>
    <x v="3"/>
    <n v="165.59999972581863"/>
    <n v="10535"/>
  </r>
  <r>
    <x v="94"/>
    <x v="1"/>
    <x v="0"/>
    <x v="4"/>
    <n v="87.749999854713678"/>
    <n v="10535"/>
  </r>
  <r>
    <x v="94"/>
    <x v="1"/>
    <x v="0"/>
    <x v="6"/>
    <n v="742.4999987706542"/>
    <n v="10535"/>
  </r>
  <r>
    <x v="95"/>
    <x v="2"/>
    <x v="1"/>
    <x v="6"/>
    <n v="427.5"/>
    <n v="10536"/>
  </r>
  <r>
    <x v="95"/>
    <x v="2"/>
    <x v="1"/>
    <x v="6"/>
    <n v="250"/>
    <n v="10536"/>
  </r>
  <r>
    <x v="95"/>
    <x v="2"/>
    <x v="1"/>
    <x v="6"/>
    <n v="75"/>
    <n v="10536"/>
  </r>
  <r>
    <x v="95"/>
    <x v="2"/>
    <x v="1"/>
    <x v="6"/>
    <n v="892.5"/>
    <n v="10536"/>
  </r>
  <r>
    <x v="95"/>
    <x v="1"/>
    <x v="1"/>
    <x v="6"/>
    <n v="375"/>
    <n v="10537"/>
  </r>
  <r>
    <x v="95"/>
    <x v="1"/>
    <x v="1"/>
    <x v="7"/>
    <n v="318"/>
    <n v="10537"/>
  </r>
  <r>
    <x v="95"/>
    <x v="1"/>
    <x v="1"/>
    <x v="3"/>
    <n v="265"/>
    <n v="10537"/>
  </r>
  <r>
    <x v="95"/>
    <x v="1"/>
    <x v="1"/>
    <x v="6"/>
    <n v="730.8"/>
    <n v="10537"/>
  </r>
  <r>
    <x v="95"/>
    <x v="1"/>
    <x v="1"/>
    <x v="3"/>
    <n v="135"/>
    <n v="10537"/>
  </r>
  <r>
    <x v="96"/>
    <x v="0"/>
    <x v="2"/>
    <x v="1"/>
    <n v="105"/>
    <n v="10538"/>
  </r>
  <r>
    <x v="96"/>
    <x v="0"/>
    <x v="2"/>
    <x v="6"/>
    <n v="34.799999999999997"/>
    <n v="10538"/>
  </r>
  <r>
    <x v="97"/>
    <x v="0"/>
    <x v="2"/>
    <x v="3"/>
    <n v="48"/>
    <n v="10539"/>
  </r>
  <r>
    <x v="97"/>
    <x v="0"/>
    <x v="2"/>
    <x v="2"/>
    <n v="150"/>
    <n v="10539"/>
  </r>
  <r>
    <x v="97"/>
    <x v="0"/>
    <x v="2"/>
    <x v="6"/>
    <n v="37.5"/>
    <n v="10539"/>
  </r>
  <r>
    <x v="97"/>
    <x v="0"/>
    <x v="2"/>
    <x v="2"/>
    <n v="120"/>
    <n v="10539"/>
  </r>
  <r>
    <x v="98"/>
    <x v="0"/>
    <x v="0"/>
    <x v="5"/>
    <n v="600"/>
    <n v="10540"/>
  </r>
  <r>
    <x v="98"/>
    <x v="0"/>
    <x v="0"/>
    <x v="2"/>
    <n v="1249.2"/>
    <n v="10540"/>
  </r>
  <r>
    <x v="98"/>
    <x v="0"/>
    <x v="0"/>
    <x v="1"/>
    <n v="7905"/>
    <n v="10540"/>
  </r>
  <r>
    <x v="98"/>
    <x v="0"/>
    <x v="0"/>
    <x v="2"/>
    <n v="437.5"/>
    <n v="10540"/>
  </r>
  <r>
    <x v="98"/>
    <x v="1"/>
    <x v="1"/>
    <x v="1"/>
    <n v="141.74999976530671"/>
    <n v="10541"/>
  </r>
  <r>
    <x v="98"/>
    <x v="1"/>
    <x v="1"/>
    <x v="1"/>
    <n v="948.59999842941761"/>
    <n v="10541"/>
  </r>
  <r>
    <x v="98"/>
    <x v="1"/>
    <x v="1"/>
    <x v="5"/>
    <n v="682.01999887079"/>
    <n v="10541"/>
  </r>
  <r>
    <x v="98"/>
    <x v="1"/>
    <x v="1"/>
    <x v="6"/>
    <n v="174.14999971166253"/>
    <n v="10541"/>
  </r>
  <r>
    <x v="99"/>
    <x v="0"/>
    <x v="3"/>
    <x v="6"/>
    <n v="299.24999976530671"/>
    <n v="10542"/>
  </r>
  <r>
    <x v="99"/>
    <x v="0"/>
    <x v="3"/>
    <x v="0"/>
    <n v="169.85999986678362"/>
    <n v="10542"/>
  </r>
  <r>
    <x v="100"/>
    <x v="2"/>
    <x v="0"/>
    <x v="6"/>
    <n v="968.9999932050705"/>
    <n v="10543"/>
  </r>
  <r>
    <x v="100"/>
    <x v="2"/>
    <x v="0"/>
    <x v="4"/>
    <n v="535.49999624490738"/>
    <n v="10543"/>
  </r>
  <r>
    <x v="100"/>
    <x v="1"/>
    <x v="0"/>
    <x v="7"/>
    <n v="319.2"/>
    <n v="10544"/>
  </r>
  <r>
    <x v="100"/>
    <x v="1"/>
    <x v="0"/>
    <x v="1"/>
    <n v="98"/>
    <n v="10544"/>
  </r>
  <r>
    <x v="101"/>
    <x v="2"/>
    <x v="2"/>
    <x v="6"/>
    <n v="210"/>
    <n v="10545"/>
  </r>
  <r>
    <x v="102"/>
    <x v="0"/>
    <x v="0"/>
    <x v="7"/>
    <n v="300"/>
    <n v="10546"/>
  </r>
  <r>
    <x v="102"/>
    <x v="0"/>
    <x v="0"/>
    <x v="1"/>
    <n v="540"/>
    <n v="10546"/>
  </r>
  <r>
    <x v="102"/>
    <x v="0"/>
    <x v="0"/>
    <x v="2"/>
    <n v="1972"/>
    <n v="10546"/>
  </r>
  <r>
    <x v="102"/>
    <x v="2"/>
    <x v="0"/>
    <x v="6"/>
    <n v="652.79999542236328"/>
    <n v="10547"/>
  </r>
  <r>
    <x v="102"/>
    <x v="2"/>
    <x v="0"/>
    <x v="3"/>
    <n v="1140"/>
    <n v="10547"/>
  </r>
  <r>
    <x v="103"/>
    <x v="2"/>
    <x v="1"/>
    <x v="1"/>
    <n v="105"/>
    <n v="10548"/>
  </r>
  <r>
    <x v="103"/>
    <x v="2"/>
    <x v="1"/>
    <x v="3"/>
    <n v="135.1"/>
    <n v="10548"/>
  </r>
  <r>
    <x v="104"/>
    <x v="1"/>
    <x v="0"/>
    <x v="6"/>
    <n v="584.37499590218067"/>
    <n v="10549"/>
  </r>
  <r>
    <x v="104"/>
    <x v="1"/>
    <x v="0"/>
    <x v="3"/>
    <n v="807.49999433755875"/>
    <n v="10549"/>
  </r>
  <r>
    <x v="104"/>
    <x v="1"/>
    <x v="0"/>
    <x v="7"/>
    <n v="2162.3999848365784"/>
    <n v="10549"/>
  </r>
  <r>
    <x v="105"/>
    <x v="0"/>
    <x v="0"/>
    <x v="0"/>
    <n v="280.79999953508377"/>
    <n v="10550"/>
  </r>
  <r>
    <x v="105"/>
    <x v="0"/>
    <x v="0"/>
    <x v="2"/>
    <n v="92"/>
    <n v="10550"/>
  </r>
  <r>
    <x v="105"/>
    <x v="0"/>
    <x v="0"/>
    <x v="2"/>
    <n v="53.999999910593033"/>
    <n v="10550"/>
  </r>
  <r>
    <x v="105"/>
    <x v="0"/>
    <x v="0"/>
    <x v="5"/>
    <n v="256.49999957531691"/>
    <n v="10550"/>
  </r>
  <r>
    <x v="105"/>
    <x v="0"/>
    <x v="1"/>
    <x v="2"/>
    <n v="593.29999583959579"/>
    <n v="10551"/>
  </r>
  <r>
    <x v="105"/>
    <x v="0"/>
    <x v="1"/>
    <x v="1"/>
    <n v="305.99999785423279"/>
    <n v="10551"/>
  </r>
  <r>
    <x v="105"/>
    <x v="0"/>
    <x v="1"/>
    <x v="5"/>
    <n v="778"/>
    <n v="10551"/>
  </r>
  <r>
    <x v="106"/>
    <x v="1"/>
    <x v="2"/>
    <x v="6"/>
    <n v="648"/>
    <n v="10552"/>
  </r>
  <r>
    <x v="106"/>
    <x v="1"/>
    <x v="2"/>
    <x v="1"/>
    <n v="232.5"/>
    <n v="10552"/>
  </r>
  <r>
    <x v="107"/>
    <x v="2"/>
    <x v="0"/>
    <x v="6"/>
    <n v="315"/>
    <n v="10553"/>
  </r>
  <r>
    <x v="107"/>
    <x v="2"/>
    <x v="0"/>
    <x v="2"/>
    <n v="244.3"/>
    <n v="10553"/>
  </r>
  <r>
    <x v="107"/>
    <x v="2"/>
    <x v="0"/>
    <x v="4"/>
    <n v="504"/>
    <n v="10553"/>
  </r>
  <r>
    <x v="107"/>
    <x v="2"/>
    <x v="0"/>
    <x v="6"/>
    <n v="375"/>
    <n v="10553"/>
  </r>
  <r>
    <x v="107"/>
    <x v="2"/>
    <x v="0"/>
    <x v="1"/>
    <n v="108"/>
    <n v="10553"/>
  </r>
  <r>
    <x v="107"/>
    <x v="0"/>
    <x v="2"/>
    <x v="2"/>
    <n v="497.32499960996211"/>
    <n v="10554"/>
  </r>
  <r>
    <x v="107"/>
    <x v="0"/>
    <x v="2"/>
    <x v="4"/>
    <n v="170.99999986588955"/>
    <n v="10554"/>
  </r>
  <r>
    <x v="107"/>
    <x v="0"/>
    <x v="2"/>
    <x v="2"/>
    <n v="936.69999926537275"/>
    <n v="10554"/>
  </r>
  <r>
    <x v="107"/>
    <x v="0"/>
    <x v="2"/>
    <x v="5"/>
    <n v="123.49999990314245"/>
    <n v="10554"/>
  </r>
  <r>
    <x v="108"/>
    <x v="0"/>
    <x v="3"/>
    <x v="7"/>
    <n v="557.99999792128801"/>
    <n v="10555"/>
  </r>
  <r>
    <x v="108"/>
    <x v="0"/>
    <x v="3"/>
    <x v="2"/>
    <n v="257.59999904036522"/>
    <n v="10555"/>
  </r>
  <r>
    <x v="108"/>
    <x v="0"/>
    <x v="3"/>
    <x v="1"/>
    <n v="64.799999758601189"/>
    <n v="10555"/>
  </r>
  <r>
    <x v="108"/>
    <x v="0"/>
    <x v="3"/>
    <x v="7"/>
    <n v="847.99999684095383"/>
    <n v="10555"/>
  </r>
  <r>
    <x v="108"/>
    <x v="0"/>
    <x v="3"/>
    <x v="4"/>
    <n v="1215.999995470047"/>
    <n v="10555"/>
  </r>
  <r>
    <x v="109"/>
    <x v="1"/>
    <x v="0"/>
    <x v="6"/>
    <n v="835.2"/>
    <n v="10556"/>
  </r>
  <r>
    <x v="109"/>
    <x v="2"/>
    <x v="1"/>
    <x v="4"/>
    <n v="997.5"/>
    <n v="10557"/>
  </r>
  <r>
    <x v="109"/>
    <x v="2"/>
    <x v="1"/>
    <x v="1"/>
    <n v="155"/>
    <n v="10557"/>
  </r>
  <r>
    <x v="110"/>
    <x v="2"/>
    <x v="2"/>
    <x v="2"/>
    <n v="237.5"/>
    <n v="10558"/>
  </r>
  <r>
    <x v="110"/>
    <x v="2"/>
    <x v="2"/>
    <x v="7"/>
    <n v="1060"/>
    <n v="10558"/>
  </r>
  <r>
    <x v="110"/>
    <x v="2"/>
    <x v="2"/>
    <x v="4"/>
    <n v="210"/>
    <n v="10558"/>
  </r>
  <r>
    <x v="110"/>
    <x v="2"/>
    <x v="2"/>
    <x v="0"/>
    <n v="590.4"/>
    <n v="10558"/>
  </r>
  <r>
    <x v="110"/>
    <x v="2"/>
    <x v="2"/>
    <x v="3"/>
    <n v="45"/>
    <n v="10558"/>
  </r>
  <r>
    <x v="111"/>
    <x v="1"/>
    <x v="4"/>
    <x v="3"/>
    <n v="110.00999991372227"/>
    <n v="10559"/>
  </r>
  <r>
    <x v="111"/>
    <x v="1"/>
    <x v="4"/>
    <x v="0"/>
    <n v="410.39999967813492"/>
    <n v="10559"/>
  </r>
  <r>
    <x v="112"/>
    <x v="1"/>
    <x v="0"/>
    <x v="3"/>
    <n v="517.79999999999995"/>
    <n v="10560"/>
  </r>
  <r>
    <x v="112"/>
    <x v="1"/>
    <x v="0"/>
    <x v="2"/>
    <n v="554.625"/>
    <n v="10560"/>
  </r>
  <r>
    <x v="112"/>
    <x v="2"/>
    <x v="1"/>
    <x v="5"/>
    <n v="194.5"/>
    <n v="10561"/>
  </r>
  <r>
    <x v="112"/>
    <x v="2"/>
    <x v="1"/>
    <x v="7"/>
    <n v="2650"/>
    <n v="10561"/>
  </r>
  <r>
    <x v="113"/>
    <x v="1"/>
    <x v="0"/>
    <x v="6"/>
    <n v="44.999999925494194"/>
    <n v="10562"/>
  </r>
  <r>
    <x v="113"/>
    <x v="1"/>
    <x v="0"/>
    <x v="2"/>
    <n v="443.69999926537275"/>
    <n v="10562"/>
  </r>
  <r>
    <x v="114"/>
    <x v="2"/>
    <x v="0"/>
    <x v="3"/>
    <n v="475"/>
    <n v="10563"/>
  </r>
  <r>
    <x v="114"/>
    <x v="2"/>
    <x v="0"/>
    <x v="4"/>
    <n v="490"/>
    <n v="10563"/>
  </r>
  <r>
    <x v="114"/>
    <x v="0"/>
    <x v="1"/>
    <x v="0"/>
    <n v="592.79999953508377"/>
    <n v="10564"/>
  </r>
  <r>
    <x v="114"/>
    <x v="0"/>
    <x v="1"/>
    <x v="6"/>
    <n v="71.249999944120646"/>
    <n v="10564"/>
  </r>
  <r>
    <x v="114"/>
    <x v="0"/>
    <x v="1"/>
    <x v="0"/>
    <n v="569.99999955296516"/>
    <n v="10564"/>
  </r>
  <r>
    <x v="115"/>
    <x v="2"/>
    <x v="4"/>
    <x v="1"/>
    <n v="101.24999983236194"/>
    <n v="10565"/>
  </r>
  <r>
    <x v="115"/>
    <x v="2"/>
    <x v="4"/>
    <x v="4"/>
    <n v="538.6499991081655"/>
    <n v="10565"/>
  </r>
  <r>
    <x v="116"/>
    <x v="1"/>
    <x v="4"/>
    <x v="6"/>
    <n v="624.74999561905861"/>
    <n v="10566"/>
  </r>
  <r>
    <x v="116"/>
    <x v="1"/>
    <x v="4"/>
    <x v="3"/>
    <n v="956.24999329447746"/>
    <n v="10566"/>
  </r>
  <r>
    <x v="116"/>
    <x v="1"/>
    <x v="4"/>
    <x v="1"/>
    <n v="180"/>
    <n v="10566"/>
  </r>
  <r>
    <x v="116"/>
    <x v="1"/>
    <x v="0"/>
    <x v="6"/>
    <n v="599.99999776482582"/>
    <n v="10567"/>
  </r>
  <r>
    <x v="116"/>
    <x v="1"/>
    <x v="0"/>
    <x v="7"/>
    <n v="159"/>
    <n v="10567"/>
  </r>
  <r>
    <x v="116"/>
    <x v="1"/>
    <x v="0"/>
    <x v="6"/>
    <n v="1759.9999934434891"/>
    <n v="10567"/>
  </r>
  <r>
    <x v="117"/>
    <x v="0"/>
    <x v="2"/>
    <x v="3"/>
    <n v="155"/>
    <n v="10568"/>
  </r>
  <r>
    <x v="118"/>
    <x v="1"/>
    <x v="1"/>
    <x v="6"/>
    <n v="349.9999986961484"/>
    <n v="10569"/>
  </r>
  <r>
    <x v="118"/>
    <x v="1"/>
    <x v="1"/>
    <x v="1"/>
    <n v="540"/>
    <n v="10569"/>
  </r>
  <r>
    <x v="119"/>
    <x v="0"/>
    <x v="4"/>
    <x v="6"/>
    <n v="299.24999976530671"/>
    <n v="10570"/>
  </r>
  <r>
    <x v="119"/>
    <x v="0"/>
    <x v="4"/>
    <x v="4"/>
    <n v="2165.9999983012676"/>
    <n v="10570"/>
  </r>
  <r>
    <x v="119"/>
    <x v="0"/>
    <x v="2"/>
    <x v="7"/>
    <n v="217.38749847561121"/>
    <n v="10571"/>
  </r>
  <r>
    <x v="119"/>
    <x v="0"/>
    <x v="2"/>
    <x v="4"/>
    <n v="333.19999766349792"/>
    <n v="10571"/>
  </r>
  <r>
    <x v="120"/>
    <x v="2"/>
    <x v="1"/>
    <x v="2"/>
    <n v="188.45999968796968"/>
    <n v="10572"/>
  </r>
  <r>
    <x v="120"/>
    <x v="2"/>
    <x v="1"/>
    <x v="6"/>
    <n v="287.99999952316284"/>
    <n v="10572"/>
  </r>
  <r>
    <x v="120"/>
    <x v="2"/>
    <x v="1"/>
    <x v="3"/>
    <n v="920"/>
    <n v="10572"/>
  </r>
  <r>
    <x v="120"/>
    <x v="2"/>
    <x v="1"/>
    <x v="1"/>
    <n v="104.624999826774"/>
    <n v="10572"/>
  </r>
  <r>
    <x v="121"/>
    <x v="0"/>
    <x v="0"/>
    <x v="0"/>
    <n v="702"/>
    <n v="10573"/>
  </r>
  <r>
    <x v="121"/>
    <x v="0"/>
    <x v="0"/>
    <x v="1"/>
    <n v="560"/>
    <n v="10573"/>
  </r>
  <r>
    <x v="121"/>
    <x v="0"/>
    <x v="0"/>
    <x v="0"/>
    <n v="820"/>
    <n v="10573"/>
  </r>
  <r>
    <x v="121"/>
    <x v="2"/>
    <x v="2"/>
    <x v="6"/>
    <n v="35"/>
    <n v="10574"/>
  </r>
  <r>
    <x v="121"/>
    <x v="2"/>
    <x v="2"/>
    <x v="3"/>
    <n v="36.799999999999997"/>
    <n v="10574"/>
  </r>
  <r>
    <x v="121"/>
    <x v="2"/>
    <x v="2"/>
    <x v="2"/>
    <n v="493"/>
    <n v="10574"/>
  </r>
  <r>
    <x v="121"/>
    <x v="2"/>
    <x v="2"/>
    <x v="4"/>
    <n v="199.5"/>
    <n v="10574"/>
  </r>
  <r>
    <x v="122"/>
    <x v="1"/>
    <x v="0"/>
    <x v="6"/>
    <n v="660"/>
    <n v="10575"/>
  </r>
  <r>
    <x v="122"/>
    <x v="1"/>
    <x v="0"/>
    <x v="5"/>
    <n v="263.39999999999998"/>
    <n v="10575"/>
  </r>
  <r>
    <x v="122"/>
    <x v="1"/>
    <x v="0"/>
    <x v="6"/>
    <n v="1044"/>
    <n v="10575"/>
  </r>
  <r>
    <x v="122"/>
    <x v="1"/>
    <x v="0"/>
    <x v="1"/>
    <n v="180"/>
    <n v="10575"/>
  </r>
  <r>
    <x v="123"/>
    <x v="0"/>
    <x v="0"/>
    <x v="1"/>
    <n v="180"/>
    <n v="10576"/>
  </r>
  <r>
    <x v="123"/>
    <x v="0"/>
    <x v="0"/>
    <x v="6"/>
    <n v="250"/>
    <n v="10576"/>
  </r>
  <r>
    <x v="123"/>
    <x v="0"/>
    <x v="0"/>
    <x v="5"/>
    <n v="408.45"/>
    <n v="10576"/>
  </r>
  <r>
    <x v="123"/>
    <x v="2"/>
    <x v="2"/>
    <x v="1"/>
    <n v="180"/>
    <n v="10577"/>
  </r>
  <r>
    <x v="123"/>
    <x v="2"/>
    <x v="2"/>
    <x v="1"/>
    <n v="155"/>
    <n v="10577"/>
  </r>
  <r>
    <x v="123"/>
    <x v="2"/>
    <x v="2"/>
    <x v="5"/>
    <n v="234"/>
    <n v="10577"/>
  </r>
  <r>
    <x v="124"/>
    <x v="0"/>
    <x v="2"/>
    <x v="1"/>
    <n v="360"/>
    <n v="10578"/>
  </r>
  <r>
    <x v="124"/>
    <x v="0"/>
    <x v="2"/>
    <x v="4"/>
    <n v="117"/>
    <n v="10578"/>
  </r>
  <r>
    <x v="125"/>
    <x v="2"/>
    <x v="2"/>
    <x v="5"/>
    <n v="155"/>
    <n v="10579"/>
  </r>
  <r>
    <x v="125"/>
    <x v="2"/>
    <x v="2"/>
    <x v="1"/>
    <n v="162.75"/>
    <n v="10579"/>
  </r>
  <r>
    <x v="126"/>
    <x v="0"/>
    <x v="2"/>
    <x v="7"/>
    <n v="331.312499740161"/>
    <n v="10580"/>
  </r>
  <r>
    <x v="126"/>
    <x v="0"/>
    <x v="2"/>
    <x v="3"/>
    <n v="82.507499935291705"/>
    <n v="10580"/>
  </r>
  <r>
    <x v="126"/>
    <x v="0"/>
    <x v="2"/>
    <x v="5"/>
    <n v="599.92499952949584"/>
    <n v="10580"/>
  </r>
  <r>
    <x v="126"/>
    <x v="1"/>
    <x v="2"/>
    <x v="1"/>
    <n v="309.99999884516001"/>
    <n v="10581"/>
  </r>
  <r>
    <x v="127"/>
    <x v="2"/>
    <x v="0"/>
    <x v="4"/>
    <n v="78"/>
    <n v="10582"/>
  </r>
  <r>
    <x v="127"/>
    <x v="2"/>
    <x v="0"/>
    <x v="1"/>
    <n v="252"/>
    <n v="10582"/>
  </r>
  <r>
    <x v="128"/>
    <x v="2"/>
    <x v="0"/>
    <x v="0"/>
    <n v="1237.9000000000001"/>
    <n v="10583"/>
  </r>
  <r>
    <x v="128"/>
    <x v="2"/>
    <x v="0"/>
    <x v="6"/>
    <n v="693.59999513626099"/>
    <n v="10583"/>
  </r>
  <r>
    <x v="128"/>
    <x v="2"/>
    <x v="0"/>
    <x v="6"/>
    <n v="305.99999785423279"/>
    <n v="10583"/>
  </r>
  <r>
    <x v="128"/>
    <x v="1"/>
    <x v="4"/>
    <x v="6"/>
    <n v="593.74999953433871"/>
    <n v="10584"/>
  </r>
  <r>
    <x v="129"/>
    <x v="1"/>
    <x v="2"/>
    <x v="2"/>
    <n v="142.5"/>
    <n v="10585"/>
  </r>
  <r>
    <x v="130"/>
    <x v="1"/>
    <x v="0"/>
    <x v="4"/>
    <n v="23.799999833106995"/>
    <n v="10586"/>
  </r>
  <r>
    <x v="130"/>
    <x v="1"/>
    <x v="0"/>
    <x v="2"/>
    <n v="187.38"/>
    <n v="10587"/>
  </r>
  <r>
    <x v="130"/>
    <x v="1"/>
    <x v="0"/>
    <x v="1"/>
    <n v="360"/>
    <n v="10587"/>
  </r>
  <r>
    <x v="130"/>
    <x v="1"/>
    <x v="0"/>
    <x v="5"/>
    <n v="260"/>
    <n v="10587"/>
  </r>
  <r>
    <x v="131"/>
    <x v="0"/>
    <x v="0"/>
    <x v="3"/>
    <n v="1999.9999925494194"/>
    <n v="10588"/>
  </r>
  <r>
    <x v="131"/>
    <x v="0"/>
    <x v="0"/>
    <x v="4"/>
    <n v="1119.9999958276749"/>
    <n v="10588"/>
  </r>
  <r>
    <x v="132"/>
    <x v="2"/>
    <x v="0"/>
    <x v="1"/>
    <n v="72"/>
    <n v="10589"/>
  </r>
  <r>
    <x v="133"/>
    <x v="0"/>
    <x v="4"/>
    <x v="1"/>
    <n v="360"/>
    <n v="10590"/>
  </r>
  <r>
    <x v="133"/>
    <x v="0"/>
    <x v="4"/>
    <x v="5"/>
    <n v="740.99999941885471"/>
    <n v="10590"/>
  </r>
  <r>
    <x v="133"/>
    <x v="1"/>
    <x v="2"/>
    <x v="5"/>
    <n v="140"/>
    <n v="10591"/>
  </r>
  <r>
    <x v="133"/>
    <x v="1"/>
    <x v="2"/>
    <x v="7"/>
    <n v="300"/>
    <n v="10591"/>
  </r>
  <r>
    <x v="133"/>
    <x v="1"/>
    <x v="2"/>
    <x v="0"/>
    <n v="372.5"/>
    <n v="10591"/>
  </r>
  <r>
    <x v="134"/>
    <x v="1"/>
    <x v="1"/>
    <x v="5"/>
    <n v="368.12499971129"/>
    <n v="10592"/>
  </r>
  <r>
    <x v="134"/>
    <x v="1"/>
    <x v="1"/>
    <x v="2"/>
    <n v="148.3424998836592"/>
    <n v="10592"/>
  </r>
  <r>
    <x v="135"/>
    <x v="2"/>
    <x v="1"/>
    <x v="2"/>
    <n v="1360.799994930625"/>
    <n v="10593"/>
  </r>
  <r>
    <x v="135"/>
    <x v="2"/>
    <x v="1"/>
    <x v="6"/>
    <n v="575.99999785423279"/>
    <n v="10593"/>
  </r>
  <r>
    <x v="135"/>
    <x v="2"/>
    <x v="1"/>
    <x v="1"/>
    <n v="57.599999785423279"/>
    <n v="10593"/>
  </r>
  <r>
    <x v="135"/>
    <x v="2"/>
    <x v="1"/>
    <x v="4"/>
    <n v="168"/>
    <n v="10594"/>
  </r>
  <r>
    <x v="135"/>
    <x v="2"/>
    <x v="1"/>
    <x v="3"/>
    <n v="397.5"/>
    <n v="10594"/>
  </r>
  <r>
    <x v="136"/>
    <x v="1"/>
    <x v="2"/>
    <x v="1"/>
    <n v="405"/>
    <n v="10595"/>
  </r>
  <r>
    <x v="136"/>
    <x v="1"/>
    <x v="2"/>
    <x v="5"/>
    <n v="2565"/>
    <n v="10595"/>
  </r>
  <r>
    <x v="136"/>
    <x v="1"/>
    <x v="2"/>
    <x v="6"/>
    <n v="1755"/>
    <n v="10595"/>
  </r>
  <r>
    <x v="137"/>
    <x v="1"/>
    <x v="1"/>
    <x v="4"/>
    <n v="151.99999943375587"/>
    <n v="10596"/>
  </r>
  <r>
    <x v="137"/>
    <x v="1"/>
    <x v="1"/>
    <x v="5"/>
    <n v="842.87999686002729"/>
    <n v="10596"/>
  </r>
  <r>
    <x v="137"/>
    <x v="1"/>
    <x v="1"/>
    <x v="1"/>
    <n v="185.999999307096"/>
    <n v="10596"/>
  </r>
  <r>
    <x v="137"/>
    <x v="0"/>
    <x v="1"/>
    <x v="1"/>
    <n v="125.99999953061342"/>
    <n v="10597"/>
  </r>
  <r>
    <x v="137"/>
    <x v="0"/>
    <x v="1"/>
    <x v="4"/>
    <n v="390"/>
    <n v="10597"/>
  </r>
  <r>
    <x v="137"/>
    <x v="0"/>
    <x v="1"/>
    <x v="5"/>
    <n v="202.07999924719334"/>
    <n v="10597"/>
  </r>
  <r>
    <x v="138"/>
    <x v="0"/>
    <x v="1"/>
    <x v="2"/>
    <n v="2195"/>
    <n v="10598"/>
  </r>
  <r>
    <x v="138"/>
    <x v="0"/>
    <x v="1"/>
    <x v="6"/>
    <n v="193.5"/>
    <n v="10598"/>
  </r>
  <r>
    <x v="139"/>
    <x v="0"/>
    <x v="2"/>
    <x v="2"/>
    <n v="493"/>
    <n v="10599"/>
  </r>
  <r>
    <x v="140"/>
    <x v="1"/>
    <x v="4"/>
    <x v="0"/>
    <n v="29.8"/>
    <n v="10600"/>
  </r>
  <r>
    <x v="140"/>
    <x v="1"/>
    <x v="4"/>
    <x v="3"/>
    <n v="450"/>
    <n v="10600"/>
  </r>
  <r>
    <x v="140"/>
    <x v="1"/>
    <x v="2"/>
    <x v="3"/>
    <n v="360"/>
    <n v="10601"/>
  </r>
  <r>
    <x v="140"/>
    <x v="1"/>
    <x v="2"/>
    <x v="6"/>
    <n v="1925"/>
    <n v="10601"/>
  </r>
  <r>
    <x v="141"/>
    <x v="2"/>
    <x v="2"/>
    <x v="5"/>
    <n v="48.75"/>
    <n v="10602"/>
  </r>
  <r>
    <x v="142"/>
    <x v="2"/>
    <x v="3"/>
    <x v="4"/>
    <n v="1008"/>
    <n v="10603"/>
  </r>
  <r>
    <x v="142"/>
    <x v="2"/>
    <x v="3"/>
    <x v="2"/>
    <n v="474.99999962747097"/>
    <n v="10603"/>
  </r>
  <r>
    <x v="142"/>
    <x v="1"/>
    <x v="1"/>
    <x v="2"/>
    <n v="68.849999886006117"/>
    <n v="10604"/>
  </r>
  <r>
    <x v="142"/>
    <x v="1"/>
    <x v="1"/>
    <x v="1"/>
    <n v="161.9999997317791"/>
    <n v="10604"/>
  </r>
  <r>
    <x v="143"/>
    <x v="2"/>
    <x v="4"/>
    <x v="2"/>
    <n v="497.32499960996211"/>
    <n v="10605"/>
  </r>
  <r>
    <x v="143"/>
    <x v="2"/>
    <x v="4"/>
    <x v="6"/>
    <n v="1044.9999991804361"/>
    <n v="10605"/>
  </r>
  <r>
    <x v="143"/>
    <x v="2"/>
    <x v="4"/>
    <x v="6"/>
    <n v="2260.9999982267618"/>
    <n v="10605"/>
  </r>
  <r>
    <x v="143"/>
    <x v="2"/>
    <x v="4"/>
    <x v="6"/>
    <n v="306.37499975971878"/>
    <n v="10605"/>
  </r>
  <r>
    <x v="144"/>
    <x v="0"/>
    <x v="0"/>
    <x v="5"/>
    <n v="351.99999868869781"/>
    <n v="10606"/>
  </r>
  <r>
    <x v="144"/>
    <x v="0"/>
    <x v="0"/>
    <x v="0"/>
    <n v="383.99999856948853"/>
    <n v="10606"/>
  </r>
  <r>
    <x v="144"/>
    <x v="0"/>
    <x v="0"/>
    <x v="2"/>
    <n v="394.39999853074551"/>
    <n v="10606"/>
  </r>
  <r>
    <x v="144"/>
    <x v="1"/>
    <x v="3"/>
    <x v="7"/>
    <n v="1350"/>
    <n v="10607"/>
  </r>
  <r>
    <x v="144"/>
    <x v="1"/>
    <x v="3"/>
    <x v="0"/>
    <n v="3900"/>
    <n v="10607"/>
  </r>
  <r>
    <x v="144"/>
    <x v="1"/>
    <x v="3"/>
    <x v="6"/>
    <n v="35"/>
    <n v="10607"/>
  </r>
  <r>
    <x v="144"/>
    <x v="1"/>
    <x v="3"/>
    <x v="3"/>
    <n v="772.8"/>
    <n v="10607"/>
  </r>
  <r>
    <x v="144"/>
    <x v="1"/>
    <x v="3"/>
    <x v="6"/>
    <n v="417.6"/>
    <n v="10607"/>
  </r>
  <r>
    <x v="145"/>
    <x v="2"/>
    <x v="1"/>
    <x v="4"/>
    <n v="1064"/>
    <n v="10608"/>
  </r>
  <r>
    <x v="146"/>
    <x v="2"/>
    <x v="1"/>
    <x v="1"/>
    <n v="54"/>
    <n v="10609"/>
  </r>
  <r>
    <x v="146"/>
    <x v="2"/>
    <x v="1"/>
    <x v="3"/>
    <n v="310"/>
    <n v="10609"/>
  </r>
  <r>
    <x v="146"/>
    <x v="2"/>
    <x v="1"/>
    <x v="2"/>
    <n v="60"/>
    <n v="10609"/>
  </r>
  <r>
    <x v="147"/>
    <x v="1"/>
    <x v="0"/>
    <x v="3"/>
    <n v="299.25"/>
    <n v="10610"/>
  </r>
  <r>
    <x v="147"/>
    <x v="2"/>
    <x v="0"/>
    <x v="1"/>
    <n v="108"/>
    <n v="10611"/>
  </r>
  <r>
    <x v="147"/>
    <x v="2"/>
    <x v="0"/>
    <x v="1"/>
    <n v="190"/>
    <n v="10611"/>
  </r>
  <r>
    <x v="147"/>
    <x v="2"/>
    <x v="0"/>
    <x v="6"/>
    <n v="510"/>
    <n v="10611"/>
  </r>
  <r>
    <x v="148"/>
    <x v="2"/>
    <x v="3"/>
    <x v="3"/>
    <n v="2170"/>
    <n v="10612"/>
  </r>
  <r>
    <x v="148"/>
    <x v="2"/>
    <x v="3"/>
    <x v="3"/>
    <n v="1045"/>
    <n v="10612"/>
  </r>
  <r>
    <x v="148"/>
    <x v="2"/>
    <x v="3"/>
    <x v="2"/>
    <n v="360"/>
    <n v="10612"/>
  </r>
  <r>
    <x v="148"/>
    <x v="2"/>
    <x v="3"/>
    <x v="6"/>
    <n v="1360"/>
    <n v="10612"/>
  </r>
  <r>
    <x v="148"/>
    <x v="2"/>
    <x v="3"/>
    <x v="1"/>
    <n v="1440"/>
    <n v="10612"/>
  </r>
  <r>
    <x v="149"/>
    <x v="2"/>
    <x v="2"/>
    <x v="3"/>
    <n v="43.199999928474426"/>
    <n v="10613"/>
  </r>
  <r>
    <x v="149"/>
    <x v="2"/>
    <x v="2"/>
    <x v="1"/>
    <n v="310"/>
    <n v="10613"/>
  </r>
  <r>
    <x v="149"/>
    <x v="0"/>
    <x v="0"/>
    <x v="6"/>
    <n v="294"/>
    <n v="10614"/>
  </r>
  <r>
    <x v="149"/>
    <x v="0"/>
    <x v="0"/>
    <x v="2"/>
    <n v="80"/>
    <n v="10614"/>
  </r>
  <r>
    <x v="149"/>
    <x v="0"/>
    <x v="0"/>
    <x v="1"/>
    <n v="90"/>
    <n v="10614"/>
  </r>
  <r>
    <x v="150"/>
    <x v="0"/>
    <x v="0"/>
    <x v="0"/>
    <n v="120"/>
    <n v="10615"/>
  </r>
  <r>
    <x v="151"/>
    <x v="2"/>
    <x v="0"/>
    <x v="1"/>
    <n v="3754.874997055158"/>
    <n v="10616"/>
  </r>
  <r>
    <x v="151"/>
    <x v="2"/>
    <x v="0"/>
    <x v="4"/>
    <n v="532"/>
    <n v="10616"/>
  </r>
  <r>
    <x v="151"/>
    <x v="2"/>
    <x v="0"/>
    <x v="1"/>
    <n v="213.74999983236194"/>
    <n v="10616"/>
  </r>
  <r>
    <x v="151"/>
    <x v="2"/>
    <x v="0"/>
    <x v="6"/>
    <n v="306.37499975971878"/>
    <n v="10616"/>
  </r>
  <r>
    <x v="151"/>
    <x v="2"/>
    <x v="0"/>
    <x v="6"/>
    <n v="1402.4999901652336"/>
    <n v="10617"/>
  </r>
  <r>
    <x v="152"/>
    <x v="1"/>
    <x v="4"/>
    <x v="5"/>
    <n v="1750"/>
    <n v="10618"/>
  </r>
  <r>
    <x v="152"/>
    <x v="1"/>
    <x v="4"/>
    <x v="4"/>
    <n v="760"/>
    <n v="10618"/>
  </r>
  <r>
    <x v="152"/>
    <x v="1"/>
    <x v="4"/>
    <x v="2"/>
    <n v="187.5"/>
    <n v="10618"/>
  </r>
  <r>
    <x v="153"/>
    <x v="0"/>
    <x v="4"/>
    <x v="2"/>
    <n v="420"/>
    <n v="10619"/>
  </r>
  <r>
    <x v="153"/>
    <x v="0"/>
    <x v="4"/>
    <x v="4"/>
    <n v="840"/>
    <n v="10619"/>
  </r>
  <r>
    <x v="154"/>
    <x v="0"/>
    <x v="0"/>
    <x v="1"/>
    <n v="22.5"/>
    <n v="10620"/>
  </r>
  <r>
    <x v="154"/>
    <x v="0"/>
    <x v="0"/>
    <x v="4"/>
    <n v="35"/>
    <n v="10620"/>
  </r>
  <r>
    <x v="154"/>
    <x v="2"/>
    <x v="5"/>
    <x v="2"/>
    <n v="46"/>
    <n v="10621"/>
  </r>
  <r>
    <x v="154"/>
    <x v="2"/>
    <x v="5"/>
    <x v="4"/>
    <n v="90"/>
    <n v="10621"/>
  </r>
  <r>
    <x v="154"/>
    <x v="2"/>
    <x v="5"/>
    <x v="1"/>
    <n v="300"/>
    <n v="10621"/>
  </r>
  <r>
    <x v="154"/>
    <x v="2"/>
    <x v="5"/>
    <x v="6"/>
    <n v="322.5"/>
    <n v="10621"/>
  </r>
  <r>
    <x v="155"/>
    <x v="0"/>
    <x v="0"/>
    <x v="1"/>
    <n v="380"/>
    <n v="10622"/>
  </r>
  <r>
    <x v="155"/>
    <x v="0"/>
    <x v="0"/>
    <x v="2"/>
    <n v="179.99999932944775"/>
    <n v="10622"/>
  </r>
  <r>
    <x v="156"/>
    <x v="2"/>
    <x v="0"/>
    <x v="7"/>
    <n v="488.25"/>
    <n v="10623"/>
  </r>
  <r>
    <x v="156"/>
    <x v="2"/>
    <x v="0"/>
    <x v="2"/>
    <n v="124.19999979436398"/>
    <n v="10623"/>
  </r>
  <r>
    <x v="156"/>
    <x v="2"/>
    <x v="0"/>
    <x v="2"/>
    <n v="224.99999962747097"/>
    <n v="10623"/>
  </r>
  <r>
    <x v="156"/>
    <x v="2"/>
    <x v="0"/>
    <x v="1"/>
    <n v="13.5"/>
    <n v="10623"/>
  </r>
  <r>
    <x v="156"/>
    <x v="2"/>
    <x v="0"/>
    <x v="1"/>
    <n v="485.9999991953373"/>
    <n v="10623"/>
  </r>
  <r>
    <x v="156"/>
    <x v="2"/>
    <x v="3"/>
    <x v="7"/>
    <n v="456"/>
    <n v="10624"/>
  </r>
  <r>
    <x v="156"/>
    <x v="2"/>
    <x v="3"/>
    <x v="0"/>
    <n v="742.74"/>
    <n v="10624"/>
  </r>
  <r>
    <x v="156"/>
    <x v="2"/>
    <x v="3"/>
    <x v="5"/>
    <n v="194.5"/>
    <n v="10624"/>
  </r>
  <r>
    <x v="157"/>
    <x v="1"/>
    <x v="0"/>
    <x v="7"/>
    <n v="69.75"/>
    <n v="10625"/>
  </r>
  <r>
    <x v="157"/>
    <x v="1"/>
    <x v="0"/>
    <x v="4"/>
    <n v="70"/>
    <n v="10625"/>
  </r>
  <r>
    <x v="157"/>
    <x v="1"/>
    <x v="0"/>
    <x v="6"/>
    <n v="340"/>
    <n v="10625"/>
  </r>
  <r>
    <x v="158"/>
    <x v="2"/>
    <x v="1"/>
    <x v="0"/>
    <n v="393.6"/>
    <n v="10626"/>
  </r>
  <r>
    <x v="158"/>
    <x v="2"/>
    <x v="1"/>
    <x v="6"/>
    <n v="680"/>
    <n v="10626"/>
  </r>
  <r>
    <x v="158"/>
    <x v="2"/>
    <x v="1"/>
    <x v="6"/>
    <n v="430"/>
    <n v="10626"/>
  </r>
  <r>
    <x v="158"/>
    <x v="0"/>
    <x v="3"/>
    <x v="2"/>
    <n v="739.5"/>
    <n v="10627"/>
  </r>
  <r>
    <x v="158"/>
    <x v="0"/>
    <x v="3"/>
    <x v="3"/>
    <n v="446.24999687075615"/>
    <n v="10627"/>
  </r>
  <r>
    <x v="159"/>
    <x v="0"/>
    <x v="4"/>
    <x v="1"/>
    <n v="450"/>
    <n v="10628"/>
  </r>
  <r>
    <x v="159"/>
    <x v="0"/>
    <x v="0"/>
    <x v="0"/>
    <n v="2475.8000000000002"/>
    <n v="10629"/>
  </r>
  <r>
    <x v="159"/>
    <x v="0"/>
    <x v="0"/>
    <x v="4"/>
    <n v="299.25"/>
    <n v="10629"/>
  </r>
  <r>
    <x v="160"/>
    <x v="2"/>
    <x v="3"/>
    <x v="0"/>
    <n v="273.59999978542328"/>
    <n v="10630"/>
  </r>
  <r>
    <x v="160"/>
    <x v="2"/>
    <x v="3"/>
    <x v="1"/>
    <n v="630"/>
    <n v="10630"/>
  </r>
  <r>
    <x v="161"/>
    <x v="1"/>
    <x v="0"/>
    <x v="1"/>
    <n v="55.799999907612801"/>
    <n v="10631"/>
  </r>
  <r>
    <x v="161"/>
    <x v="1"/>
    <x v="0"/>
    <x v="1"/>
    <n v="541.49999957531691"/>
    <n v="10632"/>
  </r>
  <r>
    <x v="161"/>
    <x v="1"/>
    <x v="0"/>
    <x v="6"/>
    <n v="47.499999962747097"/>
    <n v="10632"/>
  </r>
  <r>
    <x v="162"/>
    <x v="0"/>
    <x v="2"/>
    <x v="6"/>
    <n v="1162.7999918460846"/>
    <n v="10633"/>
  </r>
  <r>
    <x v="162"/>
    <x v="0"/>
    <x v="2"/>
    <x v="3"/>
    <n v="66.299999535083771"/>
    <n v="10633"/>
  </r>
  <r>
    <x v="162"/>
    <x v="0"/>
    <x v="2"/>
    <x v="2"/>
    <n v="929.09249348491426"/>
    <n v="10633"/>
  </r>
  <r>
    <x v="162"/>
    <x v="0"/>
    <x v="2"/>
    <x v="2"/>
    <n v="3352.3999764919281"/>
    <n v="10633"/>
  </r>
  <r>
    <x v="162"/>
    <x v="0"/>
    <x v="0"/>
    <x v="7"/>
    <n v="1050"/>
    <n v="10634"/>
  </r>
  <r>
    <x v="162"/>
    <x v="0"/>
    <x v="0"/>
    <x v="3"/>
    <n v="3125"/>
    <n v="10634"/>
  </r>
  <r>
    <x v="162"/>
    <x v="0"/>
    <x v="0"/>
    <x v="7"/>
    <n v="795"/>
    <n v="10634"/>
  </r>
  <r>
    <x v="162"/>
    <x v="0"/>
    <x v="0"/>
    <x v="1"/>
    <n v="15.5"/>
    <n v="10634"/>
  </r>
  <r>
    <x v="163"/>
    <x v="0"/>
    <x v="2"/>
    <x v="5"/>
    <n v="197.99999967217445"/>
    <n v="10635"/>
  </r>
  <r>
    <x v="163"/>
    <x v="0"/>
    <x v="2"/>
    <x v="5"/>
    <n v="288.22499952279031"/>
    <n v="10635"/>
  </r>
  <r>
    <x v="163"/>
    <x v="0"/>
    <x v="2"/>
    <x v="4"/>
    <n v="840"/>
    <n v="10635"/>
  </r>
  <r>
    <x v="164"/>
    <x v="1"/>
    <x v="0"/>
    <x v="5"/>
    <n v="550"/>
    <n v="10636"/>
  </r>
  <r>
    <x v="164"/>
    <x v="1"/>
    <x v="0"/>
    <x v="3"/>
    <n v="79.5"/>
    <n v="10636"/>
  </r>
  <r>
    <x v="164"/>
    <x v="1"/>
    <x v="0"/>
    <x v="6"/>
    <n v="210"/>
    <n v="10637"/>
  </r>
  <r>
    <x v="164"/>
    <x v="1"/>
    <x v="0"/>
    <x v="2"/>
    <n v="385.93749969732016"/>
    <n v="10637"/>
  </r>
  <r>
    <x v="164"/>
    <x v="1"/>
    <x v="0"/>
    <x v="4"/>
    <n v="2165.9999983012676"/>
    <n v="10637"/>
  </r>
  <r>
    <x v="165"/>
    <x v="1"/>
    <x v="2"/>
    <x v="3"/>
    <n v="190"/>
    <n v="10638"/>
  </r>
  <r>
    <x v="165"/>
    <x v="1"/>
    <x v="2"/>
    <x v="5"/>
    <n v="442.05"/>
    <n v="10638"/>
  </r>
  <r>
    <x v="165"/>
    <x v="1"/>
    <x v="2"/>
    <x v="6"/>
    <n v="2088"/>
    <n v="10638"/>
  </r>
  <r>
    <x v="165"/>
    <x v="0"/>
    <x v="3"/>
    <x v="3"/>
    <n v="500"/>
    <n v="10639"/>
  </r>
  <r>
    <x v="166"/>
    <x v="1"/>
    <x v="0"/>
    <x v="6"/>
    <n v="540"/>
    <n v="10640"/>
  </r>
  <r>
    <x v="166"/>
    <x v="1"/>
    <x v="0"/>
    <x v="1"/>
    <n v="168.75"/>
    <n v="10640"/>
  </r>
  <r>
    <x v="167"/>
    <x v="2"/>
    <x v="2"/>
    <x v="1"/>
    <n v="950"/>
    <n v="10641"/>
  </r>
  <r>
    <x v="167"/>
    <x v="2"/>
    <x v="2"/>
    <x v="3"/>
    <n v="1104"/>
    <n v="10641"/>
  </r>
  <r>
    <x v="167"/>
    <x v="0"/>
    <x v="0"/>
    <x v="2"/>
    <n v="239.99999910593033"/>
    <n v="10642"/>
  </r>
  <r>
    <x v="167"/>
    <x v="0"/>
    <x v="0"/>
    <x v="5"/>
    <n v="455.99999830126762"/>
    <n v="10642"/>
  </r>
  <r>
    <x v="168"/>
    <x v="1"/>
    <x v="5"/>
    <x v="7"/>
    <n v="513"/>
    <n v="10643"/>
  </r>
  <r>
    <x v="168"/>
    <x v="1"/>
    <x v="5"/>
    <x v="1"/>
    <n v="283.5"/>
    <n v="10643"/>
  </r>
  <r>
    <x v="168"/>
    <x v="1"/>
    <x v="5"/>
    <x v="3"/>
    <n v="18"/>
    <n v="10643"/>
  </r>
  <r>
    <x v="168"/>
    <x v="2"/>
    <x v="2"/>
    <x v="3"/>
    <n v="224.99999962747097"/>
    <n v="10644"/>
  </r>
  <r>
    <x v="168"/>
    <x v="2"/>
    <x v="2"/>
    <x v="1"/>
    <n v="920"/>
    <n v="10644"/>
  </r>
  <r>
    <x v="168"/>
    <x v="2"/>
    <x v="2"/>
    <x v="3"/>
    <n v="226.79999962449074"/>
    <n v="10644"/>
  </r>
  <r>
    <x v="169"/>
    <x v="1"/>
    <x v="1"/>
    <x v="3"/>
    <n v="1250"/>
    <n v="10645"/>
  </r>
  <r>
    <x v="169"/>
    <x v="1"/>
    <x v="1"/>
    <x v="3"/>
    <n v="285"/>
    <n v="10645"/>
  </r>
  <r>
    <x v="170"/>
    <x v="0"/>
    <x v="0"/>
    <x v="1"/>
    <n v="202.5"/>
    <n v="10646"/>
  </r>
  <r>
    <x v="170"/>
    <x v="0"/>
    <x v="0"/>
    <x v="3"/>
    <n v="418.5"/>
    <n v="10646"/>
  </r>
  <r>
    <x v="170"/>
    <x v="0"/>
    <x v="0"/>
    <x v="6"/>
    <n v="483.75"/>
    <n v="10646"/>
  </r>
  <r>
    <x v="170"/>
    <x v="0"/>
    <x v="0"/>
    <x v="5"/>
    <n v="341.25"/>
    <n v="10646"/>
  </r>
  <r>
    <x v="170"/>
    <x v="2"/>
    <x v="0"/>
    <x v="2"/>
    <n v="276"/>
    <n v="10647"/>
  </r>
  <r>
    <x v="170"/>
    <x v="2"/>
    <x v="0"/>
    <x v="1"/>
    <n v="360"/>
    <n v="10647"/>
  </r>
  <r>
    <x v="171"/>
    <x v="2"/>
    <x v="0"/>
    <x v="4"/>
    <n v="315"/>
    <n v="10648"/>
  </r>
  <r>
    <x v="171"/>
    <x v="2"/>
    <x v="0"/>
    <x v="1"/>
    <n v="57.374999597668648"/>
    <n v="10648"/>
  </r>
  <r>
    <x v="171"/>
    <x v="0"/>
    <x v="1"/>
    <x v="7"/>
    <n v="912"/>
    <n v="10649"/>
  </r>
  <r>
    <x v="171"/>
    <x v="0"/>
    <x v="1"/>
    <x v="6"/>
    <n v="522"/>
    <n v="10649"/>
  </r>
  <r>
    <x v="172"/>
    <x v="0"/>
    <x v="2"/>
    <x v="3"/>
    <n v="776.7"/>
    <n v="10650"/>
  </r>
  <r>
    <x v="172"/>
    <x v="0"/>
    <x v="2"/>
    <x v="0"/>
    <n v="778.99999938905239"/>
    <n v="10650"/>
  </r>
  <r>
    <x v="172"/>
    <x v="0"/>
    <x v="2"/>
    <x v="0"/>
    <n v="223.5"/>
    <n v="10650"/>
  </r>
  <r>
    <x v="173"/>
    <x v="2"/>
    <x v="0"/>
    <x v="2"/>
    <n v="82.800000000000011"/>
    <n v="10651"/>
  </r>
  <r>
    <x v="173"/>
    <x v="2"/>
    <x v="0"/>
    <x v="4"/>
    <n v="315"/>
    <n v="10651"/>
  </r>
  <r>
    <x v="173"/>
    <x v="2"/>
    <x v="1"/>
    <x v="3"/>
    <n v="38.835000000000001"/>
    <n v="10652"/>
  </r>
  <r>
    <x v="173"/>
    <x v="2"/>
    <x v="1"/>
    <x v="4"/>
    <n v="280"/>
    <n v="10652"/>
  </r>
  <r>
    <x v="174"/>
    <x v="1"/>
    <x v="0"/>
    <x v="2"/>
    <n v="471.14999921992421"/>
    <n v="10653"/>
  </r>
  <r>
    <x v="174"/>
    <x v="1"/>
    <x v="0"/>
    <x v="6"/>
    <n v="611.99999898672104"/>
    <n v="10653"/>
  </r>
  <r>
    <x v="174"/>
    <x v="1"/>
    <x v="1"/>
    <x v="5"/>
    <n v="237.59999960660934"/>
    <n v="10654"/>
  </r>
  <r>
    <x v="174"/>
    <x v="1"/>
    <x v="1"/>
    <x v="1"/>
    <n v="323.9999994635582"/>
    <n v="10654"/>
  </r>
  <r>
    <x v="174"/>
    <x v="1"/>
    <x v="1"/>
    <x v="0"/>
    <n v="40.229999933391809"/>
    <n v="10654"/>
  </r>
  <r>
    <x v="175"/>
    <x v="2"/>
    <x v="0"/>
    <x v="3"/>
    <n v="154.39999942481518"/>
    <n v="10655"/>
  </r>
  <r>
    <x v="176"/>
    <x v="1"/>
    <x v="0"/>
    <x v="7"/>
    <n v="62.774999896064401"/>
    <n v="10656"/>
  </r>
  <r>
    <x v="176"/>
    <x v="1"/>
    <x v="0"/>
    <x v="5"/>
    <n v="490.13999918848276"/>
    <n v="10656"/>
  </r>
  <r>
    <x v="176"/>
    <x v="1"/>
    <x v="0"/>
    <x v="2"/>
    <n v="51.299999915063381"/>
    <n v="10656"/>
  </r>
  <r>
    <x v="176"/>
    <x v="2"/>
    <x v="3"/>
    <x v="5"/>
    <n v="775"/>
    <n v="10657"/>
  </r>
  <r>
    <x v="176"/>
    <x v="2"/>
    <x v="3"/>
    <x v="3"/>
    <n v="231.6"/>
    <n v="10657"/>
  </r>
  <r>
    <x v="176"/>
    <x v="2"/>
    <x v="3"/>
    <x v="3"/>
    <n v="540"/>
    <n v="10657"/>
  </r>
  <r>
    <x v="176"/>
    <x v="2"/>
    <x v="3"/>
    <x v="2"/>
    <n v="95"/>
    <n v="10657"/>
  </r>
  <r>
    <x v="176"/>
    <x v="2"/>
    <x v="3"/>
    <x v="4"/>
    <n v="1710"/>
    <n v="10657"/>
  </r>
  <r>
    <x v="176"/>
    <x v="2"/>
    <x v="3"/>
    <x v="6"/>
    <n v="1020"/>
    <n v="10657"/>
  </r>
  <r>
    <x v="177"/>
    <x v="1"/>
    <x v="0"/>
    <x v="2"/>
    <n v="600"/>
    <n v="10658"/>
  </r>
  <r>
    <x v="177"/>
    <x v="1"/>
    <x v="0"/>
    <x v="3"/>
    <n v="1223.5999990403652"/>
    <n v="10658"/>
  </r>
  <r>
    <x v="177"/>
    <x v="1"/>
    <x v="0"/>
    <x v="6"/>
    <n v="1776.4999986067414"/>
    <n v="10658"/>
  </r>
  <r>
    <x v="177"/>
    <x v="1"/>
    <x v="0"/>
    <x v="5"/>
    <n v="864.49999932199717"/>
    <n v="10658"/>
  </r>
  <r>
    <x v="177"/>
    <x v="2"/>
    <x v="0"/>
    <x v="6"/>
    <n v="237.49999981373549"/>
    <n v="10659"/>
  </r>
  <r>
    <x v="177"/>
    <x v="2"/>
    <x v="0"/>
    <x v="3"/>
    <n v="419.51999967098237"/>
    <n v="10659"/>
  </r>
  <r>
    <x v="177"/>
    <x v="2"/>
    <x v="0"/>
    <x v="1"/>
    <n v="569.99999955296516"/>
    <n v="10659"/>
  </r>
  <r>
    <x v="178"/>
    <x v="1"/>
    <x v="4"/>
    <x v="2"/>
    <n v="1701"/>
    <n v="10660"/>
  </r>
  <r>
    <x v="179"/>
    <x v="0"/>
    <x v="0"/>
    <x v="1"/>
    <n v="43.199999839067459"/>
    <n v="10661"/>
  </r>
  <r>
    <x v="179"/>
    <x v="0"/>
    <x v="0"/>
    <x v="3"/>
    <n v="519.39999806508422"/>
    <n v="10661"/>
  </r>
  <r>
    <x v="179"/>
    <x v="2"/>
    <x v="0"/>
    <x v="2"/>
    <n v="125"/>
    <n v="10662"/>
  </r>
  <r>
    <x v="180"/>
    <x v="2"/>
    <x v="3"/>
    <x v="3"/>
    <n v="524.39999958872795"/>
    <n v="10663"/>
  </r>
  <r>
    <x v="180"/>
    <x v="2"/>
    <x v="3"/>
    <x v="4"/>
    <n v="398.99999968707561"/>
    <n v="10663"/>
  </r>
  <r>
    <x v="180"/>
    <x v="2"/>
    <x v="3"/>
    <x v="7"/>
    <n v="1006.9999992102385"/>
    <n v="10663"/>
  </r>
  <r>
    <x v="180"/>
    <x v="0"/>
    <x v="1"/>
    <x v="3"/>
    <n v="632.39999556541443"/>
    <n v="10664"/>
  </r>
  <r>
    <x v="180"/>
    <x v="0"/>
    <x v="1"/>
    <x v="4"/>
    <n v="387.5999972820282"/>
    <n v="10664"/>
  </r>
  <r>
    <x v="180"/>
    <x v="0"/>
    <x v="1"/>
    <x v="5"/>
    <n v="268.38749811798334"/>
    <n v="10664"/>
  </r>
  <r>
    <x v="181"/>
    <x v="2"/>
    <x v="0"/>
    <x v="7"/>
    <n v="1060"/>
    <n v="10665"/>
  </r>
  <r>
    <x v="181"/>
    <x v="2"/>
    <x v="0"/>
    <x v="6"/>
    <n v="55"/>
    <n v="10665"/>
  </r>
  <r>
    <x v="181"/>
    <x v="2"/>
    <x v="0"/>
    <x v="1"/>
    <n v="180"/>
    <n v="10665"/>
  </r>
  <r>
    <x v="182"/>
    <x v="2"/>
    <x v="1"/>
    <x v="0"/>
    <n v="4456.4399999999996"/>
    <n v="10666"/>
  </r>
  <r>
    <x v="182"/>
    <x v="2"/>
    <x v="1"/>
    <x v="5"/>
    <n v="210.5"/>
    <n v="10666"/>
  </r>
  <r>
    <x v="182"/>
    <x v="1"/>
    <x v="2"/>
    <x v="6"/>
    <n v="1295.9999951720238"/>
    <n v="10667"/>
  </r>
  <r>
    <x v="182"/>
    <x v="1"/>
    <x v="2"/>
    <x v="6"/>
    <n v="240.7999991029501"/>
    <n v="10667"/>
  </r>
  <r>
    <x v="183"/>
    <x v="2"/>
    <x v="0"/>
    <x v="6"/>
    <n v="89.999999850988388"/>
    <n v="10668"/>
  </r>
  <r>
    <x v="183"/>
    <x v="2"/>
    <x v="0"/>
    <x v="0"/>
    <n v="86.399999856948853"/>
    <n v="10668"/>
  </r>
  <r>
    <x v="183"/>
    <x v="2"/>
    <x v="0"/>
    <x v="4"/>
    <n v="448.87499925680459"/>
    <n v="10668"/>
  </r>
  <r>
    <x v="183"/>
    <x v="1"/>
    <x v="0"/>
    <x v="3"/>
    <n v="570"/>
    <n v="10669"/>
  </r>
  <r>
    <x v="184"/>
    <x v="1"/>
    <x v="0"/>
    <x v="4"/>
    <n v="288"/>
    <n v="10670"/>
  </r>
  <r>
    <x v="184"/>
    <x v="1"/>
    <x v="0"/>
    <x v="3"/>
    <n v="720"/>
    <n v="10670"/>
  </r>
  <r>
    <x v="184"/>
    <x v="1"/>
    <x v="0"/>
    <x v="1"/>
    <n v="350"/>
    <n v="10670"/>
  </r>
  <r>
    <x v="184"/>
    <x v="1"/>
    <x v="0"/>
    <x v="3"/>
    <n v="750"/>
    <n v="10670"/>
  </r>
  <r>
    <x v="184"/>
    <x v="1"/>
    <x v="0"/>
    <x v="1"/>
    <n v="193.75"/>
    <n v="10670"/>
  </r>
  <r>
    <x v="185"/>
    <x v="1"/>
    <x v="1"/>
    <x v="2"/>
    <n v="174.5"/>
    <n v="10671"/>
  </r>
  <r>
    <x v="185"/>
    <x v="1"/>
    <x v="1"/>
    <x v="2"/>
    <n v="493"/>
    <n v="10671"/>
  </r>
  <r>
    <x v="185"/>
    <x v="1"/>
    <x v="1"/>
    <x v="5"/>
    <n v="252.6"/>
    <n v="10671"/>
  </r>
  <r>
    <x v="185"/>
    <x v="2"/>
    <x v="1"/>
    <x v="1"/>
    <n v="3557.249994110316"/>
    <n v="10672"/>
  </r>
  <r>
    <x v="185"/>
    <x v="2"/>
    <x v="1"/>
    <x v="6"/>
    <n v="258"/>
    <n v="10672"/>
  </r>
  <r>
    <x v="186"/>
    <x v="1"/>
    <x v="0"/>
    <x v="2"/>
    <n v="52.35"/>
    <n v="10673"/>
  </r>
  <r>
    <x v="186"/>
    <x v="1"/>
    <x v="0"/>
    <x v="4"/>
    <n v="84"/>
    <n v="10673"/>
  </r>
  <r>
    <x v="186"/>
    <x v="1"/>
    <x v="0"/>
    <x v="1"/>
    <n v="276"/>
    <n v="10673"/>
  </r>
  <r>
    <x v="186"/>
    <x v="2"/>
    <x v="5"/>
    <x v="4"/>
    <n v="45"/>
    <n v="10674"/>
  </r>
  <r>
    <x v="187"/>
    <x v="2"/>
    <x v="0"/>
    <x v="7"/>
    <n v="697.5"/>
    <n v="10675"/>
  </r>
  <r>
    <x v="187"/>
    <x v="2"/>
    <x v="0"/>
    <x v="0"/>
    <n v="328"/>
    <n v="10675"/>
  </r>
  <r>
    <x v="187"/>
    <x v="2"/>
    <x v="0"/>
    <x v="3"/>
    <n v="397.5"/>
    <n v="10675"/>
  </r>
  <r>
    <x v="188"/>
    <x v="2"/>
    <x v="0"/>
    <x v="3"/>
    <n v="62"/>
    <n v="10676"/>
  </r>
  <r>
    <x v="188"/>
    <x v="2"/>
    <x v="0"/>
    <x v="2"/>
    <n v="64.400000000000006"/>
    <n v="10676"/>
  </r>
  <r>
    <x v="188"/>
    <x v="2"/>
    <x v="0"/>
    <x v="5"/>
    <n v="408.45"/>
    <n v="10676"/>
  </r>
  <r>
    <x v="188"/>
    <x v="0"/>
    <x v="0"/>
    <x v="2"/>
    <n v="796.36499441564081"/>
    <n v="10677"/>
  </r>
  <r>
    <x v="188"/>
    <x v="0"/>
    <x v="0"/>
    <x v="6"/>
    <n v="16.99999988079071"/>
    <n v="10677"/>
  </r>
  <r>
    <x v="189"/>
    <x v="0"/>
    <x v="3"/>
    <x v="6"/>
    <n v="3800"/>
    <n v="10678"/>
  </r>
  <r>
    <x v="189"/>
    <x v="0"/>
    <x v="3"/>
    <x v="6"/>
    <n v="75"/>
    <n v="10678"/>
  </r>
  <r>
    <x v="189"/>
    <x v="0"/>
    <x v="3"/>
    <x v="3"/>
    <n v="1158"/>
    <n v="10678"/>
  </r>
  <r>
    <x v="189"/>
    <x v="0"/>
    <x v="3"/>
    <x v="0"/>
    <n v="223.5"/>
    <n v="10678"/>
  </r>
  <r>
    <x v="189"/>
    <x v="0"/>
    <x v="4"/>
    <x v="6"/>
    <n v="660"/>
    <n v="10679"/>
  </r>
  <r>
    <x v="190"/>
    <x v="1"/>
    <x v="1"/>
    <x v="2"/>
    <n v="654.375"/>
    <n v="10680"/>
  </r>
  <r>
    <x v="190"/>
    <x v="1"/>
    <x v="1"/>
    <x v="6"/>
    <n v="187.5"/>
    <n v="10680"/>
  </r>
  <r>
    <x v="190"/>
    <x v="1"/>
    <x v="1"/>
    <x v="4"/>
    <n v="420"/>
    <n v="10680"/>
  </r>
  <r>
    <x v="191"/>
    <x v="0"/>
    <x v="0"/>
    <x v="2"/>
    <n v="248.39999958872795"/>
    <n v="10681"/>
  </r>
  <r>
    <x v="191"/>
    <x v="0"/>
    <x v="0"/>
    <x v="2"/>
    <n v="107.99999982118607"/>
    <n v="10681"/>
  </r>
  <r>
    <x v="191"/>
    <x v="0"/>
    <x v="0"/>
    <x v="4"/>
    <n v="931"/>
    <n v="10681"/>
  </r>
  <r>
    <x v="191"/>
    <x v="2"/>
    <x v="0"/>
    <x v="6"/>
    <n v="75"/>
    <n v="10682"/>
  </r>
  <r>
    <x v="191"/>
    <x v="2"/>
    <x v="0"/>
    <x v="5"/>
    <n v="68"/>
    <n v="10682"/>
  </r>
  <r>
    <x v="191"/>
    <x v="2"/>
    <x v="0"/>
    <x v="1"/>
    <n v="232.5"/>
    <n v="10682"/>
  </r>
  <r>
    <x v="192"/>
    <x v="1"/>
    <x v="1"/>
    <x v="4"/>
    <n v="63"/>
    <n v="10683"/>
  </r>
  <r>
    <x v="192"/>
    <x v="1"/>
    <x v="2"/>
    <x v="3"/>
    <n v="368"/>
    <n v="10684"/>
  </r>
  <r>
    <x v="192"/>
    <x v="1"/>
    <x v="2"/>
    <x v="2"/>
    <n v="380"/>
    <n v="10684"/>
  </r>
  <r>
    <x v="192"/>
    <x v="1"/>
    <x v="2"/>
    <x v="6"/>
    <n v="1020"/>
    <n v="10684"/>
  </r>
  <r>
    <x v="193"/>
    <x v="2"/>
    <x v="1"/>
    <x v="3"/>
    <n v="620"/>
    <n v="10685"/>
  </r>
  <r>
    <x v="193"/>
    <x v="2"/>
    <x v="1"/>
    <x v="3"/>
    <n v="38.6"/>
    <n v="10685"/>
  </r>
  <r>
    <x v="193"/>
    <x v="2"/>
    <x v="1"/>
    <x v="2"/>
    <n v="142.5"/>
    <n v="10685"/>
  </r>
  <r>
    <x v="194"/>
    <x v="1"/>
    <x v="1"/>
    <x v="0"/>
    <n v="935.99999651312828"/>
    <n v="10686"/>
  </r>
  <r>
    <x v="194"/>
    <x v="1"/>
    <x v="1"/>
    <x v="2"/>
    <n v="468.45"/>
    <n v="10686"/>
  </r>
  <r>
    <x v="194"/>
    <x v="2"/>
    <x v="0"/>
    <x v="0"/>
    <n v="3637.5"/>
    <n v="10687"/>
  </r>
  <r>
    <x v="194"/>
    <x v="2"/>
    <x v="0"/>
    <x v="0"/>
    <n v="1237.9000000000001"/>
    <n v="10687"/>
  </r>
  <r>
    <x v="194"/>
    <x v="2"/>
    <x v="0"/>
    <x v="3"/>
    <n v="85.5"/>
    <n v="10687"/>
  </r>
  <r>
    <x v="195"/>
    <x v="2"/>
    <x v="2"/>
    <x v="3"/>
    <n v="502.19999916851521"/>
    <n v="10688"/>
  </r>
  <r>
    <x v="195"/>
    <x v="2"/>
    <x v="2"/>
    <x v="7"/>
    <n v="2462.3999959230423"/>
    <n v="10688"/>
  </r>
  <r>
    <x v="195"/>
    <x v="2"/>
    <x v="2"/>
    <x v="1"/>
    <n v="196"/>
    <n v="10688"/>
  </r>
  <r>
    <x v="195"/>
    <x v="2"/>
    <x v="1"/>
    <x v="1"/>
    <n v="472.5"/>
    <n v="10689"/>
  </r>
  <r>
    <x v="196"/>
    <x v="1"/>
    <x v="1"/>
    <x v="4"/>
    <n v="570"/>
    <n v="10690"/>
  </r>
  <r>
    <x v="196"/>
    <x v="1"/>
    <x v="1"/>
    <x v="5"/>
    <n v="292.5"/>
    <n v="10690"/>
  </r>
  <r>
    <x v="197"/>
    <x v="2"/>
    <x v="0"/>
    <x v="1"/>
    <n v="540"/>
    <n v="10691"/>
  </r>
  <r>
    <x v="197"/>
    <x v="2"/>
    <x v="0"/>
    <x v="0"/>
    <n v="4951.6000000000004"/>
    <n v="10691"/>
  </r>
  <r>
    <x v="197"/>
    <x v="2"/>
    <x v="0"/>
    <x v="1"/>
    <n v="1840"/>
    <n v="10691"/>
  </r>
  <r>
    <x v="197"/>
    <x v="2"/>
    <x v="0"/>
    <x v="5"/>
    <n v="466.8"/>
    <n v="10691"/>
  </r>
  <r>
    <x v="197"/>
    <x v="2"/>
    <x v="0"/>
    <x v="2"/>
    <n v="2366.4"/>
    <n v="10691"/>
  </r>
  <r>
    <x v="197"/>
    <x v="2"/>
    <x v="2"/>
    <x v="2"/>
    <n v="878"/>
    <n v="10692"/>
  </r>
  <r>
    <x v="198"/>
    <x v="0"/>
    <x v="1"/>
    <x v="0"/>
    <n v="582"/>
    <n v="10693"/>
  </r>
  <r>
    <x v="198"/>
    <x v="0"/>
    <x v="1"/>
    <x v="0"/>
    <n v="379.94999733567238"/>
    <n v="10693"/>
  </r>
  <r>
    <x v="198"/>
    <x v="0"/>
    <x v="1"/>
    <x v="6"/>
    <n v="917.99999356269836"/>
    <n v="10693"/>
  </r>
  <r>
    <x v="198"/>
    <x v="0"/>
    <x v="1"/>
    <x v="3"/>
    <n v="191.24999865889549"/>
    <n v="10693"/>
  </r>
  <r>
    <x v="198"/>
    <x v="0"/>
    <x v="0"/>
    <x v="7"/>
    <n v="2700"/>
    <n v="10694"/>
  </r>
  <r>
    <x v="198"/>
    <x v="0"/>
    <x v="0"/>
    <x v="6"/>
    <n v="1375"/>
    <n v="10694"/>
  </r>
  <r>
    <x v="198"/>
    <x v="0"/>
    <x v="0"/>
    <x v="1"/>
    <n v="750"/>
    <n v="10694"/>
  </r>
  <r>
    <x v="199"/>
    <x v="1"/>
    <x v="0"/>
    <x v="5"/>
    <n v="400"/>
    <n v="10695"/>
  </r>
  <r>
    <x v="199"/>
    <x v="1"/>
    <x v="0"/>
    <x v="6"/>
    <n v="152"/>
    <n v="10695"/>
  </r>
  <r>
    <x v="199"/>
    <x v="1"/>
    <x v="0"/>
    <x v="1"/>
    <n v="90"/>
    <n v="10695"/>
  </r>
  <r>
    <x v="200"/>
    <x v="0"/>
    <x v="1"/>
    <x v="0"/>
    <n v="780"/>
    <n v="10696"/>
  </r>
  <r>
    <x v="200"/>
    <x v="0"/>
    <x v="1"/>
    <x v="3"/>
    <n v="216"/>
    <n v="10696"/>
  </r>
  <r>
    <x v="200"/>
    <x v="1"/>
    <x v="2"/>
    <x v="2"/>
    <n v="48.300000000000004"/>
    <n v="10697"/>
  </r>
  <r>
    <x v="200"/>
    <x v="1"/>
    <x v="2"/>
    <x v="1"/>
    <n v="121.5"/>
    <n v="10697"/>
  </r>
  <r>
    <x v="200"/>
    <x v="1"/>
    <x v="2"/>
    <x v="3"/>
    <n v="298.125"/>
    <n v="10697"/>
  </r>
  <r>
    <x v="200"/>
    <x v="1"/>
    <x v="2"/>
    <x v="1"/>
    <n v="337.5"/>
    <n v="10697"/>
  </r>
  <r>
    <x v="201"/>
    <x v="1"/>
    <x v="2"/>
    <x v="6"/>
    <n v="315"/>
    <n v="10698"/>
  </r>
  <r>
    <x v="201"/>
    <x v="1"/>
    <x v="2"/>
    <x v="0"/>
    <n v="296.39999976754189"/>
    <n v="10698"/>
  </r>
  <r>
    <x v="201"/>
    <x v="1"/>
    <x v="2"/>
    <x v="0"/>
    <n v="1411.2059988932313"/>
    <n v="10698"/>
  </r>
  <r>
    <x v="201"/>
    <x v="1"/>
    <x v="2"/>
    <x v="5"/>
    <n v="1299.8374989805743"/>
    <n v="10698"/>
  </r>
  <r>
    <x v="201"/>
    <x v="1"/>
    <x v="2"/>
    <x v="1"/>
    <n v="113.99999991059303"/>
    <n v="10698"/>
  </r>
  <r>
    <x v="201"/>
    <x v="0"/>
    <x v="0"/>
    <x v="2"/>
    <n v="114"/>
    <n v="10699"/>
  </r>
  <r>
    <x v="202"/>
    <x v="1"/>
    <x v="3"/>
    <x v="1"/>
    <n v="71.999999731779099"/>
    <n v="10700"/>
  </r>
  <r>
    <x v="202"/>
    <x v="1"/>
    <x v="3"/>
    <x v="1"/>
    <n v="134.39999949932098"/>
    <n v="10700"/>
  </r>
  <r>
    <x v="202"/>
    <x v="1"/>
    <x v="3"/>
    <x v="2"/>
    <n v="399.99999850988388"/>
    <n v="10700"/>
  </r>
  <r>
    <x v="202"/>
    <x v="1"/>
    <x v="3"/>
    <x v="6"/>
    <n v="1031.9999961555004"/>
    <n v="10700"/>
  </r>
  <r>
    <x v="203"/>
    <x v="0"/>
    <x v="0"/>
    <x v="6"/>
    <n v="1963.4999862313271"/>
    <n v="10701"/>
  </r>
  <r>
    <x v="203"/>
    <x v="0"/>
    <x v="0"/>
    <x v="6"/>
    <n v="365.49999743700027"/>
    <n v="10701"/>
  </r>
  <r>
    <x v="203"/>
    <x v="0"/>
    <x v="0"/>
    <x v="1"/>
    <n v="535.49999624490738"/>
    <n v="10701"/>
  </r>
  <r>
    <x v="203"/>
    <x v="1"/>
    <x v="0"/>
    <x v="5"/>
    <n v="60"/>
    <n v="10702"/>
  </r>
  <r>
    <x v="203"/>
    <x v="1"/>
    <x v="0"/>
    <x v="1"/>
    <n v="270"/>
    <n v="10702"/>
  </r>
  <r>
    <x v="204"/>
    <x v="2"/>
    <x v="1"/>
    <x v="1"/>
    <n v="95"/>
    <n v="10703"/>
  </r>
  <r>
    <x v="204"/>
    <x v="2"/>
    <x v="1"/>
    <x v="6"/>
    <n v="1925"/>
    <n v="10703"/>
  </r>
  <r>
    <x v="204"/>
    <x v="2"/>
    <x v="1"/>
    <x v="3"/>
    <n v="525"/>
    <n v="10703"/>
  </r>
  <r>
    <x v="204"/>
    <x v="1"/>
    <x v="0"/>
    <x v="5"/>
    <n v="132"/>
    <n v="10704"/>
  </r>
  <r>
    <x v="204"/>
    <x v="1"/>
    <x v="0"/>
    <x v="1"/>
    <n v="157.5"/>
    <n v="10704"/>
  </r>
  <r>
    <x v="204"/>
    <x v="1"/>
    <x v="0"/>
    <x v="2"/>
    <n v="306"/>
    <n v="10704"/>
  </r>
  <r>
    <x v="205"/>
    <x v="2"/>
    <x v="2"/>
    <x v="6"/>
    <n v="250"/>
    <n v="10705"/>
  </r>
  <r>
    <x v="205"/>
    <x v="2"/>
    <x v="2"/>
    <x v="6"/>
    <n v="128"/>
    <n v="10705"/>
  </r>
  <r>
    <x v="206"/>
    <x v="0"/>
    <x v="1"/>
    <x v="2"/>
    <n v="349"/>
    <n v="10706"/>
  </r>
  <r>
    <x v="206"/>
    <x v="0"/>
    <x v="1"/>
    <x v="1"/>
    <n v="1104"/>
    <n v="10706"/>
  </r>
  <r>
    <x v="206"/>
    <x v="0"/>
    <x v="1"/>
    <x v="6"/>
    <n v="440"/>
    <n v="10706"/>
  </r>
  <r>
    <x v="206"/>
    <x v="0"/>
    <x v="2"/>
    <x v="0"/>
    <n v="504"/>
    <n v="10707"/>
  </r>
  <r>
    <x v="206"/>
    <x v="0"/>
    <x v="2"/>
    <x v="4"/>
    <n v="780"/>
    <n v="10707"/>
  </r>
  <r>
    <x v="206"/>
    <x v="0"/>
    <x v="2"/>
    <x v="1"/>
    <n v="356.99999749660492"/>
    <n v="10707"/>
  </r>
  <r>
    <x v="207"/>
    <x v="2"/>
    <x v="2"/>
    <x v="5"/>
    <n v="85.4"/>
    <n v="10708"/>
  </r>
  <r>
    <x v="207"/>
    <x v="2"/>
    <x v="2"/>
    <x v="3"/>
    <n v="95"/>
    <n v="10708"/>
  </r>
  <r>
    <x v="207"/>
    <x v="0"/>
    <x v="1"/>
    <x v="5"/>
    <n v="1600"/>
    <n v="10709"/>
  </r>
  <r>
    <x v="207"/>
    <x v="0"/>
    <x v="1"/>
    <x v="7"/>
    <n v="1484"/>
    <n v="10709"/>
  </r>
  <r>
    <x v="207"/>
    <x v="0"/>
    <x v="1"/>
    <x v="6"/>
    <n v="340"/>
    <n v="10709"/>
  </r>
  <r>
    <x v="208"/>
    <x v="1"/>
    <x v="1"/>
    <x v="2"/>
    <n v="46"/>
    <n v="10710"/>
  </r>
  <r>
    <x v="208"/>
    <x v="1"/>
    <x v="1"/>
    <x v="2"/>
    <n v="47.5"/>
    <n v="10710"/>
  </r>
  <r>
    <x v="209"/>
    <x v="2"/>
    <x v="3"/>
    <x v="2"/>
    <n v="110.4"/>
    <n v="10711"/>
  </r>
  <r>
    <x v="209"/>
    <x v="2"/>
    <x v="3"/>
    <x v="3"/>
    <n v="405.3"/>
    <n v="10711"/>
  </r>
  <r>
    <x v="209"/>
    <x v="2"/>
    <x v="3"/>
    <x v="0"/>
    <n v="3936"/>
    <n v="10711"/>
  </r>
  <r>
    <x v="209"/>
    <x v="1"/>
    <x v="0"/>
    <x v="0"/>
    <n v="93.47999992668629"/>
    <n v="10712"/>
  </r>
  <r>
    <x v="209"/>
    <x v="1"/>
    <x v="0"/>
    <x v="4"/>
    <n v="1140"/>
    <n v="10712"/>
  </r>
  <r>
    <x v="210"/>
    <x v="1"/>
    <x v="3"/>
    <x v="3"/>
    <n v="558"/>
    <n v="10713"/>
  </r>
  <r>
    <x v="210"/>
    <x v="1"/>
    <x v="3"/>
    <x v="2"/>
    <n v="936.9"/>
    <n v="10713"/>
  </r>
  <r>
    <x v="210"/>
    <x v="1"/>
    <x v="3"/>
    <x v="3"/>
    <n v="1045"/>
    <n v="10713"/>
  </r>
  <r>
    <x v="210"/>
    <x v="1"/>
    <x v="3"/>
    <x v="3"/>
    <n v="288"/>
    <n v="10713"/>
  </r>
  <r>
    <x v="210"/>
    <x v="0"/>
    <x v="3"/>
    <x v="1"/>
    <n v="427.5"/>
    <n v="10714"/>
  </r>
  <r>
    <x v="210"/>
    <x v="0"/>
    <x v="3"/>
    <x v="0"/>
    <n v="789.75"/>
    <n v="10714"/>
  </r>
  <r>
    <x v="210"/>
    <x v="0"/>
    <x v="3"/>
    <x v="2"/>
    <n v="356.25"/>
    <n v="10714"/>
  </r>
  <r>
    <x v="210"/>
    <x v="0"/>
    <x v="3"/>
    <x v="4"/>
    <n v="513"/>
    <n v="10714"/>
  </r>
  <r>
    <x v="210"/>
    <x v="0"/>
    <x v="3"/>
    <x v="3"/>
    <n v="119.25"/>
    <n v="10714"/>
  </r>
  <r>
    <x v="211"/>
    <x v="1"/>
    <x v="3"/>
    <x v="3"/>
    <n v="651"/>
    <n v="10715"/>
  </r>
  <r>
    <x v="211"/>
    <x v="1"/>
    <x v="3"/>
    <x v="6"/>
    <n v="645"/>
    <n v="10715"/>
  </r>
  <r>
    <x v="212"/>
    <x v="2"/>
    <x v="2"/>
    <x v="2"/>
    <n v="50"/>
    <n v="10716"/>
  </r>
  <r>
    <x v="212"/>
    <x v="2"/>
    <x v="2"/>
    <x v="7"/>
    <n v="371"/>
    <n v="10716"/>
  </r>
  <r>
    <x v="212"/>
    <x v="2"/>
    <x v="2"/>
    <x v="5"/>
    <n v="285"/>
    <n v="10716"/>
  </r>
  <r>
    <x v="212"/>
    <x v="2"/>
    <x v="0"/>
    <x v="2"/>
    <n v="303.99999976158142"/>
    <n v="10717"/>
  </r>
  <r>
    <x v="212"/>
    <x v="2"/>
    <x v="0"/>
    <x v="0"/>
    <n v="111.75"/>
    <n v="10717"/>
  </r>
  <r>
    <x v="212"/>
    <x v="2"/>
    <x v="0"/>
    <x v="6"/>
    <n v="854.99999932944775"/>
    <n v="10717"/>
  </r>
  <r>
    <x v="213"/>
    <x v="0"/>
    <x v="3"/>
    <x v="6"/>
    <n v="1368"/>
    <n v="10718"/>
  </r>
  <r>
    <x v="213"/>
    <x v="0"/>
    <x v="3"/>
    <x v="2"/>
    <n v="349"/>
    <n v="10718"/>
  </r>
  <r>
    <x v="213"/>
    <x v="0"/>
    <x v="3"/>
    <x v="3"/>
    <n v="760"/>
    <n v="10718"/>
  </r>
  <r>
    <x v="213"/>
    <x v="0"/>
    <x v="3"/>
    <x v="2"/>
    <n v="986"/>
    <n v="10718"/>
  </r>
  <r>
    <x v="213"/>
    <x v="2"/>
    <x v="2"/>
    <x v="3"/>
    <n v="562.5"/>
    <n v="10719"/>
  </r>
  <r>
    <x v="213"/>
    <x v="2"/>
    <x v="2"/>
    <x v="3"/>
    <n v="58.252499999999998"/>
    <n v="10719"/>
  </r>
  <r>
    <x v="213"/>
    <x v="2"/>
    <x v="2"/>
    <x v="0"/>
    <n v="223.5"/>
    <n v="10719"/>
  </r>
  <r>
    <x v="214"/>
    <x v="2"/>
    <x v="0"/>
    <x v="1"/>
    <n v="378"/>
    <n v="10720"/>
  </r>
  <r>
    <x v="214"/>
    <x v="2"/>
    <x v="0"/>
    <x v="6"/>
    <n v="172"/>
    <n v="10720"/>
  </r>
  <r>
    <x v="215"/>
    <x v="0"/>
    <x v="0"/>
    <x v="5"/>
    <n v="923.87499927543104"/>
    <n v="10721"/>
  </r>
  <r>
    <x v="215"/>
    <x v="1"/>
    <x v="3"/>
    <x v="1"/>
    <n v="57"/>
    <n v="10722"/>
  </r>
  <r>
    <x v="215"/>
    <x v="1"/>
    <x v="3"/>
    <x v="6"/>
    <n v="625"/>
    <n v="10722"/>
  </r>
  <r>
    <x v="215"/>
    <x v="1"/>
    <x v="3"/>
    <x v="2"/>
    <n v="562.5"/>
    <n v="10722"/>
  </r>
  <r>
    <x v="215"/>
    <x v="1"/>
    <x v="3"/>
    <x v="1"/>
    <n v="325.5"/>
    <n v="10722"/>
  </r>
  <r>
    <x v="216"/>
    <x v="1"/>
    <x v="1"/>
    <x v="2"/>
    <n v="468.45"/>
    <n v="10723"/>
  </r>
  <r>
    <x v="216"/>
    <x v="2"/>
    <x v="4"/>
    <x v="3"/>
    <n v="496"/>
    <n v="10724"/>
  </r>
  <r>
    <x v="216"/>
    <x v="2"/>
    <x v="4"/>
    <x v="5"/>
    <n v="142.5"/>
    <n v="10724"/>
  </r>
  <r>
    <x v="217"/>
    <x v="0"/>
    <x v="2"/>
    <x v="3"/>
    <n v="115.8"/>
    <n v="10725"/>
  </r>
  <r>
    <x v="217"/>
    <x v="0"/>
    <x v="2"/>
    <x v="4"/>
    <n v="28"/>
    <n v="10725"/>
  </r>
  <r>
    <x v="217"/>
    <x v="0"/>
    <x v="2"/>
    <x v="0"/>
    <n v="144"/>
    <n v="10725"/>
  </r>
  <r>
    <x v="218"/>
    <x v="1"/>
    <x v="0"/>
    <x v="5"/>
    <n v="550"/>
    <n v="10726"/>
  </r>
  <r>
    <x v="218"/>
    <x v="1"/>
    <x v="0"/>
    <x v="6"/>
    <n v="105"/>
    <n v="10726"/>
  </r>
  <r>
    <x v="218"/>
    <x v="1"/>
    <x v="0"/>
    <x v="0"/>
    <n v="740.99999941885471"/>
    <n v="10727"/>
  </r>
  <r>
    <x v="218"/>
    <x v="1"/>
    <x v="0"/>
    <x v="4"/>
    <n v="360.99999971687794"/>
    <n v="10727"/>
  </r>
  <r>
    <x v="218"/>
    <x v="1"/>
    <x v="0"/>
    <x v="6"/>
    <n v="522.49999959021807"/>
    <n v="10727"/>
  </r>
  <r>
    <x v="219"/>
    <x v="2"/>
    <x v="0"/>
    <x v="3"/>
    <n v="388.35"/>
    <n v="10728"/>
  </r>
  <r>
    <x v="219"/>
    <x v="2"/>
    <x v="0"/>
    <x v="3"/>
    <n v="110.4"/>
    <n v="10728"/>
  </r>
  <r>
    <x v="219"/>
    <x v="2"/>
    <x v="0"/>
    <x v="0"/>
    <n v="288"/>
    <n v="10728"/>
  </r>
  <r>
    <x v="219"/>
    <x v="2"/>
    <x v="0"/>
    <x v="6"/>
    <n v="510"/>
    <n v="10728"/>
  </r>
  <r>
    <x v="219"/>
    <x v="0"/>
    <x v="2"/>
    <x v="1"/>
    <n v="900"/>
    <n v="10729"/>
  </r>
  <r>
    <x v="219"/>
    <x v="0"/>
    <x v="2"/>
    <x v="2"/>
    <n v="300"/>
    <n v="10729"/>
  </r>
  <r>
    <x v="219"/>
    <x v="0"/>
    <x v="2"/>
    <x v="2"/>
    <n v="650"/>
    <n v="10729"/>
  </r>
  <r>
    <x v="220"/>
    <x v="1"/>
    <x v="3"/>
    <x v="2"/>
    <n v="248.66249980498105"/>
    <n v="10730"/>
  </r>
  <r>
    <x v="220"/>
    <x v="1"/>
    <x v="3"/>
    <x v="6"/>
    <n v="35.624999972060323"/>
    <n v="10730"/>
  </r>
  <r>
    <x v="220"/>
    <x v="1"/>
    <x v="3"/>
    <x v="5"/>
    <n v="199.97499984316528"/>
    <n v="10730"/>
  </r>
  <r>
    <x v="221"/>
    <x v="1"/>
    <x v="0"/>
    <x v="2"/>
    <n v="379.99999970197678"/>
    <n v="10731"/>
  </r>
  <r>
    <x v="221"/>
    <x v="1"/>
    <x v="0"/>
    <x v="7"/>
    <n v="1510.4999988153577"/>
    <n v="10731"/>
  </r>
  <r>
    <x v="221"/>
    <x v="1"/>
    <x v="3"/>
    <x v="1"/>
    <n v="360"/>
    <n v="10732"/>
  </r>
  <r>
    <x v="222"/>
    <x v="0"/>
    <x v="1"/>
    <x v="7"/>
    <n v="372"/>
    <n v="10733"/>
  </r>
  <r>
    <x v="222"/>
    <x v="0"/>
    <x v="1"/>
    <x v="7"/>
    <n v="912"/>
    <n v="10733"/>
  </r>
  <r>
    <x v="222"/>
    <x v="0"/>
    <x v="1"/>
    <x v="4"/>
    <n v="175"/>
    <n v="10733"/>
  </r>
  <r>
    <x v="222"/>
    <x v="0"/>
    <x v="1"/>
    <x v="5"/>
    <n v="750"/>
    <n v="10734"/>
  </r>
  <r>
    <x v="222"/>
    <x v="0"/>
    <x v="1"/>
    <x v="3"/>
    <n v="388.35"/>
    <n v="10734"/>
  </r>
  <r>
    <x v="222"/>
    <x v="0"/>
    <x v="1"/>
    <x v="1"/>
    <n v="360"/>
    <n v="10734"/>
  </r>
  <r>
    <x v="223"/>
    <x v="2"/>
    <x v="2"/>
    <x v="5"/>
    <n v="512.99999915063381"/>
    <n v="10735"/>
  </r>
  <r>
    <x v="223"/>
    <x v="2"/>
    <x v="2"/>
    <x v="5"/>
    <n v="23.399999961256981"/>
    <n v="10735"/>
  </r>
  <r>
    <x v="224"/>
    <x v="2"/>
    <x v="0"/>
    <x v="5"/>
    <n v="842"/>
    <n v="10736"/>
  </r>
  <r>
    <x v="224"/>
    <x v="2"/>
    <x v="0"/>
    <x v="1"/>
    <n v="155"/>
    <n v="10736"/>
  </r>
  <r>
    <x v="224"/>
    <x v="2"/>
    <x v="0"/>
    <x v="3"/>
    <n v="24"/>
    <n v="10737"/>
  </r>
  <r>
    <x v="224"/>
    <x v="2"/>
    <x v="0"/>
    <x v="3"/>
    <n v="115.8"/>
    <n v="10737"/>
  </r>
  <r>
    <x v="225"/>
    <x v="1"/>
    <x v="2"/>
    <x v="2"/>
    <n v="52.35"/>
    <n v="10738"/>
  </r>
  <r>
    <x v="225"/>
    <x v="0"/>
    <x v="0"/>
    <x v="3"/>
    <n v="114"/>
    <n v="10739"/>
  </r>
  <r>
    <x v="225"/>
    <x v="0"/>
    <x v="0"/>
    <x v="4"/>
    <n v="126"/>
    <n v="10739"/>
  </r>
  <r>
    <x v="226"/>
    <x v="2"/>
    <x v="1"/>
    <x v="7"/>
    <n v="182.39999932050705"/>
    <n v="10740"/>
  </r>
  <r>
    <x v="226"/>
    <x v="2"/>
    <x v="1"/>
    <x v="1"/>
    <n v="503.99999812245369"/>
    <n v="10740"/>
  </r>
  <r>
    <x v="226"/>
    <x v="2"/>
    <x v="1"/>
    <x v="3"/>
    <n v="303.99999886751175"/>
    <n v="10740"/>
  </r>
  <r>
    <x v="226"/>
    <x v="2"/>
    <x v="1"/>
    <x v="4"/>
    <n v="425.59999841451645"/>
    <n v="10740"/>
  </r>
  <r>
    <x v="227"/>
    <x v="0"/>
    <x v="2"/>
    <x v="1"/>
    <n v="227.99999915063381"/>
    <n v="10741"/>
  </r>
  <r>
    <x v="227"/>
    <x v="0"/>
    <x v="3"/>
    <x v="5"/>
    <n v="200"/>
    <n v="10742"/>
  </r>
  <r>
    <x v="227"/>
    <x v="0"/>
    <x v="3"/>
    <x v="6"/>
    <n v="1700"/>
    <n v="10742"/>
  </r>
  <r>
    <x v="227"/>
    <x v="0"/>
    <x v="3"/>
    <x v="6"/>
    <n v="1218"/>
    <n v="10742"/>
  </r>
  <r>
    <x v="228"/>
    <x v="2"/>
    <x v="2"/>
    <x v="3"/>
    <n v="319.19999974966049"/>
    <n v="10743"/>
  </r>
  <r>
    <x v="228"/>
    <x v="1"/>
    <x v="2"/>
    <x v="3"/>
    <n v="735.99999725818634"/>
    <n v="10744"/>
  </r>
  <r>
    <x v="229"/>
    <x v="1"/>
    <x v="0"/>
    <x v="3"/>
    <n v="1500"/>
    <n v="10745"/>
  </r>
  <r>
    <x v="229"/>
    <x v="1"/>
    <x v="0"/>
    <x v="5"/>
    <n v="311.2"/>
    <n v="10745"/>
  </r>
  <r>
    <x v="229"/>
    <x v="1"/>
    <x v="0"/>
    <x v="6"/>
    <n v="2475"/>
    <n v="10745"/>
  </r>
  <r>
    <x v="229"/>
    <x v="1"/>
    <x v="0"/>
    <x v="6"/>
    <n v="243.6"/>
    <n v="10745"/>
  </r>
  <r>
    <x v="230"/>
    <x v="0"/>
    <x v="0"/>
    <x v="3"/>
    <n v="36"/>
    <n v="10746"/>
  </r>
  <r>
    <x v="230"/>
    <x v="0"/>
    <x v="0"/>
    <x v="4"/>
    <n v="392"/>
    <n v="10746"/>
  </r>
  <r>
    <x v="230"/>
    <x v="0"/>
    <x v="0"/>
    <x v="2"/>
    <n v="443.7"/>
    <n v="10746"/>
  </r>
  <r>
    <x v="230"/>
    <x v="0"/>
    <x v="0"/>
    <x v="6"/>
    <n v="1440"/>
    <n v="10746"/>
  </r>
  <r>
    <x v="230"/>
    <x v="1"/>
    <x v="1"/>
    <x v="6"/>
    <n v="100"/>
    <n v="10747"/>
  </r>
  <r>
    <x v="230"/>
    <x v="1"/>
    <x v="1"/>
    <x v="3"/>
    <n v="337.75"/>
    <n v="10747"/>
  </r>
  <r>
    <x v="230"/>
    <x v="1"/>
    <x v="1"/>
    <x v="5"/>
    <n v="395.1"/>
    <n v="10747"/>
  </r>
  <r>
    <x v="230"/>
    <x v="1"/>
    <x v="1"/>
    <x v="6"/>
    <n v="1080"/>
    <n v="10747"/>
  </r>
  <r>
    <x v="231"/>
    <x v="1"/>
    <x v="3"/>
    <x v="4"/>
    <n v="396"/>
    <n v="10748"/>
  </r>
  <r>
    <x v="231"/>
    <x v="1"/>
    <x v="3"/>
    <x v="3"/>
    <n v="736"/>
    <n v="10748"/>
  </r>
  <r>
    <x v="231"/>
    <x v="1"/>
    <x v="3"/>
    <x v="4"/>
    <n v="1064"/>
    <n v="10748"/>
  </r>
  <r>
    <x v="231"/>
    <x v="2"/>
    <x v="5"/>
    <x v="4"/>
    <n v="570"/>
    <n v="10749"/>
  </r>
  <r>
    <x v="231"/>
    <x v="2"/>
    <x v="5"/>
    <x v="6"/>
    <n v="330"/>
    <n v="10749"/>
  </r>
  <r>
    <x v="231"/>
    <x v="2"/>
    <x v="5"/>
    <x v="1"/>
    <n v="180"/>
    <n v="10749"/>
  </r>
  <r>
    <x v="232"/>
    <x v="1"/>
    <x v="0"/>
    <x v="7"/>
    <n v="98.812499307096004"/>
    <n v="10750"/>
  </r>
  <r>
    <x v="232"/>
    <x v="1"/>
    <x v="0"/>
    <x v="3"/>
    <n v="322.9999977350235"/>
    <n v="10750"/>
  </r>
  <r>
    <x v="232"/>
    <x v="1"/>
    <x v="0"/>
    <x v="6"/>
    <n v="1168.7499918043613"/>
    <n v="10750"/>
  </r>
  <r>
    <x v="233"/>
    <x v="0"/>
    <x v="1"/>
    <x v="2"/>
    <n v="337.28399944156405"/>
    <n v="10751"/>
  </r>
  <r>
    <x v="233"/>
    <x v="0"/>
    <x v="1"/>
    <x v="3"/>
    <n v="776.7"/>
    <n v="10751"/>
  </r>
  <r>
    <x v="233"/>
    <x v="0"/>
    <x v="1"/>
    <x v="2"/>
    <n v="292.49999951571226"/>
    <n v="10751"/>
  </r>
  <r>
    <x v="233"/>
    <x v="0"/>
    <x v="1"/>
    <x v="3"/>
    <n v="225"/>
    <n v="10751"/>
  </r>
  <r>
    <x v="233"/>
    <x v="0"/>
    <x v="0"/>
    <x v="1"/>
    <n v="144"/>
    <n v="10752"/>
  </r>
  <r>
    <x v="233"/>
    <x v="0"/>
    <x v="0"/>
    <x v="6"/>
    <n v="108"/>
    <n v="10752"/>
  </r>
  <r>
    <x v="234"/>
    <x v="1"/>
    <x v="1"/>
    <x v="3"/>
    <n v="38"/>
    <n v="10753"/>
  </r>
  <r>
    <x v="234"/>
    <x v="1"/>
    <x v="1"/>
    <x v="7"/>
    <n v="50"/>
    <n v="10753"/>
  </r>
  <r>
    <x v="234"/>
    <x v="0"/>
    <x v="2"/>
    <x v="3"/>
    <n v="55.2"/>
    <n v="10754"/>
  </r>
  <r>
    <x v="235"/>
    <x v="2"/>
    <x v="3"/>
    <x v="2"/>
    <n v="213.75"/>
    <n v="10755"/>
  </r>
  <r>
    <x v="235"/>
    <x v="2"/>
    <x v="3"/>
    <x v="4"/>
    <n v="855"/>
    <n v="10755"/>
  </r>
  <r>
    <x v="235"/>
    <x v="2"/>
    <x v="3"/>
    <x v="4"/>
    <n v="204.75"/>
    <n v="10755"/>
  </r>
  <r>
    <x v="235"/>
    <x v="2"/>
    <x v="3"/>
    <x v="6"/>
    <n v="675"/>
    <n v="10755"/>
  </r>
  <r>
    <x v="236"/>
    <x v="2"/>
    <x v="2"/>
    <x v="3"/>
    <n v="1049.9999960884452"/>
    <n v="10756"/>
  </r>
  <r>
    <x v="236"/>
    <x v="2"/>
    <x v="2"/>
    <x v="3"/>
    <n v="303.99999886751175"/>
    <n v="10756"/>
  </r>
  <r>
    <x v="236"/>
    <x v="2"/>
    <x v="2"/>
    <x v="2"/>
    <n v="59.999999776482582"/>
    <n v="10756"/>
  </r>
  <r>
    <x v="236"/>
    <x v="2"/>
    <x v="2"/>
    <x v="6"/>
    <n v="575.99999785423279"/>
    <n v="10756"/>
  </r>
  <r>
    <x v="236"/>
    <x v="1"/>
    <x v="3"/>
    <x v="1"/>
    <n v="420"/>
    <n v="10757"/>
  </r>
  <r>
    <x v="236"/>
    <x v="1"/>
    <x v="3"/>
    <x v="6"/>
    <n v="385"/>
    <n v="10757"/>
  </r>
  <r>
    <x v="236"/>
    <x v="1"/>
    <x v="3"/>
    <x v="2"/>
    <n v="1479"/>
    <n v="10757"/>
  </r>
  <r>
    <x v="236"/>
    <x v="1"/>
    <x v="3"/>
    <x v="4"/>
    <n v="798"/>
    <n v="10757"/>
  </r>
  <r>
    <x v="237"/>
    <x v="0"/>
    <x v="1"/>
    <x v="2"/>
    <n v="624.6"/>
    <n v="10758"/>
  </r>
  <r>
    <x v="237"/>
    <x v="0"/>
    <x v="1"/>
    <x v="4"/>
    <n v="420"/>
    <n v="10758"/>
  </r>
  <r>
    <x v="237"/>
    <x v="0"/>
    <x v="1"/>
    <x v="1"/>
    <n v="600"/>
    <n v="10758"/>
  </r>
  <r>
    <x v="237"/>
    <x v="0"/>
    <x v="0"/>
    <x v="6"/>
    <n v="320"/>
    <n v="10759"/>
  </r>
  <r>
    <x v="238"/>
    <x v="1"/>
    <x v="1"/>
    <x v="2"/>
    <n v="126"/>
    <n v="10760"/>
  </r>
  <r>
    <x v="238"/>
    <x v="1"/>
    <x v="1"/>
    <x v="2"/>
    <n v="1756"/>
    <n v="10760"/>
  </r>
  <r>
    <x v="238"/>
    <x v="1"/>
    <x v="1"/>
    <x v="1"/>
    <n v="1035"/>
    <n v="10760"/>
  </r>
  <r>
    <x v="239"/>
    <x v="2"/>
    <x v="1"/>
    <x v="2"/>
    <n v="367.5"/>
    <n v="10761"/>
  </r>
  <r>
    <x v="239"/>
    <x v="2"/>
    <x v="1"/>
    <x v="1"/>
    <n v="139.5"/>
    <n v="10761"/>
  </r>
  <r>
    <x v="239"/>
    <x v="1"/>
    <x v="1"/>
    <x v="1"/>
    <n v="288"/>
    <n v="10762"/>
  </r>
  <r>
    <x v="239"/>
    <x v="1"/>
    <x v="1"/>
    <x v="2"/>
    <n v="285"/>
    <n v="10762"/>
  </r>
  <r>
    <x v="239"/>
    <x v="1"/>
    <x v="1"/>
    <x v="7"/>
    <n v="1484"/>
    <n v="10762"/>
  </r>
  <r>
    <x v="239"/>
    <x v="1"/>
    <x v="1"/>
    <x v="4"/>
    <n v="2280"/>
    <n v="10762"/>
  </r>
  <r>
    <x v="240"/>
    <x v="0"/>
    <x v="0"/>
    <x v="2"/>
    <n v="400"/>
    <n v="10763"/>
  </r>
  <r>
    <x v="240"/>
    <x v="0"/>
    <x v="0"/>
    <x v="4"/>
    <n v="126"/>
    <n v="10763"/>
  </r>
  <r>
    <x v="240"/>
    <x v="0"/>
    <x v="0"/>
    <x v="1"/>
    <n v="90"/>
    <n v="10763"/>
  </r>
  <r>
    <x v="240"/>
    <x v="0"/>
    <x v="2"/>
    <x v="5"/>
    <n v="179.99999970197678"/>
    <n v="10764"/>
  </r>
  <r>
    <x v="240"/>
    <x v="0"/>
    <x v="2"/>
    <x v="1"/>
    <n v="2105.9999965131283"/>
    <n v="10764"/>
  </r>
  <r>
    <x v="241"/>
    <x v="0"/>
    <x v="0"/>
    <x v="5"/>
    <n v="1515.5999974906445"/>
    <n v="10765"/>
  </r>
  <r>
    <x v="242"/>
    <x v="1"/>
    <x v="2"/>
    <x v="1"/>
    <n v="760"/>
    <n v="10766"/>
  </r>
  <r>
    <x v="242"/>
    <x v="1"/>
    <x v="2"/>
    <x v="7"/>
    <n v="1050"/>
    <n v="10766"/>
  </r>
  <r>
    <x v="242"/>
    <x v="1"/>
    <x v="2"/>
    <x v="2"/>
    <n v="500"/>
    <n v="10766"/>
  </r>
  <r>
    <x v="242"/>
    <x v="0"/>
    <x v="0"/>
    <x v="4"/>
    <n v="28"/>
    <n v="10767"/>
  </r>
  <r>
    <x v="243"/>
    <x v="2"/>
    <x v="2"/>
    <x v="4"/>
    <n v="84"/>
    <n v="10768"/>
  </r>
  <r>
    <x v="243"/>
    <x v="2"/>
    <x v="2"/>
    <x v="6"/>
    <n v="625"/>
    <n v="10768"/>
  </r>
  <r>
    <x v="243"/>
    <x v="2"/>
    <x v="2"/>
    <x v="6"/>
    <n v="510"/>
    <n v="10768"/>
  </r>
  <r>
    <x v="243"/>
    <x v="2"/>
    <x v="2"/>
    <x v="6"/>
    <n v="258"/>
    <n v="10768"/>
  </r>
  <r>
    <x v="243"/>
    <x v="1"/>
    <x v="2"/>
    <x v="3"/>
    <n v="275.02499978430569"/>
    <n v="10769"/>
  </r>
  <r>
    <x v="243"/>
    <x v="1"/>
    <x v="2"/>
    <x v="4"/>
    <n v="99.749999921768904"/>
    <n v="10769"/>
  </r>
  <r>
    <x v="243"/>
    <x v="1"/>
    <x v="2"/>
    <x v="5"/>
    <n v="570"/>
    <n v="10769"/>
  </r>
  <r>
    <x v="243"/>
    <x v="1"/>
    <x v="2"/>
    <x v="2"/>
    <n v="739.5"/>
    <n v="10769"/>
  </r>
  <r>
    <x v="244"/>
    <x v="0"/>
    <x v="1"/>
    <x v="6"/>
    <n v="236.25"/>
    <n v="10770"/>
  </r>
  <r>
    <x v="245"/>
    <x v="2"/>
    <x v="2"/>
    <x v="6"/>
    <n v="344"/>
    <n v="10771"/>
  </r>
  <r>
    <x v="245"/>
    <x v="2"/>
    <x v="1"/>
    <x v="0"/>
    <n v="2228.2199999999998"/>
    <n v="10772"/>
  </r>
  <r>
    <x v="245"/>
    <x v="2"/>
    <x v="1"/>
    <x v="6"/>
    <n v="1375"/>
    <n v="10772"/>
  </r>
  <r>
    <x v="246"/>
    <x v="0"/>
    <x v="2"/>
    <x v="0"/>
    <n v="1287"/>
    <n v="10773"/>
  </r>
  <r>
    <x v="246"/>
    <x v="0"/>
    <x v="2"/>
    <x v="6"/>
    <n v="699.99999739229679"/>
    <n v="10773"/>
  </r>
  <r>
    <x v="246"/>
    <x v="0"/>
    <x v="2"/>
    <x v="1"/>
    <n v="43.399999838322401"/>
    <n v="10773"/>
  </r>
  <r>
    <x v="246"/>
    <x v="1"/>
    <x v="1"/>
    <x v="6"/>
    <n v="18.75"/>
    <n v="10774"/>
  </r>
  <r>
    <x v="246"/>
    <x v="1"/>
    <x v="1"/>
    <x v="5"/>
    <n v="850"/>
    <n v="10774"/>
  </r>
  <r>
    <x v="247"/>
    <x v="1"/>
    <x v="3"/>
    <x v="3"/>
    <n v="186"/>
    <n v="10775"/>
  </r>
  <r>
    <x v="247"/>
    <x v="1"/>
    <x v="3"/>
    <x v="1"/>
    <n v="42"/>
    <n v="10775"/>
  </r>
  <r>
    <x v="248"/>
    <x v="0"/>
    <x v="2"/>
    <x v="6"/>
    <n v="189.99999985098839"/>
    <n v="10776"/>
  </r>
  <r>
    <x v="248"/>
    <x v="0"/>
    <x v="2"/>
    <x v="4"/>
    <n v="159.59999987483025"/>
    <n v="10776"/>
  </r>
  <r>
    <x v="248"/>
    <x v="0"/>
    <x v="2"/>
    <x v="3"/>
    <n v="243.67499980889261"/>
    <n v="10776"/>
  </r>
  <r>
    <x v="248"/>
    <x v="0"/>
    <x v="2"/>
    <x v="7"/>
    <n v="6041.9999952614307"/>
    <n v="10776"/>
  </r>
  <r>
    <x v="248"/>
    <x v="2"/>
    <x v="1"/>
    <x v="4"/>
    <n v="223.99999916553497"/>
    <n v="10777"/>
  </r>
  <r>
    <x v="249"/>
    <x v="1"/>
    <x v="1"/>
    <x v="3"/>
    <n v="96.5"/>
    <n v="10778"/>
  </r>
  <r>
    <x v="249"/>
    <x v="2"/>
    <x v="0"/>
    <x v="2"/>
    <n v="349"/>
    <n v="10779"/>
  </r>
  <r>
    <x v="249"/>
    <x v="2"/>
    <x v="0"/>
    <x v="2"/>
    <n v="986"/>
    <n v="10779"/>
  </r>
  <r>
    <x v="249"/>
    <x v="1"/>
    <x v="0"/>
    <x v="1"/>
    <n v="525"/>
    <n v="10780"/>
  </r>
  <r>
    <x v="249"/>
    <x v="1"/>
    <x v="0"/>
    <x v="5"/>
    <n v="195"/>
    <n v="10780"/>
  </r>
  <r>
    <x v="250"/>
    <x v="0"/>
    <x v="0"/>
    <x v="0"/>
    <n v="17.879999933391812"/>
    <n v="10781"/>
  </r>
  <r>
    <x v="250"/>
    <x v="0"/>
    <x v="0"/>
    <x v="4"/>
    <n v="607.9999977350235"/>
    <n v="10781"/>
  </r>
  <r>
    <x v="250"/>
    <x v="0"/>
    <x v="0"/>
    <x v="7"/>
    <n v="350"/>
    <n v="10781"/>
  </r>
  <r>
    <x v="250"/>
    <x v="0"/>
    <x v="4"/>
    <x v="6"/>
    <n v="12.5"/>
    <n v="10782"/>
  </r>
  <r>
    <x v="251"/>
    <x v="2"/>
    <x v="1"/>
    <x v="6"/>
    <n v="125"/>
    <n v="10783"/>
  </r>
  <r>
    <x v="251"/>
    <x v="2"/>
    <x v="1"/>
    <x v="1"/>
    <n v="1317.5"/>
    <n v="10783"/>
  </r>
  <r>
    <x v="251"/>
    <x v="0"/>
    <x v="2"/>
    <x v="3"/>
    <n v="570"/>
    <n v="10784"/>
  </r>
  <r>
    <x v="251"/>
    <x v="0"/>
    <x v="2"/>
    <x v="1"/>
    <n v="30.599999785423279"/>
    <n v="10784"/>
  </r>
  <r>
    <x v="251"/>
    <x v="0"/>
    <x v="2"/>
    <x v="6"/>
    <n v="887.39999377727509"/>
    <n v="10784"/>
  </r>
  <r>
    <x v="251"/>
    <x v="0"/>
    <x v="0"/>
    <x v="3"/>
    <n v="310"/>
    <n v="10785"/>
  </r>
  <r>
    <x v="251"/>
    <x v="0"/>
    <x v="0"/>
    <x v="1"/>
    <n v="77.5"/>
    <n v="10785"/>
  </r>
  <r>
    <x v="252"/>
    <x v="1"/>
    <x v="0"/>
    <x v="5"/>
    <n v="959.99999642372131"/>
    <n v="10786"/>
  </r>
  <r>
    <x v="252"/>
    <x v="1"/>
    <x v="0"/>
    <x v="3"/>
    <n v="310.67999884262684"/>
    <n v="10786"/>
  </r>
  <r>
    <x v="252"/>
    <x v="1"/>
    <x v="0"/>
    <x v="1"/>
    <n v="260.39999902993441"/>
    <n v="10786"/>
  </r>
  <r>
    <x v="252"/>
    <x v="1"/>
    <x v="0"/>
    <x v="1"/>
    <n v="270.74999978765845"/>
    <n v="10787"/>
  </r>
  <r>
    <x v="252"/>
    <x v="1"/>
    <x v="0"/>
    <x v="0"/>
    <n v="2352.0099981553853"/>
    <n v="10787"/>
  </r>
  <r>
    <x v="253"/>
    <x v="2"/>
    <x v="0"/>
    <x v="2"/>
    <n v="436.99999965727329"/>
    <n v="10788"/>
  </r>
  <r>
    <x v="253"/>
    <x v="2"/>
    <x v="0"/>
    <x v="1"/>
    <n v="294.499999769032"/>
    <n v="10788"/>
  </r>
  <r>
    <x v="253"/>
    <x v="2"/>
    <x v="0"/>
    <x v="3"/>
    <n v="1875"/>
    <n v="10789"/>
  </r>
  <r>
    <x v="253"/>
    <x v="2"/>
    <x v="0"/>
    <x v="1"/>
    <n v="270"/>
    <n v="10789"/>
  </r>
  <r>
    <x v="253"/>
    <x v="2"/>
    <x v="0"/>
    <x v="5"/>
    <n v="1317"/>
    <n v="10789"/>
  </r>
  <r>
    <x v="253"/>
    <x v="2"/>
    <x v="0"/>
    <x v="2"/>
    <n v="225"/>
    <n v="10789"/>
  </r>
  <r>
    <x v="253"/>
    <x v="1"/>
    <x v="1"/>
    <x v="7"/>
    <n v="76.499999463558197"/>
    <n v="10790"/>
  </r>
  <r>
    <x v="253"/>
    <x v="1"/>
    <x v="1"/>
    <x v="4"/>
    <n v="645.999995470047"/>
    <n v="10790"/>
  </r>
  <r>
    <x v="254"/>
    <x v="2"/>
    <x v="0"/>
    <x v="0"/>
    <n v="1646.4069987087696"/>
    <n v="10791"/>
  </r>
  <r>
    <x v="254"/>
    <x v="2"/>
    <x v="0"/>
    <x v="3"/>
    <n v="183.34999985620379"/>
    <n v="10791"/>
  </r>
  <r>
    <x v="254"/>
    <x v="0"/>
    <x v="0"/>
    <x v="1"/>
    <n v="190"/>
    <n v="10792"/>
  </r>
  <r>
    <x v="254"/>
    <x v="0"/>
    <x v="0"/>
    <x v="0"/>
    <n v="22.35"/>
    <n v="10792"/>
  </r>
  <r>
    <x v="254"/>
    <x v="0"/>
    <x v="0"/>
    <x v="2"/>
    <n v="187.5"/>
    <n v="10792"/>
  </r>
  <r>
    <x v="255"/>
    <x v="0"/>
    <x v="2"/>
    <x v="3"/>
    <n v="135.1"/>
    <n v="10793"/>
  </r>
  <r>
    <x v="255"/>
    <x v="0"/>
    <x v="2"/>
    <x v="4"/>
    <n v="56"/>
    <n v="10793"/>
  </r>
  <r>
    <x v="255"/>
    <x v="1"/>
    <x v="0"/>
    <x v="7"/>
    <n v="278.99999896064401"/>
    <n v="10794"/>
  </r>
  <r>
    <x v="255"/>
    <x v="1"/>
    <x v="0"/>
    <x v="0"/>
    <n v="35.759999866783623"/>
    <n v="10794"/>
  </r>
  <r>
    <x v="255"/>
    <x v="2"/>
    <x v="2"/>
    <x v="2"/>
    <n v="1134.25"/>
    <n v="10795"/>
  </r>
  <r>
    <x v="255"/>
    <x v="2"/>
    <x v="2"/>
    <x v="0"/>
    <n v="1023.75"/>
    <n v="10795"/>
  </r>
  <r>
    <x v="256"/>
    <x v="1"/>
    <x v="2"/>
    <x v="2"/>
    <n v="524.66399804547427"/>
    <n v="10796"/>
  </r>
  <r>
    <x v="256"/>
    <x v="1"/>
    <x v="2"/>
    <x v="5"/>
    <n v="194.5"/>
    <n v="10796"/>
  </r>
  <r>
    <x v="256"/>
    <x v="1"/>
    <x v="2"/>
    <x v="4"/>
    <n v="930.99999653175473"/>
    <n v="10796"/>
  </r>
  <r>
    <x v="256"/>
    <x v="1"/>
    <x v="2"/>
    <x v="6"/>
    <n v="691.19999742507935"/>
    <n v="10796"/>
  </r>
  <r>
    <x v="256"/>
    <x v="2"/>
    <x v="2"/>
    <x v="6"/>
    <n v="420"/>
    <n v="10797"/>
  </r>
  <r>
    <x v="257"/>
    <x v="1"/>
    <x v="5"/>
    <x v="2"/>
    <n v="98.6"/>
    <n v="10798"/>
  </r>
  <r>
    <x v="257"/>
    <x v="1"/>
    <x v="5"/>
    <x v="6"/>
    <n v="348"/>
    <n v="10798"/>
  </r>
  <r>
    <x v="257"/>
    <x v="0"/>
    <x v="3"/>
    <x v="3"/>
    <n v="101.99999928474426"/>
    <n v="10799"/>
  </r>
  <r>
    <x v="257"/>
    <x v="0"/>
    <x v="3"/>
    <x v="1"/>
    <n v="76.499999463558197"/>
    <n v="10799"/>
  </r>
  <r>
    <x v="257"/>
    <x v="0"/>
    <x v="3"/>
    <x v="6"/>
    <n v="1375"/>
    <n v="10799"/>
  </r>
  <r>
    <x v="257"/>
    <x v="0"/>
    <x v="0"/>
    <x v="6"/>
    <n v="944.99999843537807"/>
    <n v="10800"/>
  </r>
  <r>
    <x v="257"/>
    <x v="0"/>
    <x v="0"/>
    <x v="7"/>
    <n v="476.99999921023846"/>
    <n v="10800"/>
  </r>
  <r>
    <x v="257"/>
    <x v="0"/>
    <x v="0"/>
    <x v="0"/>
    <n v="46.934999922290444"/>
    <n v="10800"/>
  </r>
  <r>
    <x v="258"/>
    <x v="2"/>
    <x v="5"/>
    <x v="0"/>
    <n v="1170"/>
    <n v="10801"/>
  </r>
  <r>
    <x v="258"/>
    <x v="2"/>
    <x v="5"/>
    <x v="0"/>
    <n v="1856.8500000000001"/>
    <n v="10801"/>
  </r>
  <r>
    <x v="258"/>
    <x v="2"/>
    <x v="0"/>
    <x v="3"/>
    <n v="485.4375"/>
    <n v="10802"/>
  </r>
  <r>
    <x v="258"/>
    <x v="2"/>
    <x v="0"/>
    <x v="7"/>
    <n v="1192.5"/>
    <n v="10802"/>
  </r>
  <r>
    <x v="258"/>
    <x v="2"/>
    <x v="0"/>
    <x v="0"/>
    <n v="1080"/>
    <n v="10802"/>
  </r>
  <r>
    <x v="258"/>
    <x v="2"/>
    <x v="0"/>
    <x v="2"/>
    <n v="184.875"/>
    <n v="10802"/>
  </r>
  <r>
    <x v="259"/>
    <x v="1"/>
    <x v="2"/>
    <x v="2"/>
    <n v="209.75999983549119"/>
    <n v="10803"/>
  </r>
  <r>
    <x v="259"/>
    <x v="1"/>
    <x v="2"/>
    <x v="2"/>
    <n v="199.49999984353781"/>
    <n v="10803"/>
  </r>
  <r>
    <x v="259"/>
    <x v="1"/>
    <x v="2"/>
    <x v="6"/>
    <n v="783.7499993853271"/>
    <n v="10803"/>
  </r>
  <r>
    <x v="259"/>
    <x v="2"/>
    <x v="0"/>
    <x v="3"/>
    <n v="1116"/>
    <n v="10804"/>
  </r>
  <r>
    <x v="259"/>
    <x v="2"/>
    <x v="0"/>
    <x v="7"/>
    <n v="1094.4000000000001"/>
    <n v="10804"/>
  </r>
  <r>
    <x v="259"/>
    <x v="2"/>
    <x v="0"/>
    <x v="2"/>
    <n v="67.999999523162842"/>
    <n v="10804"/>
  </r>
  <r>
    <x v="259"/>
    <x v="0"/>
    <x v="2"/>
    <x v="1"/>
    <n v="140"/>
    <n v="10805"/>
  </r>
  <r>
    <x v="259"/>
    <x v="0"/>
    <x v="2"/>
    <x v="1"/>
    <n v="2635"/>
    <n v="10805"/>
  </r>
  <r>
    <x v="260"/>
    <x v="2"/>
    <x v="0"/>
    <x v="1"/>
    <n v="285"/>
    <n v="10806"/>
  </r>
  <r>
    <x v="260"/>
    <x v="2"/>
    <x v="0"/>
    <x v="5"/>
    <n v="42.1"/>
    <n v="10806"/>
  </r>
  <r>
    <x v="260"/>
    <x v="2"/>
    <x v="0"/>
    <x v="7"/>
    <n v="112.5"/>
    <n v="10806"/>
  </r>
  <r>
    <x v="260"/>
    <x v="1"/>
    <x v="1"/>
    <x v="3"/>
    <n v="18.399999999999999"/>
    <n v="108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pplyNumberFormats="0" applyBorderFormats="0" applyFontFormats="0" applyPatternFormats="0" applyAlignmentFormats="0" applyWidthHeightFormats="1" dataCaption="值" updatedVersion="5" minRefreshableVersion="3" useAutoFormatting="1" colGrandTotals="0" itemPrintTitles="1" createdVersion="5" indent="0" outline="1" outlineData="1" multipleFieldFilters="0" chartFormat="6">
  <location ref="I3:M13" firstHeaderRow="1" firstDataRow="3" firstDataCol="1" rowPageCount="1" colPageCount="1"/>
  <pivotFields count="7">
    <pivotField axis="axisRow" numFmtId="22" showAll="0" defaultSubtotal="0">
      <items count="6">
        <item sd="0" x="0"/>
        <item sd="0" x="1"/>
        <item sd="0" x="2"/>
        <item sd="0" x="3"/>
        <item x="4"/>
        <item sd="0" x="5"/>
      </items>
    </pivotField>
    <pivotField axis="axisRow" showAll="0" defaultSubtotal="0">
      <items count="3">
        <item x="1"/>
        <item x="0"/>
        <item x="2"/>
      </items>
    </pivotField>
    <pivotField showAll="0" defaultSubtotal="0">
      <items count="6">
        <item x="0"/>
        <item x="1"/>
        <item x="2"/>
        <item x="5"/>
        <item x="3"/>
        <item x="4"/>
      </items>
    </pivotField>
    <pivotField axis="axisPage" showAll="0" defaultSubtotal="0">
      <items count="8">
        <item x="2"/>
        <item x="4"/>
        <item x="3"/>
        <item x="6"/>
        <item x="0"/>
        <item x="7"/>
        <item x="5"/>
        <item x="1"/>
      </items>
    </pivotField>
    <pivotField dataField="1" showAll="0" defaultSubtotal="0"/>
    <pivotField dataField="1" showAll="0" defaultSubtotal="0"/>
    <pivotField name="经济区位" axis="axisCol" showAll="0" defaultSubtotal="0">
      <items count="2">
        <item n="东部沿海地区" x="0"/>
        <item n="中西部地区" x="1"/>
      </items>
    </pivotField>
  </pivotFields>
  <rowFields count="2">
    <field x="0"/>
    <field x="1"/>
  </rowFields>
  <rowItems count="8">
    <i>
      <x v="1"/>
    </i>
    <i>
      <x v="2"/>
    </i>
    <i>
      <x v="3"/>
    </i>
    <i>
      <x v="4"/>
    </i>
    <i r="1">
      <x/>
    </i>
    <i r="1">
      <x v="1"/>
    </i>
    <i r="1">
      <x v="2"/>
    </i>
    <i t="grand">
      <x/>
    </i>
  </rowItems>
  <colFields count="2">
    <field x="6"/>
    <field x="-2"/>
  </colFields>
  <colItems count="4">
    <i>
      <x/>
      <x/>
    </i>
    <i r="1" i="1">
      <x v="1"/>
    </i>
    <i>
      <x v="1"/>
      <x/>
    </i>
    <i r="1" i="1">
      <x v="1"/>
    </i>
  </colItems>
  <pageFields count="1">
    <pageField fld="3" item="3" hier="-1"/>
  </pageFields>
  <dataFields count="2">
    <dataField name="销售额总计值" fld="4" baseField="0" baseItem="0"/>
    <dataField name="承运订单数" fld="5" subtotal="count" baseField="0" baseItem="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查询来自 MS Access Database" connectionId="1" autoFormatId="16" applyNumberFormats="0" applyBorderFormats="0" applyFontFormats="0" applyPatternFormats="0" applyAlignmentFormats="0" applyWidthHeightFormats="0">
  <queryTableRefresh nextId="7">
    <queryTableFields count="6">
      <queryTableField id="1" name="订购日期" tableColumnId="1"/>
      <queryTableField id="2" name="公司名称" tableColumnId="2"/>
      <queryTableField id="3" name="地区" tableColumnId="3"/>
      <queryTableField id="4" name="类别名称" tableColumnId="4"/>
      <queryTableField id="5" name="Expr1004" tableColumnId="5"/>
      <queryTableField id="6" name="订单ID"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表_查询来自_MS_Access_Database" displayName="表_查询来自_MS_Access_Database" ref="A1:F1060" tableType="queryTable" totalsRowShown="0">
  <autoFilter ref="A1:F1060"/>
  <tableColumns count="6">
    <tableColumn id="1" uniqueName="1" name="订购日期" queryTableFieldId="1" dataDxfId="0"/>
    <tableColumn id="2" uniqueName="2" name="公司名称" queryTableFieldId="2"/>
    <tableColumn id="3" uniqueName="3" name="地区" queryTableFieldId="3"/>
    <tableColumn id="4" uniqueName="4" name="类别名称" queryTableFieldId="4"/>
    <tableColumn id="5" uniqueName="5" name="Expr1004" queryTableFieldId="5"/>
    <tableColumn id="6" uniqueName="6" name="订单ID" queryTableField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2.vml"/><Relationship Id="rId1" Type="http://schemas.openxmlformats.org/officeDocument/2006/relationships/drawing" Target="../drawings/drawing3.xml"/><Relationship Id="rId4" Type="http://schemas.openxmlformats.org/officeDocument/2006/relationships/image" Target="../media/image2.emf"/></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4.vml"/><Relationship Id="rId1" Type="http://schemas.openxmlformats.org/officeDocument/2006/relationships/drawing" Target="../drawings/drawing5.xml"/><Relationship Id="rId4" Type="http://schemas.openxmlformats.org/officeDocument/2006/relationships/ctrlProp" Target="../ctrlProps/ctrlProp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openxmlformats.org/officeDocument/2006/relationships/ctrlProp" Target="../ctrlProps/ctrlProp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60"/>
  <sheetViews>
    <sheetView topLeftCell="H4" workbookViewId="0">
      <selection activeCell="J23" sqref="J23"/>
    </sheetView>
  </sheetViews>
  <sheetFormatPr defaultColWidth="8.875" defaultRowHeight="13.5" x14ac:dyDescent="0.15"/>
  <cols>
    <col min="1" max="1" width="16.5" style="57" bestFit="1" customWidth="1"/>
    <col min="2" max="2" width="11.25" style="57" bestFit="1" customWidth="1"/>
    <col min="3" max="3" width="7.25" style="57" bestFit="1" customWidth="1"/>
    <col min="4" max="4" width="11.25" style="57" bestFit="1" customWidth="1"/>
    <col min="5" max="5" width="12.25" style="57" bestFit="1" customWidth="1"/>
    <col min="6" max="6" width="9.5" style="57" bestFit="1" customWidth="1"/>
    <col min="7" max="7" width="2.75" style="57" customWidth="1"/>
    <col min="8" max="8" width="5.125" style="57" customWidth="1"/>
    <col min="9" max="9" width="14.5" style="57" customWidth="1"/>
    <col min="10" max="10" width="13.25" style="57" customWidth="1"/>
    <col min="11" max="11" width="11.125" style="57" customWidth="1"/>
    <col min="12" max="12" width="13.25" style="57" customWidth="1"/>
    <col min="13" max="13" width="11.125" style="57" customWidth="1"/>
    <col min="14" max="14" width="21.375" style="57" customWidth="1"/>
    <col min="15" max="15" width="18.75" style="57" customWidth="1"/>
    <col min="16" max="16" width="5.125" style="57" customWidth="1"/>
    <col min="17" max="17" width="5.375" style="57" customWidth="1"/>
    <col min="18" max="16384" width="8.875" style="57"/>
  </cols>
  <sheetData>
    <row r="1" spans="1:13" x14ac:dyDescent="0.15">
      <c r="A1" s="57" t="s">
        <v>29</v>
      </c>
      <c r="B1" s="57" t="s">
        <v>69</v>
      </c>
      <c r="C1" s="57" t="s">
        <v>70</v>
      </c>
      <c r="D1" s="57" t="s">
        <v>30</v>
      </c>
      <c r="E1" s="57" t="s">
        <v>71</v>
      </c>
      <c r="F1" s="57" t="s">
        <v>72</v>
      </c>
      <c r="I1" s="57" t="s">
        <v>30</v>
      </c>
      <c r="J1" s="57" t="s">
        <v>73</v>
      </c>
    </row>
    <row r="2" spans="1:13" x14ac:dyDescent="0.15">
      <c r="A2" s="58">
        <v>35431</v>
      </c>
      <c r="B2" s="57" t="s">
        <v>74</v>
      </c>
      <c r="C2" s="57" t="s">
        <v>75</v>
      </c>
      <c r="D2" s="57" t="s">
        <v>33</v>
      </c>
      <c r="E2" s="57">
        <v>2079</v>
      </c>
      <c r="F2" s="57">
        <v>10400</v>
      </c>
    </row>
    <row r="3" spans="1:13" x14ac:dyDescent="0.15">
      <c r="A3" s="58">
        <v>35431</v>
      </c>
      <c r="B3" s="57" t="s">
        <v>74</v>
      </c>
      <c r="C3" s="57" t="s">
        <v>75</v>
      </c>
      <c r="D3" s="57" t="s">
        <v>42</v>
      </c>
      <c r="E3" s="57">
        <v>504</v>
      </c>
      <c r="F3" s="57">
        <v>10400</v>
      </c>
      <c r="J3" s="57" t="s">
        <v>76</v>
      </c>
    </row>
    <row r="4" spans="1:13" x14ac:dyDescent="0.15">
      <c r="A4" s="58">
        <v>35431</v>
      </c>
      <c r="B4" s="57" t="s">
        <v>74</v>
      </c>
      <c r="C4" s="57" t="s">
        <v>75</v>
      </c>
      <c r="D4" s="57" t="s">
        <v>77</v>
      </c>
      <c r="E4" s="57">
        <v>480</v>
      </c>
      <c r="F4" s="57">
        <v>10400</v>
      </c>
      <c r="J4" s="57" t="s">
        <v>78</v>
      </c>
      <c r="L4" s="57" t="s">
        <v>79</v>
      </c>
    </row>
    <row r="5" spans="1:13" x14ac:dyDescent="0.15">
      <c r="A5" s="58">
        <v>35431</v>
      </c>
      <c r="B5" s="57" t="s">
        <v>80</v>
      </c>
      <c r="C5" s="57" t="s">
        <v>81</v>
      </c>
      <c r="D5" s="57" t="s">
        <v>82</v>
      </c>
      <c r="E5" s="57">
        <v>372.6</v>
      </c>
      <c r="F5" s="57">
        <v>10401</v>
      </c>
      <c r="I5" s="57" t="s">
        <v>83</v>
      </c>
      <c r="J5" s="57" t="s">
        <v>84</v>
      </c>
      <c r="K5" s="57" t="s">
        <v>85</v>
      </c>
      <c r="L5" s="57" t="s">
        <v>84</v>
      </c>
      <c r="M5" s="57" t="s">
        <v>85</v>
      </c>
    </row>
    <row r="6" spans="1:13" x14ac:dyDescent="0.15">
      <c r="A6" s="58">
        <v>35431</v>
      </c>
      <c r="B6" s="57" t="s">
        <v>80</v>
      </c>
      <c r="C6" s="57" t="s">
        <v>81</v>
      </c>
      <c r="D6" s="57" t="s">
        <v>86</v>
      </c>
      <c r="E6" s="57">
        <v>2128</v>
      </c>
      <c r="F6" s="57">
        <v>10401</v>
      </c>
      <c r="I6" s="59" t="s">
        <v>87</v>
      </c>
      <c r="J6" s="60">
        <v>20950.939986625315</v>
      </c>
      <c r="K6" s="60">
        <v>30</v>
      </c>
      <c r="L6" s="60">
        <v>3429.1999988198281</v>
      </c>
      <c r="M6" s="60">
        <v>8</v>
      </c>
    </row>
    <row r="7" spans="1:13" x14ac:dyDescent="0.15">
      <c r="A7" s="58">
        <v>35431</v>
      </c>
      <c r="B7" s="57" t="s">
        <v>80</v>
      </c>
      <c r="C7" s="57" t="s">
        <v>81</v>
      </c>
      <c r="D7" s="57" t="s">
        <v>88</v>
      </c>
      <c r="E7" s="57">
        <v>336</v>
      </c>
      <c r="F7" s="57">
        <v>10401</v>
      </c>
      <c r="I7" s="59" t="s">
        <v>89</v>
      </c>
      <c r="J7" s="60">
        <v>22849.974938382209</v>
      </c>
      <c r="K7" s="60">
        <v>46</v>
      </c>
      <c r="L7" s="60">
        <v>1816.9999946840107</v>
      </c>
      <c r="M7" s="60">
        <v>4</v>
      </c>
    </row>
    <row r="8" spans="1:13" x14ac:dyDescent="0.15">
      <c r="A8" s="58">
        <v>35431</v>
      </c>
      <c r="B8" s="57" t="s">
        <v>80</v>
      </c>
      <c r="C8" s="57" t="s">
        <v>81</v>
      </c>
      <c r="D8" s="57" t="s">
        <v>73</v>
      </c>
      <c r="E8" s="57">
        <v>1032</v>
      </c>
      <c r="F8" s="57">
        <v>10401</v>
      </c>
      <c r="I8" s="59" t="s">
        <v>90</v>
      </c>
      <c r="J8" s="60">
        <v>19331.724971001968</v>
      </c>
      <c r="K8" s="60">
        <v>30</v>
      </c>
      <c r="L8" s="60">
        <v>11302.474997166917</v>
      </c>
      <c r="M8" s="60">
        <v>11</v>
      </c>
    </row>
    <row r="9" spans="1:13" x14ac:dyDescent="0.15">
      <c r="A9" s="58">
        <v>35432</v>
      </c>
      <c r="B9" s="57" t="s">
        <v>91</v>
      </c>
      <c r="C9" s="57" t="s">
        <v>92</v>
      </c>
      <c r="D9" s="57" t="s">
        <v>86</v>
      </c>
      <c r="E9" s="57">
        <v>432</v>
      </c>
      <c r="F9" s="57">
        <v>10402</v>
      </c>
      <c r="I9" s="59" t="s">
        <v>93</v>
      </c>
      <c r="J9" s="60"/>
      <c r="K9" s="60"/>
      <c r="L9" s="60"/>
      <c r="M9" s="60"/>
    </row>
    <row r="10" spans="1:13" x14ac:dyDescent="0.15">
      <c r="A10" s="58">
        <v>35432</v>
      </c>
      <c r="B10" s="57" t="s">
        <v>91</v>
      </c>
      <c r="C10" s="57" t="s">
        <v>92</v>
      </c>
      <c r="D10" s="57" t="s">
        <v>88</v>
      </c>
      <c r="E10" s="57">
        <v>2281.5</v>
      </c>
      <c r="F10" s="57">
        <v>10402</v>
      </c>
      <c r="I10" s="61" t="s">
        <v>80</v>
      </c>
      <c r="J10" s="60">
        <v>7655.5499882049862</v>
      </c>
      <c r="K10" s="60">
        <v>12</v>
      </c>
      <c r="L10" s="60">
        <v>3070.6249961275607</v>
      </c>
      <c r="M10" s="60">
        <v>6</v>
      </c>
    </row>
    <row r="11" spans="1:13" x14ac:dyDescent="0.15">
      <c r="A11" s="58">
        <v>35433</v>
      </c>
      <c r="B11" s="57" t="s">
        <v>74</v>
      </c>
      <c r="C11" s="57" t="s">
        <v>92</v>
      </c>
      <c r="D11" s="57" t="s">
        <v>77</v>
      </c>
      <c r="E11" s="57">
        <v>248.1149982601404</v>
      </c>
      <c r="F11" s="57">
        <v>10403</v>
      </c>
      <c r="I11" s="61" t="s">
        <v>74</v>
      </c>
      <c r="J11" s="60">
        <v>10228.649966686964</v>
      </c>
      <c r="K11" s="60">
        <v>14</v>
      </c>
      <c r="L11" s="60">
        <v>5673.5</v>
      </c>
      <c r="M11" s="60">
        <v>5</v>
      </c>
    </row>
    <row r="12" spans="1:13" x14ac:dyDescent="0.15">
      <c r="A12" s="58">
        <v>35433</v>
      </c>
      <c r="B12" s="57" t="s">
        <v>74</v>
      </c>
      <c r="C12" s="57" t="s">
        <v>92</v>
      </c>
      <c r="D12" s="57" t="s">
        <v>77</v>
      </c>
      <c r="E12" s="57">
        <v>606.89999574422836</v>
      </c>
      <c r="F12" s="57">
        <v>10403</v>
      </c>
      <c r="I12" s="61" t="s">
        <v>91</v>
      </c>
      <c r="J12" s="60">
        <v>8072.9999971836805</v>
      </c>
      <c r="K12" s="60">
        <v>14</v>
      </c>
      <c r="L12" s="60">
        <v>1005</v>
      </c>
      <c r="M12" s="60">
        <v>2</v>
      </c>
    </row>
    <row r="13" spans="1:13" x14ac:dyDescent="0.15">
      <c r="A13" s="58">
        <v>35433</v>
      </c>
      <c r="B13" s="57" t="s">
        <v>80</v>
      </c>
      <c r="C13" s="57" t="s">
        <v>92</v>
      </c>
      <c r="D13" s="57" t="s">
        <v>77</v>
      </c>
      <c r="E13" s="57">
        <v>709.64999944344163</v>
      </c>
      <c r="F13" s="57">
        <v>10404</v>
      </c>
      <c r="I13" s="59" t="s">
        <v>94</v>
      </c>
      <c r="J13" s="60">
        <v>89089.839848085117</v>
      </c>
      <c r="K13" s="60">
        <v>146</v>
      </c>
      <c r="L13" s="60">
        <v>26297.799986798316</v>
      </c>
      <c r="M13" s="60">
        <v>36</v>
      </c>
    </row>
    <row r="14" spans="1:13" x14ac:dyDescent="0.15">
      <c r="A14" s="58">
        <v>35433</v>
      </c>
      <c r="B14" s="57" t="s">
        <v>80</v>
      </c>
      <c r="C14" s="57" t="s">
        <v>92</v>
      </c>
      <c r="D14" s="57" t="s">
        <v>86</v>
      </c>
      <c r="E14" s="57">
        <v>425.59999966621399</v>
      </c>
      <c r="F14" s="57">
        <v>10404</v>
      </c>
    </row>
    <row r="15" spans="1:13" x14ac:dyDescent="0.15">
      <c r="A15" s="58">
        <v>35433</v>
      </c>
      <c r="B15" s="57" t="s">
        <v>80</v>
      </c>
      <c r="C15" s="57" t="s">
        <v>92</v>
      </c>
      <c r="D15" s="57" t="s">
        <v>77</v>
      </c>
      <c r="E15" s="57">
        <v>455.99999964237213</v>
      </c>
      <c r="F15" s="57">
        <v>10404</v>
      </c>
    </row>
    <row r="16" spans="1:13" x14ac:dyDescent="0.15">
      <c r="A16" s="58">
        <v>35436</v>
      </c>
      <c r="B16" s="57" t="s">
        <v>80</v>
      </c>
      <c r="C16" s="57" t="s">
        <v>92</v>
      </c>
      <c r="D16" s="57" t="s">
        <v>88</v>
      </c>
      <c r="E16" s="57">
        <v>400</v>
      </c>
      <c r="F16" s="57">
        <v>10405</v>
      </c>
    </row>
    <row r="17" spans="1:6" x14ac:dyDescent="0.15">
      <c r="A17" s="58">
        <v>35437</v>
      </c>
      <c r="B17" s="57" t="s">
        <v>80</v>
      </c>
      <c r="C17" s="57" t="s">
        <v>75</v>
      </c>
      <c r="D17" s="57" t="s">
        <v>42</v>
      </c>
      <c r="E17" s="57">
        <v>144</v>
      </c>
      <c r="F17" s="57">
        <v>10406</v>
      </c>
    </row>
    <row r="18" spans="1:6" x14ac:dyDescent="0.15">
      <c r="A18" s="58">
        <v>35437</v>
      </c>
      <c r="B18" s="57" t="s">
        <v>80</v>
      </c>
      <c r="C18" s="57" t="s">
        <v>75</v>
      </c>
      <c r="D18" s="57" t="s">
        <v>77</v>
      </c>
      <c r="E18" s="57">
        <v>215.99999964237213</v>
      </c>
      <c r="F18" s="57">
        <v>10406</v>
      </c>
    </row>
    <row r="19" spans="1:6" x14ac:dyDescent="0.15">
      <c r="A19" s="58">
        <v>35437</v>
      </c>
      <c r="B19" s="57" t="s">
        <v>80</v>
      </c>
      <c r="C19" s="57" t="s">
        <v>75</v>
      </c>
      <c r="D19" s="57" t="s">
        <v>95</v>
      </c>
      <c r="E19" s="57">
        <v>1375.9199977219105</v>
      </c>
      <c r="F19" s="57">
        <v>10406</v>
      </c>
    </row>
    <row r="20" spans="1:6" x14ac:dyDescent="0.15">
      <c r="A20" s="58">
        <v>35437</v>
      </c>
      <c r="B20" s="57" t="s">
        <v>80</v>
      </c>
      <c r="C20" s="57" t="s">
        <v>75</v>
      </c>
      <c r="D20" s="57" t="s">
        <v>82</v>
      </c>
      <c r="E20" s="57">
        <v>68.399999886751175</v>
      </c>
      <c r="F20" s="57">
        <v>10406</v>
      </c>
    </row>
    <row r="21" spans="1:6" x14ac:dyDescent="0.15">
      <c r="A21" s="58">
        <v>35437</v>
      </c>
      <c r="B21" s="57" t="s">
        <v>80</v>
      </c>
      <c r="C21" s="57" t="s">
        <v>75</v>
      </c>
      <c r="D21" s="57" t="s">
        <v>82</v>
      </c>
      <c r="E21" s="57">
        <v>26.459999956190586</v>
      </c>
      <c r="F21" s="57">
        <v>10406</v>
      </c>
    </row>
    <row r="22" spans="1:6" x14ac:dyDescent="0.15">
      <c r="A22" s="58">
        <v>35437</v>
      </c>
      <c r="B22" s="57" t="s">
        <v>91</v>
      </c>
      <c r="C22" s="57" t="s">
        <v>92</v>
      </c>
      <c r="D22" s="57" t="s">
        <v>73</v>
      </c>
      <c r="E22" s="57">
        <v>504</v>
      </c>
      <c r="F22" s="57">
        <v>10407</v>
      </c>
    </row>
    <row r="23" spans="1:6" x14ac:dyDescent="0.15">
      <c r="A23" s="58">
        <v>35437</v>
      </c>
      <c r="B23" s="57" t="s">
        <v>91</v>
      </c>
      <c r="C23" s="57" t="s">
        <v>92</v>
      </c>
      <c r="D23" s="57" t="s">
        <v>73</v>
      </c>
      <c r="E23" s="57">
        <v>432</v>
      </c>
      <c r="F23" s="57">
        <v>10407</v>
      </c>
    </row>
    <row r="24" spans="1:6" x14ac:dyDescent="0.15">
      <c r="A24" s="58">
        <v>35437</v>
      </c>
      <c r="B24" s="57" t="s">
        <v>91</v>
      </c>
      <c r="C24" s="57" t="s">
        <v>92</v>
      </c>
      <c r="D24" s="57" t="s">
        <v>73</v>
      </c>
      <c r="E24" s="57">
        <v>258</v>
      </c>
      <c r="F24" s="57">
        <v>10407</v>
      </c>
    </row>
    <row r="25" spans="1:6" x14ac:dyDescent="0.15">
      <c r="A25" s="58">
        <v>35438</v>
      </c>
      <c r="B25" s="57" t="s">
        <v>80</v>
      </c>
      <c r="C25" s="57" t="s">
        <v>75</v>
      </c>
      <c r="D25" s="57" t="s">
        <v>82</v>
      </c>
      <c r="E25" s="57">
        <v>208</v>
      </c>
      <c r="F25" s="57">
        <v>10408</v>
      </c>
    </row>
    <row r="26" spans="1:6" x14ac:dyDescent="0.15">
      <c r="A26" s="58">
        <v>35438</v>
      </c>
      <c r="B26" s="57" t="s">
        <v>80</v>
      </c>
      <c r="C26" s="57" t="s">
        <v>75</v>
      </c>
      <c r="D26" s="57" t="s">
        <v>33</v>
      </c>
      <c r="E26" s="57">
        <v>35.4</v>
      </c>
      <c r="F26" s="57">
        <v>10408</v>
      </c>
    </row>
    <row r="27" spans="1:6" x14ac:dyDescent="0.15">
      <c r="A27" s="58">
        <v>35438</v>
      </c>
      <c r="B27" s="57" t="s">
        <v>80</v>
      </c>
      <c r="C27" s="57" t="s">
        <v>75</v>
      </c>
      <c r="D27" s="57" t="s">
        <v>77</v>
      </c>
      <c r="E27" s="57">
        <v>1379</v>
      </c>
      <c r="F27" s="57">
        <v>10408</v>
      </c>
    </row>
    <row r="28" spans="1:6" x14ac:dyDescent="0.15">
      <c r="A28" s="58">
        <v>35439</v>
      </c>
      <c r="B28" s="57" t="s">
        <v>80</v>
      </c>
      <c r="C28" s="57" t="s">
        <v>75</v>
      </c>
      <c r="D28" s="57" t="s">
        <v>95</v>
      </c>
      <c r="E28" s="57">
        <v>223.2</v>
      </c>
      <c r="F28" s="57">
        <v>10409</v>
      </c>
    </row>
    <row r="29" spans="1:6" x14ac:dyDescent="0.15">
      <c r="A29" s="58">
        <v>35439</v>
      </c>
      <c r="B29" s="57" t="s">
        <v>80</v>
      </c>
      <c r="C29" s="57" t="s">
        <v>75</v>
      </c>
      <c r="D29" s="57" t="s">
        <v>77</v>
      </c>
      <c r="E29" s="57">
        <v>96</v>
      </c>
      <c r="F29" s="57">
        <v>10409</v>
      </c>
    </row>
    <row r="30" spans="1:6" x14ac:dyDescent="0.15">
      <c r="A30" s="58">
        <v>35440</v>
      </c>
      <c r="B30" s="57" t="s">
        <v>74</v>
      </c>
      <c r="C30" s="57" t="s">
        <v>96</v>
      </c>
      <c r="D30" s="57" t="s">
        <v>73</v>
      </c>
      <c r="E30" s="57">
        <v>98</v>
      </c>
      <c r="F30" s="57">
        <v>10410</v>
      </c>
    </row>
    <row r="31" spans="1:6" x14ac:dyDescent="0.15">
      <c r="A31" s="58">
        <v>35440</v>
      </c>
      <c r="B31" s="57" t="s">
        <v>74</v>
      </c>
      <c r="C31" s="57" t="s">
        <v>96</v>
      </c>
      <c r="D31" s="57" t="s">
        <v>73</v>
      </c>
      <c r="E31" s="57">
        <v>704</v>
      </c>
      <c r="F31" s="57">
        <v>10410</v>
      </c>
    </row>
    <row r="32" spans="1:6" x14ac:dyDescent="0.15">
      <c r="A32" s="58">
        <v>35440</v>
      </c>
      <c r="B32" s="57" t="s">
        <v>74</v>
      </c>
      <c r="C32" s="57" t="s">
        <v>96</v>
      </c>
      <c r="D32" s="57" t="s">
        <v>82</v>
      </c>
      <c r="E32" s="57">
        <v>153.99999942630529</v>
      </c>
      <c r="F32" s="57">
        <v>10411</v>
      </c>
    </row>
    <row r="33" spans="1:6" x14ac:dyDescent="0.15">
      <c r="A33" s="58">
        <v>35440</v>
      </c>
      <c r="B33" s="57" t="s">
        <v>74</v>
      </c>
      <c r="C33" s="57" t="s">
        <v>96</v>
      </c>
      <c r="D33" s="57" t="s">
        <v>88</v>
      </c>
      <c r="E33" s="57">
        <v>495.99999815225601</v>
      </c>
      <c r="F33" s="57">
        <v>10411</v>
      </c>
    </row>
    <row r="34" spans="1:6" x14ac:dyDescent="0.15">
      <c r="A34" s="58">
        <v>35440</v>
      </c>
      <c r="B34" s="57" t="s">
        <v>74</v>
      </c>
      <c r="C34" s="57" t="s">
        <v>96</v>
      </c>
      <c r="D34" s="57" t="s">
        <v>73</v>
      </c>
      <c r="E34" s="57">
        <v>316.79999881982803</v>
      </c>
      <c r="F34" s="57">
        <v>10411</v>
      </c>
    </row>
    <row r="35" spans="1:6" x14ac:dyDescent="0.15">
      <c r="A35" s="58">
        <v>35443</v>
      </c>
      <c r="B35" s="57" t="s">
        <v>91</v>
      </c>
      <c r="C35" s="57" t="s">
        <v>75</v>
      </c>
      <c r="D35" s="57" t="s">
        <v>95</v>
      </c>
      <c r="E35" s="57">
        <v>334.7999994456768</v>
      </c>
      <c r="F35" s="57">
        <v>10412</v>
      </c>
    </row>
    <row r="36" spans="1:6" x14ac:dyDescent="0.15">
      <c r="A36" s="58">
        <v>35444</v>
      </c>
      <c r="B36" s="57" t="s">
        <v>91</v>
      </c>
      <c r="C36" s="57" t="s">
        <v>75</v>
      </c>
      <c r="D36" s="57" t="s">
        <v>42</v>
      </c>
      <c r="E36" s="57">
        <v>345.6</v>
      </c>
      <c r="F36" s="57">
        <v>10413</v>
      </c>
    </row>
    <row r="37" spans="1:6" x14ac:dyDescent="0.15">
      <c r="A37" s="58">
        <v>35444</v>
      </c>
      <c r="B37" s="57" t="s">
        <v>91</v>
      </c>
      <c r="C37" s="57" t="s">
        <v>75</v>
      </c>
      <c r="D37" s="57" t="s">
        <v>77</v>
      </c>
      <c r="E37" s="57">
        <v>1576</v>
      </c>
      <c r="F37" s="57">
        <v>10413</v>
      </c>
    </row>
    <row r="38" spans="1:6" x14ac:dyDescent="0.15">
      <c r="A38" s="58">
        <v>35444</v>
      </c>
      <c r="B38" s="57" t="s">
        <v>91</v>
      </c>
      <c r="C38" s="57" t="s">
        <v>75</v>
      </c>
      <c r="D38" s="57" t="s">
        <v>42</v>
      </c>
      <c r="E38" s="57">
        <v>201.6</v>
      </c>
      <c r="F38" s="57">
        <v>10413</v>
      </c>
    </row>
    <row r="39" spans="1:6" x14ac:dyDescent="0.15">
      <c r="A39" s="58">
        <v>35444</v>
      </c>
      <c r="B39" s="57" t="s">
        <v>74</v>
      </c>
      <c r="C39" s="57" t="s">
        <v>92</v>
      </c>
      <c r="D39" s="57" t="s">
        <v>77</v>
      </c>
      <c r="E39" s="57">
        <v>124.82999990209937</v>
      </c>
      <c r="F39" s="57">
        <v>10414</v>
      </c>
    </row>
    <row r="40" spans="1:6" x14ac:dyDescent="0.15">
      <c r="A40" s="58">
        <v>35444</v>
      </c>
      <c r="B40" s="57" t="s">
        <v>74</v>
      </c>
      <c r="C40" s="57" t="s">
        <v>92</v>
      </c>
      <c r="D40" s="57" t="s">
        <v>73</v>
      </c>
      <c r="E40" s="57">
        <v>100</v>
      </c>
      <c r="F40" s="57">
        <v>10414</v>
      </c>
    </row>
    <row r="41" spans="1:6" x14ac:dyDescent="0.15">
      <c r="A41" s="58">
        <v>35445</v>
      </c>
      <c r="B41" s="57" t="s">
        <v>80</v>
      </c>
      <c r="C41" s="57" t="s">
        <v>97</v>
      </c>
      <c r="D41" s="57" t="s">
        <v>33</v>
      </c>
      <c r="E41" s="57">
        <v>62.4</v>
      </c>
      <c r="F41" s="57">
        <v>10415</v>
      </c>
    </row>
    <row r="42" spans="1:6" x14ac:dyDescent="0.15">
      <c r="A42" s="58">
        <v>35445</v>
      </c>
      <c r="B42" s="57" t="s">
        <v>80</v>
      </c>
      <c r="C42" s="57" t="s">
        <v>97</v>
      </c>
      <c r="D42" s="57" t="s">
        <v>73</v>
      </c>
      <c r="E42" s="57">
        <v>40</v>
      </c>
      <c r="F42" s="57">
        <v>10415</v>
      </c>
    </row>
    <row r="43" spans="1:6" x14ac:dyDescent="0.15">
      <c r="A43" s="58">
        <v>35446</v>
      </c>
      <c r="B43" s="57" t="s">
        <v>74</v>
      </c>
      <c r="C43" s="57" t="s">
        <v>75</v>
      </c>
      <c r="D43" s="57" t="s">
        <v>77</v>
      </c>
      <c r="E43" s="57">
        <v>146</v>
      </c>
      <c r="F43" s="57">
        <v>10416</v>
      </c>
    </row>
    <row r="44" spans="1:6" x14ac:dyDescent="0.15">
      <c r="A44" s="58">
        <v>35446</v>
      </c>
      <c r="B44" s="57" t="s">
        <v>74</v>
      </c>
      <c r="C44" s="57" t="s">
        <v>75</v>
      </c>
      <c r="D44" s="57" t="s">
        <v>33</v>
      </c>
      <c r="E44" s="57">
        <v>262</v>
      </c>
      <c r="F44" s="57">
        <v>10416</v>
      </c>
    </row>
    <row r="45" spans="1:6" x14ac:dyDescent="0.15">
      <c r="A45" s="58">
        <v>35446</v>
      </c>
      <c r="B45" s="57" t="s">
        <v>74</v>
      </c>
      <c r="C45" s="57" t="s">
        <v>75</v>
      </c>
      <c r="D45" s="57" t="s">
        <v>86</v>
      </c>
      <c r="E45" s="57">
        <v>312</v>
      </c>
      <c r="F45" s="57">
        <v>10416</v>
      </c>
    </row>
    <row r="46" spans="1:6" x14ac:dyDescent="0.15">
      <c r="A46" s="58">
        <v>35446</v>
      </c>
      <c r="B46" s="57" t="s">
        <v>74</v>
      </c>
      <c r="C46" s="57" t="s">
        <v>75</v>
      </c>
      <c r="D46" s="57" t="s">
        <v>42</v>
      </c>
      <c r="E46" s="57">
        <v>10540</v>
      </c>
      <c r="F46" s="57">
        <v>10417</v>
      </c>
    </row>
    <row r="47" spans="1:6" x14ac:dyDescent="0.15">
      <c r="A47" s="58">
        <v>35446</v>
      </c>
      <c r="B47" s="57" t="s">
        <v>74</v>
      </c>
      <c r="C47" s="57" t="s">
        <v>75</v>
      </c>
      <c r="D47" s="57" t="s">
        <v>82</v>
      </c>
      <c r="E47" s="57">
        <v>14.399999999999999</v>
      </c>
      <c r="F47" s="57">
        <v>10417</v>
      </c>
    </row>
    <row r="48" spans="1:6" x14ac:dyDescent="0.15">
      <c r="A48" s="58">
        <v>35446</v>
      </c>
      <c r="B48" s="57" t="s">
        <v>74</v>
      </c>
      <c r="C48" s="57" t="s">
        <v>75</v>
      </c>
      <c r="D48" s="57" t="s">
        <v>77</v>
      </c>
      <c r="E48" s="57">
        <v>270</v>
      </c>
      <c r="F48" s="57">
        <v>10417</v>
      </c>
    </row>
    <row r="49" spans="1:6" x14ac:dyDescent="0.15">
      <c r="A49" s="58">
        <v>35446</v>
      </c>
      <c r="B49" s="57" t="s">
        <v>74</v>
      </c>
      <c r="C49" s="57" t="s">
        <v>75</v>
      </c>
      <c r="D49" s="57" t="s">
        <v>88</v>
      </c>
      <c r="E49" s="57">
        <v>364</v>
      </c>
      <c r="F49" s="57">
        <v>10417</v>
      </c>
    </row>
    <row r="50" spans="1:6" x14ac:dyDescent="0.15">
      <c r="A50" s="58">
        <v>35447</v>
      </c>
      <c r="B50" s="57" t="s">
        <v>80</v>
      </c>
      <c r="C50" s="57" t="s">
        <v>75</v>
      </c>
      <c r="D50" s="57" t="s">
        <v>42</v>
      </c>
      <c r="E50" s="57">
        <v>912</v>
      </c>
      <c r="F50" s="57">
        <v>10418</v>
      </c>
    </row>
    <row r="51" spans="1:6" x14ac:dyDescent="0.15">
      <c r="A51" s="58">
        <v>35447</v>
      </c>
      <c r="B51" s="57" t="s">
        <v>80</v>
      </c>
      <c r="C51" s="57" t="s">
        <v>75</v>
      </c>
      <c r="D51" s="57" t="s">
        <v>77</v>
      </c>
      <c r="E51" s="57">
        <v>418</v>
      </c>
      <c r="F51" s="57">
        <v>10418</v>
      </c>
    </row>
    <row r="52" spans="1:6" x14ac:dyDescent="0.15">
      <c r="A52" s="58">
        <v>35447</v>
      </c>
      <c r="B52" s="57" t="s">
        <v>80</v>
      </c>
      <c r="C52" s="57" t="s">
        <v>75</v>
      </c>
      <c r="D52" s="57" t="s">
        <v>88</v>
      </c>
      <c r="E52" s="57">
        <v>364.8</v>
      </c>
      <c r="F52" s="57">
        <v>10418</v>
      </c>
    </row>
    <row r="53" spans="1:6" x14ac:dyDescent="0.15">
      <c r="A53" s="58">
        <v>35447</v>
      </c>
      <c r="B53" s="57" t="s">
        <v>80</v>
      </c>
      <c r="C53" s="57" t="s">
        <v>75</v>
      </c>
      <c r="D53" s="57" t="s">
        <v>95</v>
      </c>
      <c r="E53" s="57">
        <v>120</v>
      </c>
      <c r="F53" s="57">
        <v>10418</v>
      </c>
    </row>
    <row r="54" spans="1:6" x14ac:dyDescent="0.15">
      <c r="A54" s="58">
        <v>35450</v>
      </c>
      <c r="B54" s="57" t="s">
        <v>91</v>
      </c>
      <c r="C54" s="57" t="s">
        <v>81</v>
      </c>
      <c r="D54" s="57" t="s">
        <v>73</v>
      </c>
      <c r="E54" s="57">
        <v>1550.3999987840652</v>
      </c>
      <c r="F54" s="57">
        <v>10419</v>
      </c>
    </row>
    <row r="55" spans="1:6" x14ac:dyDescent="0.15">
      <c r="A55" s="58">
        <v>35450</v>
      </c>
      <c r="B55" s="57" t="s">
        <v>91</v>
      </c>
      <c r="C55" s="57" t="s">
        <v>81</v>
      </c>
      <c r="D55" s="57" t="s">
        <v>73</v>
      </c>
      <c r="E55" s="57">
        <v>547.19999957084656</v>
      </c>
      <c r="F55" s="57">
        <v>10419</v>
      </c>
    </row>
    <row r="56" spans="1:6" x14ac:dyDescent="0.15">
      <c r="A56" s="58">
        <v>35451</v>
      </c>
      <c r="B56" s="57" t="s">
        <v>80</v>
      </c>
      <c r="C56" s="57" t="s">
        <v>92</v>
      </c>
      <c r="D56" s="57" t="s">
        <v>33</v>
      </c>
      <c r="E56" s="57">
        <v>1396.7999976873398</v>
      </c>
      <c r="F56" s="57">
        <v>10420</v>
      </c>
    </row>
    <row r="57" spans="1:6" x14ac:dyDescent="0.15">
      <c r="A57" s="58">
        <v>35451</v>
      </c>
      <c r="B57" s="57" t="s">
        <v>80</v>
      </c>
      <c r="C57" s="57" t="s">
        <v>92</v>
      </c>
      <c r="D57" s="57" t="s">
        <v>82</v>
      </c>
      <c r="E57" s="57">
        <v>8.6399999856948853</v>
      </c>
      <c r="F57" s="57">
        <v>10420</v>
      </c>
    </row>
    <row r="58" spans="1:6" x14ac:dyDescent="0.15">
      <c r="A58" s="58">
        <v>35451</v>
      </c>
      <c r="B58" s="57" t="s">
        <v>80</v>
      </c>
      <c r="C58" s="57" t="s">
        <v>92</v>
      </c>
      <c r="D58" s="57" t="s">
        <v>42</v>
      </c>
      <c r="E58" s="57">
        <v>86.399999856948853</v>
      </c>
      <c r="F58" s="57">
        <v>10420</v>
      </c>
    </row>
    <row r="59" spans="1:6" x14ac:dyDescent="0.15">
      <c r="A59" s="58">
        <v>35451</v>
      </c>
      <c r="B59" s="57" t="s">
        <v>80</v>
      </c>
      <c r="C59" s="57" t="s">
        <v>92</v>
      </c>
      <c r="D59" s="57" t="s">
        <v>82</v>
      </c>
      <c r="E59" s="57">
        <v>215.99999964237213</v>
      </c>
      <c r="F59" s="57">
        <v>10420</v>
      </c>
    </row>
    <row r="60" spans="1:6" x14ac:dyDescent="0.15">
      <c r="A60" s="58">
        <v>35451</v>
      </c>
      <c r="B60" s="57" t="s">
        <v>80</v>
      </c>
      <c r="C60" s="57" t="s">
        <v>75</v>
      </c>
      <c r="D60" s="57" t="s">
        <v>77</v>
      </c>
      <c r="E60" s="57">
        <v>24.819999825954437</v>
      </c>
      <c r="F60" s="57">
        <v>10421</v>
      </c>
    </row>
    <row r="61" spans="1:6" x14ac:dyDescent="0.15">
      <c r="A61" s="58">
        <v>35451</v>
      </c>
      <c r="B61" s="57" t="s">
        <v>80</v>
      </c>
      <c r="C61" s="57" t="s">
        <v>75</v>
      </c>
      <c r="D61" s="57" t="s">
        <v>77</v>
      </c>
      <c r="E61" s="57">
        <v>747</v>
      </c>
      <c r="F61" s="57">
        <v>10421</v>
      </c>
    </row>
    <row r="62" spans="1:6" x14ac:dyDescent="0.15">
      <c r="A62" s="58">
        <v>35451</v>
      </c>
      <c r="B62" s="57" t="s">
        <v>80</v>
      </c>
      <c r="C62" s="57" t="s">
        <v>75</v>
      </c>
      <c r="D62" s="57" t="s">
        <v>33</v>
      </c>
      <c r="E62" s="57">
        <v>334.04999765753746</v>
      </c>
      <c r="F62" s="57">
        <v>10421</v>
      </c>
    </row>
    <row r="63" spans="1:6" x14ac:dyDescent="0.15">
      <c r="A63" s="58">
        <v>35451</v>
      </c>
      <c r="B63" s="57" t="s">
        <v>80</v>
      </c>
      <c r="C63" s="57" t="s">
        <v>75</v>
      </c>
      <c r="D63" s="57" t="s">
        <v>88</v>
      </c>
      <c r="E63" s="57">
        <v>88.399999380111694</v>
      </c>
      <c r="F63" s="57">
        <v>10421</v>
      </c>
    </row>
    <row r="64" spans="1:6" x14ac:dyDescent="0.15">
      <c r="A64" s="58">
        <v>35452</v>
      </c>
      <c r="B64" s="57" t="s">
        <v>80</v>
      </c>
      <c r="C64" s="57" t="s">
        <v>81</v>
      </c>
      <c r="D64" s="57" t="s">
        <v>77</v>
      </c>
      <c r="E64" s="57">
        <v>49.8</v>
      </c>
      <c r="F64" s="57">
        <v>10422</v>
      </c>
    </row>
    <row r="65" spans="1:6" x14ac:dyDescent="0.15">
      <c r="A65" s="58">
        <v>35453</v>
      </c>
      <c r="B65" s="57" t="s">
        <v>74</v>
      </c>
      <c r="C65" s="57" t="s">
        <v>81</v>
      </c>
      <c r="D65" s="57" t="s">
        <v>73</v>
      </c>
      <c r="E65" s="57">
        <v>140</v>
      </c>
      <c r="F65" s="57">
        <v>10423</v>
      </c>
    </row>
    <row r="66" spans="1:6" x14ac:dyDescent="0.15">
      <c r="A66" s="58">
        <v>35453</v>
      </c>
      <c r="B66" s="57" t="s">
        <v>74</v>
      </c>
      <c r="C66" s="57" t="s">
        <v>81</v>
      </c>
      <c r="D66" s="57" t="s">
        <v>73</v>
      </c>
      <c r="E66" s="57">
        <v>880</v>
      </c>
      <c r="F66" s="57">
        <v>10423</v>
      </c>
    </row>
    <row r="67" spans="1:6" x14ac:dyDescent="0.15">
      <c r="A67" s="58">
        <v>35453</v>
      </c>
      <c r="B67" s="57" t="s">
        <v>91</v>
      </c>
      <c r="C67" s="57" t="s">
        <v>97</v>
      </c>
      <c r="D67" s="57" t="s">
        <v>42</v>
      </c>
      <c r="E67" s="57">
        <v>691.19999742507935</v>
      </c>
      <c r="F67" s="57">
        <v>10424</v>
      </c>
    </row>
    <row r="68" spans="1:6" x14ac:dyDescent="0.15">
      <c r="A68" s="58">
        <v>35453</v>
      </c>
      <c r="B68" s="57" t="s">
        <v>91</v>
      </c>
      <c r="C68" s="57" t="s">
        <v>97</v>
      </c>
      <c r="D68" s="57" t="s">
        <v>42</v>
      </c>
      <c r="E68" s="57">
        <v>8263.3599692165863</v>
      </c>
      <c r="F68" s="57">
        <v>10424</v>
      </c>
    </row>
    <row r="69" spans="1:6" x14ac:dyDescent="0.15">
      <c r="A69" s="58">
        <v>35453</v>
      </c>
      <c r="B69" s="57" t="s">
        <v>91</v>
      </c>
      <c r="C69" s="57" t="s">
        <v>97</v>
      </c>
      <c r="D69" s="57" t="s">
        <v>77</v>
      </c>
      <c r="E69" s="57">
        <v>239.99999910593033</v>
      </c>
      <c r="F69" s="57">
        <v>10424</v>
      </c>
    </row>
    <row r="70" spans="1:6" x14ac:dyDescent="0.15">
      <c r="A70" s="58">
        <v>35454</v>
      </c>
      <c r="B70" s="57" t="s">
        <v>91</v>
      </c>
      <c r="C70" s="57" t="s">
        <v>75</v>
      </c>
      <c r="D70" s="57" t="s">
        <v>33</v>
      </c>
      <c r="E70" s="57">
        <v>144</v>
      </c>
      <c r="F70" s="57">
        <v>10425</v>
      </c>
    </row>
    <row r="71" spans="1:6" x14ac:dyDescent="0.15">
      <c r="A71" s="58">
        <v>35454</v>
      </c>
      <c r="B71" s="57" t="s">
        <v>91</v>
      </c>
      <c r="C71" s="57" t="s">
        <v>75</v>
      </c>
      <c r="D71" s="57" t="s">
        <v>42</v>
      </c>
      <c r="E71" s="57">
        <v>216</v>
      </c>
      <c r="F71" s="57">
        <v>10425</v>
      </c>
    </row>
    <row r="72" spans="1:6" x14ac:dyDescent="0.15">
      <c r="A72" s="58">
        <v>35457</v>
      </c>
      <c r="B72" s="57" t="s">
        <v>80</v>
      </c>
      <c r="C72" s="57" t="s">
        <v>92</v>
      </c>
      <c r="D72" s="57" t="s">
        <v>86</v>
      </c>
      <c r="E72" s="57">
        <v>152</v>
      </c>
      <c r="F72" s="57">
        <v>10426</v>
      </c>
    </row>
    <row r="73" spans="1:6" x14ac:dyDescent="0.15">
      <c r="A73" s="58">
        <v>35457</v>
      </c>
      <c r="B73" s="57" t="s">
        <v>80</v>
      </c>
      <c r="C73" s="57" t="s">
        <v>92</v>
      </c>
      <c r="D73" s="57" t="s">
        <v>86</v>
      </c>
      <c r="E73" s="57">
        <v>186.2</v>
      </c>
      <c r="F73" s="57">
        <v>10426</v>
      </c>
    </row>
    <row r="74" spans="1:6" x14ac:dyDescent="0.15">
      <c r="A74" s="58">
        <v>35457</v>
      </c>
      <c r="B74" s="57" t="s">
        <v>91</v>
      </c>
      <c r="C74" s="57" t="s">
        <v>81</v>
      </c>
      <c r="D74" s="57" t="s">
        <v>95</v>
      </c>
      <c r="E74" s="57">
        <v>651</v>
      </c>
      <c r="F74" s="57">
        <v>10427</v>
      </c>
    </row>
    <row r="75" spans="1:6" x14ac:dyDescent="0.15">
      <c r="A75" s="58">
        <v>35458</v>
      </c>
      <c r="B75" s="57" t="s">
        <v>80</v>
      </c>
      <c r="C75" s="57" t="s">
        <v>75</v>
      </c>
      <c r="D75" s="57" t="s">
        <v>82</v>
      </c>
      <c r="E75" s="57">
        <v>192</v>
      </c>
      <c r="F75" s="57">
        <v>10428</v>
      </c>
    </row>
    <row r="76" spans="1:6" x14ac:dyDescent="0.15">
      <c r="A76" s="58">
        <v>35459</v>
      </c>
      <c r="B76" s="57" t="s">
        <v>91</v>
      </c>
      <c r="C76" s="57" t="s">
        <v>75</v>
      </c>
      <c r="D76" s="57" t="s">
        <v>77</v>
      </c>
      <c r="E76" s="57">
        <v>520</v>
      </c>
      <c r="F76" s="57">
        <v>10429</v>
      </c>
    </row>
    <row r="77" spans="1:6" x14ac:dyDescent="0.15">
      <c r="A77" s="58">
        <v>35459</v>
      </c>
      <c r="B77" s="57" t="s">
        <v>91</v>
      </c>
      <c r="C77" s="57" t="s">
        <v>75</v>
      </c>
      <c r="D77" s="57" t="s">
        <v>88</v>
      </c>
      <c r="E77" s="57">
        <v>921.375</v>
      </c>
      <c r="F77" s="57">
        <v>10429</v>
      </c>
    </row>
    <row r="78" spans="1:6" x14ac:dyDescent="0.15">
      <c r="A78" s="58">
        <v>35460</v>
      </c>
      <c r="B78" s="57" t="s">
        <v>80</v>
      </c>
      <c r="C78" s="57" t="s">
        <v>92</v>
      </c>
      <c r="D78" s="57" t="s">
        <v>33</v>
      </c>
      <c r="E78" s="57">
        <v>1123.1999958157539</v>
      </c>
      <c r="F78" s="57">
        <v>10430</v>
      </c>
    </row>
    <row r="79" spans="1:6" x14ac:dyDescent="0.15">
      <c r="A79" s="58">
        <v>35460</v>
      </c>
      <c r="B79" s="57" t="s">
        <v>80</v>
      </c>
      <c r="C79" s="57" t="s">
        <v>92</v>
      </c>
      <c r="D79" s="57" t="s">
        <v>77</v>
      </c>
      <c r="E79" s="57">
        <v>400</v>
      </c>
      <c r="F79" s="57">
        <v>10430</v>
      </c>
    </row>
    <row r="80" spans="1:6" x14ac:dyDescent="0.15">
      <c r="A80" s="58">
        <v>35460</v>
      </c>
      <c r="B80" s="57" t="s">
        <v>80</v>
      </c>
      <c r="C80" s="57" t="s">
        <v>92</v>
      </c>
      <c r="D80" s="57" t="s">
        <v>86</v>
      </c>
      <c r="E80" s="57">
        <v>912</v>
      </c>
      <c r="F80" s="57">
        <v>10430</v>
      </c>
    </row>
    <row r="81" spans="1:6" x14ac:dyDescent="0.15">
      <c r="A81" s="58">
        <v>35460</v>
      </c>
      <c r="B81" s="57" t="s">
        <v>80</v>
      </c>
      <c r="C81" s="57" t="s">
        <v>92</v>
      </c>
      <c r="D81" s="57" t="s">
        <v>73</v>
      </c>
      <c r="E81" s="57">
        <v>2463.9999908208847</v>
      </c>
      <c r="F81" s="57">
        <v>10430</v>
      </c>
    </row>
    <row r="82" spans="1:6" x14ac:dyDescent="0.15">
      <c r="A82" s="58">
        <v>35460</v>
      </c>
      <c r="B82" s="57" t="s">
        <v>91</v>
      </c>
      <c r="C82" s="57" t="s">
        <v>96</v>
      </c>
      <c r="D82" s="57" t="s">
        <v>33</v>
      </c>
      <c r="E82" s="57">
        <v>1170</v>
      </c>
      <c r="F82" s="57">
        <v>10431</v>
      </c>
    </row>
    <row r="83" spans="1:6" x14ac:dyDescent="0.15">
      <c r="A83" s="58">
        <v>35460</v>
      </c>
      <c r="B83" s="57" t="s">
        <v>91</v>
      </c>
      <c r="C83" s="57" t="s">
        <v>96</v>
      </c>
      <c r="D83" s="57" t="s">
        <v>82</v>
      </c>
      <c r="E83" s="57">
        <v>551.25</v>
      </c>
      <c r="F83" s="57">
        <v>10431</v>
      </c>
    </row>
    <row r="84" spans="1:6" x14ac:dyDescent="0.15">
      <c r="A84" s="58">
        <v>35460</v>
      </c>
      <c r="B84" s="57" t="s">
        <v>91</v>
      </c>
      <c r="C84" s="57" t="s">
        <v>96</v>
      </c>
      <c r="D84" s="57" t="s">
        <v>77</v>
      </c>
      <c r="E84" s="57">
        <v>171</v>
      </c>
      <c r="F84" s="57">
        <v>10431</v>
      </c>
    </row>
    <row r="85" spans="1:6" x14ac:dyDescent="0.15">
      <c r="A85" s="58">
        <v>35461</v>
      </c>
      <c r="B85" s="57" t="s">
        <v>91</v>
      </c>
      <c r="C85" s="57" t="s">
        <v>92</v>
      </c>
      <c r="D85" s="57" t="s">
        <v>77</v>
      </c>
      <c r="E85" s="57">
        <v>249</v>
      </c>
      <c r="F85" s="57">
        <v>10432</v>
      </c>
    </row>
    <row r="86" spans="1:6" x14ac:dyDescent="0.15">
      <c r="A86" s="58">
        <v>35461</v>
      </c>
      <c r="B86" s="57" t="s">
        <v>91</v>
      </c>
      <c r="C86" s="57" t="s">
        <v>92</v>
      </c>
      <c r="D86" s="57" t="s">
        <v>33</v>
      </c>
      <c r="E86" s="57">
        <v>236</v>
      </c>
      <c r="F86" s="57">
        <v>10432</v>
      </c>
    </row>
    <row r="87" spans="1:6" x14ac:dyDescent="0.15">
      <c r="A87" s="58">
        <v>35464</v>
      </c>
      <c r="B87" s="57" t="s">
        <v>74</v>
      </c>
      <c r="C87" s="57" t="s">
        <v>75</v>
      </c>
      <c r="D87" s="57" t="s">
        <v>86</v>
      </c>
      <c r="E87" s="57">
        <v>851.2</v>
      </c>
      <c r="F87" s="57">
        <v>10433</v>
      </c>
    </row>
    <row r="88" spans="1:6" x14ac:dyDescent="0.15">
      <c r="A88" s="58">
        <v>35464</v>
      </c>
      <c r="B88" s="57" t="s">
        <v>91</v>
      </c>
      <c r="C88" s="57" t="s">
        <v>81</v>
      </c>
      <c r="D88" s="57" t="s">
        <v>73</v>
      </c>
      <c r="E88" s="57">
        <v>100.8</v>
      </c>
      <c r="F88" s="57">
        <v>10434</v>
      </c>
    </row>
    <row r="89" spans="1:6" x14ac:dyDescent="0.15">
      <c r="A89" s="58">
        <v>35464</v>
      </c>
      <c r="B89" s="57" t="s">
        <v>91</v>
      </c>
      <c r="C89" s="57" t="s">
        <v>81</v>
      </c>
      <c r="D89" s="57" t="s">
        <v>42</v>
      </c>
      <c r="E89" s="57">
        <v>220.3199984550476</v>
      </c>
      <c r="F89" s="57">
        <v>10434</v>
      </c>
    </row>
    <row r="90" spans="1:6" x14ac:dyDescent="0.15">
      <c r="A90" s="58">
        <v>35465</v>
      </c>
      <c r="B90" s="57" t="s">
        <v>91</v>
      </c>
      <c r="C90" s="57" t="s">
        <v>92</v>
      </c>
      <c r="D90" s="57" t="s">
        <v>42</v>
      </c>
      <c r="E90" s="57">
        <v>152</v>
      </c>
      <c r="F90" s="57">
        <v>10435</v>
      </c>
    </row>
    <row r="91" spans="1:6" x14ac:dyDescent="0.15">
      <c r="A91" s="58">
        <v>35465</v>
      </c>
      <c r="B91" s="57" t="s">
        <v>91</v>
      </c>
      <c r="C91" s="57" t="s">
        <v>92</v>
      </c>
      <c r="D91" s="57" t="s">
        <v>86</v>
      </c>
      <c r="E91" s="57">
        <v>201.6</v>
      </c>
      <c r="F91" s="57">
        <v>10435</v>
      </c>
    </row>
    <row r="92" spans="1:6" x14ac:dyDescent="0.15">
      <c r="A92" s="58">
        <v>35465</v>
      </c>
      <c r="B92" s="57" t="s">
        <v>91</v>
      </c>
      <c r="C92" s="57" t="s">
        <v>92</v>
      </c>
      <c r="D92" s="57" t="s">
        <v>73</v>
      </c>
      <c r="E92" s="57">
        <v>278</v>
      </c>
      <c r="F92" s="57">
        <v>10435</v>
      </c>
    </row>
    <row r="93" spans="1:6" x14ac:dyDescent="0.15">
      <c r="A93" s="58">
        <v>35466</v>
      </c>
      <c r="B93" s="57" t="s">
        <v>91</v>
      </c>
      <c r="C93" s="57" t="s">
        <v>97</v>
      </c>
      <c r="D93" s="57" t="s">
        <v>82</v>
      </c>
      <c r="E93" s="57">
        <v>48</v>
      </c>
      <c r="F93" s="57">
        <v>10436</v>
      </c>
    </row>
    <row r="94" spans="1:6" x14ac:dyDescent="0.15">
      <c r="A94" s="58">
        <v>35466</v>
      </c>
      <c r="B94" s="57" t="s">
        <v>91</v>
      </c>
      <c r="C94" s="57" t="s">
        <v>97</v>
      </c>
      <c r="D94" s="57" t="s">
        <v>86</v>
      </c>
      <c r="E94" s="57">
        <v>1094.3999981880188</v>
      </c>
      <c r="F94" s="57">
        <v>10436</v>
      </c>
    </row>
    <row r="95" spans="1:6" x14ac:dyDescent="0.15">
      <c r="A95" s="58">
        <v>35466</v>
      </c>
      <c r="B95" s="57" t="s">
        <v>91</v>
      </c>
      <c r="C95" s="57" t="s">
        <v>97</v>
      </c>
      <c r="D95" s="57" t="s">
        <v>86</v>
      </c>
      <c r="E95" s="57">
        <v>718.19999881088734</v>
      </c>
      <c r="F95" s="57">
        <v>10436</v>
      </c>
    </row>
    <row r="96" spans="1:6" x14ac:dyDescent="0.15">
      <c r="A96" s="58">
        <v>35466</v>
      </c>
      <c r="B96" s="57" t="s">
        <v>91</v>
      </c>
      <c r="C96" s="57" t="s">
        <v>97</v>
      </c>
      <c r="D96" s="57" t="s">
        <v>42</v>
      </c>
      <c r="E96" s="57">
        <v>133.91999977827072</v>
      </c>
      <c r="F96" s="57">
        <v>10436</v>
      </c>
    </row>
    <row r="97" spans="1:6" x14ac:dyDescent="0.15">
      <c r="A97" s="58">
        <v>35466</v>
      </c>
      <c r="B97" s="57" t="s">
        <v>80</v>
      </c>
      <c r="C97" s="57" t="s">
        <v>75</v>
      </c>
      <c r="D97" s="57" t="s">
        <v>33</v>
      </c>
      <c r="E97" s="57">
        <v>393</v>
      </c>
      <c r="F97" s="57">
        <v>10437</v>
      </c>
    </row>
    <row r="98" spans="1:6" x14ac:dyDescent="0.15">
      <c r="A98" s="58">
        <v>35467</v>
      </c>
      <c r="B98" s="57" t="s">
        <v>91</v>
      </c>
      <c r="C98" s="57" t="s">
        <v>81</v>
      </c>
      <c r="D98" s="57" t="s">
        <v>77</v>
      </c>
      <c r="E98" s="57">
        <v>87.59999967366457</v>
      </c>
      <c r="F98" s="57">
        <v>10438</v>
      </c>
    </row>
    <row r="99" spans="1:6" x14ac:dyDescent="0.15">
      <c r="A99" s="58">
        <v>35467</v>
      </c>
      <c r="B99" s="57" t="s">
        <v>91</v>
      </c>
      <c r="C99" s="57" t="s">
        <v>81</v>
      </c>
      <c r="D99" s="57" t="s">
        <v>42</v>
      </c>
      <c r="E99" s="57">
        <v>179.19999933242798</v>
      </c>
      <c r="F99" s="57">
        <v>10438</v>
      </c>
    </row>
    <row r="100" spans="1:6" x14ac:dyDescent="0.15">
      <c r="A100" s="58">
        <v>35467</v>
      </c>
      <c r="B100" s="57" t="s">
        <v>91</v>
      </c>
      <c r="C100" s="57" t="s">
        <v>81</v>
      </c>
      <c r="D100" s="57" t="s">
        <v>86</v>
      </c>
      <c r="E100" s="57">
        <v>187.19999930262566</v>
      </c>
      <c r="F100" s="57">
        <v>10438</v>
      </c>
    </row>
    <row r="101" spans="1:6" x14ac:dyDescent="0.15">
      <c r="A101" s="58">
        <v>35468</v>
      </c>
      <c r="B101" s="57" t="s">
        <v>74</v>
      </c>
      <c r="C101" s="57" t="s">
        <v>97</v>
      </c>
      <c r="D101" s="57" t="s">
        <v>73</v>
      </c>
      <c r="E101" s="57">
        <v>456</v>
      </c>
      <c r="F101" s="57">
        <v>10439</v>
      </c>
    </row>
    <row r="102" spans="1:6" x14ac:dyDescent="0.15">
      <c r="A102" s="58">
        <v>35468</v>
      </c>
      <c r="B102" s="57" t="s">
        <v>74</v>
      </c>
      <c r="C102" s="57" t="s">
        <v>97</v>
      </c>
      <c r="D102" s="57" t="s">
        <v>77</v>
      </c>
      <c r="E102" s="57">
        <v>222.4</v>
      </c>
      <c r="F102" s="57">
        <v>10439</v>
      </c>
    </row>
    <row r="103" spans="1:6" x14ac:dyDescent="0.15">
      <c r="A103" s="58">
        <v>35468</v>
      </c>
      <c r="B103" s="57" t="s">
        <v>74</v>
      </c>
      <c r="C103" s="57" t="s">
        <v>97</v>
      </c>
      <c r="D103" s="57" t="s">
        <v>86</v>
      </c>
      <c r="E103" s="57">
        <v>159.6</v>
      </c>
      <c r="F103" s="57">
        <v>10439</v>
      </c>
    </row>
    <row r="104" spans="1:6" x14ac:dyDescent="0.15">
      <c r="A104" s="58">
        <v>35468</v>
      </c>
      <c r="B104" s="57" t="s">
        <v>74</v>
      </c>
      <c r="C104" s="57" t="s">
        <v>97</v>
      </c>
      <c r="D104" s="57" t="s">
        <v>95</v>
      </c>
      <c r="E104" s="57">
        <v>240</v>
      </c>
      <c r="F104" s="57">
        <v>10439</v>
      </c>
    </row>
    <row r="105" spans="1:6" x14ac:dyDescent="0.15">
      <c r="A105" s="58">
        <v>35471</v>
      </c>
      <c r="B105" s="57" t="s">
        <v>91</v>
      </c>
      <c r="C105" s="57" t="s">
        <v>96</v>
      </c>
      <c r="D105" s="57" t="s">
        <v>42</v>
      </c>
      <c r="E105" s="57">
        <v>581.3999959230423</v>
      </c>
      <c r="F105" s="57">
        <v>10440</v>
      </c>
    </row>
    <row r="106" spans="1:6" x14ac:dyDescent="0.15">
      <c r="A106" s="58">
        <v>35471</v>
      </c>
      <c r="B106" s="57" t="s">
        <v>91</v>
      </c>
      <c r="C106" s="57" t="s">
        <v>96</v>
      </c>
      <c r="D106" s="57" t="s">
        <v>77</v>
      </c>
      <c r="E106" s="57">
        <v>578.93499594032767</v>
      </c>
      <c r="F106" s="57">
        <v>10440</v>
      </c>
    </row>
    <row r="107" spans="1:6" x14ac:dyDescent="0.15">
      <c r="A107" s="58">
        <v>35471</v>
      </c>
      <c r="B107" s="57" t="s">
        <v>91</v>
      </c>
      <c r="C107" s="57" t="s">
        <v>96</v>
      </c>
      <c r="D107" s="57" t="s">
        <v>33</v>
      </c>
      <c r="E107" s="57">
        <v>2019.5999858379364</v>
      </c>
      <c r="F107" s="57">
        <v>10440</v>
      </c>
    </row>
    <row r="108" spans="1:6" x14ac:dyDescent="0.15">
      <c r="A108" s="58">
        <v>35471</v>
      </c>
      <c r="B108" s="57" t="s">
        <v>91</v>
      </c>
      <c r="C108" s="57" t="s">
        <v>96</v>
      </c>
      <c r="D108" s="57" t="s">
        <v>88</v>
      </c>
      <c r="E108" s="57">
        <v>1744.1999877691269</v>
      </c>
      <c r="F108" s="57">
        <v>10440</v>
      </c>
    </row>
    <row r="109" spans="1:6" x14ac:dyDescent="0.15">
      <c r="A109" s="58">
        <v>35471</v>
      </c>
      <c r="B109" s="57" t="s">
        <v>91</v>
      </c>
      <c r="C109" s="57" t="s">
        <v>81</v>
      </c>
      <c r="D109" s="57" t="s">
        <v>77</v>
      </c>
      <c r="E109" s="57">
        <v>1755</v>
      </c>
      <c r="F109" s="57">
        <v>10441</v>
      </c>
    </row>
    <row r="110" spans="1:6" x14ac:dyDescent="0.15">
      <c r="A110" s="58">
        <v>35472</v>
      </c>
      <c r="B110" s="57" t="s">
        <v>91</v>
      </c>
      <c r="C110" s="57" t="s">
        <v>92</v>
      </c>
      <c r="D110" s="57" t="s">
        <v>73</v>
      </c>
      <c r="E110" s="57">
        <v>504</v>
      </c>
      <c r="F110" s="57">
        <v>10442</v>
      </c>
    </row>
    <row r="111" spans="1:6" x14ac:dyDescent="0.15">
      <c r="A111" s="58">
        <v>35472</v>
      </c>
      <c r="B111" s="57" t="s">
        <v>91</v>
      </c>
      <c r="C111" s="57" t="s">
        <v>92</v>
      </c>
      <c r="D111" s="57" t="s">
        <v>33</v>
      </c>
      <c r="E111" s="57">
        <v>472</v>
      </c>
      <c r="F111" s="57">
        <v>10442</v>
      </c>
    </row>
    <row r="112" spans="1:6" x14ac:dyDescent="0.15">
      <c r="A112" s="58">
        <v>35472</v>
      </c>
      <c r="B112" s="57" t="s">
        <v>91</v>
      </c>
      <c r="C112" s="57" t="s">
        <v>92</v>
      </c>
      <c r="D112" s="57" t="s">
        <v>88</v>
      </c>
      <c r="E112" s="57">
        <v>816</v>
      </c>
      <c r="F112" s="57">
        <v>10442</v>
      </c>
    </row>
    <row r="113" spans="1:6" x14ac:dyDescent="0.15">
      <c r="A113" s="58">
        <v>35473</v>
      </c>
      <c r="B113" s="57" t="s">
        <v>80</v>
      </c>
      <c r="C113" s="57" t="s">
        <v>75</v>
      </c>
      <c r="D113" s="57" t="s">
        <v>73</v>
      </c>
      <c r="E113" s="57">
        <v>80.639999699592593</v>
      </c>
      <c r="F113" s="57">
        <v>10443</v>
      </c>
    </row>
    <row r="114" spans="1:6" x14ac:dyDescent="0.15">
      <c r="A114" s="58">
        <v>35473</v>
      </c>
      <c r="B114" s="57" t="s">
        <v>80</v>
      </c>
      <c r="C114" s="57" t="s">
        <v>75</v>
      </c>
      <c r="D114" s="57" t="s">
        <v>95</v>
      </c>
      <c r="E114" s="57">
        <v>436.8</v>
      </c>
      <c r="F114" s="57">
        <v>10443</v>
      </c>
    </row>
    <row r="115" spans="1:6" x14ac:dyDescent="0.15">
      <c r="A115" s="58">
        <v>35473</v>
      </c>
      <c r="B115" s="57" t="s">
        <v>74</v>
      </c>
      <c r="C115" s="57" t="s">
        <v>81</v>
      </c>
      <c r="D115" s="57" t="s">
        <v>33</v>
      </c>
      <c r="E115" s="57">
        <v>312</v>
      </c>
      <c r="F115" s="57">
        <v>10444</v>
      </c>
    </row>
    <row r="116" spans="1:6" x14ac:dyDescent="0.15">
      <c r="A116" s="58">
        <v>35473</v>
      </c>
      <c r="B116" s="57" t="s">
        <v>74</v>
      </c>
      <c r="C116" s="57" t="s">
        <v>81</v>
      </c>
      <c r="D116" s="57" t="s">
        <v>77</v>
      </c>
      <c r="E116" s="57">
        <v>373.5</v>
      </c>
      <c r="F116" s="57">
        <v>10444</v>
      </c>
    </row>
    <row r="117" spans="1:6" x14ac:dyDescent="0.15">
      <c r="A117" s="58">
        <v>35473</v>
      </c>
      <c r="B117" s="57" t="s">
        <v>74</v>
      </c>
      <c r="C117" s="57" t="s">
        <v>81</v>
      </c>
      <c r="D117" s="57" t="s">
        <v>42</v>
      </c>
      <c r="E117" s="57">
        <v>115.2</v>
      </c>
      <c r="F117" s="57">
        <v>10444</v>
      </c>
    </row>
    <row r="118" spans="1:6" x14ac:dyDescent="0.15">
      <c r="A118" s="58">
        <v>35473</v>
      </c>
      <c r="B118" s="57" t="s">
        <v>74</v>
      </c>
      <c r="C118" s="57" t="s">
        <v>81</v>
      </c>
      <c r="D118" s="57" t="s">
        <v>82</v>
      </c>
      <c r="E118" s="57">
        <v>231</v>
      </c>
      <c r="F118" s="57">
        <v>10444</v>
      </c>
    </row>
    <row r="119" spans="1:6" x14ac:dyDescent="0.15">
      <c r="A119" s="58">
        <v>35474</v>
      </c>
      <c r="B119" s="57" t="s">
        <v>80</v>
      </c>
      <c r="C119" s="57" t="s">
        <v>81</v>
      </c>
      <c r="D119" s="57" t="s">
        <v>42</v>
      </c>
      <c r="E119" s="57">
        <v>86.4</v>
      </c>
      <c r="F119" s="57">
        <v>10445</v>
      </c>
    </row>
    <row r="120" spans="1:6" x14ac:dyDescent="0.15">
      <c r="A120" s="58">
        <v>35474</v>
      </c>
      <c r="B120" s="57" t="s">
        <v>80</v>
      </c>
      <c r="C120" s="57" t="s">
        <v>81</v>
      </c>
      <c r="D120" s="57" t="s">
        <v>33</v>
      </c>
      <c r="E120" s="57">
        <v>88.5</v>
      </c>
      <c r="F120" s="57">
        <v>10445</v>
      </c>
    </row>
    <row r="121" spans="1:6" x14ac:dyDescent="0.15">
      <c r="A121" s="58">
        <v>35475</v>
      </c>
      <c r="B121" s="57" t="s">
        <v>80</v>
      </c>
      <c r="C121" s="57" t="s">
        <v>81</v>
      </c>
      <c r="D121" s="57" t="s">
        <v>77</v>
      </c>
      <c r="E121" s="57">
        <v>78.839999869465828</v>
      </c>
      <c r="F121" s="57">
        <v>10446</v>
      </c>
    </row>
    <row r="122" spans="1:6" x14ac:dyDescent="0.15">
      <c r="A122" s="58">
        <v>35475</v>
      </c>
      <c r="B122" s="57" t="s">
        <v>80</v>
      </c>
      <c r="C122" s="57" t="s">
        <v>81</v>
      </c>
      <c r="D122" s="57" t="s">
        <v>42</v>
      </c>
      <c r="E122" s="57">
        <v>64.799999892711639</v>
      </c>
      <c r="F122" s="57">
        <v>10446</v>
      </c>
    </row>
    <row r="123" spans="1:6" x14ac:dyDescent="0.15">
      <c r="A123" s="58">
        <v>35475</v>
      </c>
      <c r="B123" s="57" t="s">
        <v>80</v>
      </c>
      <c r="C123" s="57" t="s">
        <v>81</v>
      </c>
      <c r="D123" s="57" t="s">
        <v>73</v>
      </c>
      <c r="E123" s="57">
        <v>26.999999955296516</v>
      </c>
      <c r="F123" s="57">
        <v>10446</v>
      </c>
    </row>
    <row r="124" spans="1:6" x14ac:dyDescent="0.15">
      <c r="A124" s="58">
        <v>35475</v>
      </c>
      <c r="B124" s="57" t="s">
        <v>80</v>
      </c>
      <c r="C124" s="57" t="s">
        <v>81</v>
      </c>
      <c r="D124" s="57" t="s">
        <v>86</v>
      </c>
      <c r="E124" s="57">
        <v>75.599999874830246</v>
      </c>
      <c r="F124" s="57">
        <v>10446</v>
      </c>
    </row>
    <row r="125" spans="1:6" x14ac:dyDescent="0.15">
      <c r="A125" s="58">
        <v>35475</v>
      </c>
      <c r="B125" s="57" t="s">
        <v>91</v>
      </c>
      <c r="C125" s="57" t="s">
        <v>75</v>
      </c>
      <c r="D125" s="57" t="s">
        <v>77</v>
      </c>
      <c r="E125" s="57">
        <v>292</v>
      </c>
      <c r="F125" s="57">
        <v>10447</v>
      </c>
    </row>
    <row r="126" spans="1:6" x14ac:dyDescent="0.15">
      <c r="A126" s="58">
        <v>35475</v>
      </c>
      <c r="B126" s="57" t="s">
        <v>91</v>
      </c>
      <c r="C126" s="57" t="s">
        <v>75</v>
      </c>
      <c r="D126" s="57" t="s">
        <v>88</v>
      </c>
      <c r="E126" s="57">
        <v>588</v>
      </c>
      <c r="F126" s="57">
        <v>10447</v>
      </c>
    </row>
    <row r="127" spans="1:6" x14ac:dyDescent="0.15">
      <c r="A127" s="58">
        <v>35475</v>
      </c>
      <c r="B127" s="57" t="s">
        <v>91</v>
      </c>
      <c r="C127" s="57" t="s">
        <v>75</v>
      </c>
      <c r="D127" s="57" t="s">
        <v>73</v>
      </c>
      <c r="E127" s="57">
        <v>34.4</v>
      </c>
      <c r="F127" s="57">
        <v>10447</v>
      </c>
    </row>
    <row r="128" spans="1:6" x14ac:dyDescent="0.15">
      <c r="A128" s="58">
        <v>35478</v>
      </c>
      <c r="B128" s="57" t="s">
        <v>91</v>
      </c>
      <c r="C128" s="57" t="s">
        <v>92</v>
      </c>
      <c r="D128" s="57" t="s">
        <v>77</v>
      </c>
      <c r="E128" s="57">
        <v>149.4</v>
      </c>
      <c r="F128" s="57">
        <v>10448</v>
      </c>
    </row>
    <row r="129" spans="1:6" x14ac:dyDescent="0.15">
      <c r="A129" s="58">
        <v>35478</v>
      </c>
      <c r="B129" s="57" t="s">
        <v>91</v>
      </c>
      <c r="C129" s="57" t="s">
        <v>92</v>
      </c>
      <c r="D129" s="57" t="s">
        <v>82</v>
      </c>
      <c r="E129" s="57">
        <v>294</v>
      </c>
      <c r="F129" s="57">
        <v>10448</v>
      </c>
    </row>
    <row r="130" spans="1:6" x14ac:dyDescent="0.15">
      <c r="A130" s="58">
        <v>35479</v>
      </c>
      <c r="B130" s="57" t="s">
        <v>91</v>
      </c>
      <c r="C130" s="57" t="s">
        <v>97</v>
      </c>
      <c r="D130" s="57" t="s">
        <v>82</v>
      </c>
      <c r="E130" s="57">
        <v>347.2</v>
      </c>
      <c r="F130" s="57">
        <v>10449</v>
      </c>
    </row>
    <row r="131" spans="1:6" x14ac:dyDescent="0.15">
      <c r="A131" s="58">
        <v>35479</v>
      </c>
      <c r="B131" s="57" t="s">
        <v>91</v>
      </c>
      <c r="C131" s="57" t="s">
        <v>97</v>
      </c>
      <c r="D131" s="57" t="s">
        <v>86</v>
      </c>
      <c r="E131" s="57">
        <v>112</v>
      </c>
      <c r="F131" s="57">
        <v>10449</v>
      </c>
    </row>
    <row r="132" spans="1:6" x14ac:dyDescent="0.15">
      <c r="A132" s="58">
        <v>35479</v>
      </c>
      <c r="B132" s="57" t="s">
        <v>91</v>
      </c>
      <c r="C132" s="57" t="s">
        <v>97</v>
      </c>
      <c r="D132" s="57" t="s">
        <v>77</v>
      </c>
      <c r="E132" s="57">
        <v>1379</v>
      </c>
      <c r="F132" s="57">
        <v>10449</v>
      </c>
    </row>
    <row r="133" spans="1:6" x14ac:dyDescent="0.15">
      <c r="A133" s="58">
        <v>35480</v>
      </c>
      <c r="B133" s="57" t="s">
        <v>91</v>
      </c>
      <c r="C133" s="57" t="s">
        <v>75</v>
      </c>
      <c r="D133" s="57" t="s">
        <v>82</v>
      </c>
      <c r="E133" s="57">
        <v>396.79999852180481</v>
      </c>
      <c r="F133" s="57">
        <v>10450</v>
      </c>
    </row>
    <row r="134" spans="1:6" x14ac:dyDescent="0.15">
      <c r="A134" s="58">
        <v>35480</v>
      </c>
      <c r="B134" s="57" t="s">
        <v>91</v>
      </c>
      <c r="C134" s="57" t="s">
        <v>75</v>
      </c>
      <c r="D134" s="57" t="s">
        <v>33</v>
      </c>
      <c r="E134" s="57">
        <v>28.319999894499777</v>
      </c>
      <c r="F134" s="57">
        <v>10450</v>
      </c>
    </row>
    <row r="135" spans="1:6" x14ac:dyDescent="0.15">
      <c r="A135" s="58">
        <v>35480</v>
      </c>
      <c r="B135" s="57" t="s">
        <v>74</v>
      </c>
      <c r="C135" s="57" t="s">
        <v>75</v>
      </c>
      <c r="D135" s="57" t="s">
        <v>33</v>
      </c>
      <c r="E135" s="57">
        <v>2073.5999965667725</v>
      </c>
      <c r="F135" s="57">
        <v>10451</v>
      </c>
    </row>
    <row r="136" spans="1:6" x14ac:dyDescent="0.15">
      <c r="A136" s="58">
        <v>35480</v>
      </c>
      <c r="B136" s="57" t="s">
        <v>74</v>
      </c>
      <c r="C136" s="57" t="s">
        <v>75</v>
      </c>
      <c r="D136" s="57" t="s">
        <v>86</v>
      </c>
      <c r="E136" s="57">
        <v>837.89999861270189</v>
      </c>
      <c r="F136" s="57">
        <v>10451</v>
      </c>
    </row>
    <row r="137" spans="1:6" x14ac:dyDescent="0.15">
      <c r="A137" s="58">
        <v>35480</v>
      </c>
      <c r="B137" s="57" t="s">
        <v>74</v>
      </c>
      <c r="C137" s="57" t="s">
        <v>75</v>
      </c>
      <c r="D137" s="57" t="s">
        <v>88</v>
      </c>
      <c r="E137" s="57">
        <v>423.35999929904938</v>
      </c>
      <c r="F137" s="57">
        <v>10451</v>
      </c>
    </row>
    <row r="138" spans="1:6" x14ac:dyDescent="0.15">
      <c r="A138" s="58">
        <v>35480</v>
      </c>
      <c r="B138" s="57" t="s">
        <v>74</v>
      </c>
      <c r="C138" s="57" t="s">
        <v>75</v>
      </c>
      <c r="D138" s="57" t="s">
        <v>88</v>
      </c>
      <c r="E138" s="57">
        <v>514.79999914765358</v>
      </c>
      <c r="F138" s="57">
        <v>10451</v>
      </c>
    </row>
    <row r="139" spans="1:6" x14ac:dyDescent="0.15">
      <c r="A139" s="58">
        <v>35481</v>
      </c>
      <c r="B139" s="57" t="s">
        <v>80</v>
      </c>
      <c r="C139" s="57" t="s">
        <v>96</v>
      </c>
      <c r="D139" s="57" t="s">
        <v>95</v>
      </c>
      <c r="E139" s="57">
        <v>546</v>
      </c>
      <c r="F139" s="57">
        <v>10452</v>
      </c>
    </row>
    <row r="140" spans="1:6" x14ac:dyDescent="0.15">
      <c r="A140" s="58">
        <v>35481</v>
      </c>
      <c r="B140" s="57" t="s">
        <v>80</v>
      </c>
      <c r="C140" s="57" t="s">
        <v>96</v>
      </c>
      <c r="D140" s="57" t="s">
        <v>88</v>
      </c>
      <c r="E140" s="57">
        <v>1472.49999884516</v>
      </c>
      <c r="F140" s="57">
        <v>10452</v>
      </c>
    </row>
    <row r="141" spans="1:6" x14ac:dyDescent="0.15">
      <c r="A141" s="58">
        <v>35482</v>
      </c>
      <c r="B141" s="57" t="s">
        <v>91</v>
      </c>
      <c r="C141" s="57" t="s">
        <v>92</v>
      </c>
      <c r="D141" s="57" t="s">
        <v>77</v>
      </c>
      <c r="E141" s="57">
        <v>137.69999977201223</v>
      </c>
      <c r="F141" s="57">
        <v>10453</v>
      </c>
    </row>
    <row r="142" spans="1:6" x14ac:dyDescent="0.15">
      <c r="A142" s="58">
        <v>35482</v>
      </c>
      <c r="B142" s="57" t="s">
        <v>91</v>
      </c>
      <c r="C142" s="57" t="s">
        <v>92</v>
      </c>
      <c r="D142" s="57" t="s">
        <v>42</v>
      </c>
      <c r="E142" s="57">
        <v>269.99999955296516</v>
      </c>
      <c r="F142" s="57">
        <v>10453</v>
      </c>
    </row>
    <row r="143" spans="1:6" x14ac:dyDescent="0.15">
      <c r="A143" s="58">
        <v>35482</v>
      </c>
      <c r="B143" s="57" t="s">
        <v>74</v>
      </c>
      <c r="C143" s="57" t="s">
        <v>75</v>
      </c>
      <c r="D143" s="57" t="s">
        <v>77</v>
      </c>
      <c r="E143" s="57">
        <v>222.39999917149544</v>
      </c>
      <c r="F143" s="57">
        <v>10454</v>
      </c>
    </row>
    <row r="144" spans="1:6" x14ac:dyDescent="0.15">
      <c r="A144" s="58">
        <v>35482</v>
      </c>
      <c r="B144" s="57" t="s">
        <v>74</v>
      </c>
      <c r="C144" s="57" t="s">
        <v>75</v>
      </c>
      <c r="D144" s="57" t="s">
        <v>73</v>
      </c>
      <c r="E144" s="57">
        <v>31.99999988079071</v>
      </c>
      <c r="F144" s="57">
        <v>10454</v>
      </c>
    </row>
    <row r="145" spans="1:6" x14ac:dyDescent="0.15">
      <c r="A145" s="58">
        <v>35482</v>
      </c>
      <c r="B145" s="57" t="s">
        <v>74</v>
      </c>
      <c r="C145" s="57" t="s">
        <v>75</v>
      </c>
      <c r="D145" s="57" t="s">
        <v>82</v>
      </c>
      <c r="E145" s="57">
        <v>76.799999713897705</v>
      </c>
      <c r="F145" s="57">
        <v>10454</v>
      </c>
    </row>
    <row r="146" spans="1:6" x14ac:dyDescent="0.15">
      <c r="A146" s="58">
        <v>35485</v>
      </c>
      <c r="B146" s="57" t="s">
        <v>91</v>
      </c>
      <c r="C146" s="57" t="s">
        <v>75</v>
      </c>
      <c r="D146" s="57" t="s">
        <v>42</v>
      </c>
      <c r="E146" s="57">
        <v>288</v>
      </c>
      <c r="F146" s="57">
        <v>10455</v>
      </c>
    </row>
    <row r="147" spans="1:6" x14ac:dyDescent="0.15">
      <c r="A147" s="58">
        <v>35485</v>
      </c>
      <c r="B147" s="57" t="s">
        <v>91</v>
      </c>
      <c r="C147" s="57" t="s">
        <v>75</v>
      </c>
      <c r="D147" s="57" t="s">
        <v>33</v>
      </c>
      <c r="E147" s="57">
        <v>1310</v>
      </c>
      <c r="F147" s="57">
        <v>10455</v>
      </c>
    </row>
    <row r="148" spans="1:6" x14ac:dyDescent="0.15">
      <c r="A148" s="58">
        <v>35485</v>
      </c>
      <c r="B148" s="57" t="s">
        <v>91</v>
      </c>
      <c r="C148" s="57" t="s">
        <v>75</v>
      </c>
      <c r="D148" s="57" t="s">
        <v>88</v>
      </c>
      <c r="E148" s="57">
        <v>570</v>
      </c>
      <c r="F148" s="57">
        <v>10455</v>
      </c>
    </row>
    <row r="149" spans="1:6" x14ac:dyDescent="0.15">
      <c r="A149" s="58">
        <v>35485</v>
      </c>
      <c r="B149" s="57" t="s">
        <v>91</v>
      </c>
      <c r="C149" s="57" t="s">
        <v>75</v>
      </c>
      <c r="D149" s="57" t="s">
        <v>73</v>
      </c>
      <c r="E149" s="57">
        <v>516</v>
      </c>
      <c r="F149" s="57">
        <v>10455</v>
      </c>
    </row>
    <row r="150" spans="1:6" x14ac:dyDescent="0.15">
      <c r="A150" s="58">
        <v>35486</v>
      </c>
      <c r="B150" s="57" t="s">
        <v>91</v>
      </c>
      <c r="C150" s="57" t="s">
        <v>96</v>
      </c>
      <c r="D150" s="57" t="s">
        <v>77</v>
      </c>
      <c r="E150" s="57">
        <v>271.99999809265137</v>
      </c>
      <c r="F150" s="57">
        <v>10456</v>
      </c>
    </row>
    <row r="151" spans="1:6" x14ac:dyDescent="0.15">
      <c r="A151" s="58">
        <v>35486</v>
      </c>
      <c r="B151" s="57" t="s">
        <v>91</v>
      </c>
      <c r="C151" s="57" t="s">
        <v>96</v>
      </c>
      <c r="D151" s="57" t="s">
        <v>77</v>
      </c>
      <c r="E151" s="57">
        <v>285.59999799728394</v>
      </c>
      <c r="F151" s="57">
        <v>10456</v>
      </c>
    </row>
    <row r="152" spans="1:6" x14ac:dyDescent="0.15">
      <c r="A152" s="58">
        <v>35486</v>
      </c>
      <c r="B152" s="57" t="s">
        <v>80</v>
      </c>
      <c r="C152" s="57" t="s">
        <v>96</v>
      </c>
      <c r="D152" s="57" t="s">
        <v>73</v>
      </c>
      <c r="E152" s="57">
        <v>1584</v>
      </c>
      <c r="F152" s="57">
        <v>10457</v>
      </c>
    </row>
    <row r="153" spans="1:6" x14ac:dyDescent="0.15">
      <c r="A153" s="58">
        <v>35487</v>
      </c>
      <c r="B153" s="57" t="s">
        <v>74</v>
      </c>
      <c r="C153" s="57" t="s">
        <v>75</v>
      </c>
      <c r="D153" s="57" t="s">
        <v>77</v>
      </c>
      <c r="E153" s="57">
        <v>747</v>
      </c>
      <c r="F153" s="57">
        <v>10458</v>
      </c>
    </row>
    <row r="154" spans="1:6" x14ac:dyDescent="0.15">
      <c r="A154" s="58">
        <v>35487</v>
      </c>
      <c r="B154" s="57" t="s">
        <v>74</v>
      </c>
      <c r="C154" s="57" t="s">
        <v>75</v>
      </c>
      <c r="D154" s="57" t="s">
        <v>95</v>
      </c>
      <c r="E154" s="57">
        <v>1092</v>
      </c>
      <c r="F154" s="57">
        <v>10458</v>
      </c>
    </row>
    <row r="155" spans="1:6" x14ac:dyDescent="0.15">
      <c r="A155" s="58">
        <v>35487</v>
      </c>
      <c r="B155" s="57" t="s">
        <v>74</v>
      </c>
      <c r="C155" s="57" t="s">
        <v>75</v>
      </c>
      <c r="D155" s="57" t="s">
        <v>42</v>
      </c>
      <c r="E155" s="57">
        <v>736</v>
      </c>
      <c r="F155" s="57">
        <v>10458</v>
      </c>
    </row>
    <row r="156" spans="1:6" x14ac:dyDescent="0.15">
      <c r="A156" s="58">
        <v>35487</v>
      </c>
      <c r="B156" s="57" t="s">
        <v>74</v>
      </c>
      <c r="C156" s="57" t="s">
        <v>75</v>
      </c>
      <c r="D156" s="57" t="s">
        <v>86</v>
      </c>
      <c r="E156" s="57">
        <v>456</v>
      </c>
      <c r="F156" s="57">
        <v>10458</v>
      </c>
    </row>
    <row r="157" spans="1:6" x14ac:dyDescent="0.15">
      <c r="A157" s="58">
        <v>35487</v>
      </c>
      <c r="B157" s="57" t="s">
        <v>74</v>
      </c>
      <c r="C157" s="57" t="s">
        <v>75</v>
      </c>
      <c r="D157" s="57" t="s">
        <v>73</v>
      </c>
      <c r="E157" s="57">
        <v>860</v>
      </c>
      <c r="F157" s="57">
        <v>10458</v>
      </c>
    </row>
    <row r="158" spans="1:6" x14ac:dyDescent="0.15">
      <c r="A158" s="58">
        <v>35488</v>
      </c>
      <c r="B158" s="57" t="s">
        <v>91</v>
      </c>
      <c r="C158" s="57" t="s">
        <v>75</v>
      </c>
      <c r="D158" s="57" t="s">
        <v>95</v>
      </c>
      <c r="E158" s="57">
        <v>364.79999971389771</v>
      </c>
      <c r="F158" s="57">
        <v>10459</v>
      </c>
    </row>
    <row r="159" spans="1:6" x14ac:dyDescent="0.15">
      <c r="A159" s="58">
        <v>35488</v>
      </c>
      <c r="B159" s="57" t="s">
        <v>91</v>
      </c>
      <c r="C159" s="57" t="s">
        <v>75</v>
      </c>
      <c r="D159" s="57" t="s">
        <v>82</v>
      </c>
      <c r="E159" s="57">
        <v>182.39999985694885</v>
      </c>
      <c r="F159" s="57">
        <v>10459</v>
      </c>
    </row>
    <row r="160" spans="1:6" x14ac:dyDescent="0.15">
      <c r="A160" s="58">
        <v>35488</v>
      </c>
      <c r="B160" s="57" t="s">
        <v>91</v>
      </c>
      <c r="C160" s="57" t="s">
        <v>75</v>
      </c>
      <c r="D160" s="57" t="s">
        <v>73</v>
      </c>
      <c r="E160" s="57">
        <v>1112</v>
      </c>
      <c r="F160" s="57">
        <v>10459</v>
      </c>
    </row>
    <row r="161" spans="1:6" x14ac:dyDescent="0.15">
      <c r="A161" s="58">
        <v>35489</v>
      </c>
      <c r="B161" s="57" t="s">
        <v>80</v>
      </c>
      <c r="C161" s="57" t="s">
        <v>81</v>
      </c>
      <c r="D161" s="57" t="s">
        <v>77</v>
      </c>
      <c r="E161" s="57">
        <v>157.5</v>
      </c>
      <c r="F161" s="57">
        <v>10460</v>
      </c>
    </row>
    <row r="162" spans="1:6" x14ac:dyDescent="0.15">
      <c r="A162" s="58">
        <v>35489</v>
      </c>
      <c r="B162" s="57" t="s">
        <v>80</v>
      </c>
      <c r="C162" s="57" t="s">
        <v>81</v>
      </c>
      <c r="D162" s="57" t="s">
        <v>42</v>
      </c>
      <c r="E162" s="57">
        <v>18.600000000000001</v>
      </c>
      <c r="F162" s="57">
        <v>10460</v>
      </c>
    </row>
    <row r="163" spans="1:6" x14ac:dyDescent="0.15">
      <c r="A163" s="58">
        <v>35489</v>
      </c>
      <c r="B163" s="57" t="s">
        <v>74</v>
      </c>
      <c r="C163" s="57" t="s">
        <v>75</v>
      </c>
      <c r="D163" s="57" t="s">
        <v>77</v>
      </c>
      <c r="E163" s="57">
        <v>240</v>
      </c>
      <c r="F163" s="57">
        <v>10461</v>
      </c>
    </row>
    <row r="164" spans="1:6" x14ac:dyDescent="0.15">
      <c r="A164" s="58">
        <v>35489</v>
      </c>
      <c r="B164" s="57" t="s">
        <v>74</v>
      </c>
      <c r="C164" s="57" t="s">
        <v>75</v>
      </c>
      <c r="D164" s="57" t="s">
        <v>82</v>
      </c>
      <c r="E164" s="57">
        <v>434.70000000000005</v>
      </c>
      <c r="F164" s="57">
        <v>10461</v>
      </c>
    </row>
    <row r="165" spans="1:6" x14ac:dyDescent="0.15">
      <c r="A165" s="58">
        <v>35489</v>
      </c>
      <c r="B165" s="57" t="s">
        <v>74</v>
      </c>
      <c r="C165" s="57" t="s">
        <v>75</v>
      </c>
      <c r="D165" s="57" t="s">
        <v>33</v>
      </c>
      <c r="E165" s="57">
        <v>864</v>
      </c>
      <c r="F165" s="57">
        <v>10461</v>
      </c>
    </row>
    <row r="166" spans="1:6" x14ac:dyDescent="0.15">
      <c r="A166" s="58">
        <v>35492</v>
      </c>
      <c r="B166" s="57" t="s">
        <v>80</v>
      </c>
      <c r="C166" s="57" t="s">
        <v>92</v>
      </c>
      <c r="D166" s="57" t="s">
        <v>82</v>
      </c>
      <c r="E166" s="57">
        <v>4.8</v>
      </c>
      <c r="F166" s="57">
        <v>10462</v>
      </c>
    </row>
    <row r="167" spans="1:6" x14ac:dyDescent="0.15">
      <c r="A167" s="58">
        <v>35492</v>
      </c>
      <c r="B167" s="57" t="s">
        <v>80</v>
      </c>
      <c r="C167" s="57" t="s">
        <v>92</v>
      </c>
      <c r="D167" s="57" t="s">
        <v>86</v>
      </c>
      <c r="E167" s="57">
        <v>151.19999999999999</v>
      </c>
      <c r="F167" s="57">
        <v>10462</v>
      </c>
    </row>
    <row r="168" spans="1:6" x14ac:dyDescent="0.15">
      <c r="A168" s="58">
        <v>35493</v>
      </c>
      <c r="B168" s="57" t="s">
        <v>74</v>
      </c>
      <c r="C168" s="57" t="s">
        <v>75</v>
      </c>
      <c r="D168" s="57" t="s">
        <v>77</v>
      </c>
      <c r="E168" s="57">
        <v>153.30000000000001</v>
      </c>
      <c r="F168" s="57">
        <v>10463</v>
      </c>
    </row>
    <row r="169" spans="1:6" x14ac:dyDescent="0.15">
      <c r="A169" s="58">
        <v>35493</v>
      </c>
      <c r="B169" s="57" t="s">
        <v>74</v>
      </c>
      <c r="C169" s="57" t="s">
        <v>75</v>
      </c>
      <c r="D169" s="57" t="s">
        <v>86</v>
      </c>
      <c r="E169" s="57">
        <v>560</v>
      </c>
      <c r="F169" s="57">
        <v>10463</v>
      </c>
    </row>
    <row r="170" spans="1:6" x14ac:dyDescent="0.15">
      <c r="A170" s="58">
        <v>35493</v>
      </c>
      <c r="B170" s="57" t="s">
        <v>91</v>
      </c>
      <c r="C170" s="57" t="s">
        <v>81</v>
      </c>
      <c r="D170" s="57" t="s">
        <v>88</v>
      </c>
      <c r="E170" s="57">
        <v>225.27999916076661</v>
      </c>
      <c r="F170" s="57">
        <v>10464</v>
      </c>
    </row>
    <row r="171" spans="1:6" x14ac:dyDescent="0.15">
      <c r="A171" s="58">
        <v>35493</v>
      </c>
      <c r="B171" s="57" t="s">
        <v>91</v>
      </c>
      <c r="C171" s="57" t="s">
        <v>81</v>
      </c>
      <c r="D171" s="57" t="s">
        <v>42</v>
      </c>
      <c r="E171" s="57">
        <v>110.4</v>
      </c>
      <c r="F171" s="57">
        <v>10464</v>
      </c>
    </row>
    <row r="172" spans="1:6" x14ac:dyDescent="0.15">
      <c r="A172" s="58">
        <v>35493</v>
      </c>
      <c r="B172" s="57" t="s">
        <v>91</v>
      </c>
      <c r="C172" s="57" t="s">
        <v>81</v>
      </c>
      <c r="D172" s="57" t="s">
        <v>86</v>
      </c>
      <c r="E172" s="57">
        <v>729.5999972820282</v>
      </c>
      <c r="F172" s="57">
        <v>10464</v>
      </c>
    </row>
    <row r="173" spans="1:6" x14ac:dyDescent="0.15">
      <c r="A173" s="58">
        <v>35493</v>
      </c>
      <c r="B173" s="57" t="s">
        <v>91</v>
      </c>
      <c r="C173" s="57" t="s">
        <v>81</v>
      </c>
      <c r="D173" s="57" t="s">
        <v>73</v>
      </c>
      <c r="E173" s="57">
        <v>544</v>
      </c>
      <c r="F173" s="57">
        <v>10464</v>
      </c>
    </row>
    <row r="174" spans="1:6" x14ac:dyDescent="0.15">
      <c r="A174" s="58">
        <v>35494</v>
      </c>
      <c r="B174" s="57" t="s">
        <v>74</v>
      </c>
      <c r="C174" s="57" t="s">
        <v>92</v>
      </c>
      <c r="D174" s="57" t="s">
        <v>42</v>
      </c>
      <c r="E174" s="57">
        <v>90</v>
      </c>
      <c r="F174" s="57">
        <v>10465</v>
      </c>
    </row>
    <row r="175" spans="1:6" x14ac:dyDescent="0.15">
      <c r="A175" s="58">
        <v>35494</v>
      </c>
      <c r="B175" s="57" t="s">
        <v>74</v>
      </c>
      <c r="C175" s="57" t="s">
        <v>92</v>
      </c>
      <c r="D175" s="57" t="s">
        <v>33</v>
      </c>
      <c r="E175" s="57">
        <v>1603.7999973446131</v>
      </c>
      <c r="F175" s="57">
        <v>10465</v>
      </c>
    </row>
    <row r="176" spans="1:6" x14ac:dyDescent="0.15">
      <c r="A176" s="58">
        <v>35494</v>
      </c>
      <c r="B176" s="57" t="s">
        <v>74</v>
      </c>
      <c r="C176" s="57" t="s">
        <v>92</v>
      </c>
      <c r="D176" s="57" t="s">
        <v>82</v>
      </c>
      <c r="E176" s="57">
        <v>294</v>
      </c>
      <c r="F176" s="57">
        <v>10465</v>
      </c>
    </row>
    <row r="177" spans="1:6" x14ac:dyDescent="0.15">
      <c r="A177" s="58">
        <v>35494</v>
      </c>
      <c r="B177" s="57" t="s">
        <v>74</v>
      </c>
      <c r="C177" s="57" t="s">
        <v>92</v>
      </c>
      <c r="D177" s="57" t="s">
        <v>82</v>
      </c>
      <c r="E177" s="57">
        <v>205.19999966025352</v>
      </c>
      <c r="F177" s="57">
        <v>10465</v>
      </c>
    </row>
    <row r="178" spans="1:6" x14ac:dyDescent="0.15">
      <c r="A178" s="58">
        <v>35494</v>
      </c>
      <c r="B178" s="57" t="s">
        <v>74</v>
      </c>
      <c r="C178" s="57" t="s">
        <v>92</v>
      </c>
      <c r="D178" s="57" t="s">
        <v>77</v>
      </c>
      <c r="E178" s="57">
        <v>325</v>
      </c>
      <c r="F178" s="57">
        <v>10465</v>
      </c>
    </row>
    <row r="179" spans="1:6" x14ac:dyDescent="0.15">
      <c r="A179" s="58">
        <v>35495</v>
      </c>
      <c r="B179" s="57" t="s">
        <v>80</v>
      </c>
      <c r="C179" s="57" t="s">
        <v>75</v>
      </c>
      <c r="D179" s="57" t="s">
        <v>73</v>
      </c>
      <c r="E179" s="57">
        <v>168</v>
      </c>
      <c r="F179" s="57">
        <v>10466</v>
      </c>
    </row>
    <row r="180" spans="1:6" x14ac:dyDescent="0.15">
      <c r="A180" s="58">
        <v>35495</v>
      </c>
      <c r="B180" s="57" t="s">
        <v>80</v>
      </c>
      <c r="C180" s="57" t="s">
        <v>75</v>
      </c>
      <c r="D180" s="57" t="s">
        <v>82</v>
      </c>
      <c r="E180" s="57">
        <v>48</v>
      </c>
      <c r="F180" s="57">
        <v>10466</v>
      </c>
    </row>
    <row r="181" spans="1:6" x14ac:dyDescent="0.15">
      <c r="A181" s="58">
        <v>35495</v>
      </c>
      <c r="B181" s="57" t="s">
        <v>91</v>
      </c>
      <c r="C181" s="57" t="s">
        <v>92</v>
      </c>
      <c r="D181" s="57" t="s">
        <v>42</v>
      </c>
      <c r="E181" s="57">
        <v>100.8</v>
      </c>
      <c r="F181" s="57">
        <v>10467</v>
      </c>
    </row>
    <row r="182" spans="1:6" x14ac:dyDescent="0.15">
      <c r="A182" s="58">
        <v>35495</v>
      </c>
      <c r="B182" s="57" t="s">
        <v>91</v>
      </c>
      <c r="C182" s="57" t="s">
        <v>92</v>
      </c>
      <c r="D182" s="57" t="s">
        <v>77</v>
      </c>
      <c r="E182" s="57">
        <v>134.4</v>
      </c>
      <c r="F182" s="57">
        <v>10467</v>
      </c>
    </row>
    <row r="183" spans="1:6" x14ac:dyDescent="0.15">
      <c r="A183" s="58">
        <v>35496</v>
      </c>
      <c r="B183" s="57" t="s">
        <v>74</v>
      </c>
      <c r="C183" s="57" t="s">
        <v>96</v>
      </c>
      <c r="D183" s="57" t="s">
        <v>82</v>
      </c>
      <c r="E183" s="57">
        <v>165.6</v>
      </c>
      <c r="F183" s="57">
        <v>10468</v>
      </c>
    </row>
    <row r="184" spans="1:6" x14ac:dyDescent="0.15">
      <c r="A184" s="58">
        <v>35496</v>
      </c>
      <c r="B184" s="57" t="s">
        <v>74</v>
      </c>
      <c r="C184" s="57" t="s">
        <v>96</v>
      </c>
      <c r="D184" s="57" t="s">
        <v>42</v>
      </c>
      <c r="E184" s="57">
        <v>552</v>
      </c>
      <c r="F184" s="57">
        <v>10468</v>
      </c>
    </row>
    <row r="185" spans="1:6" x14ac:dyDescent="0.15">
      <c r="A185" s="58">
        <v>35499</v>
      </c>
      <c r="B185" s="57" t="s">
        <v>80</v>
      </c>
      <c r="C185" s="57" t="s">
        <v>81</v>
      </c>
      <c r="D185" s="57" t="s">
        <v>42</v>
      </c>
      <c r="E185" s="57">
        <v>516.7999963760376</v>
      </c>
      <c r="F185" s="57">
        <v>10469</v>
      </c>
    </row>
    <row r="186" spans="1:6" x14ac:dyDescent="0.15">
      <c r="A186" s="58">
        <v>35499</v>
      </c>
      <c r="B186" s="57" t="s">
        <v>80</v>
      </c>
      <c r="C186" s="57" t="s">
        <v>81</v>
      </c>
      <c r="D186" s="57" t="s">
        <v>77</v>
      </c>
      <c r="E186" s="57">
        <v>413.52499710023403</v>
      </c>
      <c r="F186" s="57">
        <v>10469</v>
      </c>
    </row>
    <row r="187" spans="1:6" x14ac:dyDescent="0.15">
      <c r="A187" s="58">
        <v>35499</v>
      </c>
      <c r="B187" s="57" t="s">
        <v>80</v>
      </c>
      <c r="C187" s="57" t="s">
        <v>81</v>
      </c>
      <c r="D187" s="57" t="s">
        <v>88</v>
      </c>
      <c r="E187" s="57">
        <v>26.349999815225601</v>
      </c>
      <c r="F187" s="57">
        <v>10469</v>
      </c>
    </row>
    <row r="188" spans="1:6" x14ac:dyDescent="0.15">
      <c r="A188" s="58">
        <v>35500</v>
      </c>
      <c r="B188" s="57" t="s">
        <v>91</v>
      </c>
      <c r="C188" s="57" t="s">
        <v>96</v>
      </c>
      <c r="D188" s="57" t="s">
        <v>82</v>
      </c>
      <c r="E188" s="57">
        <v>1500</v>
      </c>
      <c r="F188" s="57">
        <v>10470</v>
      </c>
    </row>
    <row r="189" spans="1:6" x14ac:dyDescent="0.15">
      <c r="A189" s="58">
        <v>35500</v>
      </c>
      <c r="B189" s="57" t="s">
        <v>91</v>
      </c>
      <c r="C189" s="57" t="s">
        <v>96</v>
      </c>
      <c r="D189" s="57" t="s">
        <v>86</v>
      </c>
      <c r="E189" s="57">
        <v>108</v>
      </c>
      <c r="F189" s="57">
        <v>10470</v>
      </c>
    </row>
    <row r="190" spans="1:6" x14ac:dyDescent="0.15">
      <c r="A190" s="58">
        <v>35500</v>
      </c>
      <c r="B190" s="57" t="s">
        <v>91</v>
      </c>
      <c r="C190" s="57" t="s">
        <v>96</v>
      </c>
      <c r="D190" s="57" t="s">
        <v>86</v>
      </c>
      <c r="E190" s="57">
        <v>212.8</v>
      </c>
      <c r="F190" s="57">
        <v>10470</v>
      </c>
    </row>
    <row r="191" spans="1:6" x14ac:dyDescent="0.15">
      <c r="A191" s="58">
        <v>35500</v>
      </c>
      <c r="B191" s="57" t="s">
        <v>74</v>
      </c>
      <c r="C191" s="57" t="s">
        <v>92</v>
      </c>
      <c r="D191" s="57" t="s">
        <v>95</v>
      </c>
      <c r="E191" s="57">
        <v>720</v>
      </c>
      <c r="F191" s="57">
        <v>10471</v>
      </c>
    </row>
    <row r="192" spans="1:6" x14ac:dyDescent="0.15">
      <c r="A192" s="58">
        <v>35500</v>
      </c>
      <c r="B192" s="57" t="s">
        <v>74</v>
      </c>
      <c r="C192" s="57" t="s">
        <v>92</v>
      </c>
      <c r="D192" s="57" t="s">
        <v>86</v>
      </c>
      <c r="E192" s="57">
        <v>608</v>
      </c>
      <c r="F192" s="57">
        <v>10471</v>
      </c>
    </row>
    <row r="193" spans="1:6" x14ac:dyDescent="0.15">
      <c r="A193" s="58">
        <v>35501</v>
      </c>
      <c r="B193" s="57" t="s">
        <v>80</v>
      </c>
      <c r="C193" s="57" t="s">
        <v>75</v>
      </c>
      <c r="D193" s="57" t="s">
        <v>42</v>
      </c>
      <c r="E193" s="57">
        <v>273.59999978542328</v>
      </c>
      <c r="F193" s="57">
        <v>10472</v>
      </c>
    </row>
    <row r="194" spans="1:6" x14ac:dyDescent="0.15">
      <c r="A194" s="58">
        <v>35501</v>
      </c>
      <c r="B194" s="57" t="s">
        <v>80</v>
      </c>
      <c r="C194" s="57" t="s">
        <v>75</v>
      </c>
      <c r="D194" s="57" t="s">
        <v>95</v>
      </c>
      <c r="E194" s="57">
        <v>763.2</v>
      </c>
      <c r="F194" s="57">
        <v>10472</v>
      </c>
    </row>
    <row r="195" spans="1:6" x14ac:dyDescent="0.15">
      <c r="A195" s="58">
        <v>35502</v>
      </c>
      <c r="B195" s="57" t="s">
        <v>74</v>
      </c>
      <c r="C195" s="57" t="s">
        <v>98</v>
      </c>
      <c r="D195" s="57" t="s">
        <v>73</v>
      </c>
      <c r="E195" s="57">
        <v>24</v>
      </c>
      <c r="F195" s="57">
        <v>10473</v>
      </c>
    </row>
    <row r="196" spans="1:6" x14ac:dyDescent="0.15">
      <c r="A196" s="58">
        <v>35502</v>
      </c>
      <c r="B196" s="57" t="s">
        <v>74</v>
      </c>
      <c r="C196" s="57" t="s">
        <v>98</v>
      </c>
      <c r="D196" s="57" t="s">
        <v>73</v>
      </c>
      <c r="E196" s="57">
        <v>206.4</v>
      </c>
      <c r="F196" s="57">
        <v>10473</v>
      </c>
    </row>
    <row r="197" spans="1:6" x14ac:dyDescent="0.15">
      <c r="A197" s="58">
        <v>35502</v>
      </c>
      <c r="B197" s="57" t="s">
        <v>91</v>
      </c>
      <c r="C197" s="57" t="s">
        <v>75</v>
      </c>
      <c r="D197" s="57" t="s">
        <v>95</v>
      </c>
      <c r="E197" s="57">
        <v>223.2</v>
      </c>
      <c r="F197" s="57">
        <v>10474</v>
      </c>
    </row>
    <row r="198" spans="1:6" x14ac:dyDescent="0.15">
      <c r="A198" s="58">
        <v>35502</v>
      </c>
      <c r="B198" s="57" t="s">
        <v>91</v>
      </c>
      <c r="C198" s="57" t="s">
        <v>75</v>
      </c>
      <c r="D198" s="57" t="s">
        <v>95</v>
      </c>
      <c r="E198" s="57">
        <v>655.20000000000005</v>
      </c>
      <c r="F198" s="57">
        <v>10474</v>
      </c>
    </row>
    <row r="199" spans="1:6" x14ac:dyDescent="0.15">
      <c r="A199" s="58">
        <v>35502</v>
      </c>
      <c r="B199" s="57" t="s">
        <v>91</v>
      </c>
      <c r="C199" s="57" t="s">
        <v>75</v>
      </c>
      <c r="D199" s="57" t="s">
        <v>82</v>
      </c>
      <c r="E199" s="57">
        <v>308.7</v>
      </c>
      <c r="F199" s="57">
        <v>10474</v>
      </c>
    </row>
    <row r="200" spans="1:6" x14ac:dyDescent="0.15">
      <c r="A200" s="58">
        <v>35502</v>
      </c>
      <c r="B200" s="57" t="s">
        <v>91</v>
      </c>
      <c r="C200" s="57" t="s">
        <v>75</v>
      </c>
      <c r="D200" s="57" t="s">
        <v>42</v>
      </c>
      <c r="E200" s="57">
        <v>62</v>
      </c>
      <c r="F200" s="57">
        <v>10474</v>
      </c>
    </row>
    <row r="201" spans="1:6" x14ac:dyDescent="0.15">
      <c r="A201" s="58">
        <v>35503</v>
      </c>
      <c r="B201" s="57" t="s">
        <v>80</v>
      </c>
      <c r="C201" s="57" t="s">
        <v>75</v>
      </c>
      <c r="D201" s="57" t="s">
        <v>73</v>
      </c>
      <c r="E201" s="57">
        <v>297.49999791383743</v>
      </c>
      <c r="F201" s="57">
        <v>10475</v>
      </c>
    </row>
    <row r="202" spans="1:6" x14ac:dyDescent="0.15">
      <c r="A202" s="58">
        <v>35503</v>
      </c>
      <c r="B202" s="57" t="s">
        <v>80</v>
      </c>
      <c r="C202" s="57" t="s">
        <v>75</v>
      </c>
      <c r="D202" s="57" t="s">
        <v>88</v>
      </c>
      <c r="E202" s="57">
        <v>693.59999513626099</v>
      </c>
      <c r="F202" s="57">
        <v>10475</v>
      </c>
    </row>
    <row r="203" spans="1:6" x14ac:dyDescent="0.15">
      <c r="A203" s="58">
        <v>35503</v>
      </c>
      <c r="B203" s="57" t="s">
        <v>80</v>
      </c>
      <c r="C203" s="57" t="s">
        <v>75</v>
      </c>
      <c r="D203" s="57" t="s">
        <v>42</v>
      </c>
      <c r="E203" s="57">
        <v>514.07999639511104</v>
      </c>
      <c r="F203" s="57">
        <v>10475</v>
      </c>
    </row>
    <row r="204" spans="1:6" x14ac:dyDescent="0.15">
      <c r="A204" s="58">
        <v>35506</v>
      </c>
      <c r="B204" s="57" t="s">
        <v>74</v>
      </c>
      <c r="C204" s="57" t="s">
        <v>92</v>
      </c>
      <c r="D204" s="57" t="s">
        <v>33</v>
      </c>
      <c r="E204" s="57">
        <v>36.479999971389766</v>
      </c>
      <c r="F204" s="57">
        <v>10476</v>
      </c>
    </row>
    <row r="205" spans="1:6" x14ac:dyDescent="0.15">
      <c r="A205" s="58">
        <v>35506</v>
      </c>
      <c r="B205" s="57" t="s">
        <v>74</v>
      </c>
      <c r="C205" s="57" t="s">
        <v>92</v>
      </c>
      <c r="D205" s="57" t="s">
        <v>42</v>
      </c>
      <c r="E205" s="57">
        <v>144</v>
      </c>
      <c r="F205" s="57">
        <v>10476</v>
      </c>
    </row>
    <row r="206" spans="1:6" x14ac:dyDescent="0.15">
      <c r="A206" s="58">
        <v>35506</v>
      </c>
      <c r="B206" s="57" t="s">
        <v>91</v>
      </c>
      <c r="C206" s="57" t="s">
        <v>75</v>
      </c>
      <c r="D206" s="57" t="s">
        <v>42</v>
      </c>
      <c r="E206" s="57">
        <v>216</v>
      </c>
      <c r="F206" s="57">
        <v>10477</v>
      </c>
    </row>
    <row r="207" spans="1:6" x14ac:dyDescent="0.15">
      <c r="A207" s="58">
        <v>35506</v>
      </c>
      <c r="B207" s="57" t="s">
        <v>91</v>
      </c>
      <c r="C207" s="57" t="s">
        <v>75</v>
      </c>
      <c r="D207" s="57" t="s">
        <v>77</v>
      </c>
      <c r="E207" s="57">
        <v>126</v>
      </c>
      <c r="F207" s="57">
        <v>10477</v>
      </c>
    </row>
    <row r="208" spans="1:6" x14ac:dyDescent="0.15">
      <c r="A208" s="58">
        <v>35506</v>
      </c>
      <c r="B208" s="57" t="s">
        <v>91</v>
      </c>
      <c r="C208" s="57" t="s">
        <v>75</v>
      </c>
      <c r="D208" s="57" t="s">
        <v>42</v>
      </c>
      <c r="E208" s="57">
        <v>216</v>
      </c>
      <c r="F208" s="57">
        <v>10477</v>
      </c>
    </row>
    <row r="209" spans="1:6" x14ac:dyDescent="0.15">
      <c r="A209" s="58">
        <v>35507</v>
      </c>
      <c r="B209" s="57" t="s">
        <v>74</v>
      </c>
      <c r="C209" s="57" t="s">
        <v>75</v>
      </c>
      <c r="D209" s="57" t="s">
        <v>82</v>
      </c>
      <c r="E209" s="57">
        <v>471.1999996304512</v>
      </c>
      <c r="F209" s="57">
        <v>10478</v>
      </c>
    </row>
    <row r="210" spans="1:6" x14ac:dyDescent="0.15">
      <c r="A210" s="58">
        <v>35508</v>
      </c>
      <c r="B210" s="57" t="s">
        <v>74</v>
      </c>
      <c r="C210" s="57" t="s">
        <v>81</v>
      </c>
      <c r="D210" s="57" t="s">
        <v>42</v>
      </c>
      <c r="E210" s="57">
        <v>6324</v>
      </c>
      <c r="F210" s="57">
        <v>10479</v>
      </c>
    </row>
    <row r="211" spans="1:6" x14ac:dyDescent="0.15">
      <c r="A211" s="58">
        <v>35508</v>
      </c>
      <c r="B211" s="57" t="s">
        <v>74</v>
      </c>
      <c r="C211" s="57" t="s">
        <v>81</v>
      </c>
      <c r="D211" s="57" t="s">
        <v>33</v>
      </c>
      <c r="E211" s="57">
        <v>733.6</v>
      </c>
      <c r="F211" s="57">
        <v>10479</v>
      </c>
    </row>
    <row r="212" spans="1:6" x14ac:dyDescent="0.15">
      <c r="A212" s="58">
        <v>35508</v>
      </c>
      <c r="B212" s="57" t="s">
        <v>74</v>
      </c>
      <c r="C212" s="57" t="s">
        <v>81</v>
      </c>
      <c r="D212" s="57" t="s">
        <v>73</v>
      </c>
      <c r="E212" s="57">
        <v>2640</v>
      </c>
      <c r="F212" s="57">
        <v>10479</v>
      </c>
    </row>
    <row r="213" spans="1:6" x14ac:dyDescent="0.15">
      <c r="A213" s="58">
        <v>35508</v>
      </c>
      <c r="B213" s="57" t="s">
        <v>74</v>
      </c>
      <c r="C213" s="57" t="s">
        <v>81</v>
      </c>
      <c r="D213" s="57" t="s">
        <v>86</v>
      </c>
      <c r="E213" s="57">
        <v>798</v>
      </c>
      <c r="F213" s="57">
        <v>10479</v>
      </c>
    </row>
    <row r="214" spans="1:6" x14ac:dyDescent="0.15">
      <c r="A214" s="58">
        <v>35509</v>
      </c>
      <c r="B214" s="57" t="s">
        <v>91</v>
      </c>
      <c r="C214" s="57" t="s">
        <v>75</v>
      </c>
      <c r="D214" s="57" t="s">
        <v>77</v>
      </c>
      <c r="E214" s="57">
        <v>228</v>
      </c>
      <c r="F214" s="57">
        <v>10480</v>
      </c>
    </row>
    <row r="215" spans="1:6" x14ac:dyDescent="0.15">
      <c r="A215" s="58">
        <v>35509</v>
      </c>
      <c r="B215" s="57" t="s">
        <v>91</v>
      </c>
      <c r="C215" s="57" t="s">
        <v>75</v>
      </c>
      <c r="D215" s="57" t="s">
        <v>73</v>
      </c>
      <c r="E215" s="57">
        <v>528</v>
      </c>
      <c r="F215" s="57">
        <v>10480</v>
      </c>
    </row>
    <row r="216" spans="1:6" x14ac:dyDescent="0.15">
      <c r="A216" s="58">
        <v>35509</v>
      </c>
      <c r="B216" s="57" t="s">
        <v>91</v>
      </c>
      <c r="C216" s="57" t="s">
        <v>75</v>
      </c>
      <c r="D216" s="57" t="s">
        <v>77</v>
      </c>
      <c r="E216" s="57">
        <v>384</v>
      </c>
      <c r="F216" s="57">
        <v>10481</v>
      </c>
    </row>
    <row r="217" spans="1:6" x14ac:dyDescent="0.15">
      <c r="A217" s="58">
        <v>35509</v>
      </c>
      <c r="B217" s="57" t="s">
        <v>91</v>
      </c>
      <c r="C217" s="57" t="s">
        <v>75</v>
      </c>
      <c r="D217" s="57" t="s">
        <v>73</v>
      </c>
      <c r="E217" s="57">
        <v>1088</v>
      </c>
      <c r="F217" s="57">
        <v>10481</v>
      </c>
    </row>
    <row r="218" spans="1:6" x14ac:dyDescent="0.15">
      <c r="A218" s="58">
        <v>35510</v>
      </c>
      <c r="B218" s="57" t="s">
        <v>74</v>
      </c>
      <c r="C218" s="57" t="s">
        <v>92</v>
      </c>
      <c r="D218" s="57" t="s">
        <v>82</v>
      </c>
      <c r="E218" s="57">
        <v>147</v>
      </c>
      <c r="F218" s="57">
        <v>10482</v>
      </c>
    </row>
    <row r="219" spans="1:6" x14ac:dyDescent="0.15">
      <c r="A219" s="58">
        <v>35513</v>
      </c>
      <c r="B219" s="57" t="s">
        <v>91</v>
      </c>
      <c r="C219" s="57" t="s">
        <v>81</v>
      </c>
      <c r="D219" s="57" t="s">
        <v>42</v>
      </c>
      <c r="E219" s="57">
        <v>372.39999970793724</v>
      </c>
      <c r="F219" s="57">
        <v>10483</v>
      </c>
    </row>
    <row r="220" spans="1:6" x14ac:dyDescent="0.15">
      <c r="A220" s="58">
        <v>35513</v>
      </c>
      <c r="B220" s="57" t="s">
        <v>91</v>
      </c>
      <c r="C220" s="57" t="s">
        <v>81</v>
      </c>
      <c r="D220" s="57" t="s">
        <v>88</v>
      </c>
      <c r="E220" s="57">
        <v>296.39999976754189</v>
      </c>
      <c r="F220" s="57">
        <v>10483</v>
      </c>
    </row>
    <row r="221" spans="1:6" x14ac:dyDescent="0.15">
      <c r="A221" s="58">
        <v>35513</v>
      </c>
      <c r="B221" s="57" t="s">
        <v>74</v>
      </c>
      <c r="C221" s="57" t="s">
        <v>92</v>
      </c>
      <c r="D221" s="57" t="s">
        <v>77</v>
      </c>
      <c r="E221" s="57">
        <v>112</v>
      </c>
      <c r="F221" s="57">
        <v>10484</v>
      </c>
    </row>
    <row r="222" spans="1:6" x14ac:dyDescent="0.15">
      <c r="A222" s="58">
        <v>35513</v>
      </c>
      <c r="B222" s="57" t="s">
        <v>74</v>
      </c>
      <c r="C222" s="57" t="s">
        <v>92</v>
      </c>
      <c r="D222" s="57" t="s">
        <v>82</v>
      </c>
      <c r="E222" s="57">
        <v>147</v>
      </c>
      <c r="F222" s="57">
        <v>10484</v>
      </c>
    </row>
    <row r="223" spans="1:6" x14ac:dyDescent="0.15">
      <c r="A223" s="58">
        <v>35513</v>
      </c>
      <c r="B223" s="57" t="s">
        <v>74</v>
      </c>
      <c r="C223" s="57" t="s">
        <v>92</v>
      </c>
      <c r="D223" s="57" t="s">
        <v>95</v>
      </c>
      <c r="E223" s="57">
        <v>127.2</v>
      </c>
      <c r="F223" s="57">
        <v>10484</v>
      </c>
    </row>
    <row r="224" spans="1:6" x14ac:dyDescent="0.15">
      <c r="A224" s="58">
        <v>35514</v>
      </c>
      <c r="B224" s="57" t="s">
        <v>91</v>
      </c>
      <c r="C224" s="57" t="s">
        <v>92</v>
      </c>
      <c r="D224" s="57" t="s">
        <v>42</v>
      </c>
      <c r="E224" s="57">
        <v>273.5999995470047</v>
      </c>
      <c r="F224" s="57">
        <v>10485</v>
      </c>
    </row>
    <row r="225" spans="1:6" x14ac:dyDescent="0.15">
      <c r="A225" s="58">
        <v>35514</v>
      </c>
      <c r="B225" s="57" t="s">
        <v>91</v>
      </c>
      <c r="C225" s="57" t="s">
        <v>92</v>
      </c>
      <c r="D225" s="57" t="s">
        <v>88</v>
      </c>
      <c r="E225" s="57">
        <v>143.99999976158142</v>
      </c>
      <c r="F225" s="57">
        <v>10485</v>
      </c>
    </row>
    <row r="226" spans="1:6" x14ac:dyDescent="0.15">
      <c r="A226" s="58">
        <v>35514</v>
      </c>
      <c r="B226" s="57" t="s">
        <v>91</v>
      </c>
      <c r="C226" s="57" t="s">
        <v>92</v>
      </c>
      <c r="D226" s="57" t="s">
        <v>33</v>
      </c>
      <c r="E226" s="57">
        <v>518.39999914169312</v>
      </c>
      <c r="F226" s="57">
        <v>10485</v>
      </c>
    </row>
    <row r="227" spans="1:6" x14ac:dyDescent="0.15">
      <c r="A227" s="58">
        <v>35514</v>
      </c>
      <c r="B227" s="57" t="s">
        <v>91</v>
      </c>
      <c r="C227" s="57" t="s">
        <v>92</v>
      </c>
      <c r="D227" s="57" t="s">
        <v>42</v>
      </c>
      <c r="E227" s="57">
        <v>647.99999892711639</v>
      </c>
      <c r="F227" s="57">
        <v>10485</v>
      </c>
    </row>
    <row r="228" spans="1:6" x14ac:dyDescent="0.15">
      <c r="A228" s="58">
        <v>35515</v>
      </c>
      <c r="B228" s="57" t="s">
        <v>91</v>
      </c>
      <c r="C228" s="57" t="s">
        <v>92</v>
      </c>
      <c r="D228" s="57" t="s">
        <v>73</v>
      </c>
      <c r="E228" s="57">
        <v>84</v>
      </c>
      <c r="F228" s="57">
        <v>10486</v>
      </c>
    </row>
    <row r="229" spans="1:6" x14ac:dyDescent="0.15">
      <c r="A229" s="58">
        <v>35515</v>
      </c>
      <c r="B229" s="57" t="s">
        <v>91</v>
      </c>
      <c r="C229" s="57" t="s">
        <v>92</v>
      </c>
      <c r="D229" s="57" t="s">
        <v>95</v>
      </c>
      <c r="E229" s="57">
        <v>1060</v>
      </c>
      <c r="F229" s="57">
        <v>10486</v>
      </c>
    </row>
    <row r="230" spans="1:6" x14ac:dyDescent="0.15">
      <c r="A230" s="58">
        <v>35515</v>
      </c>
      <c r="B230" s="57" t="s">
        <v>91</v>
      </c>
      <c r="C230" s="57" t="s">
        <v>92</v>
      </c>
      <c r="D230" s="57" t="s">
        <v>95</v>
      </c>
      <c r="E230" s="57">
        <v>128</v>
      </c>
      <c r="F230" s="57">
        <v>10486</v>
      </c>
    </row>
    <row r="231" spans="1:6" x14ac:dyDescent="0.15">
      <c r="A231" s="58">
        <v>35515</v>
      </c>
      <c r="B231" s="57" t="s">
        <v>91</v>
      </c>
      <c r="C231" s="57" t="s">
        <v>75</v>
      </c>
      <c r="D231" s="57" t="s">
        <v>77</v>
      </c>
      <c r="E231" s="57">
        <v>36.5</v>
      </c>
      <c r="F231" s="57">
        <v>10487</v>
      </c>
    </row>
    <row r="232" spans="1:6" x14ac:dyDescent="0.15">
      <c r="A232" s="58">
        <v>35515</v>
      </c>
      <c r="B232" s="57" t="s">
        <v>91</v>
      </c>
      <c r="C232" s="57" t="s">
        <v>75</v>
      </c>
      <c r="D232" s="57" t="s">
        <v>77</v>
      </c>
      <c r="E232" s="57">
        <v>747</v>
      </c>
      <c r="F232" s="57">
        <v>10487</v>
      </c>
    </row>
    <row r="233" spans="1:6" x14ac:dyDescent="0.15">
      <c r="A233" s="58">
        <v>35515</v>
      </c>
      <c r="B233" s="57" t="s">
        <v>91</v>
      </c>
      <c r="C233" s="57" t="s">
        <v>75</v>
      </c>
      <c r="D233" s="57" t="s">
        <v>33</v>
      </c>
      <c r="E233" s="57">
        <v>106.19999999999999</v>
      </c>
      <c r="F233" s="57">
        <v>10487</v>
      </c>
    </row>
    <row r="234" spans="1:6" x14ac:dyDescent="0.15">
      <c r="A234" s="58">
        <v>35516</v>
      </c>
      <c r="B234" s="57" t="s">
        <v>91</v>
      </c>
      <c r="C234" s="57" t="s">
        <v>75</v>
      </c>
      <c r="D234" s="57" t="s">
        <v>73</v>
      </c>
      <c r="E234" s="57">
        <v>1320</v>
      </c>
      <c r="F234" s="57">
        <v>10488</v>
      </c>
    </row>
    <row r="235" spans="1:6" x14ac:dyDescent="0.15">
      <c r="A235" s="58">
        <v>35516</v>
      </c>
      <c r="B235" s="57" t="s">
        <v>91</v>
      </c>
      <c r="C235" s="57" t="s">
        <v>75</v>
      </c>
      <c r="D235" s="57" t="s">
        <v>82</v>
      </c>
      <c r="E235" s="57">
        <v>191.99999928474426</v>
      </c>
      <c r="F235" s="57">
        <v>10488</v>
      </c>
    </row>
    <row r="236" spans="1:6" x14ac:dyDescent="0.15">
      <c r="A236" s="58">
        <v>35517</v>
      </c>
      <c r="B236" s="57" t="s">
        <v>91</v>
      </c>
      <c r="C236" s="57" t="s">
        <v>81</v>
      </c>
      <c r="D236" s="57" t="s">
        <v>73</v>
      </c>
      <c r="E236" s="57">
        <v>189</v>
      </c>
      <c r="F236" s="57">
        <v>10489</v>
      </c>
    </row>
    <row r="237" spans="1:6" x14ac:dyDescent="0.15">
      <c r="A237" s="58">
        <v>35517</v>
      </c>
      <c r="B237" s="57" t="s">
        <v>91</v>
      </c>
      <c r="C237" s="57" t="s">
        <v>81</v>
      </c>
      <c r="D237" s="57" t="s">
        <v>77</v>
      </c>
      <c r="E237" s="57">
        <v>250.2</v>
      </c>
      <c r="F237" s="57">
        <v>10489</v>
      </c>
    </row>
    <row r="238" spans="1:6" x14ac:dyDescent="0.15">
      <c r="A238" s="58">
        <v>35520</v>
      </c>
      <c r="B238" s="57" t="s">
        <v>91</v>
      </c>
      <c r="C238" s="57" t="s">
        <v>92</v>
      </c>
      <c r="D238" s="57" t="s">
        <v>73</v>
      </c>
      <c r="E238" s="57">
        <v>2640</v>
      </c>
      <c r="F238" s="57">
        <v>10490</v>
      </c>
    </row>
    <row r="239" spans="1:6" x14ac:dyDescent="0.15">
      <c r="A239" s="58">
        <v>35520</v>
      </c>
      <c r="B239" s="57" t="s">
        <v>91</v>
      </c>
      <c r="C239" s="57" t="s">
        <v>92</v>
      </c>
      <c r="D239" s="57" t="s">
        <v>77</v>
      </c>
      <c r="E239" s="57">
        <v>300</v>
      </c>
      <c r="F239" s="57">
        <v>10490</v>
      </c>
    </row>
    <row r="240" spans="1:6" x14ac:dyDescent="0.15">
      <c r="A240" s="58">
        <v>35520</v>
      </c>
      <c r="B240" s="57" t="s">
        <v>91</v>
      </c>
      <c r="C240" s="57" t="s">
        <v>92</v>
      </c>
      <c r="D240" s="57" t="s">
        <v>42</v>
      </c>
      <c r="E240" s="57">
        <v>223.2</v>
      </c>
      <c r="F240" s="57">
        <v>10490</v>
      </c>
    </row>
    <row r="241" spans="1:6" x14ac:dyDescent="0.15">
      <c r="A241" s="58">
        <v>35520</v>
      </c>
      <c r="B241" s="57" t="s">
        <v>74</v>
      </c>
      <c r="C241" s="57" t="s">
        <v>81</v>
      </c>
      <c r="D241" s="57" t="s">
        <v>88</v>
      </c>
      <c r="E241" s="57">
        <v>197.62499861419201</v>
      </c>
      <c r="F241" s="57">
        <v>10491</v>
      </c>
    </row>
    <row r="242" spans="1:6" x14ac:dyDescent="0.15">
      <c r="A242" s="58">
        <v>35520</v>
      </c>
      <c r="B242" s="57" t="s">
        <v>74</v>
      </c>
      <c r="C242" s="57" t="s">
        <v>81</v>
      </c>
      <c r="D242" s="57" t="s">
        <v>88</v>
      </c>
      <c r="E242" s="57">
        <v>61.879999566078183</v>
      </c>
      <c r="F242" s="57">
        <v>10491</v>
      </c>
    </row>
    <row r="243" spans="1:6" x14ac:dyDescent="0.15">
      <c r="A243" s="58">
        <v>35521</v>
      </c>
      <c r="B243" s="57" t="s">
        <v>80</v>
      </c>
      <c r="C243" s="57" t="s">
        <v>96</v>
      </c>
      <c r="D243" s="57" t="s">
        <v>77</v>
      </c>
      <c r="E243" s="57">
        <v>638.39999949932098</v>
      </c>
      <c r="F243" s="57">
        <v>10492</v>
      </c>
    </row>
    <row r="244" spans="1:6" x14ac:dyDescent="0.15">
      <c r="A244" s="58">
        <v>35521</v>
      </c>
      <c r="B244" s="57" t="s">
        <v>80</v>
      </c>
      <c r="C244" s="57" t="s">
        <v>96</v>
      </c>
      <c r="D244" s="57" t="s">
        <v>86</v>
      </c>
      <c r="E244" s="57">
        <v>212.79999983310699</v>
      </c>
      <c r="F244" s="57">
        <v>10492</v>
      </c>
    </row>
    <row r="245" spans="1:6" x14ac:dyDescent="0.15">
      <c r="A245" s="58">
        <v>35522</v>
      </c>
      <c r="B245" s="57" t="s">
        <v>74</v>
      </c>
      <c r="C245" s="57" t="s">
        <v>75</v>
      </c>
      <c r="D245" s="57" t="s">
        <v>88</v>
      </c>
      <c r="E245" s="57">
        <v>226.79999962449074</v>
      </c>
      <c r="F245" s="57">
        <v>10493</v>
      </c>
    </row>
    <row r="246" spans="1:6" x14ac:dyDescent="0.15">
      <c r="A246" s="58">
        <v>35522</v>
      </c>
      <c r="B246" s="57" t="s">
        <v>74</v>
      </c>
      <c r="C246" s="57" t="s">
        <v>75</v>
      </c>
      <c r="D246" s="57" t="s">
        <v>88</v>
      </c>
      <c r="E246" s="57">
        <v>122.39999979734421</v>
      </c>
      <c r="F246" s="57">
        <v>10493</v>
      </c>
    </row>
    <row r="247" spans="1:6" x14ac:dyDescent="0.15">
      <c r="A247" s="58">
        <v>35522</v>
      </c>
      <c r="B247" s="57" t="s">
        <v>74</v>
      </c>
      <c r="C247" s="57" t="s">
        <v>75</v>
      </c>
      <c r="D247" s="57" t="s">
        <v>73</v>
      </c>
      <c r="E247" s="57">
        <v>259.19999957084656</v>
      </c>
      <c r="F247" s="57">
        <v>10493</v>
      </c>
    </row>
    <row r="248" spans="1:6" x14ac:dyDescent="0.15">
      <c r="A248" s="58">
        <v>35522</v>
      </c>
      <c r="B248" s="57" t="s">
        <v>91</v>
      </c>
      <c r="C248" s="57" t="s">
        <v>75</v>
      </c>
      <c r="D248" s="57" t="s">
        <v>86</v>
      </c>
      <c r="E248" s="57">
        <v>912</v>
      </c>
      <c r="F248" s="57">
        <v>10494</v>
      </c>
    </row>
    <row r="249" spans="1:6" x14ac:dyDescent="0.15">
      <c r="A249" s="58">
        <v>35523</v>
      </c>
      <c r="B249" s="57" t="s">
        <v>74</v>
      </c>
      <c r="C249" s="57" t="s">
        <v>75</v>
      </c>
      <c r="D249" s="57" t="s">
        <v>86</v>
      </c>
      <c r="E249" s="57">
        <v>72</v>
      </c>
      <c r="F249" s="57">
        <v>10495</v>
      </c>
    </row>
    <row r="250" spans="1:6" x14ac:dyDescent="0.15">
      <c r="A250" s="58">
        <v>35523</v>
      </c>
      <c r="B250" s="57" t="s">
        <v>74</v>
      </c>
      <c r="C250" s="57" t="s">
        <v>75</v>
      </c>
      <c r="D250" s="57" t="s">
        <v>82</v>
      </c>
      <c r="E250" s="57">
        <v>154</v>
      </c>
      <c r="F250" s="57">
        <v>10495</v>
      </c>
    </row>
    <row r="251" spans="1:6" x14ac:dyDescent="0.15">
      <c r="A251" s="58">
        <v>35523</v>
      </c>
      <c r="B251" s="57" t="s">
        <v>74</v>
      </c>
      <c r="C251" s="57" t="s">
        <v>75</v>
      </c>
      <c r="D251" s="57" t="s">
        <v>88</v>
      </c>
      <c r="E251" s="57">
        <v>52</v>
      </c>
      <c r="F251" s="57">
        <v>10495</v>
      </c>
    </row>
    <row r="252" spans="1:6" x14ac:dyDescent="0.15">
      <c r="A252" s="58">
        <v>35524</v>
      </c>
      <c r="B252" s="57" t="s">
        <v>91</v>
      </c>
      <c r="C252" s="57" t="s">
        <v>75</v>
      </c>
      <c r="D252" s="57" t="s">
        <v>73</v>
      </c>
      <c r="E252" s="57">
        <v>189.99999985098839</v>
      </c>
      <c r="F252" s="57">
        <v>10496</v>
      </c>
    </row>
    <row r="253" spans="1:6" x14ac:dyDescent="0.15">
      <c r="A253" s="58">
        <v>35524</v>
      </c>
      <c r="B253" s="57" t="s">
        <v>80</v>
      </c>
      <c r="C253" s="57" t="s">
        <v>81</v>
      </c>
      <c r="D253" s="57" t="s">
        <v>86</v>
      </c>
      <c r="E253" s="57">
        <v>425.6</v>
      </c>
      <c r="F253" s="57">
        <v>10497</v>
      </c>
    </row>
    <row r="254" spans="1:6" x14ac:dyDescent="0.15">
      <c r="A254" s="58">
        <v>35524</v>
      </c>
      <c r="B254" s="57" t="s">
        <v>80</v>
      </c>
      <c r="C254" s="57" t="s">
        <v>81</v>
      </c>
      <c r="D254" s="57" t="s">
        <v>73</v>
      </c>
      <c r="E254" s="57">
        <v>695</v>
      </c>
      <c r="F254" s="57">
        <v>10497</v>
      </c>
    </row>
    <row r="255" spans="1:6" x14ac:dyDescent="0.15">
      <c r="A255" s="58">
        <v>35524</v>
      </c>
      <c r="B255" s="57" t="s">
        <v>80</v>
      </c>
      <c r="C255" s="57" t="s">
        <v>81</v>
      </c>
      <c r="D255" s="57" t="s">
        <v>88</v>
      </c>
      <c r="E255" s="57">
        <v>260</v>
      </c>
      <c r="F255" s="57">
        <v>10497</v>
      </c>
    </row>
    <row r="256" spans="1:6" x14ac:dyDescent="0.15">
      <c r="A256" s="58">
        <v>35527</v>
      </c>
      <c r="B256" s="57" t="s">
        <v>91</v>
      </c>
      <c r="C256" s="57" t="s">
        <v>92</v>
      </c>
      <c r="D256" s="57" t="s">
        <v>42</v>
      </c>
      <c r="E256" s="57">
        <v>63</v>
      </c>
      <c r="F256" s="57">
        <v>10498</v>
      </c>
    </row>
    <row r="257" spans="1:6" x14ac:dyDescent="0.15">
      <c r="A257" s="58">
        <v>35527</v>
      </c>
      <c r="B257" s="57" t="s">
        <v>91</v>
      </c>
      <c r="C257" s="57" t="s">
        <v>92</v>
      </c>
      <c r="D257" s="57" t="s">
        <v>82</v>
      </c>
      <c r="E257" s="57">
        <v>92</v>
      </c>
      <c r="F257" s="57">
        <v>10498</v>
      </c>
    </row>
    <row r="258" spans="1:6" x14ac:dyDescent="0.15">
      <c r="A258" s="58">
        <v>35527</v>
      </c>
      <c r="B258" s="57" t="s">
        <v>91</v>
      </c>
      <c r="C258" s="57" t="s">
        <v>92</v>
      </c>
      <c r="D258" s="57" t="s">
        <v>86</v>
      </c>
      <c r="E258" s="57">
        <v>420</v>
      </c>
      <c r="F258" s="57">
        <v>10498</v>
      </c>
    </row>
    <row r="259" spans="1:6" x14ac:dyDescent="0.15">
      <c r="A259" s="58">
        <v>35528</v>
      </c>
      <c r="B259" s="57" t="s">
        <v>91</v>
      </c>
      <c r="C259" s="57" t="s">
        <v>75</v>
      </c>
      <c r="D259" s="57" t="s">
        <v>95</v>
      </c>
      <c r="E259" s="57">
        <v>912</v>
      </c>
      <c r="F259" s="57">
        <v>10499</v>
      </c>
    </row>
    <row r="260" spans="1:6" x14ac:dyDescent="0.15">
      <c r="A260" s="58">
        <v>35528</v>
      </c>
      <c r="B260" s="57" t="s">
        <v>91</v>
      </c>
      <c r="C260" s="57" t="s">
        <v>75</v>
      </c>
      <c r="D260" s="57" t="s">
        <v>77</v>
      </c>
      <c r="E260" s="57">
        <v>500</v>
      </c>
      <c r="F260" s="57">
        <v>10499</v>
      </c>
    </row>
    <row r="261" spans="1:6" x14ac:dyDescent="0.15">
      <c r="A261" s="58">
        <v>35529</v>
      </c>
      <c r="B261" s="57" t="s">
        <v>80</v>
      </c>
      <c r="C261" s="57" t="s">
        <v>75</v>
      </c>
      <c r="D261" s="57" t="s">
        <v>88</v>
      </c>
      <c r="E261" s="57">
        <v>176.6999998614192</v>
      </c>
      <c r="F261" s="57">
        <v>10500</v>
      </c>
    </row>
    <row r="262" spans="1:6" x14ac:dyDescent="0.15">
      <c r="A262" s="58">
        <v>35529</v>
      </c>
      <c r="B262" s="57" t="s">
        <v>80</v>
      </c>
      <c r="C262" s="57" t="s">
        <v>75</v>
      </c>
      <c r="D262" s="57" t="s">
        <v>95</v>
      </c>
      <c r="E262" s="57">
        <v>346.55999972820285</v>
      </c>
      <c r="F262" s="57">
        <v>10500</v>
      </c>
    </row>
    <row r="263" spans="1:6" x14ac:dyDescent="0.15">
      <c r="A263" s="58">
        <v>35529</v>
      </c>
      <c r="B263" s="57" t="s">
        <v>74</v>
      </c>
      <c r="C263" s="57" t="s">
        <v>75</v>
      </c>
      <c r="D263" s="57" t="s">
        <v>33</v>
      </c>
      <c r="E263" s="57">
        <v>149</v>
      </c>
      <c r="F263" s="57">
        <v>10501</v>
      </c>
    </row>
    <row r="264" spans="1:6" x14ac:dyDescent="0.15">
      <c r="A264" s="58">
        <v>35530</v>
      </c>
      <c r="B264" s="57" t="s">
        <v>80</v>
      </c>
      <c r="C264" s="57" t="s">
        <v>75</v>
      </c>
      <c r="D264" s="57" t="s">
        <v>82</v>
      </c>
      <c r="E264" s="57">
        <v>199.5</v>
      </c>
      <c r="F264" s="57">
        <v>10502</v>
      </c>
    </row>
    <row r="265" spans="1:6" x14ac:dyDescent="0.15">
      <c r="A265" s="58">
        <v>35530</v>
      </c>
      <c r="B265" s="57" t="s">
        <v>80</v>
      </c>
      <c r="C265" s="57" t="s">
        <v>75</v>
      </c>
      <c r="D265" s="57" t="s">
        <v>33</v>
      </c>
      <c r="E265" s="57">
        <v>196.8</v>
      </c>
      <c r="F265" s="57">
        <v>10502</v>
      </c>
    </row>
    <row r="266" spans="1:6" x14ac:dyDescent="0.15">
      <c r="A266" s="58">
        <v>35530</v>
      </c>
      <c r="B266" s="57" t="s">
        <v>80</v>
      </c>
      <c r="C266" s="57" t="s">
        <v>75</v>
      </c>
      <c r="D266" s="57" t="s">
        <v>42</v>
      </c>
      <c r="E266" s="57">
        <v>420</v>
      </c>
      <c r="F266" s="57">
        <v>10502</v>
      </c>
    </row>
    <row r="267" spans="1:6" x14ac:dyDescent="0.15">
      <c r="A267" s="58">
        <v>35531</v>
      </c>
      <c r="B267" s="57" t="s">
        <v>91</v>
      </c>
      <c r="C267" s="57" t="s">
        <v>75</v>
      </c>
      <c r="D267" s="57" t="s">
        <v>95</v>
      </c>
      <c r="E267" s="57">
        <v>1627.5</v>
      </c>
      <c r="F267" s="57">
        <v>10503</v>
      </c>
    </row>
    <row r="268" spans="1:6" x14ac:dyDescent="0.15">
      <c r="A268" s="58">
        <v>35531</v>
      </c>
      <c r="B268" s="57" t="s">
        <v>91</v>
      </c>
      <c r="C268" s="57" t="s">
        <v>75</v>
      </c>
      <c r="D268" s="57" t="s">
        <v>88</v>
      </c>
      <c r="E268" s="57">
        <v>421</v>
      </c>
      <c r="F268" s="57">
        <v>10503</v>
      </c>
    </row>
    <row r="269" spans="1:6" x14ac:dyDescent="0.15">
      <c r="A269" s="58">
        <v>35531</v>
      </c>
      <c r="B269" s="57" t="s">
        <v>74</v>
      </c>
      <c r="C269" s="57" t="s">
        <v>81</v>
      </c>
      <c r="D269" s="57" t="s">
        <v>42</v>
      </c>
      <c r="E269" s="57">
        <v>228</v>
      </c>
      <c r="F269" s="57">
        <v>10504</v>
      </c>
    </row>
    <row r="270" spans="1:6" x14ac:dyDescent="0.15">
      <c r="A270" s="58">
        <v>35531</v>
      </c>
      <c r="B270" s="57" t="s">
        <v>74</v>
      </c>
      <c r="C270" s="57" t="s">
        <v>81</v>
      </c>
      <c r="D270" s="57" t="s">
        <v>77</v>
      </c>
      <c r="E270" s="57">
        <v>120</v>
      </c>
      <c r="F270" s="57">
        <v>10504</v>
      </c>
    </row>
    <row r="271" spans="1:6" x14ac:dyDescent="0.15">
      <c r="A271" s="58">
        <v>35531</v>
      </c>
      <c r="B271" s="57" t="s">
        <v>74</v>
      </c>
      <c r="C271" s="57" t="s">
        <v>81</v>
      </c>
      <c r="D271" s="57" t="s">
        <v>33</v>
      </c>
      <c r="E271" s="57">
        <v>328</v>
      </c>
      <c r="F271" s="57">
        <v>10504</v>
      </c>
    </row>
    <row r="272" spans="1:6" x14ac:dyDescent="0.15">
      <c r="A272" s="58">
        <v>35531</v>
      </c>
      <c r="B272" s="57" t="s">
        <v>74</v>
      </c>
      <c r="C272" s="57" t="s">
        <v>81</v>
      </c>
      <c r="D272" s="57" t="s">
        <v>88</v>
      </c>
      <c r="E272" s="57">
        <v>712.5</v>
      </c>
      <c r="F272" s="57">
        <v>10504</v>
      </c>
    </row>
    <row r="273" spans="1:6" x14ac:dyDescent="0.15">
      <c r="A273" s="58">
        <v>35534</v>
      </c>
      <c r="B273" s="57" t="s">
        <v>74</v>
      </c>
      <c r="C273" s="57" t="s">
        <v>97</v>
      </c>
      <c r="D273" s="57" t="s">
        <v>77</v>
      </c>
      <c r="E273" s="57">
        <v>147.9</v>
      </c>
      <c r="F273" s="57">
        <v>10505</v>
      </c>
    </row>
    <row r="274" spans="1:6" x14ac:dyDescent="0.15">
      <c r="A274" s="58">
        <v>35535</v>
      </c>
      <c r="B274" s="57" t="s">
        <v>91</v>
      </c>
      <c r="C274" s="57" t="s">
        <v>96</v>
      </c>
      <c r="D274" s="57" t="s">
        <v>77</v>
      </c>
      <c r="E274" s="57">
        <v>226.79999962449074</v>
      </c>
      <c r="F274" s="57">
        <v>10506</v>
      </c>
    </row>
    <row r="275" spans="1:6" x14ac:dyDescent="0.15">
      <c r="A275" s="58">
        <v>35535</v>
      </c>
      <c r="B275" s="57" t="s">
        <v>91</v>
      </c>
      <c r="C275" s="57" t="s">
        <v>96</v>
      </c>
      <c r="D275" s="57" t="s">
        <v>42</v>
      </c>
      <c r="E275" s="57">
        <v>188.99999968707561</v>
      </c>
      <c r="F275" s="57">
        <v>10506</v>
      </c>
    </row>
    <row r="276" spans="1:6" x14ac:dyDescent="0.15">
      <c r="A276" s="58">
        <v>35535</v>
      </c>
      <c r="B276" s="57" t="s">
        <v>80</v>
      </c>
      <c r="C276" s="57" t="s">
        <v>75</v>
      </c>
      <c r="D276" s="57" t="s">
        <v>42</v>
      </c>
      <c r="E276" s="57">
        <v>586.49999588727951</v>
      </c>
      <c r="F276" s="57">
        <v>10507</v>
      </c>
    </row>
    <row r="277" spans="1:6" x14ac:dyDescent="0.15">
      <c r="A277" s="58">
        <v>35535</v>
      </c>
      <c r="B277" s="57" t="s">
        <v>80</v>
      </c>
      <c r="C277" s="57" t="s">
        <v>75</v>
      </c>
      <c r="D277" s="57" t="s">
        <v>77</v>
      </c>
      <c r="E277" s="57">
        <v>162.56249886006117</v>
      </c>
      <c r="F277" s="57">
        <v>10507</v>
      </c>
    </row>
    <row r="278" spans="1:6" x14ac:dyDescent="0.15">
      <c r="A278" s="58">
        <v>35536</v>
      </c>
      <c r="B278" s="57" t="s">
        <v>91</v>
      </c>
      <c r="C278" s="57" t="s">
        <v>92</v>
      </c>
      <c r="D278" s="57" t="s">
        <v>82</v>
      </c>
      <c r="E278" s="57">
        <v>60</v>
      </c>
      <c r="F278" s="57">
        <v>10508</v>
      </c>
    </row>
    <row r="279" spans="1:6" x14ac:dyDescent="0.15">
      <c r="A279" s="58">
        <v>35536</v>
      </c>
      <c r="B279" s="57" t="s">
        <v>91</v>
      </c>
      <c r="C279" s="57" t="s">
        <v>92</v>
      </c>
      <c r="D279" s="57" t="s">
        <v>42</v>
      </c>
      <c r="E279" s="57">
        <v>180</v>
      </c>
      <c r="F279" s="57">
        <v>10508</v>
      </c>
    </row>
    <row r="280" spans="1:6" x14ac:dyDescent="0.15">
      <c r="A280" s="58">
        <v>35537</v>
      </c>
      <c r="B280" s="57" t="s">
        <v>80</v>
      </c>
      <c r="C280" s="57" t="s">
        <v>75</v>
      </c>
      <c r="D280" s="57" t="s">
        <v>95</v>
      </c>
      <c r="E280" s="57">
        <v>136.80000000000001</v>
      </c>
      <c r="F280" s="57">
        <v>10509</v>
      </c>
    </row>
    <row r="281" spans="1:6" x14ac:dyDescent="0.15">
      <c r="A281" s="58">
        <v>35538</v>
      </c>
      <c r="B281" s="57" t="s">
        <v>74</v>
      </c>
      <c r="C281" s="57" t="s">
        <v>96</v>
      </c>
      <c r="D281" s="57" t="s">
        <v>33</v>
      </c>
      <c r="E281" s="57">
        <v>4456.4399999999996</v>
      </c>
      <c r="F281" s="57">
        <v>10510</v>
      </c>
    </row>
    <row r="282" spans="1:6" x14ac:dyDescent="0.15">
      <c r="A282" s="58">
        <v>35538</v>
      </c>
      <c r="B282" s="57" t="s">
        <v>74</v>
      </c>
      <c r="C282" s="57" t="s">
        <v>96</v>
      </c>
      <c r="D282" s="57" t="s">
        <v>42</v>
      </c>
      <c r="E282" s="57">
        <v>251.0999995842576</v>
      </c>
      <c r="F282" s="57">
        <v>10510</v>
      </c>
    </row>
    <row r="283" spans="1:6" x14ac:dyDescent="0.15">
      <c r="A283" s="58">
        <v>35538</v>
      </c>
      <c r="B283" s="57" t="s">
        <v>74</v>
      </c>
      <c r="C283" s="57" t="s">
        <v>96</v>
      </c>
      <c r="D283" s="57" t="s">
        <v>88</v>
      </c>
      <c r="E283" s="57">
        <v>934.99999344348907</v>
      </c>
      <c r="F283" s="57">
        <v>10511</v>
      </c>
    </row>
    <row r="284" spans="1:6" x14ac:dyDescent="0.15">
      <c r="A284" s="58">
        <v>35538</v>
      </c>
      <c r="B284" s="57" t="s">
        <v>74</v>
      </c>
      <c r="C284" s="57" t="s">
        <v>96</v>
      </c>
      <c r="D284" s="57" t="s">
        <v>95</v>
      </c>
      <c r="E284" s="57">
        <v>1274.9999910593033</v>
      </c>
      <c r="F284" s="57">
        <v>10511</v>
      </c>
    </row>
    <row r="285" spans="1:6" x14ac:dyDescent="0.15">
      <c r="A285" s="58">
        <v>35538</v>
      </c>
      <c r="B285" s="57" t="s">
        <v>74</v>
      </c>
      <c r="C285" s="57" t="s">
        <v>96</v>
      </c>
      <c r="D285" s="57" t="s">
        <v>88</v>
      </c>
      <c r="E285" s="57">
        <v>339.99999761581421</v>
      </c>
      <c r="F285" s="57">
        <v>10511</v>
      </c>
    </row>
    <row r="286" spans="1:6" x14ac:dyDescent="0.15">
      <c r="A286" s="58">
        <v>35541</v>
      </c>
      <c r="B286" s="57" t="s">
        <v>91</v>
      </c>
      <c r="C286" s="57" t="s">
        <v>92</v>
      </c>
      <c r="D286" s="57" t="s">
        <v>42</v>
      </c>
      <c r="E286" s="57">
        <v>38.249999731779099</v>
      </c>
      <c r="F286" s="57">
        <v>10512</v>
      </c>
    </row>
    <row r="287" spans="1:6" x14ac:dyDescent="0.15">
      <c r="A287" s="58">
        <v>35541</v>
      </c>
      <c r="B287" s="57" t="s">
        <v>91</v>
      </c>
      <c r="C287" s="57" t="s">
        <v>92</v>
      </c>
      <c r="D287" s="57" t="s">
        <v>82</v>
      </c>
      <c r="E287" s="57">
        <v>91.799999356269836</v>
      </c>
      <c r="F287" s="57">
        <v>10512</v>
      </c>
    </row>
    <row r="288" spans="1:6" x14ac:dyDescent="0.15">
      <c r="A288" s="58">
        <v>35541</v>
      </c>
      <c r="B288" s="57" t="s">
        <v>91</v>
      </c>
      <c r="C288" s="57" t="s">
        <v>92</v>
      </c>
      <c r="D288" s="57" t="s">
        <v>77</v>
      </c>
      <c r="E288" s="57">
        <v>48.449999660253525</v>
      </c>
      <c r="F288" s="57">
        <v>10512</v>
      </c>
    </row>
    <row r="289" spans="1:6" x14ac:dyDescent="0.15">
      <c r="A289" s="58">
        <v>35541</v>
      </c>
      <c r="B289" s="57" t="s">
        <v>91</v>
      </c>
      <c r="C289" s="57" t="s">
        <v>92</v>
      </c>
      <c r="D289" s="57" t="s">
        <v>73</v>
      </c>
      <c r="E289" s="57">
        <v>346.79999756813049</v>
      </c>
      <c r="F289" s="57">
        <v>10512</v>
      </c>
    </row>
    <row r="290" spans="1:6" x14ac:dyDescent="0.15">
      <c r="A290" s="58">
        <v>35542</v>
      </c>
      <c r="B290" s="57" t="s">
        <v>80</v>
      </c>
      <c r="C290" s="57" t="s">
        <v>75</v>
      </c>
      <c r="D290" s="57" t="s">
        <v>77</v>
      </c>
      <c r="E290" s="57">
        <v>319.9999988079071</v>
      </c>
      <c r="F290" s="57">
        <v>10513</v>
      </c>
    </row>
    <row r="291" spans="1:6" x14ac:dyDescent="0.15">
      <c r="A291" s="58">
        <v>35542</v>
      </c>
      <c r="B291" s="57" t="s">
        <v>80</v>
      </c>
      <c r="C291" s="57" t="s">
        <v>75</v>
      </c>
      <c r="D291" s="57" t="s">
        <v>73</v>
      </c>
      <c r="E291" s="57">
        <v>1279.9999952316284</v>
      </c>
      <c r="F291" s="57">
        <v>10513</v>
      </c>
    </row>
    <row r="292" spans="1:6" x14ac:dyDescent="0.15">
      <c r="A292" s="58">
        <v>35542</v>
      </c>
      <c r="B292" s="57" t="s">
        <v>80</v>
      </c>
      <c r="C292" s="57" t="s">
        <v>75</v>
      </c>
      <c r="D292" s="57" t="s">
        <v>88</v>
      </c>
      <c r="E292" s="57">
        <v>341.99999872595072</v>
      </c>
      <c r="F292" s="57">
        <v>10513</v>
      </c>
    </row>
    <row r="293" spans="1:6" x14ac:dyDescent="0.15">
      <c r="A293" s="58">
        <v>35542</v>
      </c>
      <c r="B293" s="57" t="s">
        <v>91</v>
      </c>
      <c r="C293" s="57" t="s">
        <v>92</v>
      </c>
      <c r="D293" s="57" t="s">
        <v>77</v>
      </c>
      <c r="E293" s="57">
        <v>3159</v>
      </c>
      <c r="F293" s="57">
        <v>10514</v>
      </c>
    </row>
    <row r="294" spans="1:6" x14ac:dyDescent="0.15">
      <c r="A294" s="58">
        <v>35542</v>
      </c>
      <c r="B294" s="57" t="s">
        <v>91</v>
      </c>
      <c r="C294" s="57" t="s">
        <v>92</v>
      </c>
      <c r="D294" s="57" t="s">
        <v>95</v>
      </c>
      <c r="E294" s="57">
        <v>1596</v>
      </c>
      <c r="F294" s="57">
        <v>10514</v>
      </c>
    </row>
    <row r="295" spans="1:6" x14ac:dyDescent="0.15">
      <c r="A295" s="58">
        <v>35542</v>
      </c>
      <c r="B295" s="57" t="s">
        <v>91</v>
      </c>
      <c r="C295" s="57" t="s">
        <v>92</v>
      </c>
      <c r="D295" s="57" t="s">
        <v>86</v>
      </c>
      <c r="E295" s="57">
        <v>2660</v>
      </c>
      <c r="F295" s="57">
        <v>10514</v>
      </c>
    </row>
    <row r="296" spans="1:6" x14ac:dyDescent="0.15">
      <c r="A296" s="58">
        <v>35542</v>
      </c>
      <c r="B296" s="57" t="s">
        <v>91</v>
      </c>
      <c r="C296" s="57" t="s">
        <v>92</v>
      </c>
      <c r="D296" s="57" t="s">
        <v>88</v>
      </c>
      <c r="E296" s="57">
        <v>820.95</v>
      </c>
      <c r="F296" s="57">
        <v>10514</v>
      </c>
    </row>
    <row r="297" spans="1:6" x14ac:dyDescent="0.15">
      <c r="A297" s="58">
        <v>35542</v>
      </c>
      <c r="B297" s="57" t="s">
        <v>91</v>
      </c>
      <c r="C297" s="57" t="s">
        <v>92</v>
      </c>
      <c r="D297" s="57" t="s">
        <v>42</v>
      </c>
      <c r="E297" s="57">
        <v>387.5</v>
      </c>
      <c r="F297" s="57">
        <v>10514</v>
      </c>
    </row>
    <row r="298" spans="1:6" x14ac:dyDescent="0.15">
      <c r="A298" s="58">
        <v>35543</v>
      </c>
      <c r="B298" s="57" t="s">
        <v>80</v>
      </c>
      <c r="C298" s="57" t="s">
        <v>75</v>
      </c>
      <c r="D298" s="57" t="s">
        <v>33</v>
      </c>
      <c r="E298" s="57">
        <v>1319.1999907493591</v>
      </c>
      <c r="F298" s="57">
        <v>10515</v>
      </c>
    </row>
    <row r="299" spans="1:6" x14ac:dyDescent="0.15">
      <c r="A299" s="58">
        <v>35543</v>
      </c>
      <c r="B299" s="57" t="s">
        <v>80</v>
      </c>
      <c r="C299" s="57" t="s">
        <v>75</v>
      </c>
      <c r="D299" s="57" t="s">
        <v>77</v>
      </c>
      <c r="E299" s="57">
        <v>872.5</v>
      </c>
      <c r="F299" s="57">
        <v>10515</v>
      </c>
    </row>
    <row r="300" spans="1:6" x14ac:dyDescent="0.15">
      <c r="A300" s="58">
        <v>35543</v>
      </c>
      <c r="B300" s="57" t="s">
        <v>80</v>
      </c>
      <c r="C300" s="57" t="s">
        <v>75</v>
      </c>
      <c r="D300" s="57" t="s">
        <v>77</v>
      </c>
      <c r="E300" s="57">
        <v>5268</v>
      </c>
      <c r="F300" s="57">
        <v>10515</v>
      </c>
    </row>
    <row r="301" spans="1:6" x14ac:dyDescent="0.15">
      <c r="A301" s="58">
        <v>35543</v>
      </c>
      <c r="B301" s="57" t="s">
        <v>80</v>
      </c>
      <c r="C301" s="57" t="s">
        <v>75</v>
      </c>
      <c r="D301" s="57" t="s">
        <v>73</v>
      </c>
      <c r="E301" s="57">
        <v>33.999999761581421</v>
      </c>
      <c r="F301" s="57">
        <v>10515</v>
      </c>
    </row>
    <row r="302" spans="1:6" x14ac:dyDescent="0.15">
      <c r="A302" s="58">
        <v>35543</v>
      </c>
      <c r="B302" s="57" t="s">
        <v>80</v>
      </c>
      <c r="C302" s="57" t="s">
        <v>75</v>
      </c>
      <c r="D302" s="57" t="s">
        <v>73</v>
      </c>
      <c r="E302" s="57">
        <v>2427.5999829769135</v>
      </c>
      <c r="F302" s="57">
        <v>10515</v>
      </c>
    </row>
    <row r="303" spans="1:6" x14ac:dyDescent="0.15">
      <c r="A303" s="58">
        <v>35544</v>
      </c>
      <c r="B303" s="57" t="s">
        <v>74</v>
      </c>
      <c r="C303" s="57" t="s">
        <v>75</v>
      </c>
      <c r="D303" s="57" t="s">
        <v>82</v>
      </c>
      <c r="E303" s="57">
        <v>1406.2499976716936</v>
      </c>
      <c r="F303" s="57">
        <v>10516</v>
      </c>
    </row>
    <row r="304" spans="1:6" x14ac:dyDescent="0.15">
      <c r="A304" s="58">
        <v>35544</v>
      </c>
      <c r="B304" s="57" t="s">
        <v>74</v>
      </c>
      <c r="C304" s="57" t="s">
        <v>75</v>
      </c>
      <c r="D304" s="57" t="s">
        <v>82</v>
      </c>
      <c r="E304" s="57">
        <v>694.79999884963036</v>
      </c>
      <c r="F304" s="57">
        <v>10516</v>
      </c>
    </row>
    <row r="305" spans="1:6" x14ac:dyDescent="0.15">
      <c r="A305" s="58">
        <v>35544</v>
      </c>
      <c r="B305" s="57" t="s">
        <v>74</v>
      </c>
      <c r="C305" s="57" t="s">
        <v>75</v>
      </c>
      <c r="D305" s="57" t="s">
        <v>86</v>
      </c>
      <c r="E305" s="57">
        <v>280</v>
      </c>
      <c r="F305" s="57">
        <v>10516</v>
      </c>
    </row>
    <row r="306" spans="1:6" x14ac:dyDescent="0.15">
      <c r="A306" s="58">
        <v>35544</v>
      </c>
      <c r="B306" s="57" t="s">
        <v>74</v>
      </c>
      <c r="C306" s="57" t="s">
        <v>75</v>
      </c>
      <c r="D306" s="57" t="s">
        <v>86</v>
      </c>
      <c r="E306" s="57">
        <v>42</v>
      </c>
      <c r="F306" s="57">
        <v>10517</v>
      </c>
    </row>
    <row r="307" spans="1:6" x14ac:dyDescent="0.15">
      <c r="A307" s="58">
        <v>35544</v>
      </c>
      <c r="B307" s="57" t="s">
        <v>74</v>
      </c>
      <c r="C307" s="57" t="s">
        <v>75</v>
      </c>
      <c r="D307" s="57" t="s">
        <v>73</v>
      </c>
      <c r="E307" s="57">
        <v>220</v>
      </c>
      <c r="F307" s="57">
        <v>10517</v>
      </c>
    </row>
    <row r="308" spans="1:6" x14ac:dyDescent="0.15">
      <c r="A308" s="58">
        <v>35544</v>
      </c>
      <c r="B308" s="57" t="s">
        <v>74</v>
      </c>
      <c r="C308" s="57" t="s">
        <v>75</v>
      </c>
      <c r="D308" s="57" t="s">
        <v>42</v>
      </c>
      <c r="E308" s="57">
        <v>90</v>
      </c>
      <c r="F308" s="57">
        <v>10517</v>
      </c>
    </row>
    <row r="309" spans="1:6" x14ac:dyDescent="0.15">
      <c r="A309" s="58">
        <v>35545</v>
      </c>
      <c r="B309" s="57" t="s">
        <v>91</v>
      </c>
      <c r="C309" s="57" t="s">
        <v>75</v>
      </c>
      <c r="D309" s="57" t="s">
        <v>42</v>
      </c>
      <c r="E309" s="57">
        <v>22.5</v>
      </c>
      <c r="F309" s="57">
        <v>10518</v>
      </c>
    </row>
    <row r="310" spans="1:6" x14ac:dyDescent="0.15">
      <c r="A310" s="58">
        <v>35545</v>
      </c>
      <c r="B310" s="57" t="s">
        <v>91</v>
      </c>
      <c r="C310" s="57" t="s">
        <v>75</v>
      </c>
      <c r="D310" s="57" t="s">
        <v>42</v>
      </c>
      <c r="E310" s="57">
        <v>3952.5</v>
      </c>
      <c r="F310" s="57">
        <v>10518</v>
      </c>
    </row>
    <row r="311" spans="1:6" x14ac:dyDescent="0.15">
      <c r="A311" s="58">
        <v>35545</v>
      </c>
      <c r="B311" s="57" t="s">
        <v>91</v>
      </c>
      <c r="C311" s="57" t="s">
        <v>75</v>
      </c>
      <c r="D311" s="57" t="s">
        <v>88</v>
      </c>
      <c r="E311" s="57">
        <v>175.05</v>
      </c>
      <c r="F311" s="57">
        <v>10518</v>
      </c>
    </row>
    <row r="312" spans="1:6" x14ac:dyDescent="0.15">
      <c r="A312" s="58">
        <v>35548</v>
      </c>
      <c r="B312" s="57" t="s">
        <v>74</v>
      </c>
      <c r="C312" s="57" t="s">
        <v>75</v>
      </c>
      <c r="D312" s="57" t="s">
        <v>82</v>
      </c>
      <c r="E312" s="57">
        <v>471.1999996304512</v>
      </c>
      <c r="F312" s="57">
        <v>10519</v>
      </c>
    </row>
    <row r="313" spans="1:6" x14ac:dyDescent="0.15">
      <c r="A313" s="58">
        <v>35548</v>
      </c>
      <c r="B313" s="57" t="s">
        <v>74</v>
      </c>
      <c r="C313" s="57" t="s">
        <v>75</v>
      </c>
      <c r="D313" s="57" t="s">
        <v>86</v>
      </c>
      <c r="E313" s="57">
        <v>1520</v>
      </c>
      <c r="F313" s="57">
        <v>10519</v>
      </c>
    </row>
    <row r="314" spans="1:6" x14ac:dyDescent="0.15">
      <c r="A314" s="58">
        <v>35548</v>
      </c>
      <c r="B314" s="57" t="s">
        <v>74</v>
      </c>
      <c r="C314" s="57" t="s">
        <v>75</v>
      </c>
      <c r="D314" s="57" t="s">
        <v>73</v>
      </c>
      <c r="E314" s="57">
        <v>322.99999974668026</v>
      </c>
      <c r="F314" s="57">
        <v>10519</v>
      </c>
    </row>
    <row r="315" spans="1:6" x14ac:dyDescent="0.15">
      <c r="A315" s="58">
        <v>35549</v>
      </c>
      <c r="B315" s="57" t="s">
        <v>80</v>
      </c>
      <c r="C315" s="57" t="s">
        <v>96</v>
      </c>
      <c r="D315" s="57" t="s">
        <v>42</v>
      </c>
      <c r="E315" s="57">
        <v>36</v>
      </c>
      <c r="F315" s="57">
        <v>10520</v>
      </c>
    </row>
    <row r="316" spans="1:6" x14ac:dyDescent="0.15">
      <c r="A316" s="58">
        <v>35549</v>
      </c>
      <c r="B316" s="57" t="s">
        <v>80</v>
      </c>
      <c r="C316" s="57" t="s">
        <v>96</v>
      </c>
      <c r="D316" s="57" t="s">
        <v>33</v>
      </c>
      <c r="E316" s="57">
        <v>164</v>
      </c>
      <c r="F316" s="57">
        <v>10520</v>
      </c>
    </row>
    <row r="317" spans="1:6" x14ac:dyDescent="0.15">
      <c r="A317" s="58">
        <v>35549</v>
      </c>
      <c r="B317" s="57" t="s">
        <v>91</v>
      </c>
      <c r="C317" s="57" t="s">
        <v>97</v>
      </c>
      <c r="D317" s="57" t="s">
        <v>42</v>
      </c>
      <c r="E317" s="57">
        <v>54</v>
      </c>
      <c r="F317" s="57">
        <v>10521</v>
      </c>
    </row>
    <row r="318" spans="1:6" x14ac:dyDescent="0.15">
      <c r="A318" s="58">
        <v>35549</v>
      </c>
      <c r="B318" s="57" t="s">
        <v>91</v>
      </c>
      <c r="C318" s="57" t="s">
        <v>97</v>
      </c>
      <c r="D318" s="57" t="s">
        <v>82</v>
      </c>
      <c r="E318" s="57">
        <v>96.5</v>
      </c>
      <c r="F318" s="57">
        <v>10521</v>
      </c>
    </row>
    <row r="319" spans="1:6" x14ac:dyDescent="0.15">
      <c r="A319" s="58">
        <v>35549</v>
      </c>
      <c r="B319" s="57" t="s">
        <v>91</v>
      </c>
      <c r="C319" s="57" t="s">
        <v>97</v>
      </c>
      <c r="D319" s="57" t="s">
        <v>77</v>
      </c>
      <c r="E319" s="57">
        <v>75</v>
      </c>
      <c r="F319" s="57">
        <v>10521</v>
      </c>
    </row>
    <row r="320" spans="1:6" x14ac:dyDescent="0.15">
      <c r="A320" s="58">
        <v>35550</v>
      </c>
      <c r="B320" s="57" t="s">
        <v>80</v>
      </c>
      <c r="C320" s="57" t="s">
        <v>81</v>
      </c>
      <c r="D320" s="57" t="s">
        <v>42</v>
      </c>
      <c r="E320" s="57">
        <v>575.99999785423279</v>
      </c>
      <c r="F320" s="57">
        <v>10522</v>
      </c>
    </row>
    <row r="321" spans="1:6" x14ac:dyDescent="0.15">
      <c r="A321" s="58">
        <v>35550</v>
      </c>
      <c r="B321" s="57" t="s">
        <v>80</v>
      </c>
      <c r="C321" s="57" t="s">
        <v>81</v>
      </c>
      <c r="D321" s="57" t="s">
        <v>88</v>
      </c>
      <c r="E321" s="57">
        <v>960</v>
      </c>
      <c r="F321" s="57">
        <v>10522</v>
      </c>
    </row>
    <row r="322" spans="1:6" x14ac:dyDescent="0.15">
      <c r="A322" s="58">
        <v>35550</v>
      </c>
      <c r="B322" s="57" t="s">
        <v>80</v>
      </c>
      <c r="C322" s="57" t="s">
        <v>81</v>
      </c>
      <c r="D322" s="57" t="s">
        <v>82</v>
      </c>
      <c r="E322" s="57">
        <v>414.23999845683574</v>
      </c>
      <c r="F322" s="57">
        <v>10522</v>
      </c>
    </row>
    <row r="323" spans="1:6" x14ac:dyDescent="0.15">
      <c r="A323" s="58">
        <v>35550</v>
      </c>
      <c r="B323" s="57" t="s">
        <v>80</v>
      </c>
      <c r="C323" s="57" t="s">
        <v>81</v>
      </c>
      <c r="D323" s="57" t="s">
        <v>82</v>
      </c>
      <c r="E323" s="57">
        <v>367.99999862909317</v>
      </c>
      <c r="F323" s="57">
        <v>10522</v>
      </c>
    </row>
    <row r="324" spans="1:6" x14ac:dyDescent="0.15">
      <c r="A324" s="58">
        <v>35551</v>
      </c>
      <c r="B324" s="57" t="s">
        <v>91</v>
      </c>
      <c r="C324" s="57" t="s">
        <v>75</v>
      </c>
      <c r="D324" s="57" t="s">
        <v>33</v>
      </c>
      <c r="E324" s="57">
        <v>877.49999854713678</v>
      </c>
      <c r="F324" s="57">
        <v>10523</v>
      </c>
    </row>
    <row r="325" spans="1:6" x14ac:dyDescent="0.15">
      <c r="A325" s="58">
        <v>35551</v>
      </c>
      <c r="B325" s="57" t="s">
        <v>91</v>
      </c>
      <c r="C325" s="57" t="s">
        <v>75</v>
      </c>
      <c r="D325" s="57" t="s">
        <v>77</v>
      </c>
      <c r="E325" s="57">
        <v>1093.4999981895089</v>
      </c>
      <c r="F325" s="57">
        <v>10523</v>
      </c>
    </row>
    <row r="326" spans="1:6" x14ac:dyDescent="0.15">
      <c r="A326" s="58">
        <v>35551</v>
      </c>
      <c r="B326" s="57" t="s">
        <v>91</v>
      </c>
      <c r="C326" s="57" t="s">
        <v>75</v>
      </c>
      <c r="D326" s="57" t="s">
        <v>82</v>
      </c>
      <c r="E326" s="57">
        <v>421.19999930262566</v>
      </c>
      <c r="F326" s="57">
        <v>10523</v>
      </c>
    </row>
    <row r="327" spans="1:6" x14ac:dyDescent="0.15">
      <c r="A327" s="58">
        <v>35551</v>
      </c>
      <c r="B327" s="57" t="s">
        <v>91</v>
      </c>
      <c r="C327" s="57" t="s">
        <v>75</v>
      </c>
      <c r="D327" s="57" t="s">
        <v>82</v>
      </c>
      <c r="E327" s="57">
        <v>52.109999913722277</v>
      </c>
      <c r="F327" s="57">
        <v>10523</v>
      </c>
    </row>
    <row r="328" spans="1:6" x14ac:dyDescent="0.15">
      <c r="A328" s="58">
        <v>35551</v>
      </c>
      <c r="B328" s="57" t="s">
        <v>91</v>
      </c>
      <c r="C328" s="57" t="s">
        <v>81</v>
      </c>
      <c r="D328" s="57" t="s">
        <v>82</v>
      </c>
      <c r="E328" s="57">
        <v>62</v>
      </c>
      <c r="F328" s="57">
        <v>10524</v>
      </c>
    </row>
    <row r="329" spans="1:6" x14ac:dyDescent="0.15">
      <c r="A329" s="58">
        <v>35551</v>
      </c>
      <c r="B329" s="57" t="s">
        <v>91</v>
      </c>
      <c r="C329" s="57" t="s">
        <v>81</v>
      </c>
      <c r="D329" s="57" t="s">
        <v>82</v>
      </c>
      <c r="E329" s="57">
        <v>258.89999999999998</v>
      </c>
      <c r="F329" s="57">
        <v>10524</v>
      </c>
    </row>
    <row r="330" spans="1:6" x14ac:dyDescent="0.15">
      <c r="A330" s="58">
        <v>35551</v>
      </c>
      <c r="B330" s="57" t="s">
        <v>91</v>
      </c>
      <c r="C330" s="57" t="s">
        <v>81</v>
      </c>
      <c r="D330" s="57" t="s">
        <v>42</v>
      </c>
      <c r="E330" s="57">
        <v>2760</v>
      </c>
      <c r="F330" s="57">
        <v>10524</v>
      </c>
    </row>
    <row r="331" spans="1:6" x14ac:dyDescent="0.15">
      <c r="A331" s="58">
        <v>35551</v>
      </c>
      <c r="B331" s="57" t="s">
        <v>91</v>
      </c>
      <c r="C331" s="57" t="s">
        <v>81</v>
      </c>
      <c r="D331" s="57" t="s">
        <v>33</v>
      </c>
      <c r="E331" s="57">
        <v>111.75</v>
      </c>
      <c r="F331" s="57">
        <v>10524</v>
      </c>
    </row>
    <row r="332" spans="1:6" x14ac:dyDescent="0.15">
      <c r="A332" s="58">
        <v>35552</v>
      </c>
      <c r="B332" s="57" t="s">
        <v>91</v>
      </c>
      <c r="C332" s="57" t="s">
        <v>96</v>
      </c>
      <c r="D332" s="57" t="s">
        <v>82</v>
      </c>
      <c r="E332" s="57">
        <v>570</v>
      </c>
      <c r="F332" s="57">
        <v>10525</v>
      </c>
    </row>
    <row r="333" spans="1:6" x14ac:dyDescent="0.15">
      <c r="A333" s="58">
        <v>35552</v>
      </c>
      <c r="B333" s="57" t="s">
        <v>91</v>
      </c>
      <c r="C333" s="57" t="s">
        <v>96</v>
      </c>
      <c r="D333" s="57" t="s">
        <v>82</v>
      </c>
      <c r="E333" s="57">
        <v>248.39999958872795</v>
      </c>
      <c r="F333" s="57">
        <v>10525</v>
      </c>
    </row>
    <row r="334" spans="1:6" x14ac:dyDescent="0.15">
      <c r="A334" s="58">
        <v>35555</v>
      </c>
      <c r="B334" s="57" t="s">
        <v>91</v>
      </c>
      <c r="C334" s="57" t="s">
        <v>75</v>
      </c>
      <c r="D334" s="57" t="s">
        <v>42</v>
      </c>
      <c r="E334" s="57">
        <v>122.39999914169312</v>
      </c>
      <c r="F334" s="57">
        <v>10526</v>
      </c>
    </row>
    <row r="335" spans="1:6" x14ac:dyDescent="0.15">
      <c r="A335" s="58">
        <v>35555</v>
      </c>
      <c r="B335" s="57" t="s">
        <v>91</v>
      </c>
      <c r="C335" s="57" t="s">
        <v>75</v>
      </c>
      <c r="D335" s="57" t="s">
        <v>82</v>
      </c>
      <c r="E335" s="57">
        <v>60</v>
      </c>
      <c r="F335" s="57">
        <v>10526</v>
      </c>
    </row>
    <row r="336" spans="1:6" x14ac:dyDescent="0.15">
      <c r="A336" s="58">
        <v>35555</v>
      </c>
      <c r="B336" s="57" t="s">
        <v>91</v>
      </c>
      <c r="C336" s="57" t="s">
        <v>75</v>
      </c>
      <c r="D336" s="57" t="s">
        <v>86</v>
      </c>
      <c r="E336" s="57">
        <v>968.9999932050705</v>
      </c>
      <c r="F336" s="57">
        <v>10526</v>
      </c>
    </row>
    <row r="337" spans="1:6" x14ac:dyDescent="0.15">
      <c r="A337" s="58">
        <v>35555</v>
      </c>
      <c r="B337" s="57" t="s">
        <v>80</v>
      </c>
      <c r="C337" s="57" t="s">
        <v>75</v>
      </c>
      <c r="D337" s="57" t="s">
        <v>88</v>
      </c>
      <c r="E337" s="57">
        <v>989.99999836087227</v>
      </c>
      <c r="F337" s="57">
        <v>10527</v>
      </c>
    </row>
    <row r="338" spans="1:6" x14ac:dyDescent="0.15">
      <c r="A338" s="58">
        <v>35555</v>
      </c>
      <c r="B338" s="57" t="s">
        <v>80</v>
      </c>
      <c r="C338" s="57" t="s">
        <v>75</v>
      </c>
      <c r="D338" s="57" t="s">
        <v>82</v>
      </c>
      <c r="E338" s="57">
        <v>512.99999915063381</v>
      </c>
      <c r="F338" s="57">
        <v>10527</v>
      </c>
    </row>
    <row r="339" spans="1:6" x14ac:dyDescent="0.15">
      <c r="A339" s="58">
        <v>35556</v>
      </c>
      <c r="B339" s="57" t="s">
        <v>91</v>
      </c>
      <c r="C339" s="57" t="s">
        <v>75</v>
      </c>
      <c r="D339" s="57" t="s">
        <v>73</v>
      </c>
      <c r="E339" s="57">
        <v>63</v>
      </c>
      <c r="F339" s="57">
        <v>10528</v>
      </c>
    </row>
    <row r="340" spans="1:6" x14ac:dyDescent="0.15">
      <c r="A340" s="58">
        <v>35556</v>
      </c>
      <c r="B340" s="57" t="s">
        <v>91</v>
      </c>
      <c r="C340" s="57" t="s">
        <v>75</v>
      </c>
      <c r="D340" s="57" t="s">
        <v>73</v>
      </c>
      <c r="E340" s="57">
        <v>15.999999940395355</v>
      </c>
      <c r="F340" s="57">
        <v>10528</v>
      </c>
    </row>
    <row r="341" spans="1:6" x14ac:dyDescent="0.15">
      <c r="A341" s="58">
        <v>35556</v>
      </c>
      <c r="B341" s="57" t="s">
        <v>91</v>
      </c>
      <c r="C341" s="57" t="s">
        <v>75</v>
      </c>
      <c r="D341" s="57" t="s">
        <v>73</v>
      </c>
      <c r="E341" s="57">
        <v>313.2</v>
      </c>
      <c r="F341" s="57">
        <v>10528</v>
      </c>
    </row>
    <row r="342" spans="1:6" x14ac:dyDescent="0.15">
      <c r="A342" s="58">
        <v>35557</v>
      </c>
      <c r="B342" s="57" t="s">
        <v>91</v>
      </c>
      <c r="C342" s="57" t="s">
        <v>81</v>
      </c>
      <c r="D342" s="57" t="s">
        <v>33</v>
      </c>
      <c r="E342" s="57">
        <v>336</v>
      </c>
      <c r="F342" s="57">
        <v>10529</v>
      </c>
    </row>
    <row r="343" spans="1:6" x14ac:dyDescent="0.15">
      <c r="A343" s="58">
        <v>35557</v>
      </c>
      <c r="B343" s="57" t="s">
        <v>91</v>
      </c>
      <c r="C343" s="57" t="s">
        <v>81</v>
      </c>
      <c r="D343" s="57" t="s">
        <v>77</v>
      </c>
      <c r="E343" s="57">
        <v>250</v>
      </c>
      <c r="F343" s="57">
        <v>10529</v>
      </c>
    </row>
    <row r="344" spans="1:6" x14ac:dyDescent="0.15">
      <c r="A344" s="58">
        <v>35557</v>
      </c>
      <c r="B344" s="57" t="s">
        <v>91</v>
      </c>
      <c r="C344" s="57" t="s">
        <v>81</v>
      </c>
      <c r="D344" s="57" t="s">
        <v>73</v>
      </c>
      <c r="E344" s="57">
        <v>360</v>
      </c>
      <c r="F344" s="57">
        <v>10529</v>
      </c>
    </row>
    <row r="345" spans="1:6" x14ac:dyDescent="0.15">
      <c r="A345" s="58">
        <v>35558</v>
      </c>
      <c r="B345" s="57" t="s">
        <v>91</v>
      </c>
      <c r="C345" s="57" t="s">
        <v>81</v>
      </c>
      <c r="D345" s="57" t="s">
        <v>33</v>
      </c>
      <c r="E345" s="57">
        <v>1560</v>
      </c>
      <c r="F345" s="57">
        <v>10530</v>
      </c>
    </row>
    <row r="346" spans="1:6" x14ac:dyDescent="0.15">
      <c r="A346" s="58">
        <v>35558</v>
      </c>
      <c r="B346" s="57" t="s">
        <v>91</v>
      </c>
      <c r="C346" s="57" t="s">
        <v>81</v>
      </c>
      <c r="D346" s="57" t="s">
        <v>42</v>
      </c>
      <c r="E346" s="57">
        <v>1150</v>
      </c>
      <c r="F346" s="57">
        <v>10530</v>
      </c>
    </row>
    <row r="347" spans="1:6" x14ac:dyDescent="0.15">
      <c r="A347" s="58">
        <v>35558</v>
      </c>
      <c r="B347" s="57" t="s">
        <v>91</v>
      </c>
      <c r="C347" s="57" t="s">
        <v>81</v>
      </c>
      <c r="D347" s="57" t="s">
        <v>88</v>
      </c>
      <c r="E347" s="57">
        <v>570</v>
      </c>
      <c r="F347" s="57">
        <v>10530</v>
      </c>
    </row>
    <row r="348" spans="1:6" x14ac:dyDescent="0.15">
      <c r="A348" s="58">
        <v>35558</v>
      </c>
      <c r="B348" s="57" t="s">
        <v>91</v>
      </c>
      <c r="C348" s="57" t="s">
        <v>81</v>
      </c>
      <c r="D348" s="57" t="s">
        <v>42</v>
      </c>
      <c r="E348" s="57">
        <v>900</v>
      </c>
      <c r="F348" s="57">
        <v>10530</v>
      </c>
    </row>
    <row r="349" spans="1:6" x14ac:dyDescent="0.15">
      <c r="A349" s="58">
        <v>35558</v>
      </c>
      <c r="B349" s="57" t="s">
        <v>80</v>
      </c>
      <c r="C349" s="57" t="s">
        <v>75</v>
      </c>
      <c r="D349" s="57" t="s">
        <v>73</v>
      </c>
      <c r="E349" s="57">
        <v>110</v>
      </c>
      <c r="F349" s="57">
        <v>10531</v>
      </c>
    </row>
    <row r="350" spans="1:6" x14ac:dyDescent="0.15">
      <c r="A350" s="58">
        <v>35559</v>
      </c>
      <c r="B350" s="57" t="s">
        <v>74</v>
      </c>
      <c r="C350" s="57" t="s">
        <v>75</v>
      </c>
      <c r="D350" s="57" t="s">
        <v>82</v>
      </c>
      <c r="E350" s="57">
        <v>388.35</v>
      </c>
      <c r="F350" s="57">
        <v>10532</v>
      </c>
    </row>
    <row r="351" spans="1:6" x14ac:dyDescent="0.15">
      <c r="A351" s="58">
        <v>35559</v>
      </c>
      <c r="B351" s="57" t="s">
        <v>74</v>
      </c>
      <c r="C351" s="57" t="s">
        <v>75</v>
      </c>
      <c r="D351" s="57" t="s">
        <v>88</v>
      </c>
      <c r="E351" s="57">
        <v>408</v>
      </c>
      <c r="F351" s="57">
        <v>10532</v>
      </c>
    </row>
    <row r="352" spans="1:6" x14ac:dyDescent="0.15">
      <c r="A352" s="58">
        <v>35562</v>
      </c>
      <c r="B352" s="57" t="s">
        <v>80</v>
      </c>
      <c r="C352" s="57" t="s">
        <v>81</v>
      </c>
      <c r="D352" s="57" t="s">
        <v>88</v>
      </c>
      <c r="E352" s="57">
        <v>1044.9999991804361</v>
      </c>
      <c r="F352" s="57">
        <v>10533</v>
      </c>
    </row>
    <row r="353" spans="1:6" x14ac:dyDescent="0.15">
      <c r="A353" s="58">
        <v>35562</v>
      </c>
      <c r="B353" s="57" t="s">
        <v>80</v>
      </c>
      <c r="C353" s="57" t="s">
        <v>81</v>
      </c>
      <c r="D353" s="57" t="s">
        <v>73</v>
      </c>
      <c r="E353" s="57">
        <v>835.2</v>
      </c>
      <c r="F353" s="57">
        <v>10533</v>
      </c>
    </row>
    <row r="354" spans="1:6" x14ac:dyDescent="0.15">
      <c r="A354" s="58">
        <v>35562</v>
      </c>
      <c r="B354" s="57" t="s">
        <v>80</v>
      </c>
      <c r="C354" s="57" t="s">
        <v>81</v>
      </c>
      <c r="D354" s="57" t="s">
        <v>82</v>
      </c>
      <c r="E354" s="57">
        <v>341.9999997317791</v>
      </c>
      <c r="F354" s="57">
        <v>10533</v>
      </c>
    </row>
    <row r="355" spans="1:6" x14ac:dyDescent="0.15">
      <c r="A355" s="58">
        <v>35562</v>
      </c>
      <c r="B355" s="57" t="s">
        <v>91</v>
      </c>
      <c r="C355" s="57" t="s">
        <v>81</v>
      </c>
      <c r="D355" s="57" t="s">
        <v>82</v>
      </c>
      <c r="E355" s="57">
        <v>258.89999999999998</v>
      </c>
      <c r="F355" s="57">
        <v>10534</v>
      </c>
    </row>
    <row r="356" spans="1:6" x14ac:dyDescent="0.15">
      <c r="A356" s="58">
        <v>35562</v>
      </c>
      <c r="B356" s="57" t="s">
        <v>91</v>
      </c>
      <c r="C356" s="57" t="s">
        <v>81</v>
      </c>
      <c r="D356" s="57" t="s">
        <v>82</v>
      </c>
      <c r="E356" s="57">
        <v>147.19999945163727</v>
      </c>
      <c r="F356" s="57">
        <v>10534</v>
      </c>
    </row>
    <row r="357" spans="1:6" x14ac:dyDescent="0.15">
      <c r="A357" s="58">
        <v>35562</v>
      </c>
      <c r="B357" s="57" t="s">
        <v>91</v>
      </c>
      <c r="C357" s="57" t="s">
        <v>81</v>
      </c>
      <c r="D357" s="57" t="s">
        <v>33</v>
      </c>
      <c r="E357" s="57">
        <v>59.599999777972698</v>
      </c>
      <c r="F357" s="57">
        <v>10534</v>
      </c>
    </row>
    <row r="358" spans="1:6" x14ac:dyDescent="0.15">
      <c r="A358" s="58">
        <v>35563</v>
      </c>
      <c r="B358" s="57" t="s">
        <v>80</v>
      </c>
      <c r="C358" s="57" t="s">
        <v>75</v>
      </c>
      <c r="D358" s="57" t="s">
        <v>73</v>
      </c>
      <c r="E358" s="57">
        <v>944.99999843537807</v>
      </c>
      <c r="F358" s="57">
        <v>10535</v>
      </c>
    </row>
    <row r="359" spans="1:6" x14ac:dyDescent="0.15">
      <c r="A359" s="58">
        <v>35563</v>
      </c>
      <c r="B359" s="57" t="s">
        <v>80</v>
      </c>
      <c r="C359" s="57" t="s">
        <v>75</v>
      </c>
      <c r="D359" s="57" t="s">
        <v>82</v>
      </c>
      <c r="E359" s="57">
        <v>165.59999972581863</v>
      </c>
      <c r="F359" s="57">
        <v>10535</v>
      </c>
    </row>
    <row r="360" spans="1:6" x14ac:dyDescent="0.15">
      <c r="A360" s="58">
        <v>35563</v>
      </c>
      <c r="B360" s="57" t="s">
        <v>80</v>
      </c>
      <c r="C360" s="57" t="s">
        <v>75</v>
      </c>
      <c r="D360" s="57" t="s">
        <v>86</v>
      </c>
      <c r="E360" s="57">
        <v>87.749999854713678</v>
      </c>
      <c r="F360" s="57">
        <v>10535</v>
      </c>
    </row>
    <row r="361" spans="1:6" x14ac:dyDescent="0.15">
      <c r="A361" s="58">
        <v>35563</v>
      </c>
      <c r="B361" s="57" t="s">
        <v>80</v>
      </c>
      <c r="C361" s="57" t="s">
        <v>75</v>
      </c>
      <c r="D361" s="57" t="s">
        <v>73</v>
      </c>
      <c r="E361" s="57">
        <v>742.4999987706542</v>
      </c>
      <c r="F361" s="57">
        <v>10535</v>
      </c>
    </row>
    <row r="362" spans="1:6" x14ac:dyDescent="0.15">
      <c r="A362" s="58">
        <v>35564</v>
      </c>
      <c r="B362" s="57" t="s">
        <v>91</v>
      </c>
      <c r="C362" s="57" t="s">
        <v>81</v>
      </c>
      <c r="D362" s="57" t="s">
        <v>73</v>
      </c>
      <c r="E362" s="57">
        <v>427.5</v>
      </c>
      <c r="F362" s="57">
        <v>10536</v>
      </c>
    </row>
    <row r="363" spans="1:6" x14ac:dyDescent="0.15">
      <c r="A363" s="58">
        <v>35564</v>
      </c>
      <c r="B363" s="57" t="s">
        <v>91</v>
      </c>
      <c r="C363" s="57" t="s">
        <v>81</v>
      </c>
      <c r="D363" s="57" t="s">
        <v>73</v>
      </c>
      <c r="E363" s="57">
        <v>250</v>
      </c>
      <c r="F363" s="57">
        <v>10536</v>
      </c>
    </row>
    <row r="364" spans="1:6" x14ac:dyDescent="0.15">
      <c r="A364" s="58">
        <v>35564</v>
      </c>
      <c r="B364" s="57" t="s">
        <v>91</v>
      </c>
      <c r="C364" s="57" t="s">
        <v>81</v>
      </c>
      <c r="D364" s="57" t="s">
        <v>73</v>
      </c>
      <c r="E364" s="57">
        <v>75</v>
      </c>
      <c r="F364" s="57">
        <v>10536</v>
      </c>
    </row>
    <row r="365" spans="1:6" x14ac:dyDescent="0.15">
      <c r="A365" s="58">
        <v>35564</v>
      </c>
      <c r="B365" s="57" t="s">
        <v>91</v>
      </c>
      <c r="C365" s="57" t="s">
        <v>81</v>
      </c>
      <c r="D365" s="57" t="s">
        <v>73</v>
      </c>
      <c r="E365" s="57">
        <v>892.5</v>
      </c>
      <c r="F365" s="57">
        <v>10536</v>
      </c>
    </row>
    <row r="366" spans="1:6" x14ac:dyDescent="0.15">
      <c r="A366" s="58">
        <v>35564</v>
      </c>
      <c r="B366" s="57" t="s">
        <v>80</v>
      </c>
      <c r="C366" s="57" t="s">
        <v>81</v>
      </c>
      <c r="D366" s="57" t="s">
        <v>73</v>
      </c>
      <c r="E366" s="57">
        <v>375</v>
      </c>
      <c r="F366" s="57">
        <v>10537</v>
      </c>
    </row>
    <row r="367" spans="1:6" x14ac:dyDescent="0.15">
      <c r="A367" s="58">
        <v>35564</v>
      </c>
      <c r="B367" s="57" t="s">
        <v>80</v>
      </c>
      <c r="C367" s="57" t="s">
        <v>81</v>
      </c>
      <c r="D367" s="57" t="s">
        <v>95</v>
      </c>
      <c r="E367" s="57">
        <v>318</v>
      </c>
      <c r="F367" s="57">
        <v>10537</v>
      </c>
    </row>
    <row r="368" spans="1:6" x14ac:dyDescent="0.15">
      <c r="A368" s="58">
        <v>35564</v>
      </c>
      <c r="B368" s="57" t="s">
        <v>80</v>
      </c>
      <c r="C368" s="57" t="s">
        <v>81</v>
      </c>
      <c r="D368" s="57" t="s">
        <v>82</v>
      </c>
      <c r="E368" s="57">
        <v>265</v>
      </c>
      <c r="F368" s="57">
        <v>10537</v>
      </c>
    </row>
    <row r="369" spans="1:6" x14ac:dyDescent="0.15">
      <c r="A369" s="58">
        <v>35564</v>
      </c>
      <c r="B369" s="57" t="s">
        <v>80</v>
      </c>
      <c r="C369" s="57" t="s">
        <v>81</v>
      </c>
      <c r="D369" s="57" t="s">
        <v>73</v>
      </c>
      <c r="E369" s="57">
        <v>730.8</v>
      </c>
      <c r="F369" s="57">
        <v>10537</v>
      </c>
    </row>
    <row r="370" spans="1:6" x14ac:dyDescent="0.15">
      <c r="A370" s="58">
        <v>35564</v>
      </c>
      <c r="B370" s="57" t="s">
        <v>80</v>
      </c>
      <c r="C370" s="57" t="s">
        <v>81</v>
      </c>
      <c r="D370" s="57" t="s">
        <v>82</v>
      </c>
      <c r="E370" s="57">
        <v>135</v>
      </c>
      <c r="F370" s="57">
        <v>10537</v>
      </c>
    </row>
    <row r="371" spans="1:6" x14ac:dyDescent="0.15">
      <c r="A371" s="58">
        <v>35565</v>
      </c>
      <c r="B371" s="57" t="s">
        <v>74</v>
      </c>
      <c r="C371" s="57" t="s">
        <v>92</v>
      </c>
      <c r="D371" s="57" t="s">
        <v>42</v>
      </c>
      <c r="E371" s="57">
        <v>105</v>
      </c>
      <c r="F371" s="57">
        <v>10538</v>
      </c>
    </row>
    <row r="372" spans="1:6" x14ac:dyDescent="0.15">
      <c r="A372" s="58">
        <v>35565</v>
      </c>
      <c r="B372" s="57" t="s">
        <v>74</v>
      </c>
      <c r="C372" s="57" t="s">
        <v>92</v>
      </c>
      <c r="D372" s="57" t="s">
        <v>73</v>
      </c>
      <c r="E372" s="57">
        <v>34.799999999999997</v>
      </c>
      <c r="F372" s="57">
        <v>10538</v>
      </c>
    </row>
    <row r="373" spans="1:6" x14ac:dyDescent="0.15">
      <c r="A373" s="58">
        <v>35566</v>
      </c>
      <c r="B373" s="57" t="s">
        <v>74</v>
      </c>
      <c r="C373" s="57" t="s">
        <v>92</v>
      </c>
      <c r="D373" s="57" t="s">
        <v>82</v>
      </c>
      <c r="E373" s="57">
        <v>48</v>
      </c>
      <c r="F373" s="57">
        <v>10539</v>
      </c>
    </row>
    <row r="374" spans="1:6" x14ac:dyDescent="0.15">
      <c r="A374" s="58">
        <v>35566</v>
      </c>
      <c r="B374" s="57" t="s">
        <v>74</v>
      </c>
      <c r="C374" s="57" t="s">
        <v>92</v>
      </c>
      <c r="D374" s="57" t="s">
        <v>77</v>
      </c>
      <c r="E374" s="57">
        <v>150</v>
      </c>
      <c r="F374" s="57">
        <v>10539</v>
      </c>
    </row>
    <row r="375" spans="1:6" x14ac:dyDescent="0.15">
      <c r="A375" s="58">
        <v>35566</v>
      </c>
      <c r="B375" s="57" t="s">
        <v>74</v>
      </c>
      <c r="C375" s="57" t="s">
        <v>92</v>
      </c>
      <c r="D375" s="57" t="s">
        <v>73</v>
      </c>
      <c r="E375" s="57">
        <v>37.5</v>
      </c>
      <c r="F375" s="57">
        <v>10539</v>
      </c>
    </row>
    <row r="376" spans="1:6" x14ac:dyDescent="0.15">
      <c r="A376" s="58">
        <v>35566</v>
      </c>
      <c r="B376" s="57" t="s">
        <v>74</v>
      </c>
      <c r="C376" s="57" t="s">
        <v>92</v>
      </c>
      <c r="D376" s="57" t="s">
        <v>77</v>
      </c>
      <c r="E376" s="57">
        <v>120</v>
      </c>
      <c r="F376" s="57">
        <v>10539</v>
      </c>
    </row>
    <row r="377" spans="1:6" x14ac:dyDescent="0.15">
      <c r="A377" s="58">
        <v>35569</v>
      </c>
      <c r="B377" s="57" t="s">
        <v>74</v>
      </c>
      <c r="C377" s="57" t="s">
        <v>75</v>
      </c>
      <c r="D377" s="57" t="s">
        <v>88</v>
      </c>
      <c r="E377" s="57">
        <v>600</v>
      </c>
      <c r="F377" s="57">
        <v>10540</v>
      </c>
    </row>
    <row r="378" spans="1:6" x14ac:dyDescent="0.15">
      <c r="A378" s="58">
        <v>35569</v>
      </c>
      <c r="B378" s="57" t="s">
        <v>74</v>
      </c>
      <c r="C378" s="57" t="s">
        <v>75</v>
      </c>
      <c r="D378" s="57" t="s">
        <v>77</v>
      </c>
      <c r="E378" s="57">
        <v>1249.2</v>
      </c>
      <c r="F378" s="57">
        <v>10540</v>
      </c>
    </row>
    <row r="379" spans="1:6" x14ac:dyDescent="0.15">
      <c r="A379" s="58">
        <v>35569</v>
      </c>
      <c r="B379" s="57" t="s">
        <v>74</v>
      </c>
      <c r="C379" s="57" t="s">
        <v>75</v>
      </c>
      <c r="D379" s="57" t="s">
        <v>42</v>
      </c>
      <c r="E379" s="57">
        <v>7905</v>
      </c>
      <c r="F379" s="57">
        <v>10540</v>
      </c>
    </row>
    <row r="380" spans="1:6" x14ac:dyDescent="0.15">
      <c r="A380" s="58">
        <v>35569</v>
      </c>
      <c r="B380" s="57" t="s">
        <v>74</v>
      </c>
      <c r="C380" s="57" t="s">
        <v>75</v>
      </c>
      <c r="D380" s="57" t="s">
        <v>77</v>
      </c>
      <c r="E380" s="57">
        <v>437.5</v>
      </c>
      <c r="F380" s="57">
        <v>10540</v>
      </c>
    </row>
    <row r="381" spans="1:6" x14ac:dyDescent="0.15">
      <c r="A381" s="58">
        <v>35569</v>
      </c>
      <c r="B381" s="57" t="s">
        <v>80</v>
      </c>
      <c r="C381" s="57" t="s">
        <v>81</v>
      </c>
      <c r="D381" s="57" t="s">
        <v>42</v>
      </c>
      <c r="E381" s="57">
        <v>141.74999976530671</v>
      </c>
      <c r="F381" s="57">
        <v>10541</v>
      </c>
    </row>
    <row r="382" spans="1:6" x14ac:dyDescent="0.15">
      <c r="A382" s="58">
        <v>35569</v>
      </c>
      <c r="B382" s="57" t="s">
        <v>80</v>
      </c>
      <c r="C382" s="57" t="s">
        <v>81</v>
      </c>
      <c r="D382" s="57" t="s">
        <v>42</v>
      </c>
      <c r="E382" s="57">
        <v>948.59999842941761</v>
      </c>
      <c r="F382" s="57">
        <v>10541</v>
      </c>
    </row>
    <row r="383" spans="1:6" x14ac:dyDescent="0.15">
      <c r="A383" s="58">
        <v>35569</v>
      </c>
      <c r="B383" s="57" t="s">
        <v>80</v>
      </c>
      <c r="C383" s="57" t="s">
        <v>81</v>
      </c>
      <c r="D383" s="57" t="s">
        <v>88</v>
      </c>
      <c r="E383" s="57">
        <v>682.01999887079</v>
      </c>
      <c r="F383" s="57">
        <v>10541</v>
      </c>
    </row>
    <row r="384" spans="1:6" x14ac:dyDescent="0.15">
      <c r="A384" s="58">
        <v>35569</v>
      </c>
      <c r="B384" s="57" t="s">
        <v>80</v>
      </c>
      <c r="C384" s="57" t="s">
        <v>81</v>
      </c>
      <c r="D384" s="57" t="s">
        <v>73</v>
      </c>
      <c r="E384" s="57">
        <v>174.14999971166253</v>
      </c>
      <c r="F384" s="57">
        <v>10541</v>
      </c>
    </row>
    <row r="385" spans="1:6" x14ac:dyDescent="0.15">
      <c r="A385" s="58">
        <v>35570</v>
      </c>
      <c r="B385" s="57" t="s">
        <v>74</v>
      </c>
      <c r="C385" s="57" t="s">
        <v>96</v>
      </c>
      <c r="D385" s="57" t="s">
        <v>73</v>
      </c>
      <c r="E385" s="57">
        <v>299.24999976530671</v>
      </c>
      <c r="F385" s="57">
        <v>10542</v>
      </c>
    </row>
    <row r="386" spans="1:6" x14ac:dyDescent="0.15">
      <c r="A386" s="58">
        <v>35570</v>
      </c>
      <c r="B386" s="57" t="s">
        <v>74</v>
      </c>
      <c r="C386" s="57" t="s">
        <v>96</v>
      </c>
      <c r="D386" s="57" t="s">
        <v>33</v>
      </c>
      <c r="E386" s="57">
        <v>169.85999986678362</v>
      </c>
      <c r="F386" s="57">
        <v>10542</v>
      </c>
    </row>
    <row r="387" spans="1:6" x14ac:dyDescent="0.15">
      <c r="A387" s="58">
        <v>35571</v>
      </c>
      <c r="B387" s="57" t="s">
        <v>91</v>
      </c>
      <c r="C387" s="57" t="s">
        <v>75</v>
      </c>
      <c r="D387" s="57" t="s">
        <v>73</v>
      </c>
      <c r="E387" s="57">
        <v>968.9999932050705</v>
      </c>
      <c r="F387" s="57">
        <v>10543</v>
      </c>
    </row>
    <row r="388" spans="1:6" x14ac:dyDescent="0.15">
      <c r="A388" s="58">
        <v>35571</v>
      </c>
      <c r="B388" s="57" t="s">
        <v>91</v>
      </c>
      <c r="C388" s="57" t="s">
        <v>75</v>
      </c>
      <c r="D388" s="57" t="s">
        <v>86</v>
      </c>
      <c r="E388" s="57">
        <v>535.49999624490738</v>
      </c>
      <c r="F388" s="57">
        <v>10543</v>
      </c>
    </row>
    <row r="389" spans="1:6" x14ac:dyDescent="0.15">
      <c r="A389" s="58">
        <v>35571</v>
      </c>
      <c r="B389" s="57" t="s">
        <v>80</v>
      </c>
      <c r="C389" s="57" t="s">
        <v>75</v>
      </c>
      <c r="D389" s="57" t="s">
        <v>95</v>
      </c>
      <c r="E389" s="57">
        <v>319.2</v>
      </c>
      <c r="F389" s="57">
        <v>10544</v>
      </c>
    </row>
    <row r="390" spans="1:6" x14ac:dyDescent="0.15">
      <c r="A390" s="58">
        <v>35571</v>
      </c>
      <c r="B390" s="57" t="s">
        <v>80</v>
      </c>
      <c r="C390" s="57" t="s">
        <v>75</v>
      </c>
      <c r="D390" s="57" t="s">
        <v>42</v>
      </c>
      <c r="E390" s="57">
        <v>98</v>
      </c>
      <c r="F390" s="57">
        <v>10544</v>
      </c>
    </row>
    <row r="391" spans="1:6" x14ac:dyDescent="0.15">
      <c r="A391" s="58">
        <v>35572</v>
      </c>
      <c r="B391" s="57" t="s">
        <v>91</v>
      </c>
      <c r="C391" s="57" t="s">
        <v>92</v>
      </c>
      <c r="D391" s="57" t="s">
        <v>73</v>
      </c>
      <c r="E391" s="57">
        <v>210</v>
      </c>
      <c r="F391" s="57">
        <v>10545</v>
      </c>
    </row>
    <row r="392" spans="1:6" x14ac:dyDescent="0.15">
      <c r="A392" s="58">
        <v>35573</v>
      </c>
      <c r="B392" s="57" t="s">
        <v>74</v>
      </c>
      <c r="C392" s="57" t="s">
        <v>75</v>
      </c>
      <c r="D392" s="57" t="s">
        <v>95</v>
      </c>
      <c r="E392" s="57">
        <v>300</v>
      </c>
      <c r="F392" s="57">
        <v>10546</v>
      </c>
    </row>
    <row r="393" spans="1:6" x14ac:dyDescent="0.15">
      <c r="A393" s="58">
        <v>35573</v>
      </c>
      <c r="B393" s="57" t="s">
        <v>74</v>
      </c>
      <c r="C393" s="57" t="s">
        <v>75</v>
      </c>
      <c r="D393" s="57" t="s">
        <v>42</v>
      </c>
      <c r="E393" s="57">
        <v>540</v>
      </c>
      <c r="F393" s="57">
        <v>10546</v>
      </c>
    </row>
    <row r="394" spans="1:6" x14ac:dyDescent="0.15">
      <c r="A394" s="58">
        <v>35573</v>
      </c>
      <c r="B394" s="57" t="s">
        <v>74</v>
      </c>
      <c r="C394" s="57" t="s">
        <v>75</v>
      </c>
      <c r="D394" s="57" t="s">
        <v>77</v>
      </c>
      <c r="E394" s="57">
        <v>1972</v>
      </c>
      <c r="F394" s="57">
        <v>10546</v>
      </c>
    </row>
    <row r="395" spans="1:6" x14ac:dyDescent="0.15">
      <c r="A395" s="58">
        <v>35573</v>
      </c>
      <c r="B395" s="57" t="s">
        <v>91</v>
      </c>
      <c r="C395" s="57" t="s">
        <v>75</v>
      </c>
      <c r="D395" s="57" t="s">
        <v>73</v>
      </c>
      <c r="E395" s="57">
        <v>652.79999542236328</v>
      </c>
      <c r="F395" s="57">
        <v>10547</v>
      </c>
    </row>
    <row r="396" spans="1:6" x14ac:dyDescent="0.15">
      <c r="A396" s="58">
        <v>35573</v>
      </c>
      <c r="B396" s="57" t="s">
        <v>91</v>
      </c>
      <c r="C396" s="57" t="s">
        <v>75</v>
      </c>
      <c r="D396" s="57" t="s">
        <v>82</v>
      </c>
      <c r="E396" s="57">
        <v>1140</v>
      </c>
      <c r="F396" s="57">
        <v>10547</v>
      </c>
    </row>
    <row r="397" spans="1:6" x14ac:dyDescent="0.15">
      <c r="A397" s="58">
        <v>35576</v>
      </c>
      <c r="B397" s="57" t="s">
        <v>91</v>
      </c>
      <c r="C397" s="57" t="s">
        <v>81</v>
      </c>
      <c r="D397" s="57" t="s">
        <v>42</v>
      </c>
      <c r="E397" s="57">
        <v>105</v>
      </c>
      <c r="F397" s="57">
        <v>10548</v>
      </c>
    </row>
    <row r="398" spans="1:6" x14ac:dyDescent="0.15">
      <c r="A398" s="58">
        <v>35576</v>
      </c>
      <c r="B398" s="57" t="s">
        <v>91</v>
      </c>
      <c r="C398" s="57" t="s">
        <v>81</v>
      </c>
      <c r="D398" s="57" t="s">
        <v>82</v>
      </c>
      <c r="E398" s="57">
        <v>135.1</v>
      </c>
      <c r="F398" s="57">
        <v>10548</v>
      </c>
    </row>
    <row r="399" spans="1:6" x14ac:dyDescent="0.15">
      <c r="A399" s="58">
        <v>35577</v>
      </c>
      <c r="B399" s="57" t="s">
        <v>80</v>
      </c>
      <c r="C399" s="57" t="s">
        <v>75</v>
      </c>
      <c r="D399" s="57" t="s">
        <v>73</v>
      </c>
      <c r="E399" s="57">
        <v>584.37499590218067</v>
      </c>
      <c r="F399" s="57">
        <v>10549</v>
      </c>
    </row>
    <row r="400" spans="1:6" x14ac:dyDescent="0.15">
      <c r="A400" s="58">
        <v>35577</v>
      </c>
      <c r="B400" s="57" t="s">
        <v>80</v>
      </c>
      <c r="C400" s="57" t="s">
        <v>75</v>
      </c>
      <c r="D400" s="57" t="s">
        <v>82</v>
      </c>
      <c r="E400" s="57">
        <v>807.49999433755875</v>
      </c>
      <c r="F400" s="57">
        <v>10549</v>
      </c>
    </row>
    <row r="401" spans="1:6" x14ac:dyDescent="0.15">
      <c r="A401" s="58">
        <v>35577</v>
      </c>
      <c r="B401" s="57" t="s">
        <v>80</v>
      </c>
      <c r="C401" s="57" t="s">
        <v>75</v>
      </c>
      <c r="D401" s="57" t="s">
        <v>95</v>
      </c>
      <c r="E401" s="57">
        <v>2162.3999848365784</v>
      </c>
      <c r="F401" s="57">
        <v>10549</v>
      </c>
    </row>
    <row r="402" spans="1:6" x14ac:dyDescent="0.15">
      <c r="A402" s="58">
        <v>35578</v>
      </c>
      <c r="B402" s="57" t="s">
        <v>74</v>
      </c>
      <c r="C402" s="57" t="s">
        <v>75</v>
      </c>
      <c r="D402" s="57" t="s">
        <v>33</v>
      </c>
      <c r="E402" s="57">
        <v>280.79999953508377</v>
      </c>
      <c r="F402" s="57">
        <v>10550</v>
      </c>
    </row>
    <row r="403" spans="1:6" x14ac:dyDescent="0.15">
      <c r="A403" s="58">
        <v>35578</v>
      </c>
      <c r="B403" s="57" t="s">
        <v>74</v>
      </c>
      <c r="C403" s="57" t="s">
        <v>75</v>
      </c>
      <c r="D403" s="57" t="s">
        <v>77</v>
      </c>
      <c r="E403" s="57">
        <v>92</v>
      </c>
      <c r="F403" s="57">
        <v>10550</v>
      </c>
    </row>
    <row r="404" spans="1:6" x14ac:dyDescent="0.15">
      <c r="A404" s="58">
        <v>35578</v>
      </c>
      <c r="B404" s="57" t="s">
        <v>74</v>
      </c>
      <c r="C404" s="57" t="s">
        <v>75</v>
      </c>
      <c r="D404" s="57" t="s">
        <v>77</v>
      </c>
      <c r="E404" s="57">
        <v>53.999999910593033</v>
      </c>
      <c r="F404" s="57">
        <v>10550</v>
      </c>
    </row>
    <row r="405" spans="1:6" x14ac:dyDescent="0.15">
      <c r="A405" s="58">
        <v>35578</v>
      </c>
      <c r="B405" s="57" t="s">
        <v>74</v>
      </c>
      <c r="C405" s="57" t="s">
        <v>75</v>
      </c>
      <c r="D405" s="57" t="s">
        <v>88</v>
      </c>
      <c r="E405" s="57">
        <v>256.49999957531691</v>
      </c>
      <c r="F405" s="57">
        <v>10550</v>
      </c>
    </row>
    <row r="406" spans="1:6" x14ac:dyDescent="0.15">
      <c r="A406" s="58">
        <v>35578</v>
      </c>
      <c r="B406" s="57" t="s">
        <v>74</v>
      </c>
      <c r="C406" s="57" t="s">
        <v>81</v>
      </c>
      <c r="D406" s="57" t="s">
        <v>77</v>
      </c>
      <c r="E406" s="57">
        <v>593.29999583959579</v>
      </c>
      <c r="F406" s="57">
        <v>10551</v>
      </c>
    </row>
    <row r="407" spans="1:6" x14ac:dyDescent="0.15">
      <c r="A407" s="58">
        <v>35578</v>
      </c>
      <c r="B407" s="57" t="s">
        <v>74</v>
      </c>
      <c r="C407" s="57" t="s">
        <v>81</v>
      </c>
      <c r="D407" s="57" t="s">
        <v>42</v>
      </c>
      <c r="E407" s="57">
        <v>305.99999785423279</v>
      </c>
      <c r="F407" s="57">
        <v>10551</v>
      </c>
    </row>
    <row r="408" spans="1:6" x14ac:dyDescent="0.15">
      <c r="A408" s="58">
        <v>35578</v>
      </c>
      <c r="B408" s="57" t="s">
        <v>74</v>
      </c>
      <c r="C408" s="57" t="s">
        <v>81</v>
      </c>
      <c r="D408" s="57" t="s">
        <v>88</v>
      </c>
      <c r="E408" s="57">
        <v>778</v>
      </c>
      <c r="F408" s="57">
        <v>10551</v>
      </c>
    </row>
    <row r="409" spans="1:6" x14ac:dyDescent="0.15">
      <c r="A409" s="58">
        <v>35579</v>
      </c>
      <c r="B409" s="57" t="s">
        <v>80</v>
      </c>
      <c r="C409" s="57" t="s">
        <v>92</v>
      </c>
      <c r="D409" s="57" t="s">
        <v>73</v>
      </c>
      <c r="E409" s="57">
        <v>648</v>
      </c>
      <c r="F409" s="57">
        <v>10552</v>
      </c>
    </row>
    <row r="410" spans="1:6" x14ac:dyDescent="0.15">
      <c r="A410" s="58">
        <v>35579</v>
      </c>
      <c r="B410" s="57" t="s">
        <v>80</v>
      </c>
      <c r="C410" s="57" t="s">
        <v>92</v>
      </c>
      <c r="D410" s="57" t="s">
        <v>42</v>
      </c>
      <c r="E410" s="57">
        <v>232.5</v>
      </c>
      <c r="F410" s="57">
        <v>10552</v>
      </c>
    </row>
    <row r="411" spans="1:6" x14ac:dyDescent="0.15">
      <c r="A411" s="58">
        <v>35580</v>
      </c>
      <c r="B411" s="57" t="s">
        <v>91</v>
      </c>
      <c r="C411" s="57" t="s">
        <v>75</v>
      </c>
      <c r="D411" s="57" t="s">
        <v>73</v>
      </c>
      <c r="E411" s="57">
        <v>315</v>
      </c>
      <c r="F411" s="57">
        <v>10553</v>
      </c>
    </row>
    <row r="412" spans="1:6" x14ac:dyDescent="0.15">
      <c r="A412" s="58">
        <v>35580</v>
      </c>
      <c r="B412" s="57" t="s">
        <v>91</v>
      </c>
      <c r="C412" s="57" t="s">
        <v>75</v>
      </c>
      <c r="D412" s="57" t="s">
        <v>77</v>
      </c>
      <c r="E412" s="57">
        <v>244.3</v>
      </c>
      <c r="F412" s="57">
        <v>10553</v>
      </c>
    </row>
    <row r="413" spans="1:6" x14ac:dyDescent="0.15">
      <c r="A413" s="58">
        <v>35580</v>
      </c>
      <c r="B413" s="57" t="s">
        <v>91</v>
      </c>
      <c r="C413" s="57" t="s">
        <v>75</v>
      </c>
      <c r="D413" s="57" t="s">
        <v>86</v>
      </c>
      <c r="E413" s="57">
        <v>504</v>
      </c>
      <c r="F413" s="57">
        <v>10553</v>
      </c>
    </row>
    <row r="414" spans="1:6" x14ac:dyDescent="0.15">
      <c r="A414" s="58">
        <v>35580</v>
      </c>
      <c r="B414" s="57" t="s">
        <v>91</v>
      </c>
      <c r="C414" s="57" t="s">
        <v>75</v>
      </c>
      <c r="D414" s="57" t="s">
        <v>73</v>
      </c>
      <c r="E414" s="57">
        <v>375</v>
      </c>
      <c r="F414" s="57">
        <v>10553</v>
      </c>
    </row>
    <row r="415" spans="1:6" x14ac:dyDescent="0.15">
      <c r="A415" s="58">
        <v>35580</v>
      </c>
      <c r="B415" s="57" t="s">
        <v>91</v>
      </c>
      <c r="C415" s="57" t="s">
        <v>75</v>
      </c>
      <c r="D415" s="57" t="s">
        <v>42</v>
      </c>
      <c r="E415" s="57">
        <v>108</v>
      </c>
      <c r="F415" s="57">
        <v>10553</v>
      </c>
    </row>
    <row r="416" spans="1:6" x14ac:dyDescent="0.15">
      <c r="A416" s="58">
        <v>35580</v>
      </c>
      <c r="B416" s="57" t="s">
        <v>74</v>
      </c>
      <c r="C416" s="57" t="s">
        <v>92</v>
      </c>
      <c r="D416" s="57" t="s">
        <v>77</v>
      </c>
      <c r="E416" s="57">
        <v>497.32499960996211</v>
      </c>
      <c r="F416" s="57">
        <v>10554</v>
      </c>
    </row>
    <row r="417" spans="1:6" x14ac:dyDescent="0.15">
      <c r="A417" s="58">
        <v>35580</v>
      </c>
      <c r="B417" s="57" t="s">
        <v>74</v>
      </c>
      <c r="C417" s="57" t="s">
        <v>92</v>
      </c>
      <c r="D417" s="57" t="s">
        <v>86</v>
      </c>
      <c r="E417" s="57">
        <v>170.99999986588955</v>
      </c>
      <c r="F417" s="57">
        <v>10554</v>
      </c>
    </row>
    <row r="418" spans="1:6" x14ac:dyDescent="0.15">
      <c r="A418" s="58">
        <v>35580</v>
      </c>
      <c r="B418" s="57" t="s">
        <v>74</v>
      </c>
      <c r="C418" s="57" t="s">
        <v>92</v>
      </c>
      <c r="D418" s="57" t="s">
        <v>77</v>
      </c>
      <c r="E418" s="57">
        <v>936.69999926537275</v>
      </c>
      <c r="F418" s="57">
        <v>10554</v>
      </c>
    </row>
    <row r="419" spans="1:6" x14ac:dyDescent="0.15">
      <c r="A419" s="58">
        <v>35580</v>
      </c>
      <c r="B419" s="57" t="s">
        <v>74</v>
      </c>
      <c r="C419" s="57" t="s">
        <v>92</v>
      </c>
      <c r="D419" s="57" t="s">
        <v>88</v>
      </c>
      <c r="E419" s="57">
        <v>123.49999990314245</v>
      </c>
      <c r="F419" s="57">
        <v>10554</v>
      </c>
    </row>
    <row r="420" spans="1:6" x14ac:dyDescent="0.15">
      <c r="A420" s="58">
        <v>35583</v>
      </c>
      <c r="B420" s="57" t="s">
        <v>74</v>
      </c>
      <c r="C420" s="57" t="s">
        <v>96</v>
      </c>
      <c r="D420" s="57" t="s">
        <v>95</v>
      </c>
      <c r="E420" s="57">
        <v>557.99999792128801</v>
      </c>
      <c r="F420" s="57">
        <v>10555</v>
      </c>
    </row>
    <row r="421" spans="1:6" x14ac:dyDescent="0.15">
      <c r="A421" s="58">
        <v>35583</v>
      </c>
      <c r="B421" s="57" t="s">
        <v>74</v>
      </c>
      <c r="C421" s="57" t="s">
        <v>96</v>
      </c>
      <c r="D421" s="57" t="s">
        <v>77</v>
      </c>
      <c r="E421" s="57">
        <v>257.59999904036522</v>
      </c>
      <c r="F421" s="57">
        <v>10555</v>
      </c>
    </row>
    <row r="422" spans="1:6" x14ac:dyDescent="0.15">
      <c r="A422" s="58">
        <v>35583</v>
      </c>
      <c r="B422" s="57" t="s">
        <v>74</v>
      </c>
      <c r="C422" s="57" t="s">
        <v>96</v>
      </c>
      <c r="D422" s="57" t="s">
        <v>42</v>
      </c>
      <c r="E422" s="57">
        <v>64.799999758601189</v>
      </c>
      <c r="F422" s="57">
        <v>10555</v>
      </c>
    </row>
    <row r="423" spans="1:6" x14ac:dyDescent="0.15">
      <c r="A423" s="58">
        <v>35583</v>
      </c>
      <c r="B423" s="57" t="s">
        <v>74</v>
      </c>
      <c r="C423" s="57" t="s">
        <v>96</v>
      </c>
      <c r="D423" s="57" t="s">
        <v>95</v>
      </c>
      <c r="E423" s="57">
        <v>847.99999684095383</v>
      </c>
      <c r="F423" s="57">
        <v>10555</v>
      </c>
    </row>
    <row r="424" spans="1:6" x14ac:dyDescent="0.15">
      <c r="A424" s="58">
        <v>35583</v>
      </c>
      <c r="B424" s="57" t="s">
        <v>74</v>
      </c>
      <c r="C424" s="57" t="s">
        <v>96</v>
      </c>
      <c r="D424" s="57" t="s">
        <v>86</v>
      </c>
      <c r="E424" s="57">
        <v>1215.999995470047</v>
      </c>
      <c r="F424" s="57">
        <v>10555</v>
      </c>
    </row>
    <row r="425" spans="1:6" x14ac:dyDescent="0.15">
      <c r="A425" s="58">
        <v>35584</v>
      </c>
      <c r="B425" s="57" t="s">
        <v>80</v>
      </c>
      <c r="C425" s="57" t="s">
        <v>75</v>
      </c>
      <c r="D425" s="57" t="s">
        <v>73</v>
      </c>
      <c r="E425" s="57">
        <v>835.2</v>
      </c>
      <c r="F425" s="57">
        <v>10556</v>
      </c>
    </row>
    <row r="426" spans="1:6" x14ac:dyDescent="0.15">
      <c r="A426" s="58">
        <v>35584</v>
      </c>
      <c r="B426" s="57" t="s">
        <v>91</v>
      </c>
      <c r="C426" s="57" t="s">
        <v>81</v>
      </c>
      <c r="D426" s="57" t="s">
        <v>86</v>
      </c>
      <c r="E426" s="57">
        <v>997.5</v>
      </c>
      <c r="F426" s="57">
        <v>10557</v>
      </c>
    </row>
    <row r="427" spans="1:6" x14ac:dyDescent="0.15">
      <c r="A427" s="58">
        <v>35584</v>
      </c>
      <c r="B427" s="57" t="s">
        <v>91</v>
      </c>
      <c r="C427" s="57" t="s">
        <v>81</v>
      </c>
      <c r="D427" s="57" t="s">
        <v>42</v>
      </c>
      <c r="E427" s="57">
        <v>155</v>
      </c>
      <c r="F427" s="57">
        <v>10557</v>
      </c>
    </row>
    <row r="428" spans="1:6" x14ac:dyDescent="0.15">
      <c r="A428" s="58">
        <v>35585</v>
      </c>
      <c r="B428" s="57" t="s">
        <v>91</v>
      </c>
      <c r="C428" s="57" t="s">
        <v>92</v>
      </c>
      <c r="D428" s="57" t="s">
        <v>77</v>
      </c>
      <c r="E428" s="57">
        <v>237.5</v>
      </c>
      <c r="F428" s="57">
        <v>10558</v>
      </c>
    </row>
    <row r="429" spans="1:6" x14ac:dyDescent="0.15">
      <c r="A429" s="58">
        <v>35585</v>
      </c>
      <c r="B429" s="57" t="s">
        <v>91</v>
      </c>
      <c r="C429" s="57" t="s">
        <v>92</v>
      </c>
      <c r="D429" s="57" t="s">
        <v>95</v>
      </c>
      <c r="E429" s="57">
        <v>1060</v>
      </c>
      <c r="F429" s="57">
        <v>10558</v>
      </c>
    </row>
    <row r="430" spans="1:6" x14ac:dyDescent="0.15">
      <c r="A430" s="58">
        <v>35585</v>
      </c>
      <c r="B430" s="57" t="s">
        <v>91</v>
      </c>
      <c r="C430" s="57" t="s">
        <v>92</v>
      </c>
      <c r="D430" s="57" t="s">
        <v>86</v>
      </c>
      <c r="E430" s="57">
        <v>210</v>
      </c>
      <c r="F430" s="57">
        <v>10558</v>
      </c>
    </row>
    <row r="431" spans="1:6" x14ac:dyDescent="0.15">
      <c r="A431" s="58">
        <v>35585</v>
      </c>
      <c r="B431" s="57" t="s">
        <v>91</v>
      </c>
      <c r="C431" s="57" t="s">
        <v>92</v>
      </c>
      <c r="D431" s="57" t="s">
        <v>33</v>
      </c>
      <c r="E431" s="57">
        <v>590.4</v>
      </c>
      <c r="F431" s="57">
        <v>10558</v>
      </c>
    </row>
    <row r="432" spans="1:6" x14ac:dyDescent="0.15">
      <c r="A432" s="58">
        <v>35585</v>
      </c>
      <c r="B432" s="57" t="s">
        <v>91</v>
      </c>
      <c r="C432" s="57" t="s">
        <v>92</v>
      </c>
      <c r="D432" s="57" t="s">
        <v>82</v>
      </c>
      <c r="E432" s="57">
        <v>45</v>
      </c>
      <c r="F432" s="57">
        <v>10558</v>
      </c>
    </row>
    <row r="433" spans="1:6" x14ac:dyDescent="0.15">
      <c r="A433" s="58">
        <v>35586</v>
      </c>
      <c r="B433" s="57" t="s">
        <v>80</v>
      </c>
      <c r="C433" s="57" t="s">
        <v>97</v>
      </c>
      <c r="D433" s="57" t="s">
        <v>82</v>
      </c>
      <c r="E433" s="57">
        <v>110.00999991372227</v>
      </c>
      <c r="F433" s="57">
        <v>10559</v>
      </c>
    </row>
    <row r="434" spans="1:6" x14ac:dyDescent="0.15">
      <c r="A434" s="58">
        <v>35586</v>
      </c>
      <c r="B434" s="57" t="s">
        <v>80</v>
      </c>
      <c r="C434" s="57" t="s">
        <v>97</v>
      </c>
      <c r="D434" s="57" t="s">
        <v>33</v>
      </c>
      <c r="E434" s="57">
        <v>410.39999967813492</v>
      </c>
      <c r="F434" s="57">
        <v>10559</v>
      </c>
    </row>
    <row r="435" spans="1:6" x14ac:dyDescent="0.15">
      <c r="A435" s="58">
        <v>35587</v>
      </c>
      <c r="B435" s="57" t="s">
        <v>80</v>
      </c>
      <c r="C435" s="57" t="s">
        <v>75</v>
      </c>
      <c r="D435" s="57" t="s">
        <v>82</v>
      </c>
      <c r="E435" s="57">
        <v>517.79999999999995</v>
      </c>
      <c r="F435" s="57">
        <v>10560</v>
      </c>
    </row>
    <row r="436" spans="1:6" x14ac:dyDescent="0.15">
      <c r="A436" s="58">
        <v>35587</v>
      </c>
      <c r="B436" s="57" t="s">
        <v>80</v>
      </c>
      <c r="C436" s="57" t="s">
        <v>75</v>
      </c>
      <c r="D436" s="57" t="s">
        <v>77</v>
      </c>
      <c r="E436" s="57">
        <v>554.625</v>
      </c>
      <c r="F436" s="57">
        <v>10560</v>
      </c>
    </row>
    <row r="437" spans="1:6" x14ac:dyDescent="0.15">
      <c r="A437" s="58">
        <v>35587</v>
      </c>
      <c r="B437" s="57" t="s">
        <v>91</v>
      </c>
      <c r="C437" s="57" t="s">
        <v>81</v>
      </c>
      <c r="D437" s="57" t="s">
        <v>88</v>
      </c>
      <c r="E437" s="57">
        <v>194.5</v>
      </c>
      <c r="F437" s="57">
        <v>10561</v>
      </c>
    </row>
    <row r="438" spans="1:6" x14ac:dyDescent="0.15">
      <c r="A438" s="58">
        <v>35587</v>
      </c>
      <c r="B438" s="57" t="s">
        <v>91</v>
      </c>
      <c r="C438" s="57" t="s">
        <v>81</v>
      </c>
      <c r="D438" s="57" t="s">
        <v>95</v>
      </c>
      <c r="E438" s="57">
        <v>2650</v>
      </c>
      <c r="F438" s="57">
        <v>10561</v>
      </c>
    </row>
    <row r="439" spans="1:6" x14ac:dyDescent="0.15">
      <c r="A439" s="58">
        <v>35590</v>
      </c>
      <c r="B439" s="57" t="s">
        <v>80</v>
      </c>
      <c r="C439" s="57" t="s">
        <v>75</v>
      </c>
      <c r="D439" s="57" t="s">
        <v>73</v>
      </c>
      <c r="E439" s="57">
        <v>44.999999925494194</v>
      </c>
      <c r="F439" s="57">
        <v>10562</v>
      </c>
    </row>
    <row r="440" spans="1:6" x14ac:dyDescent="0.15">
      <c r="A440" s="58">
        <v>35590</v>
      </c>
      <c r="B440" s="57" t="s">
        <v>80</v>
      </c>
      <c r="C440" s="57" t="s">
        <v>75</v>
      </c>
      <c r="D440" s="57" t="s">
        <v>77</v>
      </c>
      <c r="E440" s="57">
        <v>443.69999926537275</v>
      </c>
      <c r="F440" s="57">
        <v>10562</v>
      </c>
    </row>
    <row r="441" spans="1:6" x14ac:dyDescent="0.15">
      <c r="A441" s="58">
        <v>35591</v>
      </c>
      <c r="B441" s="57" t="s">
        <v>91</v>
      </c>
      <c r="C441" s="57" t="s">
        <v>75</v>
      </c>
      <c r="D441" s="57" t="s">
        <v>82</v>
      </c>
      <c r="E441" s="57">
        <v>475</v>
      </c>
      <c r="F441" s="57">
        <v>10563</v>
      </c>
    </row>
    <row r="442" spans="1:6" x14ac:dyDescent="0.15">
      <c r="A442" s="58">
        <v>35591</v>
      </c>
      <c r="B442" s="57" t="s">
        <v>91</v>
      </c>
      <c r="C442" s="57" t="s">
        <v>75</v>
      </c>
      <c r="D442" s="57" t="s">
        <v>86</v>
      </c>
      <c r="E442" s="57">
        <v>490</v>
      </c>
      <c r="F442" s="57">
        <v>10563</v>
      </c>
    </row>
    <row r="443" spans="1:6" x14ac:dyDescent="0.15">
      <c r="A443" s="58">
        <v>35591</v>
      </c>
      <c r="B443" s="57" t="s">
        <v>74</v>
      </c>
      <c r="C443" s="57" t="s">
        <v>81</v>
      </c>
      <c r="D443" s="57" t="s">
        <v>33</v>
      </c>
      <c r="E443" s="57">
        <v>592.79999953508377</v>
      </c>
      <c r="F443" s="57">
        <v>10564</v>
      </c>
    </row>
    <row r="444" spans="1:6" x14ac:dyDescent="0.15">
      <c r="A444" s="58">
        <v>35591</v>
      </c>
      <c r="B444" s="57" t="s">
        <v>74</v>
      </c>
      <c r="C444" s="57" t="s">
        <v>81</v>
      </c>
      <c r="D444" s="57" t="s">
        <v>73</v>
      </c>
      <c r="E444" s="57">
        <v>71.249999944120646</v>
      </c>
      <c r="F444" s="57">
        <v>10564</v>
      </c>
    </row>
    <row r="445" spans="1:6" x14ac:dyDescent="0.15">
      <c r="A445" s="58">
        <v>35591</v>
      </c>
      <c r="B445" s="57" t="s">
        <v>74</v>
      </c>
      <c r="C445" s="57" t="s">
        <v>81</v>
      </c>
      <c r="D445" s="57" t="s">
        <v>33</v>
      </c>
      <c r="E445" s="57">
        <v>569.99999955296516</v>
      </c>
      <c r="F445" s="57">
        <v>10564</v>
      </c>
    </row>
    <row r="446" spans="1:6" x14ac:dyDescent="0.15">
      <c r="A446" s="58">
        <v>35592</v>
      </c>
      <c r="B446" s="57" t="s">
        <v>91</v>
      </c>
      <c r="C446" s="57" t="s">
        <v>97</v>
      </c>
      <c r="D446" s="57" t="s">
        <v>42</v>
      </c>
      <c r="E446" s="57">
        <v>101.24999983236194</v>
      </c>
      <c r="F446" s="57">
        <v>10565</v>
      </c>
    </row>
    <row r="447" spans="1:6" x14ac:dyDescent="0.15">
      <c r="A447" s="58">
        <v>35592</v>
      </c>
      <c r="B447" s="57" t="s">
        <v>91</v>
      </c>
      <c r="C447" s="57" t="s">
        <v>97</v>
      </c>
      <c r="D447" s="57" t="s">
        <v>86</v>
      </c>
      <c r="E447" s="57">
        <v>538.6499991081655</v>
      </c>
      <c r="F447" s="57">
        <v>10565</v>
      </c>
    </row>
    <row r="448" spans="1:6" x14ac:dyDescent="0.15">
      <c r="A448" s="58">
        <v>35593</v>
      </c>
      <c r="B448" s="57" t="s">
        <v>80</v>
      </c>
      <c r="C448" s="57" t="s">
        <v>97</v>
      </c>
      <c r="D448" s="57" t="s">
        <v>73</v>
      </c>
      <c r="E448" s="57">
        <v>624.74999561905861</v>
      </c>
      <c r="F448" s="57">
        <v>10566</v>
      </c>
    </row>
    <row r="449" spans="1:6" x14ac:dyDescent="0.15">
      <c r="A449" s="58">
        <v>35593</v>
      </c>
      <c r="B449" s="57" t="s">
        <v>80</v>
      </c>
      <c r="C449" s="57" t="s">
        <v>97</v>
      </c>
      <c r="D449" s="57" t="s">
        <v>82</v>
      </c>
      <c r="E449" s="57">
        <v>956.24999329447746</v>
      </c>
      <c r="F449" s="57">
        <v>10566</v>
      </c>
    </row>
    <row r="450" spans="1:6" x14ac:dyDescent="0.15">
      <c r="A450" s="58">
        <v>35593</v>
      </c>
      <c r="B450" s="57" t="s">
        <v>80</v>
      </c>
      <c r="C450" s="57" t="s">
        <v>97</v>
      </c>
      <c r="D450" s="57" t="s">
        <v>42</v>
      </c>
      <c r="E450" s="57">
        <v>180</v>
      </c>
      <c r="F450" s="57">
        <v>10566</v>
      </c>
    </row>
    <row r="451" spans="1:6" x14ac:dyDescent="0.15">
      <c r="A451" s="58">
        <v>35593</v>
      </c>
      <c r="B451" s="57" t="s">
        <v>80</v>
      </c>
      <c r="C451" s="57" t="s">
        <v>75</v>
      </c>
      <c r="D451" s="57" t="s">
        <v>73</v>
      </c>
      <c r="E451" s="57">
        <v>599.99999776482582</v>
      </c>
      <c r="F451" s="57">
        <v>10567</v>
      </c>
    </row>
    <row r="452" spans="1:6" x14ac:dyDescent="0.15">
      <c r="A452" s="58">
        <v>35593</v>
      </c>
      <c r="B452" s="57" t="s">
        <v>80</v>
      </c>
      <c r="C452" s="57" t="s">
        <v>75</v>
      </c>
      <c r="D452" s="57" t="s">
        <v>95</v>
      </c>
      <c r="E452" s="57">
        <v>159</v>
      </c>
      <c r="F452" s="57">
        <v>10567</v>
      </c>
    </row>
    <row r="453" spans="1:6" x14ac:dyDescent="0.15">
      <c r="A453" s="58">
        <v>35593</v>
      </c>
      <c r="B453" s="57" t="s">
        <v>80</v>
      </c>
      <c r="C453" s="57" t="s">
        <v>75</v>
      </c>
      <c r="D453" s="57" t="s">
        <v>73</v>
      </c>
      <c r="E453" s="57">
        <v>1759.9999934434891</v>
      </c>
      <c r="F453" s="57">
        <v>10567</v>
      </c>
    </row>
    <row r="454" spans="1:6" x14ac:dyDescent="0.15">
      <c r="A454" s="58">
        <v>35594</v>
      </c>
      <c r="B454" s="57" t="s">
        <v>74</v>
      </c>
      <c r="C454" s="57" t="s">
        <v>92</v>
      </c>
      <c r="D454" s="57" t="s">
        <v>82</v>
      </c>
      <c r="E454" s="57">
        <v>155</v>
      </c>
      <c r="F454" s="57">
        <v>10568</v>
      </c>
    </row>
    <row r="455" spans="1:6" x14ac:dyDescent="0.15">
      <c r="A455" s="58">
        <v>35597</v>
      </c>
      <c r="B455" s="57" t="s">
        <v>80</v>
      </c>
      <c r="C455" s="57" t="s">
        <v>81</v>
      </c>
      <c r="D455" s="57" t="s">
        <v>73</v>
      </c>
      <c r="E455" s="57">
        <v>349.9999986961484</v>
      </c>
      <c r="F455" s="57">
        <v>10569</v>
      </c>
    </row>
    <row r="456" spans="1:6" x14ac:dyDescent="0.15">
      <c r="A456" s="58">
        <v>35597</v>
      </c>
      <c r="B456" s="57" t="s">
        <v>80</v>
      </c>
      <c r="C456" s="57" t="s">
        <v>81</v>
      </c>
      <c r="D456" s="57" t="s">
        <v>42</v>
      </c>
      <c r="E456" s="57">
        <v>540</v>
      </c>
      <c r="F456" s="57">
        <v>10569</v>
      </c>
    </row>
    <row r="457" spans="1:6" x14ac:dyDescent="0.15">
      <c r="A457" s="58">
        <v>35598</v>
      </c>
      <c r="B457" s="57" t="s">
        <v>74</v>
      </c>
      <c r="C457" s="57" t="s">
        <v>97</v>
      </c>
      <c r="D457" s="57" t="s">
        <v>73</v>
      </c>
      <c r="E457" s="57">
        <v>299.24999976530671</v>
      </c>
      <c r="F457" s="57">
        <v>10570</v>
      </c>
    </row>
    <row r="458" spans="1:6" x14ac:dyDescent="0.15">
      <c r="A458" s="58">
        <v>35598</v>
      </c>
      <c r="B458" s="57" t="s">
        <v>74</v>
      </c>
      <c r="C458" s="57" t="s">
        <v>97</v>
      </c>
      <c r="D458" s="57" t="s">
        <v>86</v>
      </c>
      <c r="E458" s="57">
        <v>2165.9999983012676</v>
      </c>
      <c r="F458" s="57">
        <v>10570</v>
      </c>
    </row>
    <row r="459" spans="1:6" x14ac:dyDescent="0.15">
      <c r="A459" s="58">
        <v>35598</v>
      </c>
      <c r="B459" s="57" t="s">
        <v>74</v>
      </c>
      <c r="C459" s="57" t="s">
        <v>92</v>
      </c>
      <c r="D459" s="57" t="s">
        <v>95</v>
      </c>
      <c r="E459" s="57">
        <v>217.38749847561121</v>
      </c>
      <c r="F459" s="57">
        <v>10571</v>
      </c>
    </row>
    <row r="460" spans="1:6" x14ac:dyDescent="0.15">
      <c r="A460" s="58">
        <v>35598</v>
      </c>
      <c r="B460" s="57" t="s">
        <v>74</v>
      </c>
      <c r="C460" s="57" t="s">
        <v>92</v>
      </c>
      <c r="D460" s="57" t="s">
        <v>86</v>
      </c>
      <c r="E460" s="57">
        <v>333.19999766349792</v>
      </c>
      <c r="F460" s="57">
        <v>10571</v>
      </c>
    </row>
    <row r="461" spans="1:6" x14ac:dyDescent="0.15">
      <c r="A461" s="58">
        <v>35599</v>
      </c>
      <c r="B461" s="57" t="s">
        <v>91</v>
      </c>
      <c r="C461" s="57" t="s">
        <v>81</v>
      </c>
      <c r="D461" s="57" t="s">
        <v>77</v>
      </c>
      <c r="E461" s="57">
        <v>188.45999968796968</v>
      </c>
      <c r="F461" s="57">
        <v>10572</v>
      </c>
    </row>
    <row r="462" spans="1:6" x14ac:dyDescent="0.15">
      <c r="A462" s="58">
        <v>35599</v>
      </c>
      <c r="B462" s="57" t="s">
        <v>91</v>
      </c>
      <c r="C462" s="57" t="s">
        <v>81</v>
      </c>
      <c r="D462" s="57" t="s">
        <v>73</v>
      </c>
      <c r="E462" s="57">
        <v>287.99999952316284</v>
      </c>
      <c r="F462" s="57">
        <v>10572</v>
      </c>
    </row>
    <row r="463" spans="1:6" x14ac:dyDescent="0.15">
      <c r="A463" s="58">
        <v>35599</v>
      </c>
      <c r="B463" s="57" t="s">
        <v>91</v>
      </c>
      <c r="C463" s="57" t="s">
        <v>81</v>
      </c>
      <c r="D463" s="57" t="s">
        <v>82</v>
      </c>
      <c r="E463" s="57">
        <v>920</v>
      </c>
      <c r="F463" s="57">
        <v>10572</v>
      </c>
    </row>
    <row r="464" spans="1:6" x14ac:dyDescent="0.15">
      <c r="A464" s="58">
        <v>35599</v>
      </c>
      <c r="B464" s="57" t="s">
        <v>91</v>
      </c>
      <c r="C464" s="57" t="s">
        <v>81</v>
      </c>
      <c r="D464" s="57" t="s">
        <v>42</v>
      </c>
      <c r="E464" s="57">
        <v>104.624999826774</v>
      </c>
      <c r="F464" s="57">
        <v>10572</v>
      </c>
    </row>
    <row r="465" spans="1:6" x14ac:dyDescent="0.15">
      <c r="A465" s="58">
        <v>35600</v>
      </c>
      <c r="B465" s="57" t="s">
        <v>74</v>
      </c>
      <c r="C465" s="57" t="s">
        <v>75</v>
      </c>
      <c r="D465" s="57" t="s">
        <v>33</v>
      </c>
      <c r="E465" s="57">
        <v>702</v>
      </c>
      <c r="F465" s="57">
        <v>10573</v>
      </c>
    </row>
    <row r="466" spans="1:6" x14ac:dyDescent="0.15">
      <c r="A466" s="58">
        <v>35600</v>
      </c>
      <c r="B466" s="57" t="s">
        <v>74</v>
      </c>
      <c r="C466" s="57" t="s">
        <v>75</v>
      </c>
      <c r="D466" s="57" t="s">
        <v>42</v>
      </c>
      <c r="E466" s="57">
        <v>560</v>
      </c>
      <c r="F466" s="57">
        <v>10573</v>
      </c>
    </row>
    <row r="467" spans="1:6" x14ac:dyDescent="0.15">
      <c r="A467" s="58">
        <v>35600</v>
      </c>
      <c r="B467" s="57" t="s">
        <v>74</v>
      </c>
      <c r="C467" s="57" t="s">
        <v>75</v>
      </c>
      <c r="D467" s="57" t="s">
        <v>33</v>
      </c>
      <c r="E467" s="57">
        <v>820</v>
      </c>
      <c r="F467" s="57">
        <v>10573</v>
      </c>
    </row>
    <row r="468" spans="1:6" x14ac:dyDescent="0.15">
      <c r="A468" s="58">
        <v>35600</v>
      </c>
      <c r="B468" s="57" t="s">
        <v>91</v>
      </c>
      <c r="C468" s="57" t="s">
        <v>92</v>
      </c>
      <c r="D468" s="57" t="s">
        <v>73</v>
      </c>
      <c r="E468" s="57">
        <v>35</v>
      </c>
      <c r="F468" s="57">
        <v>10574</v>
      </c>
    </row>
    <row r="469" spans="1:6" x14ac:dyDescent="0.15">
      <c r="A469" s="58">
        <v>35600</v>
      </c>
      <c r="B469" s="57" t="s">
        <v>91</v>
      </c>
      <c r="C469" s="57" t="s">
        <v>92</v>
      </c>
      <c r="D469" s="57" t="s">
        <v>82</v>
      </c>
      <c r="E469" s="57">
        <v>36.799999999999997</v>
      </c>
      <c r="F469" s="57">
        <v>10574</v>
      </c>
    </row>
    <row r="470" spans="1:6" x14ac:dyDescent="0.15">
      <c r="A470" s="58">
        <v>35600</v>
      </c>
      <c r="B470" s="57" t="s">
        <v>91</v>
      </c>
      <c r="C470" s="57" t="s">
        <v>92</v>
      </c>
      <c r="D470" s="57" t="s">
        <v>77</v>
      </c>
      <c r="E470" s="57">
        <v>493</v>
      </c>
      <c r="F470" s="57">
        <v>10574</v>
      </c>
    </row>
    <row r="471" spans="1:6" x14ac:dyDescent="0.15">
      <c r="A471" s="58">
        <v>35600</v>
      </c>
      <c r="B471" s="57" t="s">
        <v>91</v>
      </c>
      <c r="C471" s="57" t="s">
        <v>92</v>
      </c>
      <c r="D471" s="57" t="s">
        <v>86</v>
      </c>
      <c r="E471" s="57">
        <v>199.5</v>
      </c>
      <c r="F471" s="57">
        <v>10574</v>
      </c>
    </row>
    <row r="472" spans="1:6" x14ac:dyDescent="0.15">
      <c r="A472" s="58">
        <v>35601</v>
      </c>
      <c r="B472" s="57" t="s">
        <v>80</v>
      </c>
      <c r="C472" s="57" t="s">
        <v>75</v>
      </c>
      <c r="D472" s="57" t="s">
        <v>73</v>
      </c>
      <c r="E472" s="57">
        <v>660</v>
      </c>
      <c r="F472" s="57">
        <v>10575</v>
      </c>
    </row>
    <row r="473" spans="1:6" x14ac:dyDescent="0.15">
      <c r="A473" s="58">
        <v>35601</v>
      </c>
      <c r="B473" s="57" t="s">
        <v>80</v>
      </c>
      <c r="C473" s="57" t="s">
        <v>75</v>
      </c>
      <c r="D473" s="57" t="s">
        <v>88</v>
      </c>
      <c r="E473" s="57">
        <v>263.39999999999998</v>
      </c>
      <c r="F473" s="57">
        <v>10575</v>
      </c>
    </row>
    <row r="474" spans="1:6" x14ac:dyDescent="0.15">
      <c r="A474" s="58">
        <v>35601</v>
      </c>
      <c r="B474" s="57" t="s">
        <v>80</v>
      </c>
      <c r="C474" s="57" t="s">
        <v>75</v>
      </c>
      <c r="D474" s="57" t="s">
        <v>73</v>
      </c>
      <c r="E474" s="57">
        <v>1044</v>
      </c>
      <c r="F474" s="57">
        <v>10575</v>
      </c>
    </row>
    <row r="475" spans="1:6" x14ac:dyDescent="0.15">
      <c r="A475" s="58">
        <v>35601</v>
      </c>
      <c r="B475" s="57" t="s">
        <v>80</v>
      </c>
      <c r="C475" s="57" t="s">
        <v>75</v>
      </c>
      <c r="D475" s="57" t="s">
        <v>42</v>
      </c>
      <c r="E475" s="57">
        <v>180</v>
      </c>
      <c r="F475" s="57">
        <v>10575</v>
      </c>
    </row>
    <row r="476" spans="1:6" x14ac:dyDescent="0.15">
      <c r="A476" s="58">
        <v>35604</v>
      </c>
      <c r="B476" s="57" t="s">
        <v>74</v>
      </c>
      <c r="C476" s="57" t="s">
        <v>75</v>
      </c>
      <c r="D476" s="57" t="s">
        <v>42</v>
      </c>
      <c r="E476" s="57">
        <v>180</v>
      </c>
      <c r="F476" s="57">
        <v>10576</v>
      </c>
    </row>
    <row r="477" spans="1:6" x14ac:dyDescent="0.15">
      <c r="A477" s="58">
        <v>35604</v>
      </c>
      <c r="B477" s="57" t="s">
        <v>74</v>
      </c>
      <c r="C477" s="57" t="s">
        <v>75</v>
      </c>
      <c r="D477" s="57" t="s">
        <v>73</v>
      </c>
      <c r="E477" s="57">
        <v>250</v>
      </c>
      <c r="F477" s="57">
        <v>10576</v>
      </c>
    </row>
    <row r="478" spans="1:6" x14ac:dyDescent="0.15">
      <c r="A478" s="58">
        <v>35604</v>
      </c>
      <c r="B478" s="57" t="s">
        <v>74</v>
      </c>
      <c r="C478" s="57" t="s">
        <v>75</v>
      </c>
      <c r="D478" s="57" t="s">
        <v>88</v>
      </c>
      <c r="E478" s="57">
        <v>408.45</v>
      </c>
      <c r="F478" s="57">
        <v>10576</v>
      </c>
    </row>
    <row r="479" spans="1:6" x14ac:dyDescent="0.15">
      <c r="A479" s="58">
        <v>35604</v>
      </c>
      <c r="B479" s="57" t="s">
        <v>91</v>
      </c>
      <c r="C479" s="57" t="s">
        <v>92</v>
      </c>
      <c r="D479" s="57" t="s">
        <v>42</v>
      </c>
      <c r="E479" s="57">
        <v>180</v>
      </c>
      <c r="F479" s="57">
        <v>10577</v>
      </c>
    </row>
    <row r="480" spans="1:6" x14ac:dyDescent="0.15">
      <c r="A480" s="58">
        <v>35604</v>
      </c>
      <c r="B480" s="57" t="s">
        <v>91</v>
      </c>
      <c r="C480" s="57" t="s">
        <v>92</v>
      </c>
      <c r="D480" s="57" t="s">
        <v>42</v>
      </c>
      <c r="E480" s="57">
        <v>155</v>
      </c>
      <c r="F480" s="57">
        <v>10577</v>
      </c>
    </row>
    <row r="481" spans="1:6" x14ac:dyDescent="0.15">
      <c r="A481" s="58">
        <v>35604</v>
      </c>
      <c r="B481" s="57" t="s">
        <v>91</v>
      </c>
      <c r="C481" s="57" t="s">
        <v>92</v>
      </c>
      <c r="D481" s="57" t="s">
        <v>88</v>
      </c>
      <c r="E481" s="57">
        <v>234</v>
      </c>
      <c r="F481" s="57">
        <v>10577</v>
      </c>
    </row>
    <row r="482" spans="1:6" x14ac:dyDescent="0.15">
      <c r="A482" s="58">
        <v>35605</v>
      </c>
      <c r="B482" s="57" t="s">
        <v>74</v>
      </c>
      <c r="C482" s="57" t="s">
        <v>92</v>
      </c>
      <c r="D482" s="57" t="s">
        <v>42</v>
      </c>
      <c r="E482" s="57">
        <v>360</v>
      </c>
      <c r="F482" s="57">
        <v>10578</v>
      </c>
    </row>
    <row r="483" spans="1:6" x14ac:dyDescent="0.15">
      <c r="A483" s="58">
        <v>35605</v>
      </c>
      <c r="B483" s="57" t="s">
        <v>74</v>
      </c>
      <c r="C483" s="57" t="s">
        <v>92</v>
      </c>
      <c r="D483" s="57" t="s">
        <v>86</v>
      </c>
      <c r="E483" s="57">
        <v>117</v>
      </c>
      <c r="F483" s="57">
        <v>10578</v>
      </c>
    </row>
    <row r="484" spans="1:6" x14ac:dyDescent="0.15">
      <c r="A484" s="58">
        <v>35606</v>
      </c>
      <c r="B484" s="57" t="s">
        <v>91</v>
      </c>
      <c r="C484" s="57" t="s">
        <v>92</v>
      </c>
      <c r="D484" s="57" t="s">
        <v>88</v>
      </c>
      <c r="E484" s="57">
        <v>155</v>
      </c>
      <c r="F484" s="57">
        <v>10579</v>
      </c>
    </row>
    <row r="485" spans="1:6" x14ac:dyDescent="0.15">
      <c r="A485" s="58">
        <v>35606</v>
      </c>
      <c r="B485" s="57" t="s">
        <v>91</v>
      </c>
      <c r="C485" s="57" t="s">
        <v>92</v>
      </c>
      <c r="D485" s="57" t="s">
        <v>42</v>
      </c>
      <c r="E485" s="57">
        <v>162.75</v>
      </c>
      <c r="F485" s="57">
        <v>10579</v>
      </c>
    </row>
    <row r="486" spans="1:6" x14ac:dyDescent="0.15">
      <c r="A486" s="58">
        <v>35607</v>
      </c>
      <c r="B486" s="57" t="s">
        <v>74</v>
      </c>
      <c r="C486" s="57" t="s">
        <v>92</v>
      </c>
      <c r="D486" s="57" t="s">
        <v>95</v>
      </c>
      <c r="E486" s="57">
        <v>331.312499740161</v>
      </c>
      <c r="F486" s="57">
        <v>10580</v>
      </c>
    </row>
    <row r="487" spans="1:6" x14ac:dyDescent="0.15">
      <c r="A487" s="58">
        <v>35607</v>
      </c>
      <c r="B487" s="57" t="s">
        <v>74</v>
      </c>
      <c r="C487" s="57" t="s">
        <v>92</v>
      </c>
      <c r="D487" s="57" t="s">
        <v>82</v>
      </c>
      <c r="E487" s="57">
        <v>82.507499935291705</v>
      </c>
      <c r="F487" s="57">
        <v>10580</v>
      </c>
    </row>
    <row r="488" spans="1:6" x14ac:dyDescent="0.15">
      <c r="A488" s="58">
        <v>35607</v>
      </c>
      <c r="B488" s="57" t="s">
        <v>74</v>
      </c>
      <c r="C488" s="57" t="s">
        <v>92</v>
      </c>
      <c r="D488" s="57" t="s">
        <v>88</v>
      </c>
      <c r="E488" s="57">
        <v>599.92499952949584</v>
      </c>
      <c r="F488" s="57">
        <v>10580</v>
      </c>
    </row>
    <row r="489" spans="1:6" x14ac:dyDescent="0.15">
      <c r="A489" s="58">
        <v>35607</v>
      </c>
      <c r="B489" s="57" t="s">
        <v>80</v>
      </c>
      <c r="C489" s="57" t="s">
        <v>92</v>
      </c>
      <c r="D489" s="57" t="s">
        <v>42</v>
      </c>
      <c r="E489" s="57">
        <v>309.99999884516001</v>
      </c>
      <c r="F489" s="57">
        <v>10581</v>
      </c>
    </row>
    <row r="490" spans="1:6" x14ac:dyDescent="0.15">
      <c r="A490" s="58">
        <v>35608</v>
      </c>
      <c r="B490" s="57" t="s">
        <v>91</v>
      </c>
      <c r="C490" s="57" t="s">
        <v>75</v>
      </c>
      <c r="D490" s="57" t="s">
        <v>86</v>
      </c>
      <c r="E490" s="57">
        <v>78</v>
      </c>
      <c r="F490" s="57">
        <v>10582</v>
      </c>
    </row>
    <row r="491" spans="1:6" x14ac:dyDescent="0.15">
      <c r="A491" s="58">
        <v>35608</v>
      </c>
      <c r="B491" s="57" t="s">
        <v>91</v>
      </c>
      <c r="C491" s="57" t="s">
        <v>75</v>
      </c>
      <c r="D491" s="57" t="s">
        <v>42</v>
      </c>
      <c r="E491" s="57">
        <v>252</v>
      </c>
      <c r="F491" s="57">
        <v>10582</v>
      </c>
    </row>
    <row r="492" spans="1:6" x14ac:dyDescent="0.15">
      <c r="A492" s="58">
        <v>35611</v>
      </c>
      <c r="B492" s="57" t="s">
        <v>91</v>
      </c>
      <c r="C492" s="57" t="s">
        <v>75</v>
      </c>
      <c r="D492" s="57" t="s">
        <v>33</v>
      </c>
      <c r="E492" s="57">
        <v>1237.9000000000001</v>
      </c>
      <c r="F492" s="57">
        <v>10583</v>
      </c>
    </row>
    <row r="493" spans="1:6" x14ac:dyDescent="0.15">
      <c r="A493" s="58">
        <v>35611</v>
      </c>
      <c r="B493" s="57" t="s">
        <v>91</v>
      </c>
      <c r="C493" s="57" t="s">
        <v>75</v>
      </c>
      <c r="D493" s="57" t="s">
        <v>73</v>
      </c>
      <c r="E493" s="57">
        <v>693.59999513626099</v>
      </c>
      <c r="F493" s="57">
        <v>10583</v>
      </c>
    </row>
    <row r="494" spans="1:6" x14ac:dyDescent="0.15">
      <c r="A494" s="58">
        <v>35611</v>
      </c>
      <c r="B494" s="57" t="s">
        <v>91</v>
      </c>
      <c r="C494" s="57" t="s">
        <v>75</v>
      </c>
      <c r="D494" s="57" t="s">
        <v>73</v>
      </c>
      <c r="E494" s="57">
        <v>305.99999785423279</v>
      </c>
      <c r="F494" s="57">
        <v>10583</v>
      </c>
    </row>
    <row r="495" spans="1:6" x14ac:dyDescent="0.15">
      <c r="A495" s="58">
        <v>35611</v>
      </c>
      <c r="B495" s="57" t="s">
        <v>80</v>
      </c>
      <c r="C495" s="57" t="s">
        <v>97</v>
      </c>
      <c r="D495" s="57" t="s">
        <v>73</v>
      </c>
      <c r="E495" s="57">
        <v>593.74999953433871</v>
      </c>
      <c r="F495" s="57">
        <v>10584</v>
      </c>
    </row>
    <row r="496" spans="1:6" x14ac:dyDescent="0.15">
      <c r="A496" s="58">
        <v>35612</v>
      </c>
      <c r="B496" s="57" t="s">
        <v>80</v>
      </c>
      <c r="C496" s="57" t="s">
        <v>92</v>
      </c>
      <c r="D496" s="57" t="s">
        <v>77</v>
      </c>
      <c r="E496" s="57">
        <v>142.5</v>
      </c>
      <c r="F496" s="57">
        <v>10585</v>
      </c>
    </row>
    <row r="497" spans="1:6" x14ac:dyDescent="0.15">
      <c r="A497" s="58">
        <v>35613</v>
      </c>
      <c r="B497" s="57" t="s">
        <v>80</v>
      </c>
      <c r="C497" s="57" t="s">
        <v>75</v>
      </c>
      <c r="D497" s="57" t="s">
        <v>86</v>
      </c>
      <c r="E497" s="57">
        <v>23.799999833106995</v>
      </c>
      <c r="F497" s="57">
        <v>10586</v>
      </c>
    </row>
    <row r="498" spans="1:6" x14ac:dyDescent="0.15">
      <c r="A498" s="58">
        <v>35613</v>
      </c>
      <c r="B498" s="57" t="s">
        <v>80</v>
      </c>
      <c r="C498" s="57" t="s">
        <v>75</v>
      </c>
      <c r="D498" s="57" t="s">
        <v>77</v>
      </c>
      <c r="E498" s="57">
        <v>187.38</v>
      </c>
      <c r="F498" s="57">
        <v>10587</v>
      </c>
    </row>
    <row r="499" spans="1:6" x14ac:dyDescent="0.15">
      <c r="A499" s="58">
        <v>35613</v>
      </c>
      <c r="B499" s="57" t="s">
        <v>80</v>
      </c>
      <c r="C499" s="57" t="s">
        <v>75</v>
      </c>
      <c r="D499" s="57" t="s">
        <v>42</v>
      </c>
      <c r="E499" s="57">
        <v>360</v>
      </c>
      <c r="F499" s="57">
        <v>10587</v>
      </c>
    </row>
    <row r="500" spans="1:6" x14ac:dyDescent="0.15">
      <c r="A500" s="58">
        <v>35613</v>
      </c>
      <c r="B500" s="57" t="s">
        <v>80</v>
      </c>
      <c r="C500" s="57" t="s">
        <v>75</v>
      </c>
      <c r="D500" s="57" t="s">
        <v>88</v>
      </c>
      <c r="E500" s="57">
        <v>260</v>
      </c>
      <c r="F500" s="57">
        <v>10587</v>
      </c>
    </row>
    <row r="501" spans="1:6" x14ac:dyDescent="0.15">
      <c r="A501" s="58">
        <v>35614</v>
      </c>
      <c r="B501" s="57" t="s">
        <v>74</v>
      </c>
      <c r="C501" s="57" t="s">
        <v>75</v>
      </c>
      <c r="D501" s="57" t="s">
        <v>82</v>
      </c>
      <c r="E501" s="57">
        <v>1999.9999925494194</v>
      </c>
      <c r="F501" s="57">
        <v>10588</v>
      </c>
    </row>
    <row r="502" spans="1:6" x14ac:dyDescent="0.15">
      <c r="A502" s="58">
        <v>35614</v>
      </c>
      <c r="B502" s="57" t="s">
        <v>74</v>
      </c>
      <c r="C502" s="57" t="s">
        <v>75</v>
      </c>
      <c r="D502" s="57" t="s">
        <v>86</v>
      </c>
      <c r="E502" s="57">
        <v>1119.9999958276749</v>
      </c>
      <c r="F502" s="57">
        <v>10588</v>
      </c>
    </row>
    <row r="503" spans="1:6" x14ac:dyDescent="0.15">
      <c r="A503" s="58">
        <v>35615</v>
      </c>
      <c r="B503" s="57" t="s">
        <v>91</v>
      </c>
      <c r="C503" s="57" t="s">
        <v>75</v>
      </c>
      <c r="D503" s="57" t="s">
        <v>42</v>
      </c>
      <c r="E503" s="57">
        <v>72</v>
      </c>
      <c r="F503" s="57">
        <v>10589</v>
      </c>
    </row>
    <row r="504" spans="1:6" x14ac:dyDescent="0.15">
      <c r="A504" s="58">
        <v>35618</v>
      </c>
      <c r="B504" s="57" t="s">
        <v>74</v>
      </c>
      <c r="C504" s="57" t="s">
        <v>97</v>
      </c>
      <c r="D504" s="57" t="s">
        <v>42</v>
      </c>
      <c r="E504" s="57">
        <v>360</v>
      </c>
      <c r="F504" s="57">
        <v>10590</v>
      </c>
    </row>
    <row r="505" spans="1:6" x14ac:dyDescent="0.15">
      <c r="A505" s="58">
        <v>35618</v>
      </c>
      <c r="B505" s="57" t="s">
        <v>74</v>
      </c>
      <c r="C505" s="57" t="s">
        <v>97</v>
      </c>
      <c r="D505" s="57" t="s">
        <v>88</v>
      </c>
      <c r="E505" s="57">
        <v>740.99999941885471</v>
      </c>
      <c r="F505" s="57">
        <v>10590</v>
      </c>
    </row>
    <row r="506" spans="1:6" x14ac:dyDescent="0.15">
      <c r="A506" s="58">
        <v>35618</v>
      </c>
      <c r="B506" s="57" t="s">
        <v>80</v>
      </c>
      <c r="C506" s="57" t="s">
        <v>92</v>
      </c>
      <c r="D506" s="57" t="s">
        <v>88</v>
      </c>
      <c r="E506" s="57">
        <v>140</v>
      </c>
      <c r="F506" s="57">
        <v>10591</v>
      </c>
    </row>
    <row r="507" spans="1:6" x14ac:dyDescent="0.15">
      <c r="A507" s="58">
        <v>35618</v>
      </c>
      <c r="B507" s="57" t="s">
        <v>80</v>
      </c>
      <c r="C507" s="57" t="s">
        <v>92</v>
      </c>
      <c r="D507" s="57" t="s">
        <v>95</v>
      </c>
      <c r="E507" s="57">
        <v>300</v>
      </c>
      <c r="F507" s="57">
        <v>10591</v>
      </c>
    </row>
    <row r="508" spans="1:6" x14ac:dyDescent="0.15">
      <c r="A508" s="58">
        <v>35618</v>
      </c>
      <c r="B508" s="57" t="s">
        <v>80</v>
      </c>
      <c r="C508" s="57" t="s">
        <v>92</v>
      </c>
      <c r="D508" s="57" t="s">
        <v>33</v>
      </c>
      <c r="E508" s="57">
        <v>372.5</v>
      </c>
      <c r="F508" s="57">
        <v>10591</v>
      </c>
    </row>
    <row r="509" spans="1:6" x14ac:dyDescent="0.15">
      <c r="A509" s="58">
        <v>35619</v>
      </c>
      <c r="B509" s="57" t="s">
        <v>80</v>
      </c>
      <c r="C509" s="57" t="s">
        <v>81</v>
      </c>
      <c r="D509" s="57" t="s">
        <v>88</v>
      </c>
      <c r="E509" s="57">
        <v>368.12499971129</v>
      </c>
      <c r="F509" s="57">
        <v>10592</v>
      </c>
    </row>
    <row r="510" spans="1:6" x14ac:dyDescent="0.15">
      <c r="A510" s="58">
        <v>35619</v>
      </c>
      <c r="B510" s="57" t="s">
        <v>80</v>
      </c>
      <c r="C510" s="57" t="s">
        <v>81</v>
      </c>
      <c r="D510" s="57" t="s">
        <v>77</v>
      </c>
      <c r="E510" s="57">
        <v>148.3424998836592</v>
      </c>
      <c r="F510" s="57">
        <v>10592</v>
      </c>
    </row>
    <row r="511" spans="1:6" x14ac:dyDescent="0.15">
      <c r="A511" s="58">
        <v>35620</v>
      </c>
      <c r="B511" s="57" t="s">
        <v>91</v>
      </c>
      <c r="C511" s="57" t="s">
        <v>81</v>
      </c>
      <c r="D511" s="57" t="s">
        <v>77</v>
      </c>
      <c r="E511" s="57">
        <v>1360.799994930625</v>
      </c>
      <c r="F511" s="57">
        <v>10593</v>
      </c>
    </row>
    <row r="512" spans="1:6" x14ac:dyDescent="0.15">
      <c r="A512" s="58">
        <v>35620</v>
      </c>
      <c r="B512" s="57" t="s">
        <v>91</v>
      </c>
      <c r="C512" s="57" t="s">
        <v>81</v>
      </c>
      <c r="D512" s="57" t="s">
        <v>73</v>
      </c>
      <c r="E512" s="57">
        <v>575.99999785423279</v>
      </c>
      <c r="F512" s="57">
        <v>10593</v>
      </c>
    </row>
    <row r="513" spans="1:6" x14ac:dyDescent="0.15">
      <c r="A513" s="58">
        <v>35620</v>
      </c>
      <c r="B513" s="57" t="s">
        <v>91</v>
      </c>
      <c r="C513" s="57" t="s">
        <v>81</v>
      </c>
      <c r="D513" s="57" t="s">
        <v>42</v>
      </c>
      <c r="E513" s="57">
        <v>57.599999785423279</v>
      </c>
      <c r="F513" s="57">
        <v>10593</v>
      </c>
    </row>
    <row r="514" spans="1:6" x14ac:dyDescent="0.15">
      <c r="A514" s="58">
        <v>35620</v>
      </c>
      <c r="B514" s="57" t="s">
        <v>91</v>
      </c>
      <c r="C514" s="57" t="s">
        <v>81</v>
      </c>
      <c r="D514" s="57" t="s">
        <v>86</v>
      </c>
      <c r="E514" s="57">
        <v>168</v>
      </c>
      <c r="F514" s="57">
        <v>10594</v>
      </c>
    </row>
    <row r="515" spans="1:6" x14ac:dyDescent="0.15">
      <c r="A515" s="58">
        <v>35620</v>
      </c>
      <c r="B515" s="57" t="s">
        <v>91</v>
      </c>
      <c r="C515" s="57" t="s">
        <v>81</v>
      </c>
      <c r="D515" s="57" t="s">
        <v>82</v>
      </c>
      <c r="E515" s="57">
        <v>397.5</v>
      </c>
      <c r="F515" s="57">
        <v>10594</v>
      </c>
    </row>
    <row r="516" spans="1:6" x14ac:dyDescent="0.15">
      <c r="A516" s="58">
        <v>35621</v>
      </c>
      <c r="B516" s="57" t="s">
        <v>80</v>
      </c>
      <c r="C516" s="57" t="s">
        <v>92</v>
      </c>
      <c r="D516" s="57" t="s">
        <v>42</v>
      </c>
      <c r="E516" s="57">
        <v>405</v>
      </c>
      <c r="F516" s="57">
        <v>10595</v>
      </c>
    </row>
    <row r="517" spans="1:6" x14ac:dyDescent="0.15">
      <c r="A517" s="58">
        <v>35621</v>
      </c>
      <c r="B517" s="57" t="s">
        <v>80</v>
      </c>
      <c r="C517" s="57" t="s">
        <v>92</v>
      </c>
      <c r="D517" s="57" t="s">
        <v>88</v>
      </c>
      <c r="E517" s="57">
        <v>2565</v>
      </c>
      <c r="F517" s="57">
        <v>10595</v>
      </c>
    </row>
    <row r="518" spans="1:6" x14ac:dyDescent="0.15">
      <c r="A518" s="58">
        <v>35621</v>
      </c>
      <c r="B518" s="57" t="s">
        <v>80</v>
      </c>
      <c r="C518" s="57" t="s">
        <v>92</v>
      </c>
      <c r="D518" s="57" t="s">
        <v>73</v>
      </c>
      <c r="E518" s="57">
        <v>1755</v>
      </c>
      <c r="F518" s="57">
        <v>10595</v>
      </c>
    </row>
    <row r="519" spans="1:6" x14ac:dyDescent="0.15">
      <c r="A519" s="58">
        <v>35622</v>
      </c>
      <c r="B519" s="57" t="s">
        <v>80</v>
      </c>
      <c r="C519" s="57" t="s">
        <v>81</v>
      </c>
      <c r="D519" s="57" t="s">
        <v>86</v>
      </c>
      <c r="E519" s="57">
        <v>151.99999943375587</v>
      </c>
      <c r="F519" s="57">
        <v>10596</v>
      </c>
    </row>
    <row r="520" spans="1:6" x14ac:dyDescent="0.15">
      <c r="A520" s="58">
        <v>35622</v>
      </c>
      <c r="B520" s="57" t="s">
        <v>80</v>
      </c>
      <c r="C520" s="57" t="s">
        <v>81</v>
      </c>
      <c r="D520" s="57" t="s">
        <v>88</v>
      </c>
      <c r="E520" s="57">
        <v>842.87999686002729</v>
      </c>
      <c r="F520" s="57">
        <v>10596</v>
      </c>
    </row>
    <row r="521" spans="1:6" x14ac:dyDescent="0.15">
      <c r="A521" s="58">
        <v>35622</v>
      </c>
      <c r="B521" s="57" t="s">
        <v>80</v>
      </c>
      <c r="C521" s="57" t="s">
        <v>81</v>
      </c>
      <c r="D521" s="57" t="s">
        <v>42</v>
      </c>
      <c r="E521" s="57">
        <v>185.999999307096</v>
      </c>
      <c r="F521" s="57">
        <v>10596</v>
      </c>
    </row>
    <row r="522" spans="1:6" x14ac:dyDescent="0.15">
      <c r="A522" s="58">
        <v>35622</v>
      </c>
      <c r="B522" s="57" t="s">
        <v>74</v>
      </c>
      <c r="C522" s="57" t="s">
        <v>81</v>
      </c>
      <c r="D522" s="57" t="s">
        <v>42</v>
      </c>
      <c r="E522" s="57">
        <v>125.99999953061342</v>
      </c>
      <c r="F522" s="57">
        <v>10597</v>
      </c>
    </row>
    <row r="523" spans="1:6" x14ac:dyDescent="0.15">
      <c r="A523" s="58">
        <v>35622</v>
      </c>
      <c r="B523" s="57" t="s">
        <v>74</v>
      </c>
      <c r="C523" s="57" t="s">
        <v>81</v>
      </c>
      <c r="D523" s="57" t="s">
        <v>86</v>
      </c>
      <c r="E523" s="57">
        <v>390</v>
      </c>
      <c r="F523" s="57">
        <v>10597</v>
      </c>
    </row>
    <row r="524" spans="1:6" x14ac:dyDescent="0.15">
      <c r="A524" s="58">
        <v>35622</v>
      </c>
      <c r="B524" s="57" t="s">
        <v>74</v>
      </c>
      <c r="C524" s="57" t="s">
        <v>81</v>
      </c>
      <c r="D524" s="57" t="s">
        <v>88</v>
      </c>
      <c r="E524" s="57">
        <v>202.07999924719334</v>
      </c>
      <c r="F524" s="57">
        <v>10597</v>
      </c>
    </row>
    <row r="525" spans="1:6" x14ac:dyDescent="0.15">
      <c r="A525" s="58">
        <v>35625</v>
      </c>
      <c r="B525" s="57" t="s">
        <v>74</v>
      </c>
      <c r="C525" s="57" t="s">
        <v>81</v>
      </c>
      <c r="D525" s="57" t="s">
        <v>77</v>
      </c>
      <c r="E525" s="57">
        <v>2195</v>
      </c>
      <c r="F525" s="57">
        <v>10598</v>
      </c>
    </row>
    <row r="526" spans="1:6" x14ac:dyDescent="0.15">
      <c r="A526" s="58">
        <v>35625</v>
      </c>
      <c r="B526" s="57" t="s">
        <v>74</v>
      </c>
      <c r="C526" s="57" t="s">
        <v>81</v>
      </c>
      <c r="D526" s="57" t="s">
        <v>73</v>
      </c>
      <c r="E526" s="57">
        <v>193.5</v>
      </c>
      <c r="F526" s="57">
        <v>10598</v>
      </c>
    </row>
    <row r="527" spans="1:6" x14ac:dyDescent="0.15">
      <c r="A527" s="58">
        <v>35626</v>
      </c>
      <c r="B527" s="57" t="s">
        <v>74</v>
      </c>
      <c r="C527" s="57" t="s">
        <v>92</v>
      </c>
      <c r="D527" s="57" t="s">
        <v>77</v>
      </c>
      <c r="E527" s="57">
        <v>493</v>
      </c>
      <c r="F527" s="57">
        <v>10599</v>
      </c>
    </row>
    <row r="528" spans="1:6" x14ac:dyDescent="0.15">
      <c r="A528" s="58">
        <v>35627</v>
      </c>
      <c r="B528" s="57" t="s">
        <v>80</v>
      </c>
      <c r="C528" s="57" t="s">
        <v>97</v>
      </c>
      <c r="D528" s="57" t="s">
        <v>33</v>
      </c>
      <c r="E528" s="57">
        <v>29.8</v>
      </c>
      <c r="F528" s="57">
        <v>10600</v>
      </c>
    </row>
    <row r="529" spans="1:6" x14ac:dyDescent="0.15">
      <c r="A529" s="58">
        <v>35627</v>
      </c>
      <c r="B529" s="57" t="s">
        <v>80</v>
      </c>
      <c r="C529" s="57" t="s">
        <v>97</v>
      </c>
      <c r="D529" s="57" t="s">
        <v>82</v>
      </c>
      <c r="E529" s="57">
        <v>450</v>
      </c>
      <c r="F529" s="57">
        <v>10600</v>
      </c>
    </row>
    <row r="530" spans="1:6" x14ac:dyDescent="0.15">
      <c r="A530" s="58">
        <v>35627</v>
      </c>
      <c r="B530" s="57" t="s">
        <v>80</v>
      </c>
      <c r="C530" s="57" t="s">
        <v>92</v>
      </c>
      <c r="D530" s="57" t="s">
        <v>82</v>
      </c>
      <c r="E530" s="57">
        <v>360</v>
      </c>
      <c r="F530" s="57">
        <v>10601</v>
      </c>
    </row>
    <row r="531" spans="1:6" x14ac:dyDescent="0.15">
      <c r="A531" s="58">
        <v>35627</v>
      </c>
      <c r="B531" s="57" t="s">
        <v>80</v>
      </c>
      <c r="C531" s="57" t="s">
        <v>92</v>
      </c>
      <c r="D531" s="57" t="s">
        <v>73</v>
      </c>
      <c r="E531" s="57">
        <v>1925</v>
      </c>
      <c r="F531" s="57">
        <v>10601</v>
      </c>
    </row>
    <row r="532" spans="1:6" x14ac:dyDescent="0.15">
      <c r="A532" s="58">
        <v>35628</v>
      </c>
      <c r="B532" s="57" t="s">
        <v>91</v>
      </c>
      <c r="C532" s="57" t="s">
        <v>92</v>
      </c>
      <c r="D532" s="57" t="s">
        <v>88</v>
      </c>
      <c r="E532" s="57">
        <v>48.75</v>
      </c>
      <c r="F532" s="57">
        <v>10602</v>
      </c>
    </row>
    <row r="533" spans="1:6" x14ac:dyDescent="0.15">
      <c r="A533" s="58">
        <v>35629</v>
      </c>
      <c r="B533" s="57" t="s">
        <v>91</v>
      </c>
      <c r="C533" s="57" t="s">
        <v>96</v>
      </c>
      <c r="D533" s="57" t="s">
        <v>86</v>
      </c>
      <c r="E533" s="57">
        <v>1008</v>
      </c>
      <c r="F533" s="57">
        <v>10603</v>
      </c>
    </row>
    <row r="534" spans="1:6" x14ac:dyDescent="0.15">
      <c r="A534" s="58">
        <v>35629</v>
      </c>
      <c r="B534" s="57" t="s">
        <v>91</v>
      </c>
      <c r="C534" s="57" t="s">
        <v>96</v>
      </c>
      <c r="D534" s="57" t="s">
        <v>77</v>
      </c>
      <c r="E534" s="57">
        <v>474.99999962747097</v>
      </c>
      <c r="F534" s="57">
        <v>10603</v>
      </c>
    </row>
    <row r="535" spans="1:6" x14ac:dyDescent="0.15">
      <c r="A535" s="58">
        <v>35629</v>
      </c>
      <c r="B535" s="57" t="s">
        <v>80</v>
      </c>
      <c r="C535" s="57" t="s">
        <v>81</v>
      </c>
      <c r="D535" s="57" t="s">
        <v>77</v>
      </c>
      <c r="E535" s="57">
        <v>68.849999886006117</v>
      </c>
      <c r="F535" s="57">
        <v>10604</v>
      </c>
    </row>
    <row r="536" spans="1:6" x14ac:dyDescent="0.15">
      <c r="A536" s="58">
        <v>35629</v>
      </c>
      <c r="B536" s="57" t="s">
        <v>80</v>
      </c>
      <c r="C536" s="57" t="s">
        <v>81</v>
      </c>
      <c r="D536" s="57" t="s">
        <v>42</v>
      </c>
      <c r="E536" s="57">
        <v>161.9999997317791</v>
      </c>
      <c r="F536" s="57">
        <v>10604</v>
      </c>
    </row>
    <row r="537" spans="1:6" x14ac:dyDescent="0.15">
      <c r="A537" s="58">
        <v>35632</v>
      </c>
      <c r="B537" s="57" t="s">
        <v>91</v>
      </c>
      <c r="C537" s="57" t="s">
        <v>97</v>
      </c>
      <c r="D537" s="57" t="s">
        <v>77</v>
      </c>
      <c r="E537" s="57">
        <v>497.32499960996211</v>
      </c>
      <c r="F537" s="57">
        <v>10605</v>
      </c>
    </row>
    <row r="538" spans="1:6" x14ac:dyDescent="0.15">
      <c r="A538" s="58">
        <v>35632</v>
      </c>
      <c r="B538" s="57" t="s">
        <v>91</v>
      </c>
      <c r="C538" s="57" t="s">
        <v>97</v>
      </c>
      <c r="D538" s="57" t="s">
        <v>73</v>
      </c>
      <c r="E538" s="57">
        <v>1044.9999991804361</v>
      </c>
      <c r="F538" s="57">
        <v>10605</v>
      </c>
    </row>
    <row r="539" spans="1:6" x14ac:dyDescent="0.15">
      <c r="A539" s="58">
        <v>35632</v>
      </c>
      <c r="B539" s="57" t="s">
        <v>91</v>
      </c>
      <c r="C539" s="57" t="s">
        <v>97</v>
      </c>
      <c r="D539" s="57" t="s">
        <v>73</v>
      </c>
      <c r="E539" s="57">
        <v>2260.9999982267618</v>
      </c>
      <c r="F539" s="57">
        <v>10605</v>
      </c>
    </row>
    <row r="540" spans="1:6" x14ac:dyDescent="0.15">
      <c r="A540" s="58">
        <v>35632</v>
      </c>
      <c r="B540" s="57" t="s">
        <v>91</v>
      </c>
      <c r="C540" s="57" t="s">
        <v>97</v>
      </c>
      <c r="D540" s="57" t="s">
        <v>73</v>
      </c>
      <c r="E540" s="57">
        <v>306.37499975971878</v>
      </c>
      <c r="F540" s="57">
        <v>10605</v>
      </c>
    </row>
    <row r="541" spans="1:6" x14ac:dyDescent="0.15">
      <c r="A541" s="58">
        <v>35633</v>
      </c>
      <c r="B541" s="57" t="s">
        <v>74</v>
      </c>
      <c r="C541" s="57" t="s">
        <v>75</v>
      </c>
      <c r="D541" s="57" t="s">
        <v>88</v>
      </c>
      <c r="E541" s="57">
        <v>351.99999868869781</v>
      </c>
      <c r="F541" s="57">
        <v>10606</v>
      </c>
    </row>
    <row r="542" spans="1:6" x14ac:dyDescent="0.15">
      <c r="A542" s="58">
        <v>35633</v>
      </c>
      <c r="B542" s="57" t="s">
        <v>74</v>
      </c>
      <c r="C542" s="57" t="s">
        <v>75</v>
      </c>
      <c r="D542" s="57" t="s">
        <v>33</v>
      </c>
      <c r="E542" s="57">
        <v>383.99999856948853</v>
      </c>
      <c r="F542" s="57">
        <v>10606</v>
      </c>
    </row>
    <row r="543" spans="1:6" x14ac:dyDescent="0.15">
      <c r="A543" s="58">
        <v>35633</v>
      </c>
      <c r="B543" s="57" t="s">
        <v>74</v>
      </c>
      <c r="C543" s="57" t="s">
        <v>75</v>
      </c>
      <c r="D543" s="57" t="s">
        <v>77</v>
      </c>
      <c r="E543" s="57">
        <v>394.39999853074551</v>
      </c>
      <c r="F543" s="57">
        <v>10606</v>
      </c>
    </row>
    <row r="544" spans="1:6" x14ac:dyDescent="0.15">
      <c r="A544" s="58">
        <v>35633</v>
      </c>
      <c r="B544" s="57" t="s">
        <v>80</v>
      </c>
      <c r="C544" s="57" t="s">
        <v>96</v>
      </c>
      <c r="D544" s="57" t="s">
        <v>95</v>
      </c>
      <c r="E544" s="57">
        <v>1350</v>
      </c>
      <c r="F544" s="57">
        <v>10607</v>
      </c>
    </row>
    <row r="545" spans="1:6" x14ac:dyDescent="0.15">
      <c r="A545" s="58">
        <v>35633</v>
      </c>
      <c r="B545" s="57" t="s">
        <v>80</v>
      </c>
      <c r="C545" s="57" t="s">
        <v>96</v>
      </c>
      <c r="D545" s="57" t="s">
        <v>33</v>
      </c>
      <c r="E545" s="57">
        <v>3900</v>
      </c>
      <c r="F545" s="57">
        <v>10607</v>
      </c>
    </row>
    <row r="546" spans="1:6" x14ac:dyDescent="0.15">
      <c r="A546" s="58">
        <v>35633</v>
      </c>
      <c r="B546" s="57" t="s">
        <v>80</v>
      </c>
      <c r="C546" s="57" t="s">
        <v>96</v>
      </c>
      <c r="D546" s="57" t="s">
        <v>73</v>
      </c>
      <c r="E546" s="57">
        <v>35</v>
      </c>
      <c r="F546" s="57">
        <v>10607</v>
      </c>
    </row>
    <row r="547" spans="1:6" x14ac:dyDescent="0.15">
      <c r="A547" s="58">
        <v>35633</v>
      </c>
      <c r="B547" s="57" t="s">
        <v>80</v>
      </c>
      <c r="C547" s="57" t="s">
        <v>96</v>
      </c>
      <c r="D547" s="57" t="s">
        <v>82</v>
      </c>
      <c r="E547" s="57">
        <v>772.8</v>
      </c>
      <c r="F547" s="57">
        <v>10607</v>
      </c>
    </row>
    <row r="548" spans="1:6" x14ac:dyDescent="0.15">
      <c r="A548" s="58">
        <v>35633</v>
      </c>
      <c r="B548" s="57" t="s">
        <v>80</v>
      </c>
      <c r="C548" s="57" t="s">
        <v>96</v>
      </c>
      <c r="D548" s="57" t="s">
        <v>73</v>
      </c>
      <c r="E548" s="57">
        <v>417.6</v>
      </c>
      <c r="F548" s="57">
        <v>10607</v>
      </c>
    </row>
    <row r="549" spans="1:6" x14ac:dyDescent="0.15">
      <c r="A549" s="58">
        <v>35634</v>
      </c>
      <c r="B549" s="57" t="s">
        <v>91</v>
      </c>
      <c r="C549" s="57" t="s">
        <v>81</v>
      </c>
      <c r="D549" s="57" t="s">
        <v>86</v>
      </c>
      <c r="E549" s="57">
        <v>1064</v>
      </c>
      <c r="F549" s="57">
        <v>10608</v>
      </c>
    </row>
    <row r="550" spans="1:6" x14ac:dyDescent="0.15">
      <c r="A550" s="58">
        <v>35635</v>
      </c>
      <c r="B550" s="57" t="s">
        <v>91</v>
      </c>
      <c r="C550" s="57" t="s">
        <v>81</v>
      </c>
      <c r="D550" s="57" t="s">
        <v>42</v>
      </c>
      <c r="E550" s="57">
        <v>54</v>
      </c>
      <c r="F550" s="57">
        <v>10609</v>
      </c>
    </row>
    <row r="551" spans="1:6" x14ac:dyDescent="0.15">
      <c r="A551" s="58">
        <v>35635</v>
      </c>
      <c r="B551" s="57" t="s">
        <v>91</v>
      </c>
      <c r="C551" s="57" t="s">
        <v>81</v>
      </c>
      <c r="D551" s="57" t="s">
        <v>82</v>
      </c>
      <c r="E551" s="57">
        <v>310</v>
      </c>
      <c r="F551" s="57">
        <v>10609</v>
      </c>
    </row>
    <row r="552" spans="1:6" x14ac:dyDescent="0.15">
      <c r="A552" s="58">
        <v>35635</v>
      </c>
      <c r="B552" s="57" t="s">
        <v>91</v>
      </c>
      <c r="C552" s="57" t="s">
        <v>81</v>
      </c>
      <c r="D552" s="57" t="s">
        <v>77</v>
      </c>
      <c r="E552" s="57">
        <v>60</v>
      </c>
      <c r="F552" s="57">
        <v>10609</v>
      </c>
    </row>
    <row r="553" spans="1:6" x14ac:dyDescent="0.15">
      <c r="A553" s="58">
        <v>35636</v>
      </c>
      <c r="B553" s="57" t="s">
        <v>80</v>
      </c>
      <c r="C553" s="57" t="s">
        <v>75</v>
      </c>
      <c r="D553" s="57" t="s">
        <v>82</v>
      </c>
      <c r="E553" s="57">
        <v>299.25</v>
      </c>
      <c r="F553" s="57">
        <v>10610</v>
      </c>
    </row>
    <row r="554" spans="1:6" x14ac:dyDescent="0.15">
      <c r="A554" s="58">
        <v>35636</v>
      </c>
      <c r="B554" s="57" t="s">
        <v>91</v>
      </c>
      <c r="C554" s="57" t="s">
        <v>75</v>
      </c>
      <c r="D554" s="57" t="s">
        <v>42</v>
      </c>
      <c r="E554" s="57">
        <v>108</v>
      </c>
      <c r="F554" s="57">
        <v>10611</v>
      </c>
    </row>
    <row r="555" spans="1:6" x14ac:dyDescent="0.15">
      <c r="A555" s="58">
        <v>35636</v>
      </c>
      <c r="B555" s="57" t="s">
        <v>91</v>
      </c>
      <c r="C555" s="57" t="s">
        <v>75</v>
      </c>
      <c r="D555" s="57" t="s">
        <v>42</v>
      </c>
      <c r="E555" s="57">
        <v>190</v>
      </c>
      <c r="F555" s="57">
        <v>10611</v>
      </c>
    </row>
    <row r="556" spans="1:6" x14ac:dyDescent="0.15">
      <c r="A556" s="58">
        <v>35636</v>
      </c>
      <c r="B556" s="57" t="s">
        <v>91</v>
      </c>
      <c r="C556" s="57" t="s">
        <v>75</v>
      </c>
      <c r="D556" s="57" t="s">
        <v>73</v>
      </c>
      <c r="E556" s="57">
        <v>510</v>
      </c>
      <c r="F556" s="57">
        <v>10611</v>
      </c>
    </row>
    <row r="557" spans="1:6" x14ac:dyDescent="0.15">
      <c r="A557" s="58">
        <v>35639</v>
      </c>
      <c r="B557" s="57" t="s">
        <v>91</v>
      </c>
      <c r="C557" s="57" t="s">
        <v>96</v>
      </c>
      <c r="D557" s="57" t="s">
        <v>82</v>
      </c>
      <c r="E557" s="57">
        <v>2170</v>
      </c>
      <c r="F557" s="57">
        <v>10612</v>
      </c>
    </row>
    <row r="558" spans="1:6" x14ac:dyDescent="0.15">
      <c r="A558" s="58">
        <v>35639</v>
      </c>
      <c r="B558" s="57" t="s">
        <v>91</v>
      </c>
      <c r="C558" s="57" t="s">
        <v>96</v>
      </c>
      <c r="D558" s="57" t="s">
        <v>82</v>
      </c>
      <c r="E558" s="57">
        <v>1045</v>
      </c>
      <c r="F558" s="57">
        <v>10612</v>
      </c>
    </row>
    <row r="559" spans="1:6" x14ac:dyDescent="0.15">
      <c r="A559" s="58">
        <v>35639</v>
      </c>
      <c r="B559" s="57" t="s">
        <v>91</v>
      </c>
      <c r="C559" s="57" t="s">
        <v>96</v>
      </c>
      <c r="D559" s="57" t="s">
        <v>77</v>
      </c>
      <c r="E559" s="57">
        <v>360</v>
      </c>
      <c r="F559" s="57">
        <v>10612</v>
      </c>
    </row>
    <row r="560" spans="1:6" x14ac:dyDescent="0.15">
      <c r="A560" s="58">
        <v>35639</v>
      </c>
      <c r="B560" s="57" t="s">
        <v>91</v>
      </c>
      <c r="C560" s="57" t="s">
        <v>96</v>
      </c>
      <c r="D560" s="57" t="s">
        <v>73</v>
      </c>
      <c r="E560" s="57">
        <v>1360</v>
      </c>
      <c r="F560" s="57">
        <v>10612</v>
      </c>
    </row>
    <row r="561" spans="1:6" x14ac:dyDescent="0.15">
      <c r="A561" s="58">
        <v>35639</v>
      </c>
      <c r="B561" s="57" t="s">
        <v>91</v>
      </c>
      <c r="C561" s="57" t="s">
        <v>96</v>
      </c>
      <c r="D561" s="57" t="s">
        <v>42</v>
      </c>
      <c r="E561" s="57">
        <v>1440</v>
      </c>
      <c r="F561" s="57">
        <v>10612</v>
      </c>
    </row>
    <row r="562" spans="1:6" x14ac:dyDescent="0.15">
      <c r="A562" s="58">
        <v>35640</v>
      </c>
      <c r="B562" s="57" t="s">
        <v>91</v>
      </c>
      <c r="C562" s="57" t="s">
        <v>92</v>
      </c>
      <c r="D562" s="57" t="s">
        <v>82</v>
      </c>
      <c r="E562" s="57">
        <v>43.199999928474426</v>
      </c>
      <c r="F562" s="57">
        <v>10613</v>
      </c>
    </row>
    <row r="563" spans="1:6" x14ac:dyDescent="0.15">
      <c r="A563" s="58">
        <v>35640</v>
      </c>
      <c r="B563" s="57" t="s">
        <v>91</v>
      </c>
      <c r="C563" s="57" t="s">
        <v>92</v>
      </c>
      <c r="D563" s="57" t="s">
        <v>42</v>
      </c>
      <c r="E563" s="57">
        <v>310</v>
      </c>
      <c r="F563" s="57">
        <v>10613</v>
      </c>
    </row>
    <row r="564" spans="1:6" x14ac:dyDescent="0.15">
      <c r="A564" s="58">
        <v>35640</v>
      </c>
      <c r="B564" s="57" t="s">
        <v>74</v>
      </c>
      <c r="C564" s="57" t="s">
        <v>75</v>
      </c>
      <c r="D564" s="57" t="s">
        <v>73</v>
      </c>
      <c r="E564" s="57">
        <v>294</v>
      </c>
      <c r="F564" s="57">
        <v>10614</v>
      </c>
    </row>
    <row r="565" spans="1:6" x14ac:dyDescent="0.15">
      <c r="A565" s="58">
        <v>35640</v>
      </c>
      <c r="B565" s="57" t="s">
        <v>74</v>
      </c>
      <c r="C565" s="57" t="s">
        <v>75</v>
      </c>
      <c r="D565" s="57" t="s">
        <v>77</v>
      </c>
      <c r="E565" s="57">
        <v>80</v>
      </c>
      <c r="F565" s="57">
        <v>10614</v>
      </c>
    </row>
    <row r="566" spans="1:6" x14ac:dyDescent="0.15">
      <c r="A566" s="58">
        <v>35640</v>
      </c>
      <c r="B566" s="57" t="s">
        <v>74</v>
      </c>
      <c r="C566" s="57" t="s">
        <v>75</v>
      </c>
      <c r="D566" s="57" t="s">
        <v>42</v>
      </c>
      <c r="E566" s="57">
        <v>90</v>
      </c>
      <c r="F566" s="57">
        <v>10614</v>
      </c>
    </row>
    <row r="567" spans="1:6" x14ac:dyDescent="0.15">
      <c r="A567" s="58">
        <v>35641</v>
      </c>
      <c r="B567" s="57" t="s">
        <v>74</v>
      </c>
      <c r="C567" s="57" t="s">
        <v>75</v>
      </c>
      <c r="D567" s="57" t="s">
        <v>33</v>
      </c>
      <c r="E567" s="57">
        <v>120</v>
      </c>
      <c r="F567" s="57">
        <v>10615</v>
      </c>
    </row>
    <row r="568" spans="1:6" x14ac:dyDescent="0.15">
      <c r="A568" s="58">
        <v>35642</v>
      </c>
      <c r="B568" s="57" t="s">
        <v>91</v>
      </c>
      <c r="C568" s="57" t="s">
        <v>75</v>
      </c>
      <c r="D568" s="57" t="s">
        <v>42</v>
      </c>
      <c r="E568" s="57">
        <v>3754.874997055158</v>
      </c>
      <c r="F568" s="57">
        <v>10616</v>
      </c>
    </row>
    <row r="569" spans="1:6" x14ac:dyDescent="0.15">
      <c r="A569" s="58">
        <v>35642</v>
      </c>
      <c r="B569" s="57" t="s">
        <v>91</v>
      </c>
      <c r="C569" s="57" t="s">
        <v>75</v>
      </c>
      <c r="D569" s="57" t="s">
        <v>86</v>
      </c>
      <c r="E569" s="57">
        <v>532</v>
      </c>
      <c r="F569" s="57">
        <v>10616</v>
      </c>
    </row>
    <row r="570" spans="1:6" x14ac:dyDescent="0.15">
      <c r="A570" s="58">
        <v>35642</v>
      </c>
      <c r="B570" s="57" t="s">
        <v>91</v>
      </c>
      <c r="C570" s="57" t="s">
        <v>75</v>
      </c>
      <c r="D570" s="57" t="s">
        <v>42</v>
      </c>
      <c r="E570" s="57">
        <v>213.74999983236194</v>
      </c>
      <c r="F570" s="57">
        <v>10616</v>
      </c>
    </row>
    <row r="571" spans="1:6" x14ac:dyDescent="0.15">
      <c r="A571" s="58">
        <v>35642</v>
      </c>
      <c r="B571" s="57" t="s">
        <v>91</v>
      </c>
      <c r="C571" s="57" t="s">
        <v>75</v>
      </c>
      <c r="D571" s="57" t="s">
        <v>73</v>
      </c>
      <c r="E571" s="57">
        <v>306.37499975971878</v>
      </c>
      <c r="F571" s="57">
        <v>10616</v>
      </c>
    </row>
    <row r="572" spans="1:6" x14ac:dyDescent="0.15">
      <c r="A572" s="58">
        <v>35642</v>
      </c>
      <c r="B572" s="57" t="s">
        <v>91</v>
      </c>
      <c r="C572" s="57" t="s">
        <v>75</v>
      </c>
      <c r="D572" s="57" t="s">
        <v>73</v>
      </c>
      <c r="E572" s="57">
        <v>1402.4999901652336</v>
      </c>
      <c r="F572" s="57">
        <v>10617</v>
      </c>
    </row>
    <row r="573" spans="1:6" x14ac:dyDescent="0.15">
      <c r="A573" s="58">
        <v>35643</v>
      </c>
      <c r="B573" s="57" t="s">
        <v>80</v>
      </c>
      <c r="C573" s="57" t="s">
        <v>97</v>
      </c>
      <c r="D573" s="57" t="s">
        <v>88</v>
      </c>
      <c r="E573" s="57">
        <v>1750</v>
      </c>
      <c r="F573" s="57">
        <v>10618</v>
      </c>
    </row>
    <row r="574" spans="1:6" x14ac:dyDescent="0.15">
      <c r="A574" s="58">
        <v>35643</v>
      </c>
      <c r="B574" s="57" t="s">
        <v>80</v>
      </c>
      <c r="C574" s="57" t="s">
        <v>97</v>
      </c>
      <c r="D574" s="57" t="s">
        <v>86</v>
      </c>
      <c r="E574" s="57">
        <v>760</v>
      </c>
      <c r="F574" s="57">
        <v>10618</v>
      </c>
    </row>
    <row r="575" spans="1:6" x14ac:dyDescent="0.15">
      <c r="A575" s="58">
        <v>35643</v>
      </c>
      <c r="B575" s="57" t="s">
        <v>80</v>
      </c>
      <c r="C575" s="57" t="s">
        <v>97</v>
      </c>
      <c r="D575" s="57" t="s">
        <v>77</v>
      </c>
      <c r="E575" s="57">
        <v>187.5</v>
      </c>
      <c r="F575" s="57">
        <v>10618</v>
      </c>
    </row>
    <row r="576" spans="1:6" x14ac:dyDescent="0.15">
      <c r="A576" s="58">
        <v>35646</v>
      </c>
      <c r="B576" s="57" t="s">
        <v>74</v>
      </c>
      <c r="C576" s="57" t="s">
        <v>97</v>
      </c>
      <c r="D576" s="57" t="s">
        <v>77</v>
      </c>
      <c r="E576" s="57">
        <v>420</v>
      </c>
      <c r="F576" s="57">
        <v>10619</v>
      </c>
    </row>
    <row r="577" spans="1:6" x14ac:dyDescent="0.15">
      <c r="A577" s="58">
        <v>35646</v>
      </c>
      <c r="B577" s="57" t="s">
        <v>74</v>
      </c>
      <c r="C577" s="57" t="s">
        <v>97</v>
      </c>
      <c r="D577" s="57" t="s">
        <v>86</v>
      </c>
      <c r="E577" s="57">
        <v>840</v>
      </c>
      <c r="F577" s="57">
        <v>10619</v>
      </c>
    </row>
    <row r="578" spans="1:6" x14ac:dyDescent="0.15">
      <c r="A578" s="58">
        <v>35647</v>
      </c>
      <c r="B578" s="57" t="s">
        <v>74</v>
      </c>
      <c r="C578" s="57" t="s">
        <v>75</v>
      </c>
      <c r="D578" s="57" t="s">
        <v>42</v>
      </c>
      <c r="E578" s="57">
        <v>22.5</v>
      </c>
      <c r="F578" s="57">
        <v>10620</v>
      </c>
    </row>
    <row r="579" spans="1:6" x14ac:dyDescent="0.15">
      <c r="A579" s="58">
        <v>35647</v>
      </c>
      <c r="B579" s="57" t="s">
        <v>74</v>
      </c>
      <c r="C579" s="57" t="s">
        <v>75</v>
      </c>
      <c r="D579" s="57" t="s">
        <v>86</v>
      </c>
      <c r="E579" s="57">
        <v>35</v>
      </c>
      <c r="F579" s="57">
        <v>10620</v>
      </c>
    </row>
    <row r="580" spans="1:6" x14ac:dyDescent="0.15">
      <c r="A580" s="58">
        <v>35647</v>
      </c>
      <c r="B580" s="57" t="s">
        <v>91</v>
      </c>
      <c r="C580" s="57" t="s">
        <v>98</v>
      </c>
      <c r="D580" s="57" t="s">
        <v>77</v>
      </c>
      <c r="E580" s="57">
        <v>46</v>
      </c>
      <c r="F580" s="57">
        <v>10621</v>
      </c>
    </row>
    <row r="581" spans="1:6" x14ac:dyDescent="0.15">
      <c r="A581" s="58">
        <v>35647</v>
      </c>
      <c r="B581" s="57" t="s">
        <v>91</v>
      </c>
      <c r="C581" s="57" t="s">
        <v>98</v>
      </c>
      <c r="D581" s="57" t="s">
        <v>86</v>
      </c>
      <c r="E581" s="57">
        <v>90</v>
      </c>
      <c r="F581" s="57">
        <v>10621</v>
      </c>
    </row>
    <row r="582" spans="1:6" x14ac:dyDescent="0.15">
      <c r="A582" s="58">
        <v>35647</v>
      </c>
      <c r="B582" s="57" t="s">
        <v>91</v>
      </c>
      <c r="C582" s="57" t="s">
        <v>98</v>
      </c>
      <c r="D582" s="57" t="s">
        <v>42</v>
      </c>
      <c r="E582" s="57">
        <v>300</v>
      </c>
      <c r="F582" s="57">
        <v>10621</v>
      </c>
    </row>
    <row r="583" spans="1:6" x14ac:dyDescent="0.15">
      <c r="A583" s="58">
        <v>35647</v>
      </c>
      <c r="B583" s="57" t="s">
        <v>91</v>
      </c>
      <c r="C583" s="57" t="s">
        <v>98</v>
      </c>
      <c r="D583" s="57" t="s">
        <v>73</v>
      </c>
      <c r="E583" s="57">
        <v>322.5</v>
      </c>
      <c r="F583" s="57">
        <v>10621</v>
      </c>
    </row>
    <row r="584" spans="1:6" x14ac:dyDescent="0.15">
      <c r="A584" s="58">
        <v>35648</v>
      </c>
      <c r="B584" s="57" t="s">
        <v>74</v>
      </c>
      <c r="C584" s="57" t="s">
        <v>75</v>
      </c>
      <c r="D584" s="57" t="s">
        <v>42</v>
      </c>
      <c r="E584" s="57">
        <v>380</v>
      </c>
      <c r="F584" s="57">
        <v>10622</v>
      </c>
    </row>
    <row r="585" spans="1:6" x14ac:dyDescent="0.15">
      <c r="A585" s="58">
        <v>35648</v>
      </c>
      <c r="B585" s="57" t="s">
        <v>74</v>
      </c>
      <c r="C585" s="57" t="s">
        <v>75</v>
      </c>
      <c r="D585" s="57" t="s">
        <v>77</v>
      </c>
      <c r="E585" s="57">
        <v>179.99999932944775</v>
      </c>
      <c r="F585" s="57">
        <v>10622</v>
      </c>
    </row>
    <row r="586" spans="1:6" x14ac:dyDescent="0.15">
      <c r="A586" s="58">
        <v>35649</v>
      </c>
      <c r="B586" s="57" t="s">
        <v>91</v>
      </c>
      <c r="C586" s="57" t="s">
        <v>75</v>
      </c>
      <c r="D586" s="57" t="s">
        <v>95</v>
      </c>
      <c r="E586" s="57">
        <v>488.25</v>
      </c>
      <c r="F586" s="57">
        <v>10623</v>
      </c>
    </row>
    <row r="587" spans="1:6" x14ac:dyDescent="0.15">
      <c r="A587" s="58">
        <v>35649</v>
      </c>
      <c r="B587" s="57" t="s">
        <v>91</v>
      </c>
      <c r="C587" s="57" t="s">
        <v>75</v>
      </c>
      <c r="D587" s="57" t="s">
        <v>77</v>
      </c>
      <c r="E587" s="57">
        <v>124.19999979436398</v>
      </c>
      <c r="F587" s="57">
        <v>10623</v>
      </c>
    </row>
    <row r="588" spans="1:6" x14ac:dyDescent="0.15">
      <c r="A588" s="58">
        <v>35649</v>
      </c>
      <c r="B588" s="57" t="s">
        <v>91</v>
      </c>
      <c r="C588" s="57" t="s">
        <v>75</v>
      </c>
      <c r="D588" s="57" t="s">
        <v>77</v>
      </c>
      <c r="E588" s="57">
        <v>224.99999962747097</v>
      </c>
      <c r="F588" s="57">
        <v>10623</v>
      </c>
    </row>
    <row r="589" spans="1:6" x14ac:dyDescent="0.15">
      <c r="A589" s="58">
        <v>35649</v>
      </c>
      <c r="B589" s="57" t="s">
        <v>91</v>
      </c>
      <c r="C589" s="57" t="s">
        <v>75</v>
      </c>
      <c r="D589" s="57" t="s">
        <v>42</v>
      </c>
      <c r="E589" s="57">
        <v>13.5</v>
      </c>
      <c r="F589" s="57">
        <v>10623</v>
      </c>
    </row>
    <row r="590" spans="1:6" x14ac:dyDescent="0.15">
      <c r="A590" s="58">
        <v>35649</v>
      </c>
      <c r="B590" s="57" t="s">
        <v>91</v>
      </c>
      <c r="C590" s="57" t="s">
        <v>75</v>
      </c>
      <c r="D590" s="57" t="s">
        <v>42</v>
      </c>
      <c r="E590" s="57">
        <v>485.9999991953373</v>
      </c>
      <c r="F590" s="57">
        <v>10623</v>
      </c>
    </row>
    <row r="591" spans="1:6" x14ac:dyDescent="0.15">
      <c r="A591" s="58">
        <v>35649</v>
      </c>
      <c r="B591" s="57" t="s">
        <v>91</v>
      </c>
      <c r="C591" s="57" t="s">
        <v>96</v>
      </c>
      <c r="D591" s="57" t="s">
        <v>95</v>
      </c>
      <c r="E591" s="57">
        <v>456</v>
      </c>
      <c r="F591" s="57">
        <v>10624</v>
      </c>
    </row>
    <row r="592" spans="1:6" x14ac:dyDescent="0.15">
      <c r="A592" s="58">
        <v>35649</v>
      </c>
      <c r="B592" s="57" t="s">
        <v>91</v>
      </c>
      <c r="C592" s="57" t="s">
        <v>96</v>
      </c>
      <c r="D592" s="57" t="s">
        <v>33</v>
      </c>
      <c r="E592" s="57">
        <v>742.74</v>
      </c>
      <c r="F592" s="57">
        <v>10624</v>
      </c>
    </row>
    <row r="593" spans="1:6" x14ac:dyDescent="0.15">
      <c r="A593" s="58">
        <v>35649</v>
      </c>
      <c r="B593" s="57" t="s">
        <v>91</v>
      </c>
      <c r="C593" s="57" t="s">
        <v>96</v>
      </c>
      <c r="D593" s="57" t="s">
        <v>88</v>
      </c>
      <c r="E593" s="57">
        <v>194.5</v>
      </c>
      <c r="F593" s="57">
        <v>10624</v>
      </c>
    </row>
    <row r="594" spans="1:6" x14ac:dyDescent="0.15">
      <c r="A594" s="58">
        <v>35650</v>
      </c>
      <c r="B594" s="57" t="s">
        <v>80</v>
      </c>
      <c r="C594" s="57" t="s">
        <v>75</v>
      </c>
      <c r="D594" s="57" t="s">
        <v>95</v>
      </c>
      <c r="E594" s="57">
        <v>69.75</v>
      </c>
      <c r="F594" s="57">
        <v>10625</v>
      </c>
    </row>
    <row r="595" spans="1:6" x14ac:dyDescent="0.15">
      <c r="A595" s="58">
        <v>35650</v>
      </c>
      <c r="B595" s="57" t="s">
        <v>80</v>
      </c>
      <c r="C595" s="57" t="s">
        <v>75</v>
      </c>
      <c r="D595" s="57" t="s">
        <v>86</v>
      </c>
      <c r="E595" s="57">
        <v>70</v>
      </c>
      <c r="F595" s="57">
        <v>10625</v>
      </c>
    </row>
    <row r="596" spans="1:6" x14ac:dyDescent="0.15">
      <c r="A596" s="58">
        <v>35650</v>
      </c>
      <c r="B596" s="57" t="s">
        <v>80</v>
      </c>
      <c r="C596" s="57" t="s">
        <v>75</v>
      </c>
      <c r="D596" s="57" t="s">
        <v>73</v>
      </c>
      <c r="E596" s="57">
        <v>340</v>
      </c>
      <c r="F596" s="57">
        <v>10625</v>
      </c>
    </row>
    <row r="597" spans="1:6" x14ac:dyDescent="0.15">
      <c r="A597" s="58">
        <v>35653</v>
      </c>
      <c r="B597" s="57" t="s">
        <v>91</v>
      </c>
      <c r="C597" s="57" t="s">
        <v>81</v>
      </c>
      <c r="D597" s="57" t="s">
        <v>33</v>
      </c>
      <c r="E597" s="57">
        <v>393.6</v>
      </c>
      <c r="F597" s="57">
        <v>10626</v>
      </c>
    </row>
    <row r="598" spans="1:6" x14ac:dyDescent="0.15">
      <c r="A598" s="58">
        <v>35653</v>
      </c>
      <c r="B598" s="57" t="s">
        <v>91</v>
      </c>
      <c r="C598" s="57" t="s">
        <v>81</v>
      </c>
      <c r="D598" s="57" t="s">
        <v>73</v>
      </c>
      <c r="E598" s="57">
        <v>680</v>
      </c>
      <c r="F598" s="57">
        <v>10626</v>
      </c>
    </row>
    <row r="599" spans="1:6" x14ac:dyDescent="0.15">
      <c r="A599" s="58">
        <v>35653</v>
      </c>
      <c r="B599" s="57" t="s">
        <v>91</v>
      </c>
      <c r="C599" s="57" t="s">
        <v>81</v>
      </c>
      <c r="D599" s="57" t="s">
        <v>73</v>
      </c>
      <c r="E599" s="57">
        <v>430</v>
      </c>
      <c r="F599" s="57">
        <v>10626</v>
      </c>
    </row>
    <row r="600" spans="1:6" x14ac:dyDescent="0.15">
      <c r="A600" s="58">
        <v>35653</v>
      </c>
      <c r="B600" s="57" t="s">
        <v>74</v>
      </c>
      <c r="C600" s="57" t="s">
        <v>96</v>
      </c>
      <c r="D600" s="57" t="s">
        <v>77</v>
      </c>
      <c r="E600" s="57">
        <v>739.5</v>
      </c>
      <c r="F600" s="57">
        <v>10627</v>
      </c>
    </row>
    <row r="601" spans="1:6" x14ac:dyDescent="0.15">
      <c r="A601" s="58">
        <v>35653</v>
      </c>
      <c r="B601" s="57" t="s">
        <v>74</v>
      </c>
      <c r="C601" s="57" t="s">
        <v>96</v>
      </c>
      <c r="D601" s="57" t="s">
        <v>82</v>
      </c>
      <c r="E601" s="57">
        <v>446.24999687075615</v>
      </c>
      <c r="F601" s="57">
        <v>10627</v>
      </c>
    </row>
    <row r="602" spans="1:6" x14ac:dyDescent="0.15">
      <c r="A602" s="58">
        <v>35654</v>
      </c>
      <c r="B602" s="57" t="s">
        <v>74</v>
      </c>
      <c r="C602" s="57" t="s">
        <v>97</v>
      </c>
      <c r="D602" s="57" t="s">
        <v>42</v>
      </c>
      <c r="E602" s="57">
        <v>450</v>
      </c>
      <c r="F602" s="57">
        <v>10628</v>
      </c>
    </row>
    <row r="603" spans="1:6" x14ac:dyDescent="0.15">
      <c r="A603" s="58">
        <v>35654</v>
      </c>
      <c r="B603" s="57" t="s">
        <v>74</v>
      </c>
      <c r="C603" s="57" t="s">
        <v>75</v>
      </c>
      <c r="D603" s="57" t="s">
        <v>33</v>
      </c>
      <c r="E603" s="57">
        <v>2475.8000000000002</v>
      </c>
      <c r="F603" s="57">
        <v>10629</v>
      </c>
    </row>
    <row r="604" spans="1:6" x14ac:dyDescent="0.15">
      <c r="A604" s="58">
        <v>35654</v>
      </c>
      <c r="B604" s="57" t="s">
        <v>74</v>
      </c>
      <c r="C604" s="57" t="s">
        <v>75</v>
      </c>
      <c r="D604" s="57" t="s">
        <v>86</v>
      </c>
      <c r="E604" s="57">
        <v>299.25</v>
      </c>
      <c r="F604" s="57">
        <v>10629</v>
      </c>
    </row>
    <row r="605" spans="1:6" x14ac:dyDescent="0.15">
      <c r="A605" s="58">
        <v>35655</v>
      </c>
      <c r="B605" s="57" t="s">
        <v>91</v>
      </c>
      <c r="C605" s="57" t="s">
        <v>96</v>
      </c>
      <c r="D605" s="57" t="s">
        <v>33</v>
      </c>
      <c r="E605" s="57">
        <v>273.59999978542328</v>
      </c>
      <c r="F605" s="57">
        <v>10630</v>
      </c>
    </row>
    <row r="606" spans="1:6" x14ac:dyDescent="0.15">
      <c r="A606" s="58">
        <v>35655</v>
      </c>
      <c r="B606" s="57" t="s">
        <v>91</v>
      </c>
      <c r="C606" s="57" t="s">
        <v>96</v>
      </c>
      <c r="D606" s="57" t="s">
        <v>42</v>
      </c>
      <c r="E606" s="57">
        <v>630</v>
      </c>
      <c r="F606" s="57">
        <v>10630</v>
      </c>
    </row>
    <row r="607" spans="1:6" x14ac:dyDescent="0.15">
      <c r="A607" s="58">
        <v>35656</v>
      </c>
      <c r="B607" s="57" t="s">
        <v>80</v>
      </c>
      <c r="C607" s="57" t="s">
        <v>75</v>
      </c>
      <c r="D607" s="57" t="s">
        <v>42</v>
      </c>
      <c r="E607" s="57">
        <v>55.799999907612801</v>
      </c>
      <c r="F607" s="57">
        <v>10631</v>
      </c>
    </row>
    <row r="608" spans="1:6" x14ac:dyDescent="0.15">
      <c r="A608" s="58">
        <v>35656</v>
      </c>
      <c r="B608" s="57" t="s">
        <v>80</v>
      </c>
      <c r="C608" s="57" t="s">
        <v>75</v>
      </c>
      <c r="D608" s="57" t="s">
        <v>42</v>
      </c>
      <c r="E608" s="57">
        <v>541.49999957531691</v>
      </c>
      <c r="F608" s="57">
        <v>10632</v>
      </c>
    </row>
    <row r="609" spans="1:6" x14ac:dyDescent="0.15">
      <c r="A609" s="58">
        <v>35656</v>
      </c>
      <c r="B609" s="57" t="s">
        <v>80</v>
      </c>
      <c r="C609" s="57" t="s">
        <v>75</v>
      </c>
      <c r="D609" s="57" t="s">
        <v>73</v>
      </c>
      <c r="E609" s="57">
        <v>47.499999962747097</v>
      </c>
      <c r="F609" s="57">
        <v>10632</v>
      </c>
    </row>
    <row r="610" spans="1:6" x14ac:dyDescent="0.15">
      <c r="A610" s="58">
        <v>35657</v>
      </c>
      <c r="B610" s="57" t="s">
        <v>74</v>
      </c>
      <c r="C610" s="57" t="s">
        <v>92</v>
      </c>
      <c r="D610" s="57" t="s">
        <v>73</v>
      </c>
      <c r="E610" s="57">
        <v>1162.7999918460846</v>
      </c>
      <c r="F610" s="57">
        <v>10633</v>
      </c>
    </row>
    <row r="611" spans="1:6" x14ac:dyDescent="0.15">
      <c r="A611" s="58">
        <v>35657</v>
      </c>
      <c r="B611" s="57" t="s">
        <v>74</v>
      </c>
      <c r="C611" s="57" t="s">
        <v>92</v>
      </c>
      <c r="D611" s="57" t="s">
        <v>82</v>
      </c>
      <c r="E611" s="57">
        <v>66.299999535083771</v>
      </c>
      <c r="F611" s="57">
        <v>10633</v>
      </c>
    </row>
    <row r="612" spans="1:6" x14ac:dyDescent="0.15">
      <c r="A612" s="58">
        <v>35657</v>
      </c>
      <c r="B612" s="57" t="s">
        <v>74</v>
      </c>
      <c r="C612" s="57" t="s">
        <v>92</v>
      </c>
      <c r="D612" s="57" t="s">
        <v>77</v>
      </c>
      <c r="E612" s="57">
        <v>929.09249348491426</v>
      </c>
      <c r="F612" s="57">
        <v>10633</v>
      </c>
    </row>
    <row r="613" spans="1:6" x14ac:dyDescent="0.15">
      <c r="A613" s="58">
        <v>35657</v>
      </c>
      <c r="B613" s="57" t="s">
        <v>74</v>
      </c>
      <c r="C613" s="57" t="s">
        <v>92</v>
      </c>
      <c r="D613" s="57" t="s">
        <v>77</v>
      </c>
      <c r="E613" s="57">
        <v>3352.3999764919281</v>
      </c>
      <c r="F613" s="57">
        <v>10633</v>
      </c>
    </row>
    <row r="614" spans="1:6" x14ac:dyDescent="0.15">
      <c r="A614" s="58">
        <v>35657</v>
      </c>
      <c r="B614" s="57" t="s">
        <v>74</v>
      </c>
      <c r="C614" s="57" t="s">
        <v>75</v>
      </c>
      <c r="D614" s="57" t="s">
        <v>95</v>
      </c>
      <c r="E614" s="57">
        <v>1050</v>
      </c>
      <c r="F614" s="57">
        <v>10634</v>
      </c>
    </row>
    <row r="615" spans="1:6" x14ac:dyDescent="0.15">
      <c r="A615" s="58">
        <v>35657</v>
      </c>
      <c r="B615" s="57" t="s">
        <v>74</v>
      </c>
      <c r="C615" s="57" t="s">
        <v>75</v>
      </c>
      <c r="D615" s="57" t="s">
        <v>82</v>
      </c>
      <c r="E615" s="57">
        <v>3125</v>
      </c>
      <c r="F615" s="57">
        <v>10634</v>
      </c>
    </row>
    <row r="616" spans="1:6" x14ac:dyDescent="0.15">
      <c r="A616" s="58">
        <v>35657</v>
      </c>
      <c r="B616" s="57" t="s">
        <v>74</v>
      </c>
      <c r="C616" s="57" t="s">
        <v>75</v>
      </c>
      <c r="D616" s="57" t="s">
        <v>95</v>
      </c>
      <c r="E616" s="57">
        <v>795</v>
      </c>
      <c r="F616" s="57">
        <v>10634</v>
      </c>
    </row>
    <row r="617" spans="1:6" x14ac:dyDescent="0.15">
      <c r="A617" s="58">
        <v>35657</v>
      </c>
      <c r="B617" s="57" t="s">
        <v>74</v>
      </c>
      <c r="C617" s="57" t="s">
        <v>75</v>
      </c>
      <c r="D617" s="57" t="s">
        <v>42</v>
      </c>
      <c r="E617" s="57">
        <v>15.5</v>
      </c>
      <c r="F617" s="57">
        <v>10634</v>
      </c>
    </row>
    <row r="618" spans="1:6" x14ac:dyDescent="0.15">
      <c r="A618" s="58">
        <v>35660</v>
      </c>
      <c r="B618" s="57" t="s">
        <v>74</v>
      </c>
      <c r="C618" s="57" t="s">
        <v>92</v>
      </c>
      <c r="D618" s="57" t="s">
        <v>88</v>
      </c>
      <c r="E618" s="57">
        <v>197.99999967217445</v>
      </c>
      <c r="F618" s="57">
        <v>10635</v>
      </c>
    </row>
    <row r="619" spans="1:6" x14ac:dyDescent="0.15">
      <c r="A619" s="58">
        <v>35660</v>
      </c>
      <c r="B619" s="57" t="s">
        <v>74</v>
      </c>
      <c r="C619" s="57" t="s">
        <v>92</v>
      </c>
      <c r="D619" s="57" t="s">
        <v>88</v>
      </c>
      <c r="E619" s="57">
        <v>288.22499952279031</v>
      </c>
      <c r="F619" s="57">
        <v>10635</v>
      </c>
    </row>
    <row r="620" spans="1:6" x14ac:dyDescent="0.15">
      <c r="A620" s="58">
        <v>35660</v>
      </c>
      <c r="B620" s="57" t="s">
        <v>74</v>
      </c>
      <c r="C620" s="57" t="s">
        <v>92</v>
      </c>
      <c r="D620" s="57" t="s">
        <v>86</v>
      </c>
      <c r="E620" s="57">
        <v>840</v>
      </c>
      <c r="F620" s="57">
        <v>10635</v>
      </c>
    </row>
    <row r="621" spans="1:6" x14ac:dyDescent="0.15">
      <c r="A621" s="58">
        <v>35661</v>
      </c>
      <c r="B621" s="57" t="s">
        <v>80</v>
      </c>
      <c r="C621" s="57" t="s">
        <v>75</v>
      </c>
      <c r="D621" s="57" t="s">
        <v>88</v>
      </c>
      <c r="E621" s="57">
        <v>550</v>
      </c>
      <c r="F621" s="57">
        <v>10636</v>
      </c>
    </row>
    <row r="622" spans="1:6" x14ac:dyDescent="0.15">
      <c r="A622" s="58">
        <v>35661</v>
      </c>
      <c r="B622" s="57" t="s">
        <v>80</v>
      </c>
      <c r="C622" s="57" t="s">
        <v>75</v>
      </c>
      <c r="D622" s="57" t="s">
        <v>82</v>
      </c>
      <c r="E622" s="57">
        <v>79.5</v>
      </c>
      <c r="F622" s="57">
        <v>10636</v>
      </c>
    </row>
    <row r="623" spans="1:6" x14ac:dyDescent="0.15">
      <c r="A623" s="58">
        <v>35661</v>
      </c>
      <c r="B623" s="57" t="s">
        <v>80</v>
      </c>
      <c r="C623" s="57" t="s">
        <v>75</v>
      </c>
      <c r="D623" s="57" t="s">
        <v>73</v>
      </c>
      <c r="E623" s="57">
        <v>210</v>
      </c>
      <c r="F623" s="57">
        <v>10637</v>
      </c>
    </row>
    <row r="624" spans="1:6" x14ac:dyDescent="0.15">
      <c r="A624" s="58">
        <v>35661</v>
      </c>
      <c r="B624" s="57" t="s">
        <v>80</v>
      </c>
      <c r="C624" s="57" t="s">
        <v>75</v>
      </c>
      <c r="D624" s="57" t="s">
        <v>77</v>
      </c>
      <c r="E624" s="57">
        <v>385.93749969732016</v>
      </c>
      <c r="F624" s="57">
        <v>10637</v>
      </c>
    </row>
    <row r="625" spans="1:6" x14ac:dyDescent="0.15">
      <c r="A625" s="58">
        <v>35661</v>
      </c>
      <c r="B625" s="57" t="s">
        <v>80</v>
      </c>
      <c r="C625" s="57" t="s">
        <v>75</v>
      </c>
      <c r="D625" s="57" t="s">
        <v>86</v>
      </c>
      <c r="E625" s="57">
        <v>2165.9999983012676</v>
      </c>
      <c r="F625" s="57">
        <v>10637</v>
      </c>
    </row>
    <row r="626" spans="1:6" x14ac:dyDescent="0.15">
      <c r="A626" s="58">
        <v>35662</v>
      </c>
      <c r="B626" s="57" t="s">
        <v>80</v>
      </c>
      <c r="C626" s="57" t="s">
        <v>92</v>
      </c>
      <c r="D626" s="57" t="s">
        <v>82</v>
      </c>
      <c r="E626" s="57">
        <v>190</v>
      </c>
      <c r="F626" s="57">
        <v>10638</v>
      </c>
    </row>
    <row r="627" spans="1:6" x14ac:dyDescent="0.15">
      <c r="A627" s="58">
        <v>35662</v>
      </c>
      <c r="B627" s="57" t="s">
        <v>80</v>
      </c>
      <c r="C627" s="57" t="s">
        <v>92</v>
      </c>
      <c r="D627" s="57" t="s">
        <v>88</v>
      </c>
      <c r="E627" s="57">
        <v>442.05</v>
      </c>
      <c r="F627" s="57">
        <v>10638</v>
      </c>
    </row>
    <row r="628" spans="1:6" x14ac:dyDescent="0.15">
      <c r="A628" s="58">
        <v>35662</v>
      </c>
      <c r="B628" s="57" t="s">
        <v>80</v>
      </c>
      <c r="C628" s="57" t="s">
        <v>92</v>
      </c>
      <c r="D628" s="57" t="s">
        <v>73</v>
      </c>
      <c r="E628" s="57">
        <v>2088</v>
      </c>
      <c r="F628" s="57">
        <v>10638</v>
      </c>
    </row>
    <row r="629" spans="1:6" x14ac:dyDescent="0.15">
      <c r="A629" s="58">
        <v>35662</v>
      </c>
      <c r="B629" s="57" t="s">
        <v>74</v>
      </c>
      <c r="C629" s="57" t="s">
        <v>96</v>
      </c>
      <c r="D629" s="57" t="s">
        <v>82</v>
      </c>
      <c r="E629" s="57">
        <v>500</v>
      </c>
      <c r="F629" s="57">
        <v>10639</v>
      </c>
    </row>
    <row r="630" spans="1:6" x14ac:dyDescent="0.15">
      <c r="A630" s="58">
        <v>35663</v>
      </c>
      <c r="B630" s="57" t="s">
        <v>80</v>
      </c>
      <c r="C630" s="57" t="s">
        <v>75</v>
      </c>
      <c r="D630" s="57" t="s">
        <v>73</v>
      </c>
      <c r="E630" s="57">
        <v>540</v>
      </c>
      <c r="F630" s="57">
        <v>10640</v>
      </c>
    </row>
    <row r="631" spans="1:6" x14ac:dyDescent="0.15">
      <c r="A631" s="58">
        <v>35663</v>
      </c>
      <c r="B631" s="57" t="s">
        <v>80</v>
      </c>
      <c r="C631" s="57" t="s">
        <v>75</v>
      </c>
      <c r="D631" s="57" t="s">
        <v>42</v>
      </c>
      <c r="E631" s="57">
        <v>168.75</v>
      </c>
      <c r="F631" s="57">
        <v>10640</v>
      </c>
    </row>
    <row r="632" spans="1:6" x14ac:dyDescent="0.15">
      <c r="A632" s="58">
        <v>35664</v>
      </c>
      <c r="B632" s="57" t="s">
        <v>91</v>
      </c>
      <c r="C632" s="57" t="s">
        <v>92</v>
      </c>
      <c r="D632" s="57" t="s">
        <v>42</v>
      </c>
      <c r="E632" s="57">
        <v>950</v>
      </c>
      <c r="F632" s="57">
        <v>10641</v>
      </c>
    </row>
    <row r="633" spans="1:6" x14ac:dyDescent="0.15">
      <c r="A633" s="58">
        <v>35664</v>
      </c>
      <c r="B633" s="57" t="s">
        <v>91</v>
      </c>
      <c r="C633" s="57" t="s">
        <v>92</v>
      </c>
      <c r="D633" s="57" t="s">
        <v>82</v>
      </c>
      <c r="E633" s="57">
        <v>1104</v>
      </c>
      <c r="F633" s="57">
        <v>10641</v>
      </c>
    </row>
    <row r="634" spans="1:6" x14ac:dyDescent="0.15">
      <c r="A634" s="58">
        <v>35664</v>
      </c>
      <c r="B634" s="57" t="s">
        <v>74</v>
      </c>
      <c r="C634" s="57" t="s">
        <v>75</v>
      </c>
      <c r="D634" s="57" t="s">
        <v>77</v>
      </c>
      <c r="E634" s="57">
        <v>239.99999910593033</v>
      </c>
      <c r="F634" s="57">
        <v>10642</v>
      </c>
    </row>
    <row r="635" spans="1:6" x14ac:dyDescent="0.15">
      <c r="A635" s="58">
        <v>35664</v>
      </c>
      <c r="B635" s="57" t="s">
        <v>74</v>
      </c>
      <c r="C635" s="57" t="s">
        <v>75</v>
      </c>
      <c r="D635" s="57" t="s">
        <v>88</v>
      </c>
      <c r="E635" s="57">
        <v>455.99999830126762</v>
      </c>
      <c r="F635" s="57">
        <v>10642</v>
      </c>
    </row>
    <row r="636" spans="1:6" x14ac:dyDescent="0.15">
      <c r="A636" s="58">
        <v>35667</v>
      </c>
      <c r="B636" s="57" t="s">
        <v>80</v>
      </c>
      <c r="C636" s="57" t="s">
        <v>98</v>
      </c>
      <c r="D636" s="57" t="s">
        <v>95</v>
      </c>
      <c r="E636" s="57">
        <v>513</v>
      </c>
      <c r="F636" s="57">
        <v>10643</v>
      </c>
    </row>
    <row r="637" spans="1:6" x14ac:dyDescent="0.15">
      <c r="A637" s="58">
        <v>35667</v>
      </c>
      <c r="B637" s="57" t="s">
        <v>80</v>
      </c>
      <c r="C637" s="57" t="s">
        <v>98</v>
      </c>
      <c r="D637" s="57" t="s">
        <v>42</v>
      </c>
      <c r="E637" s="57">
        <v>283.5</v>
      </c>
      <c r="F637" s="57">
        <v>10643</v>
      </c>
    </row>
    <row r="638" spans="1:6" x14ac:dyDescent="0.15">
      <c r="A638" s="58">
        <v>35667</v>
      </c>
      <c r="B638" s="57" t="s">
        <v>80</v>
      </c>
      <c r="C638" s="57" t="s">
        <v>98</v>
      </c>
      <c r="D638" s="57" t="s">
        <v>82</v>
      </c>
      <c r="E638" s="57">
        <v>18</v>
      </c>
      <c r="F638" s="57">
        <v>10643</v>
      </c>
    </row>
    <row r="639" spans="1:6" x14ac:dyDescent="0.15">
      <c r="A639" s="58">
        <v>35667</v>
      </c>
      <c r="B639" s="57" t="s">
        <v>91</v>
      </c>
      <c r="C639" s="57" t="s">
        <v>92</v>
      </c>
      <c r="D639" s="57" t="s">
        <v>82</v>
      </c>
      <c r="E639" s="57">
        <v>224.99999962747097</v>
      </c>
      <c r="F639" s="57">
        <v>10644</v>
      </c>
    </row>
    <row r="640" spans="1:6" x14ac:dyDescent="0.15">
      <c r="A640" s="58">
        <v>35667</v>
      </c>
      <c r="B640" s="57" t="s">
        <v>91</v>
      </c>
      <c r="C640" s="57" t="s">
        <v>92</v>
      </c>
      <c r="D640" s="57" t="s">
        <v>42</v>
      </c>
      <c r="E640" s="57">
        <v>920</v>
      </c>
      <c r="F640" s="57">
        <v>10644</v>
      </c>
    </row>
    <row r="641" spans="1:6" x14ac:dyDescent="0.15">
      <c r="A641" s="58">
        <v>35667</v>
      </c>
      <c r="B641" s="57" t="s">
        <v>91</v>
      </c>
      <c r="C641" s="57" t="s">
        <v>92</v>
      </c>
      <c r="D641" s="57" t="s">
        <v>82</v>
      </c>
      <c r="E641" s="57">
        <v>226.79999962449074</v>
      </c>
      <c r="F641" s="57">
        <v>10644</v>
      </c>
    </row>
    <row r="642" spans="1:6" x14ac:dyDescent="0.15">
      <c r="A642" s="58">
        <v>35668</v>
      </c>
      <c r="B642" s="57" t="s">
        <v>80</v>
      </c>
      <c r="C642" s="57" t="s">
        <v>81</v>
      </c>
      <c r="D642" s="57" t="s">
        <v>82</v>
      </c>
      <c r="E642" s="57">
        <v>1250</v>
      </c>
      <c r="F642" s="57">
        <v>10645</v>
      </c>
    </row>
    <row r="643" spans="1:6" x14ac:dyDescent="0.15">
      <c r="A643" s="58">
        <v>35668</v>
      </c>
      <c r="B643" s="57" t="s">
        <v>80</v>
      </c>
      <c r="C643" s="57" t="s">
        <v>81</v>
      </c>
      <c r="D643" s="57" t="s">
        <v>82</v>
      </c>
      <c r="E643" s="57">
        <v>285</v>
      </c>
      <c r="F643" s="57">
        <v>10645</v>
      </c>
    </row>
    <row r="644" spans="1:6" x14ac:dyDescent="0.15">
      <c r="A644" s="58">
        <v>35669</v>
      </c>
      <c r="B644" s="57" t="s">
        <v>74</v>
      </c>
      <c r="C644" s="57" t="s">
        <v>75</v>
      </c>
      <c r="D644" s="57" t="s">
        <v>42</v>
      </c>
      <c r="E644" s="57">
        <v>202.5</v>
      </c>
      <c r="F644" s="57">
        <v>10646</v>
      </c>
    </row>
    <row r="645" spans="1:6" x14ac:dyDescent="0.15">
      <c r="A645" s="58">
        <v>35669</v>
      </c>
      <c r="B645" s="57" t="s">
        <v>74</v>
      </c>
      <c r="C645" s="57" t="s">
        <v>75</v>
      </c>
      <c r="D645" s="57" t="s">
        <v>82</v>
      </c>
      <c r="E645" s="57">
        <v>418.5</v>
      </c>
      <c r="F645" s="57">
        <v>10646</v>
      </c>
    </row>
    <row r="646" spans="1:6" x14ac:dyDescent="0.15">
      <c r="A646" s="58">
        <v>35669</v>
      </c>
      <c r="B646" s="57" t="s">
        <v>74</v>
      </c>
      <c r="C646" s="57" t="s">
        <v>75</v>
      </c>
      <c r="D646" s="57" t="s">
        <v>73</v>
      </c>
      <c r="E646" s="57">
        <v>483.75</v>
      </c>
      <c r="F646" s="57">
        <v>10646</v>
      </c>
    </row>
    <row r="647" spans="1:6" x14ac:dyDescent="0.15">
      <c r="A647" s="58">
        <v>35669</v>
      </c>
      <c r="B647" s="57" t="s">
        <v>74</v>
      </c>
      <c r="C647" s="57" t="s">
        <v>75</v>
      </c>
      <c r="D647" s="57" t="s">
        <v>88</v>
      </c>
      <c r="E647" s="57">
        <v>341.25</v>
      </c>
      <c r="F647" s="57">
        <v>10646</v>
      </c>
    </row>
    <row r="648" spans="1:6" x14ac:dyDescent="0.15">
      <c r="A648" s="58">
        <v>35669</v>
      </c>
      <c r="B648" s="57" t="s">
        <v>91</v>
      </c>
      <c r="C648" s="57" t="s">
        <v>75</v>
      </c>
      <c r="D648" s="57" t="s">
        <v>77</v>
      </c>
      <c r="E648" s="57">
        <v>276</v>
      </c>
      <c r="F648" s="57">
        <v>10647</v>
      </c>
    </row>
    <row r="649" spans="1:6" x14ac:dyDescent="0.15">
      <c r="A649" s="58">
        <v>35669</v>
      </c>
      <c r="B649" s="57" t="s">
        <v>91</v>
      </c>
      <c r="C649" s="57" t="s">
        <v>75</v>
      </c>
      <c r="D649" s="57" t="s">
        <v>42</v>
      </c>
      <c r="E649" s="57">
        <v>360</v>
      </c>
      <c r="F649" s="57">
        <v>10647</v>
      </c>
    </row>
    <row r="650" spans="1:6" x14ac:dyDescent="0.15">
      <c r="A650" s="58">
        <v>35670</v>
      </c>
      <c r="B650" s="57" t="s">
        <v>91</v>
      </c>
      <c r="C650" s="57" t="s">
        <v>75</v>
      </c>
      <c r="D650" s="57" t="s">
        <v>86</v>
      </c>
      <c r="E650" s="57">
        <v>315</v>
      </c>
      <c r="F650" s="57">
        <v>10648</v>
      </c>
    </row>
    <row r="651" spans="1:6" x14ac:dyDescent="0.15">
      <c r="A651" s="58">
        <v>35670</v>
      </c>
      <c r="B651" s="57" t="s">
        <v>91</v>
      </c>
      <c r="C651" s="57" t="s">
        <v>75</v>
      </c>
      <c r="D651" s="57" t="s">
        <v>42</v>
      </c>
      <c r="E651" s="57">
        <v>57.374999597668648</v>
      </c>
      <c r="F651" s="57">
        <v>10648</v>
      </c>
    </row>
    <row r="652" spans="1:6" x14ac:dyDescent="0.15">
      <c r="A652" s="58">
        <v>35670</v>
      </c>
      <c r="B652" s="57" t="s">
        <v>74</v>
      </c>
      <c r="C652" s="57" t="s">
        <v>81</v>
      </c>
      <c r="D652" s="57" t="s">
        <v>95</v>
      </c>
      <c r="E652" s="57">
        <v>912</v>
      </c>
      <c r="F652" s="57">
        <v>10649</v>
      </c>
    </row>
    <row r="653" spans="1:6" x14ac:dyDescent="0.15">
      <c r="A653" s="58">
        <v>35670</v>
      </c>
      <c r="B653" s="57" t="s">
        <v>74</v>
      </c>
      <c r="C653" s="57" t="s">
        <v>81</v>
      </c>
      <c r="D653" s="57" t="s">
        <v>73</v>
      </c>
      <c r="E653" s="57">
        <v>522</v>
      </c>
      <c r="F653" s="57">
        <v>10649</v>
      </c>
    </row>
    <row r="654" spans="1:6" x14ac:dyDescent="0.15">
      <c r="A654" s="58">
        <v>35671</v>
      </c>
      <c r="B654" s="57" t="s">
        <v>74</v>
      </c>
      <c r="C654" s="57" t="s">
        <v>92</v>
      </c>
      <c r="D654" s="57" t="s">
        <v>82</v>
      </c>
      <c r="E654" s="57">
        <v>776.7</v>
      </c>
      <c r="F654" s="57">
        <v>10650</v>
      </c>
    </row>
    <row r="655" spans="1:6" x14ac:dyDescent="0.15">
      <c r="A655" s="58">
        <v>35671</v>
      </c>
      <c r="B655" s="57" t="s">
        <v>74</v>
      </c>
      <c r="C655" s="57" t="s">
        <v>92</v>
      </c>
      <c r="D655" s="57" t="s">
        <v>33</v>
      </c>
      <c r="E655" s="57">
        <v>778.99999938905239</v>
      </c>
      <c r="F655" s="57">
        <v>10650</v>
      </c>
    </row>
    <row r="656" spans="1:6" x14ac:dyDescent="0.15">
      <c r="A656" s="58">
        <v>35671</v>
      </c>
      <c r="B656" s="57" t="s">
        <v>74</v>
      </c>
      <c r="C656" s="57" t="s">
        <v>92</v>
      </c>
      <c r="D656" s="57" t="s">
        <v>33</v>
      </c>
      <c r="E656" s="57">
        <v>223.5</v>
      </c>
      <c r="F656" s="57">
        <v>10650</v>
      </c>
    </row>
    <row r="657" spans="1:6" x14ac:dyDescent="0.15">
      <c r="A657" s="58">
        <v>35674</v>
      </c>
      <c r="B657" s="57" t="s">
        <v>91</v>
      </c>
      <c r="C657" s="57" t="s">
        <v>75</v>
      </c>
      <c r="D657" s="57" t="s">
        <v>77</v>
      </c>
      <c r="E657" s="57">
        <v>82.800000000000011</v>
      </c>
      <c r="F657" s="57">
        <v>10651</v>
      </c>
    </row>
    <row r="658" spans="1:6" x14ac:dyDescent="0.15">
      <c r="A658" s="58">
        <v>35674</v>
      </c>
      <c r="B658" s="57" t="s">
        <v>91</v>
      </c>
      <c r="C658" s="57" t="s">
        <v>75</v>
      </c>
      <c r="D658" s="57" t="s">
        <v>86</v>
      </c>
      <c r="E658" s="57">
        <v>315</v>
      </c>
      <c r="F658" s="57">
        <v>10651</v>
      </c>
    </row>
    <row r="659" spans="1:6" x14ac:dyDescent="0.15">
      <c r="A659" s="58">
        <v>35674</v>
      </c>
      <c r="B659" s="57" t="s">
        <v>91</v>
      </c>
      <c r="C659" s="57" t="s">
        <v>81</v>
      </c>
      <c r="D659" s="57" t="s">
        <v>82</v>
      </c>
      <c r="E659" s="57">
        <v>38.835000000000001</v>
      </c>
      <c r="F659" s="57">
        <v>10652</v>
      </c>
    </row>
    <row r="660" spans="1:6" x14ac:dyDescent="0.15">
      <c r="A660" s="58">
        <v>35674</v>
      </c>
      <c r="B660" s="57" t="s">
        <v>91</v>
      </c>
      <c r="C660" s="57" t="s">
        <v>81</v>
      </c>
      <c r="D660" s="57" t="s">
        <v>86</v>
      </c>
      <c r="E660" s="57">
        <v>280</v>
      </c>
      <c r="F660" s="57">
        <v>10652</v>
      </c>
    </row>
    <row r="661" spans="1:6" x14ac:dyDescent="0.15">
      <c r="A661" s="58">
        <v>35675</v>
      </c>
      <c r="B661" s="57" t="s">
        <v>80</v>
      </c>
      <c r="C661" s="57" t="s">
        <v>75</v>
      </c>
      <c r="D661" s="57" t="s">
        <v>77</v>
      </c>
      <c r="E661" s="57">
        <v>471.14999921992421</v>
      </c>
      <c r="F661" s="57">
        <v>10653</v>
      </c>
    </row>
    <row r="662" spans="1:6" x14ac:dyDescent="0.15">
      <c r="A662" s="58">
        <v>35675</v>
      </c>
      <c r="B662" s="57" t="s">
        <v>80</v>
      </c>
      <c r="C662" s="57" t="s">
        <v>75</v>
      </c>
      <c r="D662" s="57" t="s">
        <v>73</v>
      </c>
      <c r="E662" s="57">
        <v>611.99999898672104</v>
      </c>
      <c r="F662" s="57">
        <v>10653</v>
      </c>
    </row>
    <row r="663" spans="1:6" x14ac:dyDescent="0.15">
      <c r="A663" s="58">
        <v>35675</v>
      </c>
      <c r="B663" s="57" t="s">
        <v>80</v>
      </c>
      <c r="C663" s="57" t="s">
        <v>81</v>
      </c>
      <c r="D663" s="57" t="s">
        <v>88</v>
      </c>
      <c r="E663" s="57">
        <v>237.59999960660934</v>
      </c>
      <c r="F663" s="57">
        <v>10654</v>
      </c>
    </row>
    <row r="664" spans="1:6" x14ac:dyDescent="0.15">
      <c r="A664" s="58">
        <v>35675</v>
      </c>
      <c r="B664" s="57" t="s">
        <v>80</v>
      </c>
      <c r="C664" s="57" t="s">
        <v>81</v>
      </c>
      <c r="D664" s="57" t="s">
        <v>42</v>
      </c>
      <c r="E664" s="57">
        <v>323.9999994635582</v>
      </c>
      <c r="F664" s="57">
        <v>10654</v>
      </c>
    </row>
    <row r="665" spans="1:6" x14ac:dyDescent="0.15">
      <c r="A665" s="58">
        <v>35675</v>
      </c>
      <c r="B665" s="57" t="s">
        <v>80</v>
      </c>
      <c r="C665" s="57" t="s">
        <v>81</v>
      </c>
      <c r="D665" s="57" t="s">
        <v>33</v>
      </c>
      <c r="E665" s="57">
        <v>40.229999933391809</v>
      </c>
      <c r="F665" s="57">
        <v>10654</v>
      </c>
    </row>
    <row r="666" spans="1:6" x14ac:dyDescent="0.15">
      <c r="A666" s="58">
        <v>35676</v>
      </c>
      <c r="B666" s="57" t="s">
        <v>91</v>
      </c>
      <c r="C666" s="57" t="s">
        <v>75</v>
      </c>
      <c r="D666" s="57" t="s">
        <v>82</v>
      </c>
      <c r="E666" s="57">
        <v>154.39999942481518</v>
      </c>
      <c r="F666" s="57">
        <v>10655</v>
      </c>
    </row>
    <row r="667" spans="1:6" x14ac:dyDescent="0.15">
      <c r="A667" s="58">
        <v>35677</v>
      </c>
      <c r="B667" s="57" t="s">
        <v>80</v>
      </c>
      <c r="C667" s="57" t="s">
        <v>75</v>
      </c>
      <c r="D667" s="57" t="s">
        <v>95</v>
      </c>
      <c r="E667" s="57">
        <v>62.774999896064401</v>
      </c>
      <c r="F667" s="57">
        <v>10656</v>
      </c>
    </row>
    <row r="668" spans="1:6" x14ac:dyDescent="0.15">
      <c r="A668" s="58">
        <v>35677</v>
      </c>
      <c r="B668" s="57" t="s">
        <v>80</v>
      </c>
      <c r="C668" s="57" t="s">
        <v>75</v>
      </c>
      <c r="D668" s="57" t="s">
        <v>88</v>
      </c>
      <c r="E668" s="57">
        <v>490.13999918848276</v>
      </c>
      <c r="F668" s="57">
        <v>10656</v>
      </c>
    </row>
    <row r="669" spans="1:6" x14ac:dyDescent="0.15">
      <c r="A669" s="58">
        <v>35677</v>
      </c>
      <c r="B669" s="57" t="s">
        <v>80</v>
      </c>
      <c r="C669" s="57" t="s">
        <v>75</v>
      </c>
      <c r="D669" s="57" t="s">
        <v>77</v>
      </c>
      <c r="E669" s="57">
        <v>51.299999915063381</v>
      </c>
      <c r="F669" s="57">
        <v>10656</v>
      </c>
    </row>
    <row r="670" spans="1:6" x14ac:dyDescent="0.15">
      <c r="A670" s="58">
        <v>35677</v>
      </c>
      <c r="B670" s="57" t="s">
        <v>91</v>
      </c>
      <c r="C670" s="57" t="s">
        <v>96</v>
      </c>
      <c r="D670" s="57" t="s">
        <v>88</v>
      </c>
      <c r="E670" s="57">
        <v>775</v>
      </c>
      <c r="F670" s="57">
        <v>10657</v>
      </c>
    </row>
    <row r="671" spans="1:6" x14ac:dyDescent="0.15">
      <c r="A671" s="58">
        <v>35677</v>
      </c>
      <c r="B671" s="57" t="s">
        <v>91</v>
      </c>
      <c r="C671" s="57" t="s">
        <v>96</v>
      </c>
      <c r="D671" s="57" t="s">
        <v>82</v>
      </c>
      <c r="E671" s="57">
        <v>231.6</v>
      </c>
      <c r="F671" s="57">
        <v>10657</v>
      </c>
    </row>
    <row r="672" spans="1:6" x14ac:dyDescent="0.15">
      <c r="A672" s="58">
        <v>35677</v>
      </c>
      <c r="B672" s="57" t="s">
        <v>91</v>
      </c>
      <c r="C672" s="57" t="s">
        <v>96</v>
      </c>
      <c r="D672" s="57" t="s">
        <v>82</v>
      </c>
      <c r="E672" s="57">
        <v>540</v>
      </c>
      <c r="F672" s="57">
        <v>10657</v>
      </c>
    </row>
    <row r="673" spans="1:6" x14ac:dyDescent="0.15">
      <c r="A673" s="58">
        <v>35677</v>
      </c>
      <c r="B673" s="57" t="s">
        <v>91</v>
      </c>
      <c r="C673" s="57" t="s">
        <v>96</v>
      </c>
      <c r="D673" s="57" t="s">
        <v>77</v>
      </c>
      <c r="E673" s="57">
        <v>95</v>
      </c>
      <c r="F673" s="57">
        <v>10657</v>
      </c>
    </row>
    <row r="674" spans="1:6" x14ac:dyDescent="0.15">
      <c r="A674" s="58">
        <v>35677</v>
      </c>
      <c r="B674" s="57" t="s">
        <v>91</v>
      </c>
      <c r="C674" s="57" t="s">
        <v>96</v>
      </c>
      <c r="D674" s="57" t="s">
        <v>86</v>
      </c>
      <c r="E674" s="57">
        <v>1710</v>
      </c>
      <c r="F674" s="57">
        <v>10657</v>
      </c>
    </row>
    <row r="675" spans="1:6" x14ac:dyDescent="0.15">
      <c r="A675" s="58">
        <v>35677</v>
      </c>
      <c r="B675" s="57" t="s">
        <v>91</v>
      </c>
      <c r="C675" s="57" t="s">
        <v>96</v>
      </c>
      <c r="D675" s="57" t="s">
        <v>73</v>
      </c>
      <c r="E675" s="57">
        <v>1020</v>
      </c>
      <c r="F675" s="57">
        <v>10657</v>
      </c>
    </row>
    <row r="676" spans="1:6" x14ac:dyDescent="0.15">
      <c r="A676" s="58">
        <v>35678</v>
      </c>
      <c r="B676" s="57" t="s">
        <v>80</v>
      </c>
      <c r="C676" s="57" t="s">
        <v>75</v>
      </c>
      <c r="D676" s="57" t="s">
        <v>77</v>
      </c>
      <c r="E676" s="57">
        <v>600</v>
      </c>
      <c r="F676" s="57">
        <v>10658</v>
      </c>
    </row>
    <row r="677" spans="1:6" x14ac:dyDescent="0.15">
      <c r="A677" s="58">
        <v>35678</v>
      </c>
      <c r="B677" s="57" t="s">
        <v>80</v>
      </c>
      <c r="C677" s="57" t="s">
        <v>75</v>
      </c>
      <c r="D677" s="57" t="s">
        <v>82</v>
      </c>
      <c r="E677" s="57">
        <v>1223.5999990403652</v>
      </c>
      <c r="F677" s="57">
        <v>10658</v>
      </c>
    </row>
    <row r="678" spans="1:6" x14ac:dyDescent="0.15">
      <c r="A678" s="58">
        <v>35678</v>
      </c>
      <c r="B678" s="57" t="s">
        <v>80</v>
      </c>
      <c r="C678" s="57" t="s">
        <v>75</v>
      </c>
      <c r="D678" s="57" t="s">
        <v>73</v>
      </c>
      <c r="E678" s="57">
        <v>1776.4999986067414</v>
      </c>
      <c r="F678" s="57">
        <v>10658</v>
      </c>
    </row>
    <row r="679" spans="1:6" x14ac:dyDescent="0.15">
      <c r="A679" s="58">
        <v>35678</v>
      </c>
      <c r="B679" s="57" t="s">
        <v>80</v>
      </c>
      <c r="C679" s="57" t="s">
        <v>75</v>
      </c>
      <c r="D679" s="57" t="s">
        <v>88</v>
      </c>
      <c r="E679" s="57">
        <v>864.49999932199717</v>
      </c>
      <c r="F679" s="57">
        <v>10658</v>
      </c>
    </row>
    <row r="680" spans="1:6" x14ac:dyDescent="0.15">
      <c r="A680" s="58">
        <v>35678</v>
      </c>
      <c r="B680" s="57" t="s">
        <v>91</v>
      </c>
      <c r="C680" s="57" t="s">
        <v>75</v>
      </c>
      <c r="D680" s="57" t="s">
        <v>73</v>
      </c>
      <c r="E680" s="57">
        <v>237.49999981373549</v>
      </c>
      <c r="F680" s="57">
        <v>10659</v>
      </c>
    </row>
    <row r="681" spans="1:6" x14ac:dyDescent="0.15">
      <c r="A681" s="58">
        <v>35678</v>
      </c>
      <c r="B681" s="57" t="s">
        <v>91</v>
      </c>
      <c r="C681" s="57" t="s">
        <v>75</v>
      </c>
      <c r="D681" s="57" t="s">
        <v>82</v>
      </c>
      <c r="E681" s="57">
        <v>419.51999967098237</v>
      </c>
      <c r="F681" s="57">
        <v>10659</v>
      </c>
    </row>
    <row r="682" spans="1:6" x14ac:dyDescent="0.15">
      <c r="A682" s="58">
        <v>35678</v>
      </c>
      <c r="B682" s="57" t="s">
        <v>91</v>
      </c>
      <c r="C682" s="57" t="s">
        <v>75</v>
      </c>
      <c r="D682" s="57" t="s">
        <v>42</v>
      </c>
      <c r="E682" s="57">
        <v>569.99999955296516</v>
      </c>
      <c r="F682" s="57">
        <v>10659</v>
      </c>
    </row>
    <row r="683" spans="1:6" x14ac:dyDescent="0.15">
      <c r="A683" s="58">
        <v>35681</v>
      </c>
      <c r="B683" s="57" t="s">
        <v>80</v>
      </c>
      <c r="C683" s="57" t="s">
        <v>97</v>
      </c>
      <c r="D683" s="57" t="s">
        <v>77</v>
      </c>
      <c r="E683" s="57">
        <v>1701</v>
      </c>
      <c r="F683" s="57">
        <v>10660</v>
      </c>
    </row>
    <row r="684" spans="1:6" x14ac:dyDescent="0.15">
      <c r="A684" s="58">
        <v>35682</v>
      </c>
      <c r="B684" s="57" t="s">
        <v>74</v>
      </c>
      <c r="C684" s="57" t="s">
        <v>75</v>
      </c>
      <c r="D684" s="57" t="s">
        <v>42</v>
      </c>
      <c r="E684" s="57">
        <v>43.199999839067459</v>
      </c>
      <c r="F684" s="57">
        <v>10661</v>
      </c>
    </row>
    <row r="685" spans="1:6" x14ac:dyDescent="0.15">
      <c r="A685" s="58">
        <v>35682</v>
      </c>
      <c r="B685" s="57" t="s">
        <v>74</v>
      </c>
      <c r="C685" s="57" t="s">
        <v>75</v>
      </c>
      <c r="D685" s="57" t="s">
        <v>82</v>
      </c>
      <c r="E685" s="57">
        <v>519.39999806508422</v>
      </c>
      <c r="F685" s="57">
        <v>10661</v>
      </c>
    </row>
    <row r="686" spans="1:6" x14ac:dyDescent="0.15">
      <c r="A686" s="58">
        <v>35682</v>
      </c>
      <c r="B686" s="57" t="s">
        <v>91</v>
      </c>
      <c r="C686" s="57" t="s">
        <v>75</v>
      </c>
      <c r="D686" s="57" t="s">
        <v>77</v>
      </c>
      <c r="E686" s="57">
        <v>125</v>
      </c>
      <c r="F686" s="57">
        <v>10662</v>
      </c>
    </row>
    <row r="687" spans="1:6" x14ac:dyDescent="0.15">
      <c r="A687" s="58">
        <v>35683</v>
      </c>
      <c r="B687" s="57" t="s">
        <v>91</v>
      </c>
      <c r="C687" s="57" t="s">
        <v>96</v>
      </c>
      <c r="D687" s="57" t="s">
        <v>82</v>
      </c>
      <c r="E687" s="57">
        <v>524.39999958872795</v>
      </c>
      <c r="F687" s="57">
        <v>10663</v>
      </c>
    </row>
    <row r="688" spans="1:6" x14ac:dyDescent="0.15">
      <c r="A688" s="58">
        <v>35683</v>
      </c>
      <c r="B688" s="57" t="s">
        <v>91</v>
      </c>
      <c r="C688" s="57" t="s">
        <v>96</v>
      </c>
      <c r="D688" s="57" t="s">
        <v>86</v>
      </c>
      <c r="E688" s="57">
        <v>398.99999968707561</v>
      </c>
      <c r="F688" s="57">
        <v>10663</v>
      </c>
    </row>
    <row r="689" spans="1:6" x14ac:dyDescent="0.15">
      <c r="A689" s="58">
        <v>35683</v>
      </c>
      <c r="B689" s="57" t="s">
        <v>91</v>
      </c>
      <c r="C689" s="57" t="s">
        <v>96</v>
      </c>
      <c r="D689" s="57" t="s">
        <v>95</v>
      </c>
      <c r="E689" s="57">
        <v>1006.9999992102385</v>
      </c>
      <c r="F689" s="57">
        <v>10663</v>
      </c>
    </row>
    <row r="690" spans="1:6" x14ac:dyDescent="0.15">
      <c r="A690" s="58">
        <v>35683</v>
      </c>
      <c r="B690" s="57" t="s">
        <v>74</v>
      </c>
      <c r="C690" s="57" t="s">
        <v>81</v>
      </c>
      <c r="D690" s="57" t="s">
        <v>82</v>
      </c>
      <c r="E690" s="57">
        <v>632.39999556541443</v>
      </c>
      <c r="F690" s="57">
        <v>10664</v>
      </c>
    </row>
    <row r="691" spans="1:6" x14ac:dyDescent="0.15">
      <c r="A691" s="58">
        <v>35683</v>
      </c>
      <c r="B691" s="57" t="s">
        <v>74</v>
      </c>
      <c r="C691" s="57" t="s">
        <v>81</v>
      </c>
      <c r="D691" s="57" t="s">
        <v>86</v>
      </c>
      <c r="E691" s="57">
        <v>387.5999972820282</v>
      </c>
      <c r="F691" s="57">
        <v>10664</v>
      </c>
    </row>
    <row r="692" spans="1:6" x14ac:dyDescent="0.15">
      <c r="A692" s="58">
        <v>35683</v>
      </c>
      <c r="B692" s="57" t="s">
        <v>74</v>
      </c>
      <c r="C692" s="57" t="s">
        <v>81</v>
      </c>
      <c r="D692" s="57" t="s">
        <v>88</v>
      </c>
      <c r="E692" s="57">
        <v>268.38749811798334</v>
      </c>
      <c r="F692" s="57">
        <v>10664</v>
      </c>
    </row>
    <row r="693" spans="1:6" x14ac:dyDescent="0.15">
      <c r="A693" s="58">
        <v>35684</v>
      </c>
      <c r="B693" s="57" t="s">
        <v>91</v>
      </c>
      <c r="C693" s="57" t="s">
        <v>75</v>
      </c>
      <c r="D693" s="57" t="s">
        <v>95</v>
      </c>
      <c r="E693" s="57">
        <v>1060</v>
      </c>
      <c r="F693" s="57">
        <v>10665</v>
      </c>
    </row>
    <row r="694" spans="1:6" x14ac:dyDescent="0.15">
      <c r="A694" s="58">
        <v>35684</v>
      </c>
      <c r="B694" s="57" t="s">
        <v>91</v>
      </c>
      <c r="C694" s="57" t="s">
        <v>75</v>
      </c>
      <c r="D694" s="57" t="s">
        <v>73</v>
      </c>
      <c r="E694" s="57">
        <v>55</v>
      </c>
      <c r="F694" s="57">
        <v>10665</v>
      </c>
    </row>
    <row r="695" spans="1:6" x14ac:dyDescent="0.15">
      <c r="A695" s="58">
        <v>35684</v>
      </c>
      <c r="B695" s="57" t="s">
        <v>91</v>
      </c>
      <c r="C695" s="57" t="s">
        <v>75</v>
      </c>
      <c r="D695" s="57" t="s">
        <v>42</v>
      </c>
      <c r="E695" s="57">
        <v>180</v>
      </c>
      <c r="F695" s="57">
        <v>10665</v>
      </c>
    </row>
    <row r="696" spans="1:6" x14ac:dyDescent="0.15">
      <c r="A696" s="58">
        <v>35685</v>
      </c>
      <c r="B696" s="57" t="s">
        <v>91</v>
      </c>
      <c r="C696" s="57" t="s">
        <v>81</v>
      </c>
      <c r="D696" s="57" t="s">
        <v>33</v>
      </c>
      <c r="E696" s="57">
        <v>4456.4399999999996</v>
      </c>
      <c r="F696" s="57">
        <v>10666</v>
      </c>
    </row>
    <row r="697" spans="1:6" x14ac:dyDescent="0.15">
      <c r="A697" s="58">
        <v>35685</v>
      </c>
      <c r="B697" s="57" t="s">
        <v>91</v>
      </c>
      <c r="C697" s="57" t="s">
        <v>81</v>
      </c>
      <c r="D697" s="57" t="s">
        <v>88</v>
      </c>
      <c r="E697" s="57">
        <v>210.5</v>
      </c>
      <c r="F697" s="57">
        <v>10666</v>
      </c>
    </row>
    <row r="698" spans="1:6" x14ac:dyDescent="0.15">
      <c r="A698" s="58">
        <v>35685</v>
      </c>
      <c r="B698" s="57" t="s">
        <v>80</v>
      </c>
      <c r="C698" s="57" t="s">
        <v>92</v>
      </c>
      <c r="D698" s="57" t="s">
        <v>73</v>
      </c>
      <c r="E698" s="57">
        <v>1295.9999951720238</v>
      </c>
      <c r="F698" s="57">
        <v>10667</v>
      </c>
    </row>
    <row r="699" spans="1:6" x14ac:dyDescent="0.15">
      <c r="A699" s="58">
        <v>35685</v>
      </c>
      <c r="B699" s="57" t="s">
        <v>80</v>
      </c>
      <c r="C699" s="57" t="s">
        <v>92</v>
      </c>
      <c r="D699" s="57" t="s">
        <v>73</v>
      </c>
      <c r="E699" s="57">
        <v>240.7999991029501</v>
      </c>
      <c r="F699" s="57">
        <v>10667</v>
      </c>
    </row>
    <row r="700" spans="1:6" x14ac:dyDescent="0.15">
      <c r="A700" s="58">
        <v>35688</v>
      </c>
      <c r="B700" s="57" t="s">
        <v>91</v>
      </c>
      <c r="C700" s="57" t="s">
        <v>75</v>
      </c>
      <c r="D700" s="57" t="s">
        <v>73</v>
      </c>
      <c r="E700" s="57">
        <v>89.999999850988388</v>
      </c>
      <c r="F700" s="57">
        <v>10668</v>
      </c>
    </row>
    <row r="701" spans="1:6" x14ac:dyDescent="0.15">
      <c r="A701" s="58">
        <v>35688</v>
      </c>
      <c r="B701" s="57" t="s">
        <v>91</v>
      </c>
      <c r="C701" s="57" t="s">
        <v>75</v>
      </c>
      <c r="D701" s="57" t="s">
        <v>33</v>
      </c>
      <c r="E701" s="57">
        <v>86.399999856948853</v>
      </c>
      <c r="F701" s="57">
        <v>10668</v>
      </c>
    </row>
    <row r="702" spans="1:6" x14ac:dyDescent="0.15">
      <c r="A702" s="58">
        <v>35688</v>
      </c>
      <c r="B702" s="57" t="s">
        <v>91</v>
      </c>
      <c r="C702" s="57" t="s">
        <v>75</v>
      </c>
      <c r="D702" s="57" t="s">
        <v>86</v>
      </c>
      <c r="E702" s="57">
        <v>448.87499925680459</v>
      </c>
      <c r="F702" s="57">
        <v>10668</v>
      </c>
    </row>
    <row r="703" spans="1:6" x14ac:dyDescent="0.15">
      <c r="A703" s="58">
        <v>35688</v>
      </c>
      <c r="B703" s="57" t="s">
        <v>80</v>
      </c>
      <c r="C703" s="57" t="s">
        <v>75</v>
      </c>
      <c r="D703" s="57" t="s">
        <v>82</v>
      </c>
      <c r="E703" s="57">
        <v>570</v>
      </c>
      <c r="F703" s="57">
        <v>10669</v>
      </c>
    </row>
    <row r="704" spans="1:6" x14ac:dyDescent="0.15">
      <c r="A704" s="58">
        <v>35689</v>
      </c>
      <c r="B704" s="57" t="s">
        <v>80</v>
      </c>
      <c r="C704" s="57" t="s">
        <v>75</v>
      </c>
      <c r="D704" s="57" t="s">
        <v>86</v>
      </c>
      <c r="E704" s="57">
        <v>288</v>
      </c>
      <c r="F704" s="57">
        <v>10670</v>
      </c>
    </row>
    <row r="705" spans="1:6" x14ac:dyDescent="0.15">
      <c r="A705" s="58">
        <v>35689</v>
      </c>
      <c r="B705" s="57" t="s">
        <v>80</v>
      </c>
      <c r="C705" s="57" t="s">
        <v>75</v>
      </c>
      <c r="D705" s="57" t="s">
        <v>82</v>
      </c>
      <c r="E705" s="57">
        <v>720</v>
      </c>
      <c r="F705" s="57">
        <v>10670</v>
      </c>
    </row>
    <row r="706" spans="1:6" x14ac:dyDescent="0.15">
      <c r="A706" s="58">
        <v>35689</v>
      </c>
      <c r="B706" s="57" t="s">
        <v>80</v>
      </c>
      <c r="C706" s="57" t="s">
        <v>75</v>
      </c>
      <c r="D706" s="57" t="s">
        <v>42</v>
      </c>
      <c r="E706" s="57">
        <v>350</v>
      </c>
      <c r="F706" s="57">
        <v>10670</v>
      </c>
    </row>
    <row r="707" spans="1:6" x14ac:dyDescent="0.15">
      <c r="A707" s="58">
        <v>35689</v>
      </c>
      <c r="B707" s="57" t="s">
        <v>80</v>
      </c>
      <c r="C707" s="57" t="s">
        <v>75</v>
      </c>
      <c r="D707" s="57" t="s">
        <v>82</v>
      </c>
      <c r="E707" s="57">
        <v>750</v>
      </c>
      <c r="F707" s="57">
        <v>10670</v>
      </c>
    </row>
    <row r="708" spans="1:6" x14ac:dyDescent="0.15">
      <c r="A708" s="58">
        <v>35689</v>
      </c>
      <c r="B708" s="57" t="s">
        <v>80</v>
      </c>
      <c r="C708" s="57" t="s">
        <v>75</v>
      </c>
      <c r="D708" s="57" t="s">
        <v>42</v>
      </c>
      <c r="E708" s="57">
        <v>193.75</v>
      </c>
      <c r="F708" s="57">
        <v>10670</v>
      </c>
    </row>
    <row r="709" spans="1:6" x14ac:dyDescent="0.15">
      <c r="A709" s="58">
        <v>35690</v>
      </c>
      <c r="B709" s="57" t="s">
        <v>80</v>
      </c>
      <c r="C709" s="57" t="s">
        <v>81</v>
      </c>
      <c r="D709" s="57" t="s">
        <v>77</v>
      </c>
      <c r="E709" s="57">
        <v>174.5</v>
      </c>
      <c r="F709" s="57">
        <v>10671</v>
      </c>
    </row>
    <row r="710" spans="1:6" x14ac:dyDescent="0.15">
      <c r="A710" s="58">
        <v>35690</v>
      </c>
      <c r="B710" s="57" t="s">
        <v>80</v>
      </c>
      <c r="C710" s="57" t="s">
        <v>81</v>
      </c>
      <c r="D710" s="57" t="s">
        <v>77</v>
      </c>
      <c r="E710" s="57">
        <v>493</v>
      </c>
      <c r="F710" s="57">
        <v>10671</v>
      </c>
    </row>
    <row r="711" spans="1:6" x14ac:dyDescent="0.15">
      <c r="A711" s="58">
        <v>35690</v>
      </c>
      <c r="B711" s="57" t="s">
        <v>80</v>
      </c>
      <c r="C711" s="57" t="s">
        <v>81</v>
      </c>
      <c r="D711" s="57" t="s">
        <v>88</v>
      </c>
      <c r="E711" s="57">
        <v>252.6</v>
      </c>
      <c r="F711" s="57">
        <v>10671</v>
      </c>
    </row>
    <row r="712" spans="1:6" x14ac:dyDescent="0.15">
      <c r="A712" s="58">
        <v>35690</v>
      </c>
      <c r="B712" s="57" t="s">
        <v>91</v>
      </c>
      <c r="C712" s="57" t="s">
        <v>81</v>
      </c>
      <c r="D712" s="57" t="s">
        <v>42</v>
      </c>
      <c r="E712" s="57">
        <v>3557.249994110316</v>
      </c>
      <c r="F712" s="57">
        <v>10672</v>
      </c>
    </row>
    <row r="713" spans="1:6" x14ac:dyDescent="0.15">
      <c r="A713" s="58">
        <v>35690</v>
      </c>
      <c r="B713" s="57" t="s">
        <v>91</v>
      </c>
      <c r="C713" s="57" t="s">
        <v>81</v>
      </c>
      <c r="D713" s="57" t="s">
        <v>73</v>
      </c>
      <c r="E713" s="57">
        <v>258</v>
      </c>
      <c r="F713" s="57">
        <v>10672</v>
      </c>
    </row>
    <row r="714" spans="1:6" x14ac:dyDescent="0.15">
      <c r="A714" s="58">
        <v>35691</v>
      </c>
      <c r="B714" s="57" t="s">
        <v>80</v>
      </c>
      <c r="C714" s="57" t="s">
        <v>75</v>
      </c>
      <c r="D714" s="57" t="s">
        <v>77</v>
      </c>
      <c r="E714" s="57">
        <v>52.35</v>
      </c>
      <c r="F714" s="57">
        <v>10673</v>
      </c>
    </row>
    <row r="715" spans="1:6" x14ac:dyDescent="0.15">
      <c r="A715" s="58">
        <v>35691</v>
      </c>
      <c r="B715" s="57" t="s">
        <v>80</v>
      </c>
      <c r="C715" s="57" t="s">
        <v>75</v>
      </c>
      <c r="D715" s="57" t="s">
        <v>86</v>
      </c>
      <c r="E715" s="57">
        <v>84</v>
      </c>
      <c r="F715" s="57">
        <v>10673</v>
      </c>
    </row>
    <row r="716" spans="1:6" x14ac:dyDescent="0.15">
      <c r="A716" s="58">
        <v>35691</v>
      </c>
      <c r="B716" s="57" t="s">
        <v>80</v>
      </c>
      <c r="C716" s="57" t="s">
        <v>75</v>
      </c>
      <c r="D716" s="57" t="s">
        <v>42</v>
      </c>
      <c r="E716" s="57">
        <v>276</v>
      </c>
      <c r="F716" s="57">
        <v>10673</v>
      </c>
    </row>
    <row r="717" spans="1:6" x14ac:dyDescent="0.15">
      <c r="A717" s="58">
        <v>35691</v>
      </c>
      <c r="B717" s="57" t="s">
        <v>91</v>
      </c>
      <c r="C717" s="57" t="s">
        <v>98</v>
      </c>
      <c r="D717" s="57" t="s">
        <v>86</v>
      </c>
      <c r="E717" s="57">
        <v>45</v>
      </c>
      <c r="F717" s="57">
        <v>10674</v>
      </c>
    </row>
    <row r="718" spans="1:6" x14ac:dyDescent="0.15">
      <c r="A718" s="58">
        <v>35692</v>
      </c>
      <c r="B718" s="57" t="s">
        <v>91</v>
      </c>
      <c r="C718" s="57" t="s">
        <v>75</v>
      </c>
      <c r="D718" s="57" t="s">
        <v>95</v>
      </c>
      <c r="E718" s="57">
        <v>697.5</v>
      </c>
      <c r="F718" s="57">
        <v>10675</v>
      </c>
    </row>
    <row r="719" spans="1:6" x14ac:dyDescent="0.15">
      <c r="A719" s="58">
        <v>35692</v>
      </c>
      <c r="B719" s="57" t="s">
        <v>91</v>
      </c>
      <c r="C719" s="57" t="s">
        <v>75</v>
      </c>
      <c r="D719" s="57" t="s">
        <v>33</v>
      </c>
      <c r="E719" s="57">
        <v>328</v>
      </c>
      <c r="F719" s="57">
        <v>10675</v>
      </c>
    </row>
    <row r="720" spans="1:6" x14ac:dyDescent="0.15">
      <c r="A720" s="58">
        <v>35692</v>
      </c>
      <c r="B720" s="57" t="s">
        <v>91</v>
      </c>
      <c r="C720" s="57" t="s">
        <v>75</v>
      </c>
      <c r="D720" s="57" t="s">
        <v>82</v>
      </c>
      <c r="E720" s="57">
        <v>397.5</v>
      </c>
      <c r="F720" s="57">
        <v>10675</v>
      </c>
    </row>
    <row r="721" spans="1:6" x14ac:dyDescent="0.15">
      <c r="A721" s="58">
        <v>35695</v>
      </c>
      <c r="B721" s="57" t="s">
        <v>91</v>
      </c>
      <c r="C721" s="57" t="s">
        <v>75</v>
      </c>
      <c r="D721" s="57" t="s">
        <v>82</v>
      </c>
      <c r="E721" s="57">
        <v>62</v>
      </c>
      <c r="F721" s="57">
        <v>10676</v>
      </c>
    </row>
    <row r="722" spans="1:6" x14ac:dyDescent="0.15">
      <c r="A722" s="58">
        <v>35695</v>
      </c>
      <c r="B722" s="57" t="s">
        <v>91</v>
      </c>
      <c r="C722" s="57" t="s">
        <v>75</v>
      </c>
      <c r="D722" s="57" t="s">
        <v>77</v>
      </c>
      <c r="E722" s="57">
        <v>64.400000000000006</v>
      </c>
      <c r="F722" s="57">
        <v>10676</v>
      </c>
    </row>
    <row r="723" spans="1:6" x14ac:dyDescent="0.15">
      <c r="A723" s="58">
        <v>35695</v>
      </c>
      <c r="B723" s="57" t="s">
        <v>91</v>
      </c>
      <c r="C723" s="57" t="s">
        <v>75</v>
      </c>
      <c r="D723" s="57" t="s">
        <v>88</v>
      </c>
      <c r="E723" s="57">
        <v>408.45</v>
      </c>
      <c r="F723" s="57">
        <v>10676</v>
      </c>
    </row>
    <row r="724" spans="1:6" x14ac:dyDescent="0.15">
      <c r="A724" s="58">
        <v>35695</v>
      </c>
      <c r="B724" s="57" t="s">
        <v>74</v>
      </c>
      <c r="C724" s="57" t="s">
        <v>75</v>
      </c>
      <c r="D724" s="57" t="s">
        <v>77</v>
      </c>
      <c r="E724" s="57">
        <v>796.36499441564081</v>
      </c>
      <c r="F724" s="57">
        <v>10677</v>
      </c>
    </row>
    <row r="725" spans="1:6" x14ac:dyDescent="0.15">
      <c r="A725" s="58">
        <v>35695</v>
      </c>
      <c r="B725" s="57" t="s">
        <v>74</v>
      </c>
      <c r="C725" s="57" t="s">
        <v>75</v>
      </c>
      <c r="D725" s="57" t="s">
        <v>73</v>
      </c>
      <c r="E725" s="57">
        <v>16.99999988079071</v>
      </c>
      <c r="F725" s="57">
        <v>10677</v>
      </c>
    </row>
    <row r="726" spans="1:6" x14ac:dyDescent="0.15">
      <c r="A726" s="58">
        <v>35696</v>
      </c>
      <c r="B726" s="57" t="s">
        <v>74</v>
      </c>
      <c r="C726" s="57" t="s">
        <v>96</v>
      </c>
      <c r="D726" s="57" t="s">
        <v>73</v>
      </c>
      <c r="E726" s="57">
        <v>3800</v>
      </c>
      <c r="F726" s="57">
        <v>10678</v>
      </c>
    </row>
    <row r="727" spans="1:6" x14ac:dyDescent="0.15">
      <c r="A727" s="58">
        <v>35696</v>
      </c>
      <c r="B727" s="57" t="s">
        <v>74</v>
      </c>
      <c r="C727" s="57" t="s">
        <v>96</v>
      </c>
      <c r="D727" s="57" t="s">
        <v>73</v>
      </c>
      <c r="E727" s="57">
        <v>75</v>
      </c>
      <c r="F727" s="57">
        <v>10678</v>
      </c>
    </row>
    <row r="728" spans="1:6" x14ac:dyDescent="0.15">
      <c r="A728" s="58">
        <v>35696</v>
      </c>
      <c r="B728" s="57" t="s">
        <v>74</v>
      </c>
      <c r="C728" s="57" t="s">
        <v>96</v>
      </c>
      <c r="D728" s="57" t="s">
        <v>82</v>
      </c>
      <c r="E728" s="57">
        <v>1158</v>
      </c>
      <c r="F728" s="57">
        <v>10678</v>
      </c>
    </row>
    <row r="729" spans="1:6" x14ac:dyDescent="0.15">
      <c r="A729" s="58">
        <v>35696</v>
      </c>
      <c r="B729" s="57" t="s">
        <v>74</v>
      </c>
      <c r="C729" s="57" t="s">
        <v>96</v>
      </c>
      <c r="D729" s="57" t="s">
        <v>33</v>
      </c>
      <c r="E729" s="57">
        <v>223.5</v>
      </c>
      <c r="F729" s="57">
        <v>10678</v>
      </c>
    </row>
    <row r="730" spans="1:6" x14ac:dyDescent="0.15">
      <c r="A730" s="58">
        <v>35696</v>
      </c>
      <c r="B730" s="57" t="s">
        <v>74</v>
      </c>
      <c r="C730" s="57" t="s">
        <v>97</v>
      </c>
      <c r="D730" s="57" t="s">
        <v>73</v>
      </c>
      <c r="E730" s="57">
        <v>660</v>
      </c>
      <c r="F730" s="57">
        <v>10679</v>
      </c>
    </row>
    <row r="731" spans="1:6" x14ac:dyDescent="0.15">
      <c r="A731" s="58">
        <v>35697</v>
      </c>
      <c r="B731" s="57" t="s">
        <v>80</v>
      </c>
      <c r="C731" s="57" t="s">
        <v>81</v>
      </c>
      <c r="D731" s="57" t="s">
        <v>77</v>
      </c>
      <c r="E731" s="57">
        <v>654.375</v>
      </c>
      <c r="F731" s="57">
        <v>10680</v>
      </c>
    </row>
    <row r="732" spans="1:6" x14ac:dyDescent="0.15">
      <c r="A732" s="58">
        <v>35697</v>
      </c>
      <c r="B732" s="57" t="s">
        <v>80</v>
      </c>
      <c r="C732" s="57" t="s">
        <v>81</v>
      </c>
      <c r="D732" s="57" t="s">
        <v>73</v>
      </c>
      <c r="E732" s="57">
        <v>187.5</v>
      </c>
      <c r="F732" s="57">
        <v>10680</v>
      </c>
    </row>
    <row r="733" spans="1:6" x14ac:dyDescent="0.15">
      <c r="A733" s="58">
        <v>35697</v>
      </c>
      <c r="B733" s="57" t="s">
        <v>80</v>
      </c>
      <c r="C733" s="57" t="s">
        <v>81</v>
      </c>
      <c r="D733" s="57" t="s">
        <v>86</v>
      </c>
      <c r="E733" s="57">
        <v>420</v>
      </c>
      <c r="F733" s="57">
        <v>10680</v>
      </c>
    </row>
    <row r="734" spans="1:6" x14ac:dyDescent="0.15">
      <c r="A734" s="58">
        <v>35698</v>
      </c>
      <c r="B734" s="57" t="s">
        <v>74</v>
      </c>
      <c r="C734" s="57" t="s">
        <v>75</v>
      </c>
      <c r="D734" s="57" t="s">
        <v>77</v>
      </c>
      <c r="E734" s="57">
        <v>248.39999958872795</v>
      </c>
      <c r="F734" s="57">
        <v>10681</v>
      </c>
    </row>
    <row r="735" spans="1:6" x14ac:dyDescent="0.15">
      <c r="A735" s="58">
        <v>35698</v>
      </c>
      <c r="B735" s="57" t="s">
        <v>74</v>
      </c>
      <c r="C735" s="57" t="s">
        <v>75</v>
      </c>
      <c r="D735" s="57" t="s">
        <v>77</v>
      </c>
      <c r="E735" s="57">
        <v>107.99999982118607</v>
      </c>
      <c r="F735" s="57">
        <v>10681</v>
      </c>
    </row>
    <row r="736" spans="1:6" x14ac:dyDescent="0.15">
      <c r="A736" s="58">
        <v>35698</v>
      </c>
      <c r="B736" s="57" t="s">
        <v>74</v>
      </c>
      <c r="C736" s="57" t="s">
        <v>75</v>
      </c>
      <c r="D736" s="57" t="s">
        <v>86</v>
      </c>
      <c r="E736" s="57">
        <v>931</v>
      </c>
      <c r="F736" s="57">
        <v>10681</v>
      </c>
    </row>
    <row r="737" spans="1:6" x14ac:dyDescent="0.15">
      <c r="A737" s="58">
        <v>35698</v>
      </c>
      <c r="B737" s="57" t="s">
        <v>91</v>
      </c>
      <c r="C737" s="57" t="s">
        <v>75</v>
      </c>
      <c r="D737" s="57" t="s">
        <v>73</v>
      </c>
      <c r="E737" s="57">
        <v>75</v>
      </c>
      <c r="F737" s="57">
        <v>10682</v>
      </c>
    </row>
    <row r="738" spans="1:6" x14ac:dyDescent="0.15">
      <c r="A738" s="58">
        <v>35698</v>
      </c>
      <c r="B738" s="57" t="s">
        <v>91</v>
      </c>
      <c r="C738" s="57" t="s">
        <v>75</v>
      </c>
      <c r="D738" s="57" t="s">
        <v>88</v>
      </c>
      <c r="E738" s="57">
        <v>68</v>
      </c>
      <c r="F738" s="57">
        <v>10682</v>
      </c>
    </row>
    <row r="739" spans="1:6" x14ac:dyDescent="0.15">
      <c r="A739" s="58">
        <v>35698</v>
      </c>
      <c r="B739" s="57" t="s">
        <v>91</v>
      </c>
      <c r="C739" s="57" t="s">
        <v>75</v>
      </c>
      <c r="D739" s="57" t="s">
        <v>42</v>
      </c>
      <c r="E739" s="57">
        <v>232.5</v>
      </c>
      <c r="F739" s="57">
        <v>10682</v>
      </c>
    </row>
    <row r="740" spans="1:6" x14ac:dyDescent="0.15">
      <c r="A740" s="58">
        <v>35699</v>
      </c>
      <c r="B740" s="57" t="s">
        <v>80</v>
      </c>
      <c r="C740" s="57" t="s">
        <v>81</v>
      </c>
      <c r="D740" s="57" t="s">
        <v>86</v>
      </c>
      <c r="E740" s="57">
        <v>63</v>
      </c>
      <c r="F740" s="57">
        <v>10683</v>
      </c>
    </row>
    <row r="741" spans="1:6" x14ac:dyDescent="0.15">
      <c r="A741" s="58">
        <v>35699</v>
      </c>
      <c r="B741" s="57" t="s">
        <v>80</v>
      </c>
      <c r="C741" s="57" t="s">
        <v>92</v>
      </c>
      <c r="D741" s="57" t="s">
        <v>82</v>
      </c>
      <c r="E741" s="57">
        <v>368</v>
      </c>
      <c r="F741" s="57">
        <v>10684</v>
      </c>
    </row>
    <row r="742" spans="1:6" x14ac:dyDescent="0.15">
      <c r="A742" s="58">
        <v>35699</v>
      </c>
      <c r="B742" s="57" t="s">
        <v>80</v>
      </c>
      <c r="C742" s="57" t="s">
        <v>92</v>
      </c>
      <c r="D742" s="57" t="s">
        <v>77</v>
      </c>
      <c r="E742" s="57">
        <v>380</v>
      </c>
      <c r="F742" s="57">
        <v>10684</v>
      </c>
    </row>
    <row r="743" spans="1:6" x14ac:dyDescent="0.15">
      <c r="A743" s="58">
        <v>35699</v>
      </c>
      <c r="B743" s="57" t="s">
        <v>80</v>
      </c>
      <c r="C743" s="57" t="s">
        <v>92</v>
      </c>
      <c r="D743" s="57" t="s">
        <v>73</v>
      </c>
      <c r="E743" s="57">
        <v>1020</v>
      </c>
      <c r="F743" s="57">
        <v>10684</v>
      </c>
    </row>
    <row r="744" spans="1:6" x14ac:dyDescent="0.15">
      <c r="A744" s="58">
        <v>35702</v>
      </c>
      <c r="B744" s="57" t="s">
        <v>91</v>
      </c>
      <c r="C744" s="57" t="s">
        <v>81</v>
      </c>
      <c r="D744" s="57" t="s">
        <v>82</v>
      </c>
      <c r="E744" s="57">
        <v>620</v>
      </c>
      <c r="F744" s="57">
        <v>10685</v>
      </c>
    </row>
    <row r="745" spans="1:6" x14ac:dyDescent="0.15">
      <c r="A745" s="58">
        <v>35702</v>
      </c>
      <c r="B745" s="57" t="s">
        <v>91</v>
      </c>
      <c r="C745" s="57" t="s">
        <v>81</v>
      </c>
      <c r="D745" s="57" t="s">
        <v>82</v>
      </c>
      <c r="E745" s="57">
        <v>38.6</v>
      </c>
      <c r="F745" s="57">
        <v>10685</v>
      </c>
    </row>
    <row r="746" spans="1:6" x14ac:dyDescent="0.15">
      <c r="A746" s="58">
        <v>35702</v>
      </c>
      <c r="B746" s="57" t="s">
        <v>91</v>
      </c>
      <c r="C746" s="57" t="s">
        <v>81</v>
      </c>
      <c r="D746" s="57" t="s">
        <v>77</v>
      </c>
      <c r="E746" s="57">
        <v>142.5</v>
      </c>
      <c r="F746" s="57">
        <v>10685</v>
      </c>
    </row>
    <row r="747" spans="1:6" x14ac:dyDescent="0.15">
      <c r="A747" s="58">
        <v>35703</v>
      </c>
      <c r="B747" s="57" t="s">
        <v>80</v>
      </c>
      <c r="C747" s="57" t="s">
        <v>81</v>
      </c>
      <c r="D747" s="57" t="s">
        <v>33</v>
      </c>
      <c r="E747" s="57">
        <v>935.99999651312828</v>
      </c>
      <c r="F747" s="57">
        <v>10686</v>
      </c>
    </row>
    <row r="748" spans="1:6" x14ac:dyDescent="0.15">
      <c r="A748" s="58">
        <v>35703</v>
      </c>
      <c r="B748" s="57" t="s">
        <v>80</v>
      </c>
      <c r="C748" s="57" t="s">
        <v>81</v>
      </c>
      <c r="D748" s="57" t="s">
        <v>77</v>
      </c>
      <c r="E748" s="57">
        <v>468.45</v>
      </c>
      <c r="F748" s="57">
        <v>10686</v>
      </c>
    </row>
    <row r="749" spans="1:6" x14ac:dyDescent="0.15">
      <c r="A749" s="58">
        <v>35703</v>
      </c>
      <c r="B749" s="57" t="s">
        <v>91</v>
      </c>
      <c r="C749" s="57" t="s">
        <v>75</v>
      </c>
      <c r="D749" s="57" t="s">
        <v>33</v>
      </c>
      <c r="E749" s="57">
        <v>3637.5</v>
      </c>
      <c r="F749" s="57">
        <v>10687</v>
      </c>
    </row>
    <row r="750" spans="1:6" x14ac:dyDescent="0.15">
      <c r="A750" s="58">
        <v>35703</v>
      </c>
      <c r="B750" s="57" t="s">
        <v>91</v>
      </c>
      <c r="C750" s="57" t="s">
        <v>75</v>
      </c>
      <c r="D750" s="57" t="s">
        <v>33</v>
      </c>
      <c r="E750" s="57">
        <v>1237.9000000000001</v>
      </c>
      <c r="F750" s="57">
        <v>10687</v>
      </c>
    </row>
    <row r="751" spans="1:6" x14ac:dyDescent="0.15">
      <c r="A751" s="58">
        <v>35703</v>
      </c>
      <c r="B751" s="57" t="s">
        <v>91</v>
      </c>
      <c r="C751" s="57" t="s">
        <v>75</v>
      </c>
      <c r="D751" s="57" t="s">
        <v>82</v>
      </c>
      <c r="E751" s="57">
        <v>85.5</v>
      </c>
      <c r="F751" s="57">
        <v>10687</v>
      </c>
    </row>
    <row r="752" spans="1:6" x14ac:dyDescent="0.15">
      <c r="A752" s="58">
        <v>35704</v>
      </c>
      <c r="B752" s="57" t="s">
        <v>91</v>
      </c>
      <c r="C752" s="57" t="s">
        <v>92</v>
      </c>
      <c r="D752" s="57" t="s">
        <v>82</v>
      </c>
      <c r="E752" s="57">
        <v>502.19999916851521</v>
      </c>
      <c r="F752" s="57">
        <v>10688</v>
      </c>
    </row>
    <row r="753" spans="1:6" x14ac:dyDescent="0.15">
      <c r="A753" s="58">
        <v>35704</v>
      </c>
      <c r="B753" s="57" t="s">
        <v>91</v>
      </c>
      <c r="C753" s="57" t="s">
        <v>92</v>
      </c>
      <c r="D753" s="57" t="s">
        <v>95</v>
      </c>
      <c r="E753" s="57">
        <v>2462.3999959230423</v>
      </c>
      <c r="F753" s="57">
        <v>10688</v>
      </c>
    </row>
    <row r="754" spans="1:6" x14ac:dyDescent="0.15">
      <c r="A754" s="58">
        <v>35704</v>
      </c>
      <c r="B754" s="57" t="s">
        <v>91</v>
      </c>
      <c r="C754" s="57" t="s">
        <v>92</v>
      </c>
      <c r="D754" s="57" t="s">
        <v>42</v>
      </c>
      <c r="E754" s="57">
        <v>196</v>
      </c>
      <c r="F754" s="57">
        <v>10688</v>
      </c>
    </row>
    <row r="755" spans="1:6" x14ac:dyDescent="0.15">
      <c r="A755" s="58">
        <v>35704</v>
      </c>
      <c r="B755" s="57" t="s">
        <v>91</v>
      </c>
      <c r="C755" s="57" t="s">
        <v>81</v>
      </c>
      <c r="D755" s="57" t="s">
        <v>42</v>
      </c>
      <c r="E755" s="57">
        <v>472.5</v>
      </c>
      <c r="F755" s="57">
        <v>10689</v>
      </c>
    </row>
    <row r="756" spans="1:6" x14ac:dyDescent="0.15">
      <c r="A756" s="58">
        <v>35705</v>
      </c>
      <c r="B756" s="57" t="s">
        <v>80</v>
      </c>
      <c r="C756" s="57" t="s">
        <v>81</v>
      </c>
      <c r="D756" s="57" t="s">
        <v>86</v>
      </c>
      <c r="E756" s="57">
        <v>570</v>
      </c>
      <c r="F756" s="57">
        <v>10690</v>
      </c>
    </row>
    <row r="757" spans="1:6" x14ac:dyDescent="0.15">
      <c r="A757" s="58">
        <v>35705</v>
      </c>
      <c r="B757" s="57" t="s">
        <v>80</v>
      </c>
      <c r="C757" s="57" t="s">
        <v>81</v>
      </c>
      <c r="D757" s="57" t="s">
        <v>88</v>
      </c>
      <c r="E757" s="57">
        <v>292.5</v>
      </c>
      <c r="F757" s="57">
        <v>10690</v>
      </c>
    </row>
    <row r="758" spans="1:6" x14ac:dyDescent="0.15">
      <c r="A758" s="58">
        <v>35706</v>
      </c>
      <c r="B758" s="57" t="s">
        <v>91</v>
      </c>
      <c r="C758" s="57" t="s">
        <v>75</v>
      </c>
      <c r="D758" s="57" t="s">
        <v>42</v>
      </c>
      <c r="E758" s="57">
        <v>540</v>
      </c>
      <c r="F758" s="57">
        <v>10691</v>
      </c>
    </row>
    <row r="759" spans="1:6" x14ac:dyDescent="0.15">
      <c r="A759" s="58">
        <v>35706</v>
      </c>
      <c r="B759" s="57" t="s">
        <v>91</v>
      </c>
      <c r="C759" s="57" t="s">
        <v>75</v>
      </c>
      <c r="D759" s="57" t="s">
        <v>33</v>
      </c>
      <c r="E759" s="57">
        <v>4951.6000000000004</v>
      </c>
      <c r="F759" s="57">
        <v>10691</v>
      </c>
    </row>
    <row r="760" spans="1:6" x14ac:dyDescent="0.15">
      <c r="A760" s="58">
        <v>35706</v>
      </c>
      <c r="B760" s="57" t="s">
        <v>91</v>
      </c>
      <c r="C760" s="57" t="s">
        <v>75</v>
      </c>
      <c r="D760" s="57" t="s">
        <v>42</v>
      </c>
      <c r="E760" s="57">
        <v>1840</v>
      </c>
      <c r="F760" s="57">
        <v>10691</v>
      </c>
    </row>
    <row r="761" spans="1:6" x14ac:dyDescent="0.15">
      <c r="A761" s="58">
        <v>35706</v>
      </c>
      <c r="B761" s="57" t="s">
        <v>91</v>
      </c>
      <c r="C761" s="57" t="s">
        <v>75</v>
      </c>
      <c r="D761" s="57" t="s">
        <v>88</v>
      </c>
      <c r="E761" s="57">
        <v>466.8</v>
      </c>
      <c r="F761" s="57">
        <v>10691</v>
      </c>
    </row>
    <row r="762" spans="1:6" x14ac:dyDescent="0.15">
      <c r="A762" s="58">
        <v>35706</v>
      </c>
      <c r="B762" s="57" t="s">
        <v>91</v>
      </c>
      <c r="C762" s="57" t="s">
        <v>75</v>
      </c>
      <c r="D762" s="57" t="s">
        <v>77</v>
      </c>
      <c r="E762" s="57">
        <v>2366.4</v>
      </c>
      <c r="F762" s="57">
        <v>10691</v>
      </c>
    </row>
    <row r="763" spans="1:6" x14ac:dyDescent="0.15">
      <c r="A763" s="58">
        <v>35706</v>
      </c>
      <c r="B763" s="57" t="s">
        <v>91</v>
      </c>
      <c r="C763" s="57" t="s">
        <v>92</v>
      </c>
      <c r="D763" s="57" t="s">
        <v>77</v>
      </c>
      <c r="E763" s="57">
        <v>878</v>
      </c>
      <c r="F763" s="57">
        <v>10692</v>
      </c>
    </row>
    <row r="764" spans="1:6" x14ac:dyDescent="0.15">
      <c r="A764" s="58">
        <v>35709</v>
      </c>
      <c r="B764" s="57" t="s">
        <v>74</v>
      </c>
      <c r="C764" s="57" t="s">
        <v>81</v>
      </c>
      <c r="D764" s="57" t="s">
        <v>33</v>
      </c>
      <c r="E764" s="57">
        <v>582</v>
      </c>
      <c r="F764" s="57">
        <v>10693</v>
      </c>
    </row>
    <row r="765" spans="1:6" x14ac:dyDescent="0.15">
      <c r="A765" s="58">
        <v>35709</v>
      </c>
      <c r="B765" s="57" t="s">
        <v>74</v>
      </c>
      <c r="C765" s="57" t="s">
        <v>81</v>
      </c>
      <c r="D765" s="57" t="s">
        <v>33</v>
      </c>
      <c r="E765" s="57">
        <v>379.94999733567238</v>
      </c>
      <c r="F765" s="57">
        <v>10693</v>
      </c>
    </row>
    <row r="766" spans="1:6" x14ac:dyDescent="0.15">
      <c r="A766" s="58">
        <v>35709</v>
      </c>
      <c r="B766" s="57" t="s">
        <v>74</v>
      </c>
      <c r="C766" s="57" t="s">
        <v>81</v>
      </c>
      <c r="D766" s="57" t="s">
        <v>73</v>
      </c>
      <c r="E766" s="57">
        <v>917.99999356269836</v>
      </c>
      <c r="F766" s="57">
        <v>10693</v>
      </c>
    </row>
    <row r="767" spans="1:6" x14ac:dyDescent="0.15">
      <c r="A767" s="58">
        <v>35709</v>
      </c>
      <c r="B767" s="57" t="s">
        <v>74</v>
      </c>
      <c r="C767" s="57" t="s">
        <v>81</v>
      </c>
      <c r="D767" s="57" t="s">
        <v>82</v>
      </c>
      <c r="E767" s="57">
        <v>191.24999865889549</v>
      </c>
      <c r="F767" s="57">
        <v>10693</v>
      </c>
    </row>
    <row r="768" spans="1:6" x14ac:dyDescent="0.15">
      <c r="A768" s="58">
        <v>35709</v>
      </c>
      <c r="B768" s="57" t="s">
        <v>74</v>
      </c>
      <c r="C768" s="57" t="s">
        <v>75</v>
      </c>
      <c r="D768" s="57" t="s">
        <v>95</v>
      </c>
      <c r="E768" s="57">
        <v>2700</v>
      </c>
      <c r="F768" s="57">
        <v>10694</v>
      </c>
    </row>
    <row r="769" spans="1:6" x14ac:dyDescent="0.15">
      <c r="A769" s="58">
        <v>35709</v>
      </c>
      <c r="B769" s="57" t="s">
        <v>74</v>
      </c>
      <c r="C769" s="57" t="s">
        <v>75</v>
      </c>
      <c r="D769" s="57" t="s">
        <v>73</v>
      </c>
      <c r="E769" s="57">
        <v>1375</v>
      </c>
      <c r="F769" s="57">
        <v>10694</v>
      </c>
    </row>
    <row r="770" spans="1:6" x14ac:dyDescent="0.15">
      <c r="A770" s="58">
        <v>35709</v>
      </c>
      <c r="B770" s="57" t="s">
        <v>74</v>
      </c>
      <c r="C770" s="57" t="s">
        <v>75</v>
      </c>
      <c r="D770" s="57" t="s">
        <v>42</v>
      </c>
      <c r="E770" s="57">
        <v>750</v>
      </c>
      <c r="F770" s="57">
        <v>10694</v>
      </c>
    </row>
    <row r="771" spans="1:6" x14ac:dyDescent="0.15">
      <c r="A771" s="58">
        <v>35710</v>
      </c>
      <c r="B771" s="57" t="s">
        <v>80</v>
      </c>
      <c r="C771" s="57" t="s">
        <v>75</v>
      </c>
      <c r="D771" s="57" t="s">
        <v>88</v>
      </c>
      <c r="E771" s="57">
        <v>400</v>
      </c>
      <c r="F771" s="57">
        <v>10695</v>
      </c>
    </row>
    <row r="772" spans="1:6" x14ac:dyDescent="0.15">
      <c r="A772" s="58">
        <v>35710</v>
      </c>
      <c r="B772" s="57" t="s">
        <v>80</v>
      </c>
      <c r="C772" s="57" t="s">
        <v>75</v>
      </c>
      <c r="D772" s="57" t="s">
        <v>73</v>
      </c>
      <c r="E772" s="57">
        <v>152</v>
      </c>
      <c r="F772" s="57">
        <v>10695</v>
      </c>
    </row>
    <row r="773" spans="1:6" x14ac:dyDescent="0.15">
      <c r="A773" s="58">
        <v>35710</v>
      </c>
      <c r="B773" s="57" t="s">
        <v>80</v>
      </c>
      <c r="C773" s="57" t="s">
        <v>75</v>
      </c>
      <c r="D773" s="57" t="s">
        <v>42</v>
      </c>
      <c r="E773" s="57">
        <v>90</v>
      </c>
      <c r="F773" s="57">
        <v>10695</v>
      </c>
    </row>
    <row r="774" spans="1:6" x14ac:dyDescent="0.15">
      <c r="A774" s="58">
        <v>35711</v>
      </c>
      <c r="B774" s="57" t="s">
        <v>74</v>
      </c>
      <c r="C774" s="57" t="s">
        <v>81</v>
      </c>
      <c r="D774" s="57" t="s">
        <v>33</v>
      </c>
      <c r="E774" s="57">
        <v>780</v>
      </c>
      <c r="F774" s="57">
        <v>10696</v>
      </c>
    </row>
    <row r="775" spans="1:6" x14ac:dyDescent="0.15">
      <c r="A775" s="58">
        <v>35711</v>
      </c>
      <c r="B775" s="57" t="s">
        <v>74</v>
      </c>
      <c r="C775" s="57" t="s">
        <v>81</v>
      </c>
      <c r="D775" s="57" t="s">
        <v>82</v>
      </c>
      <c r="E775" s="57">
        <v>216</v>
      </c>
      <c r="F775" s="57">
        <v>10696</v>
      </c>
    </row>
    <row r="776" spans="1:6" x14ac:dyDescent="0.15">
      <c r="A776" s="58">
        <v>35711</v>
      </c>
      <c r="B776" s="57" t="s">
        <v>80</v>
      </c>
      <c r="C776" s="57" t="s">
        <v>92</v>
      </c>
      <c r="D776" s="57" t="s">
        <v>77</v>
      </c>
      <c r="E776" s="57">
        <v>48.300000000000004</v>
      </c>
      <c r="F776" s="57">
        <v>10697</v>
      </c>
    </row>
    <row r="777" spans="1:6" x14ac:dyDescent="0.15">
      <c r="A777" s="58">
        <v>35711</v>
      </c>
      <c r="B777" s="57" t="s">
        <v>80</v>
      </c>
      <c r="C777" s="57" t="s">
        <v>92</v>
      </c>
      <c r="D777" s="57" t="s">
        <v>42</v>
      </c>
      <c r="E777" s="57">
        <v>121.5</v>
      </c>
      <c r="F777" s="57">
        <v>10697</v>
      </c>
    </row>
    <row r="778" spans="1:6" x14ac:dyDescent="0.15">
      <c r="A778" s="58">
        <v>35711</v>
      </c>
      <c r="B778" s="57" t="s">
        <v>80</v>
      </c>
      <c r="C778" s="57" t="s">
        <v>92</v>
      </c>
      <c r="D778" s="57" t="s">
        <v>82</v>
      </c>
      <c r="E778" s="57">
        <v>298.125</v>
      </c>
      <c r="F778" s="57">
        <v>10697</v>
      </c>
    </row>
    <row r="779" spans="1:6" x14ac:dyDescent="0.15">
      <c r="A779" s="58">
        <v>35711</v>
      </c>
      <c r="B779" s="57" t="s">
        <v>80</v>
      </c>
      <c r="C779" s="57" t="s">
        <v>92</v>
      </c>
      <c r="D779" s="57" t="s">
        <v>42</v>
      </c>
      <c r="E779" s="57">
        <v>337.5</v>
      </c>
      <c r="F779" s="57">
        <v>10697</v>
      </c>
    </row>
    <row r="780" spans="1:6" x14ac:dyDescent="0.15">
      <c r="A780" s="58">
        <v>35712</v>
      </c>
      <c r="B780" s="57" t="s">
        <v>80</v>
      </c>
      <c r="C780" s="57" t="s">
        <v>92</v>
      </c>
      <c r="D780" s="57" t="s">
        <v>73</v>
      </c>
      <c r="E780" s="57">
        <v>315</v>
      </c>
      <c r="F780" s="57">
        <v>10698</v>
      </c>
    </row>
    <row r="781" spans="1:6" x14ac:dyDescent="0.15">
      <c r="A781" s="58">
        <v>35712</v>
      </c>
      <c r="B781" s="57" t="s">
        <v>80</v>
      </c>
      <c r="C781" s="57" t="s">
        <v>92</v>
      </c>
      <c r="D781" s="57" t="s">
        <v>33</v>
      </c>
      <c r="E781" s="57">
        <v>296.39999976754189</v>
      </c>
      <c r="F781" s="57">
        <v>10698</v>
      </c>
    </row>
    <row r="782" spans="1:6" x14ac:dyDescent="0.15">
      <c r="A782" s="58">
        <v>35712</v>
      </c>
      <c r="B782" s="57" t="s">
        <v>80</v>
      </c>
      <c r="C782" s="57" t="s">
        <v>92</v>
      </c>
      <c r="D782" s="57" t="s">
        <v>33</v>
      </c>
      <c r="E782" s="57">
        <v>1411.2059988932313</v>
      </c>
      <c r="F782" s="57">
        <v>10698</v>
      </c>
    </row>
    <row r="783" spans="1:6" x14ac:dyDescent="0.15">
      <c r="A783" s="58">
        <v>35712</v>
      </c>
      <c r="B783" s="57" t="s">
        <v>80</v>
      </c>
      <c r="C783" s="57" t="s">
        <v>92</v>
      </c>
      <c r="D783" s="57" t="s">
        <v>88</v>
      </c>
      <c r="E783" s="57">
        <v>1299.8374989805743</v>
      </c>
      <c r="F783" s="57">
        <v>10698</v>
      </c>
    </row>
    <row r="784" spans="1:6" x14ac:dyDescent="0.15">
      <c r="A784" s="58">
        <v>35712</v>
      </c>
      <c r="B784" s="57" t="s">
        <v>80</v>
      </c>
      <c r="C784" s="57" t="s">
        <v>92</v>
      </c>
      <c r="D784" s="57" t="s">
        <v>42</v>
      </c>
      <c r="E784" s="57">
        <v>113.99999991059303</v>
      </c>
      <c r="F784" s="57">
        <v>10698</v>
      </c>
    </row>
    <row r="785" spans="1:6" x14ac:dyDescent="0.15">
      <c r="A785" s="58">
        <v>35712</v>
      </c>
      <c r="B785" s="57" t="s">
        <v>74</v>
      </c>
      <c r="C785" s="57" t="s">
        <v>75</v>
      </c>
      <c r="D785" s="57" t="s">
        <v>77</v>
      </c>
      <c r="E785" s="57">
        <v>114</v>
      </c>
      <c r="F785" s="57">
        <v>10699</v>
      </c>
    </row>
    <row r="786" spans="1:6" x14ac:dyDescent="0.15">
      <c r="A786" s="58">
        <v>35713</v>
      </c>
      <c r="B786" s="57" t="s">
        <v>80</v>
      </c>
      <c r="C786" s="57" t="s">
        <v>96</v>
      </c>
      <c r="D786" s="57" t="s">
        <v>42</v>
      </c>
      <c r="E786" s="57">
        <v>71.999999731779099</v>
      </c>
      <c r="F786" s="57">
        <v>10700</v>
      </c>
    </row>
    <row r="787" spans="1:6" x14ac:dyDescent="0.15">
      <c r="A787" s="58">
        <v>35713</v>
      </c>
      <c r="B787" s="57" t="s">
        <v>80</v>
      </c>
      <c r="C787" s="57" t="s">
        <v>96</v>
      </c>
      <c r="D787" s="57" t="s">
        <v>42</v>
      </c>
      <c r="E787" s="57">
        <v>134.39999949932098</v>
      </c>
      <c r="F787" s="57">
        <v>10700</v>
      </c>
    </row>
    <row r="788" spans="1:6" x14ac:dyDescent="0.15">
      <c r="A788" s="58">
        <v>35713</v>
      </c>
      <c r="B788" s="57" t="s">
        <v>80</v>
      </c>
      <c r="C788" s="57" t="s">
        <v>96</v>
      </c>
      <c r="D788" s="57" t="s">
        <v>77</v>
      </c>
      <c r="E788" s="57">
        <v>399.99999850988388</v>
      </c>
      <c r="F788" s="57">
        <v>10700</v>
      </c>
    </row>
    <row r="789" spans="1:6" x14ac:dyDescent="0.15">
      <c r="A789" s="58">
        <v>35713</v>
      </c>
      <c r="B789" s="57" t="s">
        <v>80</v>
      </c>
      <c r="C789" s="57" t="s">
        <v>96</v>
      </c>
      <c r="D789" s="57" t="s">
        <v>73</v>
      </c>
      <c r="E789" s="57">
        <v>1031.9999961555004</v>
      </c>
      <c r="F789" s="57">
        <v>10700</v>
      </c>
    </row>
    <row r="790" spans="1:6" x14ac:dyDescent="0.15">
      <c r="A790" s="58">
        <v>35716</v>
      </c>
      <c r="B790" s="57" t="s">
        <v>74</v>
      </c>
      <c r="C790" s="57" t="s">
        <v>75</v>
      </c>
      <c r="D790" s="57" t="s">
        <v>73</v>
      </c>
      <c r="E790" s="57">
        <v>1963.4999862313271</v>
      </c>
      <c r="F790" s="57">
        <v>10701</v>
      </c>
    </row>
    <row r="791" spans="1:6" x14ac:dyDescent="0.15">
      <c r="A791" s="58">
        <v>35716</v>
      </c>
      <c r="B791" s="57" t="s">
        <v>74</v>
      </c>
      <c r="C791" s="57" t="s">
        <v>75</v>
      </c>
      <c r="D791" s="57" t="s">
        <v>73</v>
      </c>
      <c r="E791" s="57">
        <v>365.49999743700027</v>
      </c>
      <c r="F791" s="57">
        <v>10701</v>
      </c>
    </row>
    <row r="792" spans="1:6" x14ac:dyDescent="0.15">
      <c r="A792" s="58">
        <v>35716</v>
      </c>
      <c r="B792" s="57" t="s">
        <v>74</v>
      </c>
      <c r="C792" s="57" t="s">
        <v>75</v>
      </c>
      <c r="D792" s="57" t="s">
        <v>42</v>
      </c>
      <c r="E792" s="57">
        <v>535.49999624490738</v>
      </c>
      <c r="F792" s="57">
        <v>10701</v>
      </c>
    </row>
    <row r="793" spans="1:6" x14ac:dyDescent="0.15">
      <c r="A793" s="58">
        <v>35716</v>
      </c>
      <c r="B793" s="57" t="s">
        <v>80</v>
      </c>
      <c r="C793" s="57" t="s">
        <v>75</v>
      </c>
      <c r="D793" s="57" t="s">
        <v>88</v>
      </c>
      <c r="E793" s="57">
        <v>60</v>
      </c>
      <c r="F793" s="57">
        <v>10702</v>
      </c>
    </row>
    <row r="794" spans="1:6" x14ac:dyDescent="0.15">
      <c r="A794" s="58">
        <v>35716</v>
      </c>
      <c r="B794" s="57" t="s">
        <v>80</v>
      </c>
      <c r="C794" s="57" t="s">
        <v>75</v>
      </c>
      <c r="D794" s="57" t="s">
        <v>42</v>
      </c>
      <c r="E794" s="57">
        <v>270</v>
      </c>
      <c r="F794" s="57">
        <v>10702</v>
      </c>
    </row>
    <row r="795" spans="1:6" x14ac:dyDescent="0.15">
      <c r="A795" s="58">
        <v>35717</v>
      </c>
      <c r="B795" s="57" t="s">
        <v>91</v>
      </c>
      <c r="C795" s="57" t="s">
        <v>81</v>
      </c>
      <c r="D795" s="57" t="s">
        <v>42</v>
      </c>
      <c r="E795" s="57">
        <v>95</v>
      </c>
      <c r="F795" s="57">
        <v>10703</v>
      </c>
    </row>
    <row r="796" spans="1:6" x14ac:dyDescent="0.15">
      <c r="A796" s="58">
        <v>35717</v>
      </c>
      <c r="B796" s="57" t="s">
        <v>91</v>
      </c>
      <c r="C796" s="57" t="s">
        <v>81</v>
      </c>
      <c r="D796" s="57" t="s">
        <v>73</v>
      </c>
      <c r="E796" s="57">
        <v>1925</v>
      </c>
      <c r="F796" s="57">
        <v>10703</v>
      </c>
    </row>
    <row r="797" spans="1:6" x14ac:dyDescent="0.15">
      <c r="A797" s="58">
        <v>35717</v>
      </c>
      <c r="B797" s="57" t="s">
        <v>91</v>
      </c>
      <c r="C797" s="57" t="s">
        <v>81</v>
      </c>
      <c r="D797" s="57" t="s">
        <v>82</v>
      </c>
      <c r="E797" s="57">
        <v>525</v>
      </c>
      <c r="F797" s="57">
        <v>10703</v>
      </c>
    </row>
    <row r="798" spans="1:6" x14ac:dyDescent="0.15">
      <c r="A798" s="58">
        <v>35717</v>
      </c>
      <c r="B798" s="57" t="s">
        <v>80</v>
      </c>
      <c r="C798" s="57" t="s">
        <v>75</v>
      </c>
      <c r="D798" s="57" t="s">
        <v>88</v>
      </c>
      <c r="E798" s="57">
        <v>132</v>
      </c>
      <c r="F798" s="57">
        <v>10704</v>
      </c>
    </row>
    <row r="799" spans="1:6" x14ac:dyDescent="0.15">
      <c r="A799" s="58">
        <v>35717</v>
      </c>
      <c r="B799" s="57" t="s">
        <v>80</v>
      </c>
      <c r="C799" s="57" t="s">
        <v>75</v>
      </c>
      <c r="D799" s="57" t="s">
        <v>42</v>
      </c>
      <c r="E799" s="57">
        <v>157.5</v>
      </c>
      <c r="F799" s="57">
        <v>10704</v>
      </c>
    </row>
    <row r="800" spans="1:6" x14ac:dyDescent="0.15">
      <c r="A800" s="58">
        <v>35717</v>
      </c>
      <c r="B800" s="57" t="s">
        <v>80</v>
      </c>
      <c r="C800" s="57" t="s">
        <v>75</v>
      </c>
      <c r="D800" s="57" t="s">
        <v>77</v>
      </c>
      <c r="E800" s="57">
        <v>306</v>
      </c>
      <c r="F800" s="57">
        <v>10704</v>
      </c>
    </row>
    <row r="801" spans="1:6" x14ac:dyDescent="0.15">
      <c r="A801" s="58">
        <v>35718</v>
      </c>
      <c r="B801" s="57" t="s">
        <v>91</v>
      </c>
      <c r="C801" s="57" t="s">
        <v>92</v>
      </c>
      <c r="D801" s="57" t="s">
        <v>73</v>
      </c>
      <c r="E801" s="57">
        <v>250</v>
      </c>
      <c r="F801" s="57">
        <v>10705</v>
      </c>
    </row>
    <row r="802" spans="1:6" x14ac:dyDescent="0.15">
      <c r="A802" s="58">
        <v>35718</v>
      </c>
      <c r="B802" s="57" t="s">
        <v>91</v>
      </c>
      <c r="C802" s="57" t="s">
        <v>92</v>
      </c>
      <c r="D802" s="57" t="s">
        <v>73</v>
      </c>
      <c r="E802" s="57">
        <v>128</v>
      </c>
      <c r="F802" s="57">
        <v>10705</v>
      </c>
    </row>
    <row r="803" spans="1:6" x14ac:dyDescent="0.15">
      <c r="A803" s="58">
        <v>35719</v>
      </c>
      <c r="B803" s="57" t="s">
        <v>74</v>
      </c>
      <c r="C803" s="57" t="s">
        <v>81</v>
      </c>
      <c r="D803" s="57" t="s">
        <v>77</v>
      </c>
      <c r="E803" s="57">
        <v>349</v>
      </c>
      <c r="F803" s="57">
        <v>10706</v>
      </c>
    </row>
    <row r="804" spans="1:6" x14ac:dyDescent="0.15">
      <c r="A804" s="58">
        <v>35719</v>
      </c>
      <c r="B804" s="57" t="s">
        <v>74</v>
      </c>
      <c r="C804" s="57" t="s">
        <v>81</v>
      </c>
      <c r="D804" s="57" t="s">
        <v>42</v>
      </c>
      <c r="E804" s="57">
        <v>1104</v>
      </c>
      <c r="F804" s="57">
        <v>10706</v>
      </c>
    </row>
    <row r="805" spans="1:6" x14ac:dyDescent="0.15">
      <c r="A805" s="58">
        <v>35719</v>
      </c>
      <c r="B805" s="57" t="s">
        <v>74</v>
      </c>
      <c r="C805" s="57" t="s">
        <v>81</v>
      </c>
      <c r="D805" s="57" t="s">
        <v>73</v>
      </c>
      <c r="E805" s="57">
        <v>440</v>
      </c>
      <c r="F805" s="57">
        <v>10706</v>
      </c>
    </row>
    <row r="806" spans="1:6" x14ac:dyDescent="0.15">
      <c r="A806" s="58">
        <v>35719</v>
      </c>
      <c r="B806" s="57" t="s">
        <v>74</v>
      </c>
      <c r="C806" s="57" t="s">
        <v>92</v>
      </c>
      <c r="D806" s="57" t="s">
        <v>33</v>
      </c>
      <c r="E806" s="57">
        <v>504</v>
      </c>
      <c r="F806" s="57">
        <v>10707</v>
      </c>
    </row>
    <row r="807" spans="1:6" x14ac:dyDescent="0.15">
      <c r="A807" s="58">
        <v>35719</v>
      </c>
      <c r="B807" s="57" t="s">
        <v>74</v>
      </c>
      <c r="C807" s="57" t="s">
        <v>92</v>
      </c>
      <c r="D807" s="57" t="s">
        <v>86</v>
      </c>
      <c r="E807" s="57">
        <v>780</v>
      </c>
      <c r="F807" s="57">
        <v>10707</v>
      </c>
    </row>
    <row r="808" spans="1:6" x14ac:dyDescent="0.15">
      <c r="A808" s="58">
        <v>35719</v>
      </c>
      <c r="B808" s="57" t="s">
        <v>74</v>
      </c>
      <c r="C808" s="57" t="s">
        <v>92</v>
      </c>
      <c r="D808" s="57" t="s">
        <v>42</v>
      </c>
      <c r="E808" s="57">
        <v>356.99999749660492</v>
      </c>
      <c r="F808" s="57">
        <v>10707</v>
      </c>
    </row>
    <row r="809" spans="1:6" x14ac:dyDescent="0.15">
      <c r="A809" s="58">
        <v>35720</v>
      </c>
      <c r="B809" s="57" t="s">
        <v>91</v>
      </c>
      <c r="C809" s="57" t="s">
        <v>92</v>
      </c>
      <c r="D809" s="57" t="s">
        <v>88</v>
      </c>
      <c r="E809" s="57">
        <v>85.4</v>
      </c>
      <c r="F809" s="57">
        <v>10708</v>
      </c>
    </row>
    <row r="810" spans="1:6" x14ac:dyDescent="0.15">
      <c r="A810" s="58">
        <v>35720</v>
      </c>
      <c r="B810" s="57" t="s">
        <v>91</v>
      </c>
      <c r="C810" s="57" t="s">
        <v>92</v>
      </c>
      <c r="D810" s="57" t="s">
        <v>82</v>
      </c>
      <c r="E810" s="57">
        <v>95</v>
      </c>
      <c r="F810" s="57">
        <v>10708</v>
      </c>
    </row>
    <row r="811" spans="1:6" x14ac:dyDescent="0.15">
      <c r="A811" s="58">
        <v>35720</v>
      </c>
      <c r="B811" s="57" t="s">
        <v>74</v>
      </c>
      <c r="C811" s="57" t="s">
        <v>81</v>
      </c>
      <c r="D811" s="57" t="s">
        <v>88</v>
      </c>
      <c r="E811" s="57">
        <v>1600</v>
      </c>
      <c r="F811" s="57">
        <v>10709</v>
      </c>
    </row>
    <row r="812" spans="1:6" x14ac:dyDescent="0.15">
      <c r="A812" s="58">
        <v>35720</v>
      </c>
      <c r="B812" s="57" t="s">
        <v>74</v>
      </c>
      <c r="C812" s="57" t="s">
        <v>81</v>
      </c>
      <c r="D812" s="57" t="s">
        <v>95</v>
      </c>
      <c r="E812" s="57">
        <v>1484</v>
      </c>
      <c r="F812" s="57">
        <v>10709</v>
      </c>
    </row>
    <row r="813" spans="1:6" x14ac:dyDescent="0.15">
      <c r="A813" s="58">
        <v>35720</v>
      </c>
      <c r="B813" s="57" t="s">
        <v>74</v>
      </c>
      <c r="C813" s="57" t="s">
        <v>81</v>
      </c>
      <c r="D813" s="57" t="s">
        <v>73</v>
      </c>
      <c r="E813" s="57">
        <v>340</v>
      </c>
      <c r="F813" s="57">
        <v>10709</v>
      </c>
    </row>
    <row r="814" spans="1:6" x14ac:dyDescent="0.15">
      <c r="A814" s="58">
        <v>35723</v>
      </c>
      <c r="B814" s="57" t="s">
        <v>80</v>
      </c>
      <c r="C814" s="57" t="s">
        <v>81</v>
      </c>
      <c r="D814" s="57" t="s">
        <v>77</v>
      </c>
      <c r="E814" s="57">
        <v>46</v>
      </c>
      <c r="F814" s="57">
        <v>10710</v>
      </c>
    </row>
    <row r="815" spans="1:6" x14ac:dyDescent="0.15">
      <c r="A815" s="58">
        <v>35723</v>
      </c>
      <c r="B815" s="57" t="s">
        <v>80</v>
      </c>
      <c r="C815" s="57" t="s">
        <v>81</v>
      </c>
      <c r="D815" s="57" t="s">
        <v>77</v>
      </c>
      <c r="E815" s="57">
        <v>47.5</v>
      </c>
      <c r="F815" s="57">
        <v>10710</v>
      </c>
    </row>
    <row r="816" spans="1:6" x14ac:dyDescent="0.15">
      <c r="A816" s="58">
        <v>35724</v>
      </c>
      <c r="B816" s="57" t="s">
        <v>91</v>
      </c>
      <c r="C816" s="57" t="s">
        <v>96</v>
      </c>
      <c r="D816" s="57" t="s">
        <v>77</v>
      </c>
      <c r="E816" s="57">
        <v>110.4</v>
      </c>
      <c r="F816" s="57">
        <v>10711</v>
      </c>
    </row>
    <row r="817" spans="1:6" x14ac:dyDescent="0.15">
      <c r="A817" s="58">
        <v>35724</v>
      </c>
      <c r="B817" s="57" t="s">
        <v>91</v>
      </c>
      <c r="C817" s="57" t="s">
        <v>96</v>
      </c>
      <c r="D817" s="57" t="s">
        <v>82</v>
      </c>
      <c r="E817" s="57">
        <v>405.3</v>
      </c>
      <c r="F817" s="57">
        <v>10711</v>
      </c>
    </row>
    <row r="818" spans="1:6" x14ac:dyDescent="0.15">
      <c r="A818" s="58">
        <v>35724</v>
      </c>
      <c r="B818" s="57" t="s">
        <v>91</v>
      </c>
      <c r="C818" s="57" t="s">
        <v>96</v>
      </c>
      <c r="D818" s="57" t="s">
        <v>33</v>
      </c>
      <c r="E818" s="57">
        <v>3936</v>
      </c>
      <c r="F818" s="57">
        <v>10711</v>
      </c>
    </row>
    <row r="819" spans="1:6" x14ac:dyDescent="0.15">
      <c r="A819" s="58">
        <v>35724</v>
      </c>
      <c r="B819" s="57" t="s">
        <v>80</v>
      </c>
      <c r="C819" s="57" t="s">
        <v>75</v>
      </c>
      <c r="D819" s="57" t="s">
        <v>33</v>
      </c>
      <c r="E819" s="57">
        <v>93.47999992668629</v>
      </c>
      <c r="F819" s="57">
        <v>10712</v>
      </c>
    </row>
    <row r="820" spans="1:6" x14ac:dyDescent="0.15">
      <c r="A820" s="58">
        <v>35724</v>
      </c>
      <c r="B820" s="57" t="s">
        <v>80</v>
      </c>
      <c r="C820" s="57" t="s">
        <v>75</v>
      </c>
      <c r="D820" s="57" t="s">
        <v>86</v>
      </c>
      <c r="E820" s="57">
        <v>1140</v>
      </c>
      <c r="F820" s="57">
        <v>10712</v>
      </c>
    </row>
    <row r="821" spans="1:6" x14ac:dyDescent="0.15">
      <c r="A821" s="58">
        <v>35725</v>
      </c>
      <c r="B821" s="57" t="s">
        <v>80</v>
      </c>
      <c r="C821" s="57" t="s">
        <v>96</v>
      </c>
      <c r="D821" s="57" t="s">
        <v>82</v>
      </c>
      <c r="E821" s="57">
        <v>558</v>
      </c>
      <c r="F821" s="57">
        <v>10713</v>
      </c>
    </row>
    <row r="822" spans="1:6" x14ac:dyDescent="0.15">
      <c r="A822" s="58">
        <v>35725</v>
      </c>
      <c r="B822" s="57" t="s">
        <v>80</v>
      </c>
      <c r="C822" s="57" t="s">
        <v>96</v>
      </c>
      <c r="D822" s="57" t="s">
        <v>77</v>
      </c>
      <c r="E822" s="57">
        <v>936.9</v>
      </c>
      <c r="F822" s="57">
        <v>10713</v>
      </c>
    </row>
    <row r="823" spans="1:6" x14ac:dyDescent="0.15">
      <c r="A823" s="58">
        <v>35725</v>
      </c>
      <c r="B823" s="57" t="s">
        <v>80</v>
      </c>
      <c r="C823" s="57" t="s">
        <v>96</v>
      </c>
      <c r="D823" s="57" t="s">
        <v>82</v>
      </c>
      <c r="E823" s="57">
        <v>1045</v>
      </c>
      <c r="F823" s="57">
        <v>10713</v>
      </c>
    </row>
    <row r="824" spans="1:6" x14ac:dyDescent="0.15">
      <c r="A824" s="58">
        <v>35725</v>
      </c>
      <c r="B824" s="57" t="s">
        <v>80</v>
      </c>
      <c r="C824" s="57" t="s">
        <v>96</v>
      </c>
      <c r="D824" s="57" t="s">
        <v>82</v>
      </c>
      <c r="E824" s="57">
        <v>288</v>
      </c>
      <c r="F824" s="57">
        <v>10713</v>
      </c>
    </row>
    <row r="825" spans="1:6" x14ac:dyDescent="0.15">
      <c r="A825" s="58">
        <v>35725</v>
      </c>
      <c r="B825" s="57" t="s">
        <v>74</v>
      </c>
      <c r="C825" s="57" t="s">
        <v>96</v>
      </c>
      <c r="D825" s="57" t="s">
        <v>42</v>
      </c>
      <c r="E825" s="57">
        <v>427.5</v>
      </c>
      <c r="F825" s="57">
        <v>10714</v>
      </c>
    </row>
    <row r="826" spans="1:6" x14ac:dyDescent="0.15">
      <c r="A826" s="58">
        <v>35725</v>
      </c>
      <c r="B826" s="57" t="s">
        <v>74</v>
      </c>
      <c r="C826" s="57" t="s">
        <v>96</v>
      </c>
      <c r="D826" s="57" t="s">
        <v>33</v>
      </c>
      <c r="E826" s="57">
        <v>789.75</v>
      </c>
      <c r="F826" s="57">
        <v>10714</v>
      </c>
    </row>
    <row r="827" spans="1:6" x14ac:dyDescent="0.15">
      <c r="A827" s="58">
        <v>35725</v>
      </c>
      <c r="B827" s="57" t="s">
        <v>74</v>
      </c>
      <c r="C827" s="57" t="s">
        <v>96</v>
      </c>
      <c r="D827" s="57" t="s">
        <v>77</v>
      </c>
      <c r="E827" s="57">
        <v>356.25</v>
      </c>
      <c r="F827" s="57">
        <v>10714</v>
      </c>
    </row>
    <row r="828" spans="1:6" x14ac:dyDescent="0.15">
      <c r="A828" s="58">
        <v>35725</v>
      </c>
      <c r="B828" s="57" t="s">
        <v>74</v>
      </c>
      <c r="C828" s="57" t="s">
        <v>96</v>
      </c>
      <c r="D828" s="57" t="s">
        <v>86</v>
      </c>
      <c r="E828" s="57">
        <v>513</v>
      </c>
      <c r="F828" s="57">
        <v>10714</v>
      </c>
    </row>
    <row r="829" spans="1:6" x14ac:dyDescent="0.15">
      <c r="A829" s="58">
        <v>35725</v>
      </c>
      <c r="B829" s="57" t="s">
        <v>74</v>
      </c>
      <c r="C829" s="57" t="s">
        <v>96</v>
      </c>
      <c r="D829" s="57" t="s">
        <v>82</v>
      </c>
      <c r="E829" s="57">
        <v>119.25</v>
      </c>
      <c r="F829" s="57">
        <v>10714</v>
      </c>
    </row>
    <row r="830" spans="1:6" x14ac:dyDescent="0.15">
      <c r="A830" s="58">
        <v>35726</v>
      </c>
      <c r="B830" s="57" t="s">
        <v>80</v>
      </c>
      <c r="C830" s="57" t="s">
        <v>96</v>
      </c>
      <c r="D830" s="57" t="s">
        <v>82</v>
      </c>
      <c r="E830" s="57">
        <v>651</v>
      </c>
      <c r="F830" s="57">
        <v>10715</v>
      </c>
    </row>
    <row r="831" spans="1:6" x14ac:dyDescent="0.15">
      <c r="A831" s="58">
        <v>35726</v>
      </c>
      <c r="B831" s="57" t="s">
        <v>80</v>
      </c>
      <c r="C831" s="57" t="s">
        <v>96</v>
      </c>
      <c r="D831" s="57" t="s">
        <v>73</v>
      </c>
      <c r="E831" s="57">
        <v>645</v>
      </c>
      <c r="F831" s="57">
        <v>10715</v>
      </c>
    </row>
    <row r="832" spans="1:6" x14ac:dyDescent="0.15">
      <c r="A832" s="58">
        <v>35727</v>
      </c>
      <c r="B832" s="57" t="s">
        <v>91</v>
      </c>
      <c r="C832" s="57" t="s">
        <v>92</v>
      </c>
      <c r="D832" s="57" t="s">
        <v>77</v>
      </c>
      <c r="E832" s="57">
        <v>50</v>
      </c>
      <c r="F832" s="57">
        <v>10716</v>
      </c>
    </row>
    <row r="833" spans="1:6" x14ac:dyDescent="0.15">
      <c r="A833" s="58">
        <v>35727</v>
      </c>
      <c r="B833" s="57" t="s">
        <v>91</v>
      </c>
      <c r="C833" s="57" t="s">
        <v>92</v>
      </c>
      <c r="D833" s="57" t="s">
        <v>95</v>
      </c>
      <c r="E833" s="57">
        <v>371</v>
      </c>
      <c r="F833" s="57">
        <v>10716</v>
      </c>
    </row>
    <row r="834" spans="1:6" x14ac:dyDescent="0.15">
      <c r="A834" s="58">
        <v>35727</v>
      </c>
      <c r="B834" s="57" t="s">
        <v>91</v>
      </c>
      <c r="C834" s="57" t="s">
        <v>92</v>
      </c>
      <c r="D834" s="57" t="s">
        <v>88</v>
      </c>
      <c r="E834" s="57">
        <v>285</v>
      </c>
      <c r="F834" s="57">
        <v>10716</v>
      </c>
    </row>
    <row r="835" spans="1:6" x14ac:dyDescent="0.15">
      <c r="A835" s="58">
        <v>35727</v>
      </c>
      <c r="B835" s="57" t="s">
        <v>91</v>
      </c>
      <c r="C835" s="57" t="s">
        <v>75</v>
      </c>
      <c r="D835" s="57" t="s">
        <v>77</v>
      </c>
      <c r="E835" s="57">
        <v>303.99999976158142</v>
      </c>
      <c r="F835" s="57">
        <v>10717</v>
      </c>
    </row>
    <row r="836" spans="1:6" x14ac:dyDescent="0.15">
      <c r="A836" s="58">
        <v>35727</v>
      </c>
      <c r="B836" s="57" t="s">
        <v>91</v>
      </c>
      <c r="C836" s="57" t="s">
        <v>75</v>
      </c>
      <c r="D836" s="57" t="s">
        <v>33</v>
      </c>
      <c r="E836" s="57">
        <v>111.75</v>
      </c>
      <c r="F836" s="57">
        <v>10717</v>
      </c>
    </row>
    <row r="837" spans="1:6" x14ac:dyDescent="0.15">
      <c r="A837" s="58">
        <v>35727</v>
      </c>
      <c r="B837" s="57" t="s">
        <v>91</v>
      </c>
      <c r="C837" s="57" t="s">
        <v>75</v>
      </c>
      <c r="D837" s="57" t="s">
        <v>73</v>
      </c>
      <c r="E837" s="57">
        <v>854.99999932944775</v>
      </c>
      <c r="F837" s="57">
        <v>10717</v>
      </c>
    </row>
    <row r="838" spans="1:6" x14ac:dyDescent="0.15">
      <c r="A838" s="58">
        <v>35730</v>
      </c>
      <c r="B838" s="57" t="s">
        <v>74</v>
      </c>
      <c r="C838" s="57" t="s">
        <v>96</v>
      </c>
      <c r="D838" s="57" t="s">
        <v>73</v>
      </c>
      <c r="E838" s="57">
        <v>1368</v>
      </c>
      <c r="F838" s="57">
        <v>10718</v>
      </c>
    </row>
    <row r="839" spans="1:6" x14ac:dyDescent="0.15">
      <c r="A839" s="58">
        <v>35730</v>
      </c>
      <c r="B839" s="57" t="s">
        <v>74</v>
      </c>
      <c r="C839" s="57" t="s">
        <v>96</v>
      </c>
      <c r="D839" s="57" t="s">
        <v>77</v>
      </c>
      <c r="E839" s="57">
        <v>349</v>
      </c>
      <c r="F839" s="57">
        <v>10718</v>
      </c>
    </row>
    <row r="840" spans="1:6" x14ac:dyDescent="0.15">
      <c r="A840" s="58">
        <v>35730</v>
      </c>
      <c r="B840" s="57" t="s">
        <v>74</v>
      </c>
      <c r="C840" s="57" t="s">
        <v>96</v>
      </c>
      <c r="D840" s="57" t="s">
        <v>82</v>
      </c>
      <c r="E840" s="57">
        <v>760</v>
      </c>
      <c r="F840" s="57">
        <v>10718</v>
      </c>
    </row>
    <row r="841" spans="1:6" x14ac:dyDescent="0.15">
      <c r="A841" s="58">
        <v>35730</v>
      </c>
      <c r="B841" s="57" t="s">
        <v>74</v>
      </c>
      <c r="C841" s="57" t="s">
        <v>96</v>
      </c>
      <c r="D841" s="57" t="s">
        <v>77</v>
      </c>
      <c r="E841" s="57">
        <v>986</v>
      </c>
      <c r="F841" s="57">
        <v>10718</v>
      </c>
    </row>
    <row r="842" spans="1:6" x14ac:dyDescent="0.15">
      <c r="A842" s="58">
        <v>35730</v>
      </c>
      <c r="B842" s="57" t="s">
        <v>91</v>
      </c>
      <c r="C842" s="57" t="s">
        <v>92</v>
      </c>
      <c r="D842" s="57" t="s">
        <v>82</v>
      </c>
      <c r="E842" s="57">
        <v>562.5</v>
      </c>
      <c r="F842" s="57">
        <v>10719</v>
      </c>
    </row>
    <row r="843" spans="1:6" x14ac:dyDescent="0.15">
      <c r="A843" s="58">
        <v>35730</v>
      </c>
      <c r="B843" s="57" t="s">
        <v>91</v>
      </c>
      <c r="C843" s="57" t="s">
        <v>92</v>
      </c>
      <c r="D843" s="57" t="s">
        <v>82</v>
      </c>
      <c r="E843" s="57">
        <v>58.252499999999998</v>
      </c>
      <c r="F843" s="57">
        <v>10719</v>
      </c>
    </row>
    <row r="844" spans="1:6" x14ac:dyDescent="0.15">
      <c r="A844" s="58">
        <v>35730</v>
      </c>
      <c r="B844" s="57" t="s">
        <v>91</v>
      </c>
      <c r="C844" s="57" t="s">
        <v>92</v>
      </c>
      <c r="D844" s="57" t="s">
        <v>33</v>
      </c>
      <c r="E844" s="57">
        <v>223.5</v>
      </c>
      <c r="F844" s="57">
        <v>10719</v>
      </c>
    </row>
    <row r="845" spans="1:6" x14ac:dyDescent="0.15">
      <c r="A845" s="58">
        <v>35731</v>
      </c>
      <c r="B845" s="57" t="s">
        <v>91</v>
      </c>
      <c r="C845" s="57" t="s">
        <v>75</v>
      </c>
      <c r="D845" s="57" t="s">
        <v>42</v>
      </c>
      <c r="E845" s="57">
        <v>378</v>
      </c>
      <c r="F845" s="57">
        <v>10720</v>
      </c>
    </row>
    <row r="846" spans="1:6" x14ac:dyDescent="0.15">
      <c r="A846" s="58">
        <v>35731</v>
      </c>
      <c r="B846" s="57" t="s">
        <v>91</v>
      </c>
      <c r="C846" s="57" t="s">
        <v>75</v>
      </c>
      <c r="D846" s="57" t="s">
        <v>73</v>
      </c>
      <c r="E846" s="57">
        <v>172</v>
      </c>
      <c r="F846" s="57">
        <v>10720</v>
      </c>
    </row>
    <row r="847" spans="1:6" x14ac:dyDescent="0.15">
      <c r="A847" s="58">
        <v>35732</v>
      </c>
      <c r="B847" s="57" t="s">
        <v>74</v>
      </c>
      <c r="C847" s="57" t="s">
        <v>75</v>
      </c>
      <c r="D847" s="57" t="s">
        <v>88</v>
      </c>
      <c r="E847" s="57">
        <v>923.87499927543104</v>
      </c>
      <c r="F847" s="57">
        <v>10721</v>
      </c>
    </row>
    <row r="848" spans="1:6" x14ac:dyDescent="0.15">
      <c r="A848" s="58">
        <v>35732</v>
      </c>
      <c r="B848" s="57" t="s">
        <v>80</v>
      </c>
      <c r="C848" s="57" t="s">
        <v>96</v>
      </c>
      <c r="D848" s="57" t="s">
        <v>42</v>
      </c>
      <c r="E848" s="57">
        <v>57</v>
      </c>
      <c r="F848" s="57">
        <v>10722</v>
      </c>
    </row>
    <row r="849" spans="1:6" x14ac:dyDescent="0.15">
      <c r="A849" s="58">
        <v>35732</v>
      </c>
      <c r="B849" s="57" t="s">
        <v>80</v>
      </c>
      <c r="C849" s="57" t="s">
        <v>96</v>
      </c>
      <c r="D849" s="57" t="s">
        <v>73</v>
      </c>
      <c r="E849" s="57">
        <v>625</v>
      </c>
      <c r="F849" s="57">
        <v>10722</v>
      </c>
    </row>
    <row r="850" spans="1:6" x14ac:dyDescent="0.15">
      <c r="A850" s="58">
        <v>35732</v>
      </c>
      <c r="B850" s="57" t="s">
        <v>80</v>
      </c>
      <c r="C850" s="57" t="s">
        <v>96</v>
      </c>
      <c r="D850" s="57" t="s">
        <v>77</v>
      </c>
      <c r="E850" s="57">
        <v>562.5</v>
      </c>
      <c r="F850" s="57">
        <v>10722</v>
      </c>
    </row>
    <row r="851" spans="1:6" x14ac:dyDescent="0.15">
      <c r="A851" s="58">
        <v>35732</v>
      </c>
      <c r="B851" s="57" t="s">
        <v>80</v>
      </c>
      <c r="C851" s="57" t="s">
        <v>96</v>
      </c>
      <c r="D851" s="57" t="s">
        <v>42</v>
      </c>
      <c r="E851" s="57">
        <v>325.5</v>
      </c>
      <c r="F851" s="57">
        <v>10722</v>
      </c>
    </row>
    <row r="852" spans="1:6" x14ac:dyDescent="0.15">
      <c r="A852" s="58">
        <v>35733</v>
      </c>
      <c r="B852" s="57" t="s">
        <v>80</v>
      </c>
      <c r="C852" s="57" t="s">
        <v>81</v>
      </c>
      <c r="D852" s="57" t="s">
        <v>77</v>
      </c>
      <c r="E852" s="57">
        <v>468.45</v>
      </c>
      <c r="F852" s="57">
        <v>10723</v>
      </c>
    </row>
    <row r="853" spans="1:6" x14ac:dyDescent="0.15">
      <c r="A853" s="58">
        <v>35733</v>
      </c>
      <c r="B853" s="57" t="s">
        <v>91</v>
      </c>
      <c r="C853" s="57" t="s">
        <v>97</v>
      </c>
      <c r="D853" s="57" t="s">
        <v>82</v>
      </c>
      <c r="E853" s="57">
        <v>496</v>
      </c>
      <c r="F853" s="57">
        <v>10724</v>
      </c>
    </row>
    <row r="854" spans="1:6" x14ac:dyDescent="0.15">
      <c r="A854" s="58">
        <v>35733</v>
      </c>
      <c r="B854" s="57" t="s">
        <v>91</v>
      </c>
      <c r="C854" s="57" t="s">
        <v>97</v>
      </c>
      <c r="D854" s="57" t="s">
        <v>88</v>
      </c>
      <c r="E854" s="57">
        <v>142.5</v>
      </c>
      <c r="F854" s="57">
        <v>10724</v>
      </c>
    </row>
    <row r="855" spans="1:6" x14ac:dyDescent="0.15">
      <c r="A855" s="58">
        <v>35734</v>
      </c>
      <c r="B855" s="57" t="s">
        <v>74</v>
      </c>
      <c r="C855" s="57" t="s">
        <v>92</v>
      </c>
      <c r="D855" s="57" t="s">
        <v>82</v>
      </c>
      <c r="E855" s="57">
        <v>115.8</v>
      </c>
      <c r="F855" s="57">
        <v>10725</v>
      </c>
    </row>
    <row r="856" spans="1:6" x14ac:dyDescent="0.15">
      <c r="A856" s="58">
        <v>35734</v>
      </c>
      <c r="B856" s="57" t="s">
        <v>74</v>
      </c>
      <c r="C856" s="57" t="s">
        <v>92</v>
      </c>
      <c r="D856" s="57" t="s">
        <v>86</v>
      </c>
      <c r="E856" s="57">
        <v>28</v>
      </c>
      <c r="F856" s="57">
        <v>10725</v>
      </c>
    </row>
    <row r="857" spans="1:6" x14ac:dyDescent="0.15">
      <c r="A857" s="58">
        <v>35734</v>
      </c>
      <c r="B857" s="57" t="s">
        <v>74</v>
      </c>
      <c r="C857" s="57" t="s">
        <v>92</v>
      </c>
      <c r="D857" s="57" t="s">
        <v>33</v>
      </c>
      <c r="E857" s="57">
        <v>144</v>
      </c>
      <c r="F857" s="57">
        <v>10725</v>
      </c>
    </row>
    <row r="858" spans="1:6" x14ac:dyDescent="0.15">
      <c r="A858" s="58">
        <v>35737</v>
      </c>
      <c r="B858" s="57" t="s">
        <v>80</v>
      </c>
      <c r="C858" s="57" t="s">
        <v>75</v>
      </c>
      <c r="D858" s="57" t="s">
        <v>88</v>
      </c>
      <c r="E858" s="57">
        <v>550</v>
      </c>
      <c r="F858" s="57">
        <v>10726</v>
      </c>
    </row>
    <row r="859" spans="1:6" x14ac:dyDescent="0.15">
      <c r="A859" s="58">
        <v>35737</v>
      </c>
      <c r="B859" s="57" t="s">
        <v>80</v>
      </c>
      <c r="C859" s="57" t="s">
        <v>75</v>
      </c>
      <c r="D859" s="57" t="s">
        <v>73</v>
      </c>
      <c r="E859" s="57">
        <v>105</v>
      </c>
      <c r="F859" s="57">
        <v>10726</v>
      </c>
    </row>
    <row r="860" spans="1:6" x14ac:dyDescent="0.15">
      <c r="A860" s="58">
        <v>35737</v>
      </c>
      <c r="B860" s="57" t="s">
        <v>80</v>
      </c>
      <c r="C860" s="57" t="s">
        <v>75</v>
      </c>
      <c r="D860" s="57" t="s">
        <v>33</v>
      </c>
      <c r="E860" s="57">
        <v>740.99999941885471</v>
      </c>
      <c r="F860" s="57">
        <v>10727</v>
      </c>
    </row>
    <row r="861" spans="1:6" x14ac:dyDescent="0.15">
      <c r="A861" s="58">
        <v>35737</v>
      </c>
      <c r="B861" s="57" t="s">
        <v>80</v>
      </c>
      <c r="C861" s="57" t="s">
        <v>75</v>
      </c>
      <c r="D861" s="57" t="s">
        <v>86</v>
      </c>
      <c r="E861" s="57">
        <v>360.99999971687794</v>
      </c>
      <c r="F861" s="57">
        <v>10727</v>
      </c>
    </row>
    <row r="862" spans="1:6" x14ac:dyDescent="0.15">
      <c r="A862" s="58">
        <v>35737</v>
      </c>
      <c r="B862" s="57" t="s">
        <v>80</v>
      </c>
      <c r="C862" s="57" t="s">
        <v>75</v>
      </c>
      <c r="D862" s="57" t="s">
        <v>73</v>
      </c>
      <c r="E862" s="57">
        <v>522.49999959021807</v>
      </c>
      <c r="F862" s="57">
        <v>10727</v>
      </c>
    </row>
    <row r="863" spans="1:6" x14ac:dyDescent="0.15">
      <c r="A863" s="58">
        <v>35738</v>
      </c>
      <c r="B863" s="57" t="s">
        <v>91</v>
      </c>
      <c r="C863" s="57" t="s">
        <v>75</v>
      </c>
      <c r="D863" s="57" t="s">
        <v>82</v>
      </c>
      <c r="E863" s="57">
        <v>388.35</v>
      </c>
      <c r="F863" s="57">
        <v>10728</v>
      </c>
    </row>
    <row r="864" spans="1:6" x14ac:dyDescent="0.15">
      <c r="A864" s="58">
        <v>35738</v>
      </c>
      <c r="B864" s="57" t="s">
        <v>91</v>
      </c>
      <c r="C864" s="57" t="s">
        <v>75</v>
      </c>
      <c r="D864" s="57" t="s">
        <v>82</v>
      </c>
      <c r="E864" s="57">
        <v>110.4</v>
      </c>
      <c r="F864" s="57">
        <v>10728</v>
      </c>
    </row>
    <row r="865" spans="1:6" x14ac:dyDescent="0.15">
      <c r="A865" s="58">
        <v>35738</v>
      </c>
      <c r="B865" s="57" t="s">
        <v>91</v>
      </c>
      <c r="C865" s="57" t="s">
        <v>75</v>
      </c>
      <c r="D865" s="57" t="s">
        <v>33</v>
      </c>
      <c r="E865" s="57">
        <v>288</v>
      </c>
      <c r="F865" s="57">
        <v>10728</v>
      </c>
    </row>
    <row r="866" spans="1:6" x14ac:dyDescent="0.15">
      <c r="A866" s="58">
        <v>35738</v>
      </c>
      <c r="B866" s="57" t="s">
        <v>91</v>
      </c>
      <c r="C866" s="57" t="s">
        <v>75</v>
      </c>
      <c r="D866" s="57" t="s">
        <v>73</v>
      </c>
      <c r="E866" s="57">
        <v>510</v>
      </c>
      <c r="F866" s="57">
        <v>10728</v>
      </c>
    </row>
    <row r="867" spans="1:6" x14ac:dyDescent="0.15">
      <c r="A867" s="58">
        <v>35738</v>
      </c>
      <c r="B867" s="57" t="s">
        <v>74</v>
      </c>
      <c r="C867" s="57" t="s">
        <v>92</v>
      </c>
      <c r="D867" s="57" t="s">
        <v>42</v>
      </c>
      <c r="E867" s="57">
        <v>900</v>
      </c>
      <c r="F867" s="57">
        <v>10729</v>
      </c>
    </row>
    <row r="868" spans="1:6" x14ac:dyDescent="0.15">
      <c r="A868" s="58">
        <v>35738</v>
      </c>
      <c r="B868" s="57" t="s">
        <v>74</v>
      </c>
      <c r="C868" s="57" t="s">
        <v>92</v>
      </c>
      <c r="D868" s="57" t="s">
        <v>77</v>
      </c>
      <c r="E868" s="57">
        <v>300</v>
      </c>
      <c r="F868" s="57">
        <v>10729</v>
      </c>
    </row>
    <row r="869" spans="1:6" x14ac:dyDescent="0.15">
      <c r="A869" s="58">
        <v>35738</v>
      </c>
      <c r="B869" s="57" t="s">
        <v>74</v>
      </c>
      <c r="C869" s="57" t="s">
        <v>92</v>
      </c>
      <c r="D869" s="57" t="s">
        <v>77</v>
      </c>
      <c r="E869" s="57">
        <v>650</v>
      </c>
      <c r="F869" s="57">
        <v>10729</v>
      </c>
    </row>
    <row r="870" spans="1:6" x14ac:dyDescent="0.15">
      <c r="A870" s="58">
        <v>35739</v>
      </c>
      <c r="B870" s="57" t="s">
        <v>80</v>
      </c>
      <c r="C870" s="57" t="s">
        <v>96</v>
      </c>
      <c r="D870" s="57" t="s">
        <v>77</v>
      </c>
      <c r="E870" s="57">
        <v>248.66249980498105</v>
      </c>
      <c r="F870" s="57">
        <v>10730</v>
      </c>
    </row>
    <row r="871" spans="1:6" x14ac:dyDescent="0.15">
      <c r="A871" s="58">
        <v>35739</v>
      </c>
      <c r="B871" s="57" t="s">
        <v>80</v>
      </c>
      <c r="C871" s="57" t="s">
        <v>96</v>
      </c>
      <c r="D871" s="57" t="s">
        <v>73</v>
      </c>
      <c r="E871" s="57">
        <v>35.624999972060323</v>
      </c>
      <c r="F871" s="57">
        <v>10730</v>
      </c>
    </row>
    <row r="872" spans="1:6" x14ac:dyDescent="0.15">
      <c r="A872" s="58">
        <v>35739</v>
      </c>
      <c r="B872" s="57" t="s">
        <v>80</v>
      </c>
      <c r="C872" s="57" t="s">
        <v>96</v>
      </c>
      <c r="D872" s="57" t="s">
        <v>88</v>
      </c>
      <c r="E872" s="57">
        <v>199.97499984316528</v>
      </c>
      <c r="F872" s="57">
        <v>10730</v>
      </c>
    </row>
    <row r="873" spans="1:6" x14ac:dyDescent="0.15">
      <c r="A873" s="58">
        <v>35740</v>
      </c>
      <c r="B873" s="57" t="s">
        <v>80</v>
      </c>
      <c r="C873" s="57" t="s">
        <v>75</v>
      </c>
      <c r="D873" s="57" t="s">
        <v>77</v>
      </c>
      <c r="E873" s="57">
        <v>379.99999970197678</v>
      </c>
      <c r="F873" s="57">
        <v>10731</v>
      </c>
    </row>
    <row r="874" spans="1:6" x14ac:dyDescent="0.15">
      <c r="A874" s="58">
        <v>35740</v>
      </c>
      <c r="B874" s="57" t="s">
        <v>80</v>
      </c>
      <c r="C874" s="57" t="s">
        <v>75</v>
      </c>
      <c r="D874" s="57" t="s">
        <v>95</v>
      </c>
      <c r="E874" s="57">
        <v>1510.4999988153577</v>
      </c>
      <c r="F874" s="57">
        <v>10731</v>
      </c>
    </row>
    <row r="875" spans="1:6" x14ac:dyDescent="0.15">
      <c r="A875" s="58">
        <v>35740</v>
      </c>
      <c r="B875" s="57" t="s">
        <v>80</v>
      </c>
      <c r="C875" s="57" t="s">
        <v>96</v>
      </c>
      <c r="D875" s="57" t="s">
        <v>42</v>
      </c>
      <c r="E875" s="57">
        <v>360</v>
      </c>
      <c r="F875" s="57">
        <v>10732</v>
      </c>
    </row>
    <row r="876" spans="1:6" x14ac:dyDescent="0.15">
      <c r="A876" s="58">
        <v>35741</v>
      </c>
      <c r="B876" s="57" t="s">
        <v>74</v>
      </c>
      <c r="C876" s="57" t="s">
        <v>81</v>
      </c>
      <c r="D876" s="57" t="s">
        <v>95</v>
      </c>
      <c r="E876" s="57">
        <v>372</v>
      </c>
      <c r="F876" s="57">
        <v>10733</v>
      </c>
    </row>
    <row r="877" spans="1:6" x14ac:dyDescent="0.15">
      <c r="A877" s="58">
        <v>35741</v>
      </c>
      <c r="B877" s="57" t="s">
        <v>74</v>
      </c>
      <c r="C877" s="57" t="s">
        <v>81</v>
      </c>
      <c r="D877" s="57" t="s">
        <v>95</v>
      </c>
      <c r="E877" s="57">
        <v>912</v>
      </c>
      <c r="F877" s="57">
        <v>10733</v>
      </c>
    </row>
    <row r="878" spans="1:6" x14ac:dyDescent="0.15">
      <c r="A878" s="58">
        <v>35741</v>
      </c>
      <c r="B878" s="57" t="s">
        <v>74</v>
      </c>
      <c r="C878" s="57" t="s">
        <v>81</v>
      </c>
      <c r="D878" s="57" t="s">
        <v>86</v>
      </c>
      <c r="E878" s="57">
        <v>175</v>
      </c>
      <c r="F878" s="57">
        <v>10733</v>
      </c>
    </row>
    <row r="879" spans="1:6" x14ac:dyDescent="0.15">
      <c r="A879" s="58">
        <v>35741</v>
      </c>
      <c r="B879" s="57" t="s">
        <v>74</v>
      </c>
      <c r="C879" s="57" t="s">
        <v>81</v>
      </c>
      <c r="D879" s="57" t="s">
        <v>88</v>
      </c>
      <c r="E879" s="57">
        <v>750</v>
      </c>
      <c r="F879" s="57">
        <v>10734</v>
      </c>
    </row>
    <row r="880" spans="1:6" x14ac:dyDescent="0.15">
      <c r="A880" s="58">
        <v>35741</v>
      </c>
      <c r="B880" s="57" t="s">
        <v>74</v>
      </c>
      <c r="C880" s="57" t="s">
        <v>81</v>
      </c>
      <c r="D880" s="57" t="s">
        <v>82</v>
      </c>
      <c r="E880" s="57">
        <v>388.35</v>
      </c>
      <c r="F880" s="57">
        <v>10734</v>
      </c>
    </row>
    <row r="881" spans="1:6" x14ac:dyDescent="0.15">
      <c r="A881" s="58">
        <v>35741</v>
      </c>
      <c r="B881" s="57" t="s">
        <v>74</v>
      </c>
      <c r="C881" s="57" t="s">
        <v>81</v>
      </c>
      <c r="D881" s="57" t="s">
        <v>42</v>
      </c>
      <c r="E881" s="57">
        <v>360</v>
      </c>
      <c r="F881" s="57">
        <v>10734</v>
      </c>
    </row>
    <row r="882" spans="1:6" x14ac:dyDescent="0.15">
      <c r="A882" s="58">
        <v>35744</v>
      </c>
      <c r="B882" s="57" t="s">
        <v>91</v>
      </c>
      <c r="C882" s="57" t="s">
        <v>92</v>
      </c>
      <c r="D882" s="57" t="s">
        <v>88</v>
      </c>
      <c r="E882" s="57">
        <v>512.99999915063381</v>
      </c>
      <c r="F882" s="57">
        <v>10735</v>
      </c>
    </row>
    <row r="883" spans="1:6" x14ac:dyDescent="0.15">
      <c r="A883" s="58">
        <v>35744</v>
      </c>
      <c r="B883" s="57" t="s">
        <v>91</v>
      </c>
      <c r="C883" s="57" t="s">
        <v>92</v>
      </c>
      <c r="D883" s="57" t="s">
        <v>88</v>
      </c>
      <c r="E883" s="57">
        <v>23.399999961256981</v>
      </c>
      <c r="F883" s="57">
        <v>10735</v>
      </c>
    </row>
    <row r="884" spans="1:6" x14ac:dyDescent="0.15">
      <c r="A884" s="58">
        <v>35745</v>
      </c>
      <c r="B884" s="57" t="s">
        <v>91</v>
      </c>
      <c r="C884" s="57" t="s">
        <v>75</v>
      </c>
      <c r="D884" s="57" t="s">
        <v>88</v>
      </c>
      <c r="E884" s="57">
        <v>842</v>
      </c>
      <c r="F884" s="57">
        <v>10736</v>
      </c>
    </row>
    <row r="885" spans="1:6" x14ac:dyDescent="0.15">
      <c r="A885" s="58">
        <v>35745</v>
      </c>
      <c r="B885" s="57" t="s">
        <v>91</v>
      </c>
      <c r="C885" s="57" t="s">
        <v>75</v>
      </c>
      <c r="D885" s="57" t="s">
        <v>42</v>
      </c>
      <c r="E885" s="57">
        <v>155</v>
      </c>
      <c r="F885" s="57">
        <v>10736</v>
      </c>
    </row>
    <row r="886" spans="1:6" x14ac:dyDescent="0.15">
      <c r="A886" s="58">
        <v>35745</v>
      </c>
      <c r="B886" s="57" t="s">
        <v>91</v>
      </c>
      <c r="C886" s="57" t="s">
        <v>75</v>
      </c>
      <c r="D886" s="57" t="s">
        <v>82</v>
      </c>
      <c r="E886" s="57">
        <v>24</v>
      </c>
      <c r="F886" s="57">
        <v>10737</v>
      </c>
    </row>
    <row r="887" spans="1:6" x14ac:dyDescent="0.15">
      <c r="A887" s="58">
        <v>35745</v>
      </c>
      <c r="B887" s="57" t="s">
        <v>91</v>
      </c>
      <c r="C887" s="57" t="s">
        <v>75</v>
      </c>
      <c r="D887" s="57" t="s">
        <v>82</v>
      </c>
      <c r="E887" s="57">
        <v>115.8</v>
      </c>
      <c r="F887" s="57">
        <v>10737</v>
      </c>
    </row>
    <row r="888" spans="1:6" x14ac:dyDescent="0.15">
      <c r="A888" s="58">
        <v>35746</v>
      </c>
      <c r="B888" s="57" t="s">
        <v>80</v>
      </c>
      <c r="C888" s="57" t="s">
        <v>92</v>
      </c>
      <c r="D888" s="57" t="s">
        <v>77</v>
      </c>
      <c r="E888" s="57">
        <v>52.35</v>
      </c>
      <c r="F888" s="57">
        <v>10738</v>
      </c>
    </row>
    <row r="889" spans="1:6" x14ac:dyDescent="0.15">
      <c r="A889" s="58">
        <v>35746</v>
      </c>
      <c r="B889" s="57" t="s">
        <v>74</v>
      </c>
      <c r="C889" s="57" t="s">
        <v>75</v>
      </c>
      <c r="D889" s="57" t="s">
        <v>82</v>
      </c>
      <c r="E889" s="57">
        <v>114</v>
      </c>
      <c r="F889" s="57">
        <v>10739</v>
      </c>
    </row>
    <row r="890" spans="1:6" x14ac:dyDescent="0.15">
      <c r="A890" s="58">
        <v>35746</v>
      </c>
      <c r="B890" s="57" t="s">
        <v>74</v>
      </c>
      <c r="C890" s="57" t="s">
        <v>75</v>
      </c>
      <c r="D890" s="57" t="s">
        <v>86</v>
      </c>
      <c r="E890" s="57">
        <v>126</v>
      </c>
      <c r="F890" s="57">
        <v>10739</v>
      </c>
    </row>
    <row r="891" spans="1:6" x14ac:dyDescent="0.15">
      <c r="A891" s="58">
        <v>35747</v>
      </c>
      <c r="B891" s="57" t="s">
        <v>91</v>
      </c>
      <c r="C891" s="57" t="s">
        <v>81</v>
      </c>
      <c r="D891" s="57" t="s">
        <v>95</v>
      </c>
      <c r="E891" s="57">
        <v>182.39999932050705</v>
      </c>
      <c r="F891" s="57">
        <v>10740</v>
      </c>
    </row>
    <row r="892" spans="1:6" x14ac:dyDescent="0.15">
      <c r="A892" s="58">
        <v>35747</v>
      </c>
      <c r="B892" s="57" t="s">
        <v>91</v>
      </c>
      <c r="C892" s="57" t="s">
        <v>81</v>
      </c>
      <c r="D892" s="57" t="s">
        <v>42</v>
      </c>
      <c r="E892" s="57">
        <v>503.99999812245369</v>
      </c>
      <c r="F892" s="57">
        <v>10740</v>
      </c>
    </row>
    <row r="893" spans="1:6" x14ac:dyDescent="0.15">
      <c r="A893" s="58">
        <v>35747</v>
      </c>
      <c r="B893" s="57" t="s">
        <v>91</v>
      </c>
      <c r="C893" s="57" t="s">
        <v>81</v>
      </c>
      <c r="D893" s="57" t="s">
        <v>82</v>
      </c>
      <c r="E893" s="57">
        <v>303.99999886751175</v>
      </c>
      <c r="F893" s="57">
        <v>10740</v>
      </c>
    </row>
    <row r="894" spans="1:6" x14ac:dyDescent="0.15">
      <c r="A894" s="58">
        <v>35747</v>
      </c>
      <c r="B894" s="57" t="s">
        <v>91</v>
      </c>
      <c r="C894" s="57" t="s">
        <v>81</v>
      </c>
      <c r="D894" s="57" t="s">
        <v>86</v>
      </c>
      <c r="E894" s="57">
        <v>425.59999841451645</v>
      </c>
      <c r="F894" s="57">
        <v>10740</v>
      </c>
    </row>
    <row r="895" spans="1:6" x14ac:dyDescent="0.15">
      <c r="A895" s="58">
        <v>35748</v>
      </c>
      <c r="B895" s="57" t="s">
        <v>74</v>
      </c>
      <c r="C895" s="57" t="s">
        <v>92</v>
      </c>
      <c r="D895" s="57" t="s">
        <v>42</v>
      </c>
      <c r="E895" s="57">
        <v>227.99999915063381</v>
      </c>
      <c r="F895" s="57">
        <v>10741</v>
      </c>
    </row>
    <row r="896" spans="1:6" x14ac:dyDescent="0.15">
      <c r="A896" s="58">
        <v>35748</v>
      </c>
      <c r="B896" s="57" t="s">
        <v>74</v>
      </c>
      <c r="C896" s="57" t="s">
        <v>96</v>
      </c>
      <c r="D896" s="57" t="s">
        <v>88</v>
      </c>
      <c r="E896" s="57">
        <v>200</v>
      </c>
      <c r="F896" s="57">
        <v>10742</v>
      </c>
    </row>
    <row r="897" spans="1:6" x14ac:dyDescent="0.15">
      <c r="A897" s="58">
        <v>35748</v>
      </c>
      <c r="B897" s="57" t="s">
        <v>74</v>
      </c>
      <c r="C897" s="57" t="s">
        <v>96</v>
      </c>
      <c r="D897" s="57" t="s">
        <v>73</v>
      </c>
      <c r="E897" s="57">
        <v>1700</v>
      </c>
      <c r="F897" s="57">
        <v>10742</v>
      </c>
    </row>
    <row r="898" spans="1:6" x14ac:dyDescent="0.15">
      <c r="A898" s="58">
        <v>35748</v>
      </c>
      <c r="B898" s="57" t="s">
        <v>74</v>
      </c>
      <c r="C898" s="57" t="s">
        <v>96</v>
      </c>
      <c r="D898" s="57" t="s">
        <v>73</v>
      </c>
      <c r="E898" s="57">
        <v>1218</v>
      </c>
      <c r="F898" s="57">
        <v>10742</v>
      </c>
    </row>
    <row r="899" spans="1:6" x14ac:dyDescent="0.15">
      <c r="A899" s="58">
        <v>35751</v>
      </c>
      <c r="B899" s="57" t="s">
        <v>91</v>
      </c>
      <c r="C899" s="57" t="s">
        <v>92</v>
      </c>
      <c r="D899" s="57" t="s">
        <v>82</v>
      </c>
      <c r="E899" s="57">
        <v>319.19999974966049</v>
      </c>
      <c r="F899" s="57">
        <v>10743</v>
      </c>
    </row>
    <row r="900" spans="1:6" x14ac:dyDescent="0.15">
      <c r="A900" s="58">
        <v>35751</v>
      </c>
      <c r="B900" s="57" t="s">
        <v>80</v>
      </c>
      <c r="C900" s="57" t="s">
        <v>92</v>
      </c>
      <c r="D900" s="57" t="s">
        <v>82</v>
      </c>
      <c r="E900" s="57">
        <v>735.99999725818634</v>
      </c>
      <c r="F900" s="57">
        <v>10744</v>
      </c>
    </row>
    <row r="901" spans="1:6" x14ac:dyDescent="0.15">
      <c r="A901" s="58">
        <v>35752</v>
      </c>
      <c r="B901" s="57" t="s">
        <v>80</v>
      </c>
      <c r="C901" s="57" t="s">
        <v>75</v>
      </c>
      <c r="D901" s="57" t="s">
        <v>82</v>
      </c>
      <c r="E901" s="57">
        <v>1500</v>
      </c>
      <c r="F901" s="57">
        <v>10745</v>
      </c>
    </row>
    <row r="902" spans="1:6" x14ac:dyDescent="0.15">
      <c r="A902" s="58">
        <v>35752</v>
      </c>
      <c r="B902" s="57" t="s">
        <v>80</v>
      </c>
      <c r="C902" s="57" t="s">
        <v>75</v>
      </c>
      <c r="D902" s="57" t="s">
        <v>88</v>
      </c>
      <c r="E902" s="57">
        <v>311.2</v>
      </c>
      <c r="F902" s="57">
        <v>10745</v>
      </c>
    </row>
    <row r="903" spans="1:6" x14ac:dyDescent="0.15">
      <c r="A903" s="58">
        <v>35752</v>
      </c>
      <c r="B903" s="57" t="s">
        <v>80</v>
      </c>
      <c r="C903" s="57" t="s">
        <v>75</v>
      </c>
      <c r="D903" s="57" t="s">
        <v>73</v>
      </c>
      <c r="E903" s="57">
        <v>2475</v>
      </c>
      <c r="F903" s="57">
        <v>10745</v>
      </c>
    </row>
    <row r="904" spans="1:6" x14ac:dyDescent="0.15">
      <c r="A904" s="58">
        <v>35752</v>
      </c>
      <c r="B904" s="57" t="s">
        <v>80</v>
      </c>
      <c r="C904" s="57" t="s">
        <v>75</v>
      </c>
      <c r="D904" s="57" t="s">
        <v>73</v>
      </c>
      <c r="E904" s="57">
        <v>243.6</v>
      </c>
      <c r="F904" s="57">
        <v>10745</v>
      </c>
    </row>
    <row r="905" spans="1:6" x14ac:dyDescent="0.15">
      <c r="A905" s="58">
        <v>35753</v>
      </c>
      <c r="B905" s="57" t="s">
        <v>74</v>
      </c>
      <c r="C905" s="57" t="s">
        <v>75</v>
      </c>
      <c r="D905" s="57" t="s">
        <v>82</v>
      </c>
      <c r="E905" s="57">
        <v>36</v>
      </c>
      <c r="F905" s="57">
        <v>10746</v>
      </c>
    </row>
    <row r="906" spans="1:6" x14ac:dyDescent="0.15">
      <c r="A906" s="58">
        <v>35753</v>
      </c>
      <c r="B906" s="57" t="s">
        <v>74</v>
      </c>
      <c r="C906" s="57" t="s">
        <v>75</v>
      </c>
      <c r="D906" s="57" t="s">
        <v>86</v>
      </c>
      <c r="E906" s="57">
        <v>392</v>
      </c>
      <c r="F906" s="57">
        <v>10746</v>
      </c>
    </row>
    <row r="907" spans="1:6" x14ac:dyDescent="0.15">
      <c r="A907" s="58">
        <v>35753</v>
      </c>
      <c r="B907" s="57" t="s">
        <v>74</v>
      </c>
      <c r="C907" s="57" t="s">
        <v>75</v>
      </c>
      <c r="D907" s="57" t="s">
        <v>77</v>
      </c>
      <c r="E907" s="57">
        <v>443.7</v>
      </c>
      <c r="F907" s="57">
        <v>10746</v>
      </c>
    </row>
    <row r="908" spans="1:6" x14ac:dyDescent="0.15">
      <c r="A908" s="58">
        <v>35753</v>
      </c>
      <c r="B908" s="57" t="s">
        <v>74</v>
      </c>
      <c r="C908" s="57" t="s">
        <v>75</v>
      </c>
      <c r="D908" s="57" t="s">
        <v>73</v>
      </c>
      <c r="E908" s="57">
        <v>1440</v>
      </c>
      <c r="F908" s="57">
        <v>10746</v>
      </c>
    </row>
    <row r="909" spans="1:6" x14ac:dyDescent="0.15">
      <c r="A909" s="58">
        <v>35753</v>
      </c>
      <c r="B909" s="57" t="s">
        <v>80</v>
      </c>
      <c r="C909" s="57" t="s">
        <v>81</v>
      </c>
      <c r="D909" s="57" t="s">
        <v>73</v>
      </c>
      <c r="E909" s="57">
        <v>100</v>
      </c>
      <c r="F909" s="57">
        <v>10747</v>
      </c>
    </row>
    <row r="910" spans="1:6" x14ac:dyDescent="0.15">
      <c r="A910" s="58">
        <v>35753</v>
      </c>
      <c r="B910" s="57" t="s">
        <v>80</v>
      </c>
      <c r="C910" s="57" t="s">
        <v>81</v>
      </c>
      <c r="D910" s="57" t="s">
        <v>82</v>
      </c>
      <c r="E910" s="57">
        <v>337.75</v>
      </c>
      <c r="F910" s="57">
        <v>10747</v>
      </c>
    </row>
    <row r="911" spans="1:6" x14ac:dyDescent="0.15">
      <c r="A911" s="58">
        <v>35753</v>
      </c>
      <c r="B911" s="57" t="s">
        <v>80</v>
      </c>
      <c r="C911" s="57" t="s">
        <v>81</v>
      </c>
      <c r="D911" s="57" t="s">
        <v>88</v>
      </c>
      <c r="E911" s="57">
        <v>395.1</v>
      </c>
      <c r="F911" s="57">
        <v>10747</v>
      </c>
    </row>
    <row r="912" spans="1:6" x14ac:dyDescent="0.15">
      <c r="A912" s="58">
        <v>35753</v>
      </c>
      <c r="B912" s="57" t="s">
        <v>80</v>
      </c>
      <c r="C912" s="57" t="s">
        <v>81</v>
      </c>
      <c r="D912" s="57" t="s">
        <v>73</v>
      </c>
      <c r="E912" s="57">
        <v>1080</v>
      </c>
      <c r="F912" s="57">
        <v>10747</v>
      </c>
    </row>
    <row r="913" spans="1:6" x14ac:dyDescent="0.15">
      <c r="A913" s="58">
        <v>35754</v>
      </c>
      <c r="B913" s="57" t="s">
        <v>80</v>
      </c>
      <c r="C913" s="57" t="s">
        <v>96</v>
      </c>
      <c r="D913" s="57" t="s">
        <v>86</v>
      </c>
      <c r="E913" s="57">
        <v>396</v>
      </c>
      <c r="F913" s="57">
        <v>10748</v>
      </c>
    </row>
    <row r="914" spans="1:6" x14ac:dyDescent="0.15">
      <c r="A914" s="58">
        <v>35754</v>
      </c>
      <c r="B914" s="57" t="s">
        <v>80</v>
      </c>
      <c r="C914" s="57" t="s">
        <v>96</v>
      </c>
      <c r="D914" s="57" t="s">
        <v>82</v>
      </c>
      <c r="E914" s="57">
        <v>736</v>
      </c>
      <c r="F914" s="57">
        <v>10748</v>
      </c>
    </row>
    <row r="915" spans="1:6" x14ac:dyDescent="0.15">
      <c r="A915" s="58">
        <v>35754</v>
      </c>
      <c r="B915" s="57" t="s">
        <v>80</v>
      </c>
      <c r="C915" s="57" t="s">
        <v>96</v>
      </c>
      <c r="D915" s="57" t="s">
        <v>86</v>
      </c>
      <c r="E915" s="57">
        <v>1064</v>
      </c>
      <c r="F915" s="57">
        <v>10748</v>
      </c>
    </row>
    <row r="916" spans="1:6" x14ac:dyDescent="0.15">
      <c r="A916" s="58">
        <v>35754</v>
      </c>
      <c r="B916" s="57" t="s">
        <v>91</v>
      </c>
      <c r="C916" s="57" t="s">
        <v>98</v>
      </c>
      <c r="D916" s="57" t="s">
        <v>86</v>
      </c>
      <c r="E916" s="57">
        <v>570</v>
      </c>
      <c r="F916" s="57">
        <v>10749</v>
      </c>
    </row>
    <row r="917" spans="1:6" x14ac:dyDescent="0.15">
      <c r="A917" s="58">
        <v>35754</v>
      </c>
      <c r="B917" s="57" t="s">
        <v>91</v>
      </c>
      <c r="C917" s="57" t="s">
        <v>98</v>
      </c>
      <c r="D917" s="57" t="s">
        <v>73</v>
      </c>
      <c r="E917" s="57">
        <v>330</v>
      </c>
      <c r="F917" s="57">
        <v>10749</v>
      </c>
    </row>
    <row r="918" spans="1:6" x14ac:dyDescent="0.15">
      <c r="A918" s="58">
        <v>35754</v>
      </c>
      <c r="B918" s="57" t="s">
        <v>91</v>
      </c>
      <c r="C918" s="57" t="s">
        <v>98</v>
      </c>
      <c r="D918" s="57" t="s">
        <v>42</v>
      </c>
      <c r="E918" s="57">
        <v>180</v>
      </c>
      <c r="F918" s="57">
        <v>10749</v>
      </c>
    </row>
    <row r="919" spans="1:6" x14ac:dyDescent="0.15">
      <c r="A919" s="58">
        <v>35755</v>
      </c>
      <c r="B919" s="57" t="s">
        <v>80</v>
      </c>
      <c r="C919" s="57" t="s">
        <v>75</v>
      </c>
      <c r="D919" s="57" t="s">
        <v>95</v>
      </c>
      <c r="E919" s="57">
        <v>98.812499307096004</v>
      </c>
      <c r="F919" s="57">
        <v>10750</v>
      </c>
    </row>
    <row r="920" spans="1:6" x14ac:dyDescent="0.15">
      <c r="A920" s="58">
        <v>35755</v>
      </c>
      <c r="B920" s="57" t="s">
        <v>80</v>
      </c>
      <c r="C920" s="57" t="s">
        <v>75</v>
      </c>
      <c r="D920" s="57" t="s">
        <v>82</v>
      </c>
      <c r="E920" s="57">
        <v>322.9999977350235</v>
      </c>
      <c r="F920" s="57">
        <v>10750</v>
      </c>
    </row>
    <row r="921" spans="1:6" x14ac:dyDescent="0.15">
      <c r="A921" s="58">
        <v>35755</v>
      </c>
      <c r="B921" s="57" t="s">
        <v>80</v>
      </c>
      <c r="C921" s="57" t="s">
        <v>75</v>
      </c>
      <c r="D921" s="57" t="s">
        <v>73</v>
      </c>
      <c r="E921" s="57">
        <v>1168.7499918043613</v>
      </c>
      <c r="F921" s="57">
        <v>10750</v>
      </c>
    </row>
    <row r="922" spans="1:6" x14ac:dyDescent="0.15">
      <c r="A922" s="58">
        <v>35758</v>
      </c>
      <c r="B922" s="57" t="s">
        <v>74</v>
      </c>
      <c r="C922" s="57" t="s">
        <v>81</v>
      </c>
      <c r="D922" s="57" t="s">
        <v>77</v>
      </c>
      <c r="E922" s="57">
        <v>337.28399944156405</v>
      </c>
      <c r="F922" s="57">
        <v>10751</v>
      </c>
    </row>
    <row r="923" spans="1:6" x14ac:dyDescent="0.15">
      <c r="A923" s="58">
        <v>35758</v>
      </c>
      <c r="B923" s="57" t="s">
        <v>74</v>
      </c>
      <c r="C923" s="57" t="s">
        <v>81</v>
      </c>
      <c r="D923" s="57" t="s">
        <v>82</v>
      </c>
      <c r="E923" s="57">
        <v>776.7</v>
      </c>
      <c r="F923" s="57">
        <v>10751</v>
      </c>
    </row>
    <row r="924" spans="1:6" x14ac:dyDescent="0.15">
      <c r="A924" s="58">
        <v>35758</v>
      </c>
      <c r="B924" s="57" t="s">
        <v>74</v>
      </c>
      <c r="C924" s="57" t="s">
        <v>81</v>
      </c>
      <c r="D924" s="57" t="s">
        <v>77</v>
      </c>
      <c r="E924" s="57">
        <v>292.49999951571226</v>
      </c>
      <c r="F924" s="57">
        <v>10751</v>
      </c>
    </row>
    <row r="925" spans="1:6" x14ac:dyDescent="0.15">
      <c r="A925" s="58">
        <v>35758</v>
      </c>
      <c r="B925" s="57" t="s">
        <v>74</v>
      </c>
      <c r="C925" s="57" t="s">
        <v>81</v>
      </c>
      <c r="D925" s="57" t="s">
        <v>82</v>
      </c>
      <c r="E925" s="57">
        <v>225</v>
      </c>
      <c r="F925" s="57">
        <v>10751</v>
      </c>
    </row>
    <row r="926" spans="1:6" x14ac:dyDescent="0.15">
      <c r="A926" s="58">
        <v>35758</v>
      </c>
      <c r="B926" s="57" t="s">
        <v>74</v>
      </c>
      <c r="C926" s="57" t="s">
        <v>75</v>
      </c>
      <c r="D926" s="57" t="s">
        <v>42</v>
      </c>
      <c r="E926" s="57">
        <v>144</v>
      </c>
      <c r="F926" s="57">
        <v>10752</v>
      </c>
    </row>
    <row r="927" spans="1:6" x14ac:dyDescent="0.15">
      <c r="A927" s="58">
        <v>35758</v>
      </c>
      <c r="B927" s="57" t="s">
        <v>74</v>
      </c>
      <c r="C927" s="57" t="s">
        <v>75</v>
      </c>
      <c r="D927" s="57" t="s">
        <v>73</v>
      </c>
      <c r="E927" s="57">
        <v>108</v>
      </c>
      <c r="F927" s="57">
        <v>10752</v>
      </c>
    </row>
    <row r="928" spans="1:6" x14ac:dyDescent="0.15">
      <c r="A928" s="58">
        <v>35759</v>
      </c>
      <c r="B928" s="57" t="s">
        <v>80</v>
      </c>
      <c r="C928" s="57" t="s">
        <v>81</v>
      </c>
      <c r="D928" s="57" t="s">
        <v>82</v>
      </c>
      <c r="E928" s="57">
        <v>38</v>
      </c>
      <c r="F928" s="57">
        <v>10753</v>
      </c>
    </row>
    <row r="929" spans="1:6" x14ac:dyDescent="0.15">
      <c r="A929" s="58">
        <v>35759</v>
      </c>
      <c r="B929" s="57" t="s">
        <v>80</v>
      </c>
      <c r="C929" s="57" t="s">
        <v>81</v>
      </c>
      <c r="D929" s="57" t="s">
        <v>95</v>
      </c>
      <c r="E929" s="57">
        <v>50</v>
      </c>
      <c r="F929" s="57">
        <v>10753</v>
      </c>
    </row>
    <row r="930" spans="1:6" x14ac:dyDescent="0.15">
      <c r="A930" s="58">
        <v>35759</v>
      </c>
      <c r="B930" s="57" t="s">
        <v>74</v>
      </c>
      <c r="C930" s="57" t="s">
        <v>92</v>
      </c>
      <c r="D930" s="57" t="s">
        <v>82</v>
      </c>
      <c r="E930" s="57">
        <v>55.2</v>
      </c>
      <c r="F930" s="57">
        <v>10754</v>
      </c>
    </row>
    <row r="931" spans="1:6" x14ac:dyDescent="0.15">
      <c r="A931" s="58">
        <v>35760</v>
      </c>
      <c r="B931" s="57" t="s">
        <v>91</v>
      </c>
      <c r="C931" s="57" t="s">
        <v>96</v>
      </c>
      <c r="D931" s="57" t="s">
        <v>77</v>
      </c>
      <c r="E931" s="57">
        <v>213.75</v>
      </c>
      <c r="F931" s="57">
        <v>10755</v>
      </c>
    </row>
    <row r="932" spans="1:6" x14ac:dyDescent="0.15">
      <c r="A932" s="58">
        <v>35760</v>
      </c>
      <c r="B932" s="57" t="s">
        <v>91</v>
      </c>
      <c r="C932" s="57" t="s">
        <v>96</v>
      </c>
      <c r="D932" s="57" t="s">
        <v>86</v>
      </c>
      <c r="E932" s="57">
        <v>855</v>
      </c>
      <c r="F932" s="57">
        <v>10755</v>
      </c>
    </row>
    <row r="933" spans="1:6" x14ac:dyDescent="0.15">
      <c r="A933" s="58">
        <v>35760</v>
      </c>
      <c r="B933" s="57" t="s">
        <v>91</v>
      </c>
      <c r="C933" s="57" t="s">
        <v>96</v>
      </c>
      <c r="D933" s="57" t="s">
        <v>86</v>
      </c>
      <c r="E933" s="57">
        <v>204.75</v>
      </c>
      <c r="F933" s="57">
        <v>10755</v>
      </c>
    </row>
    <row r="934" spans="1:6" x14ac:dyDescent="0.15">
      <c r="A934" s="58">
        <v>35760</v>
      </c>
      <c r="B934" s="57" t="s">
        <v>91</v>
      </c>
      <c r="C934" s="57" t="s">
        <v>96</v>
      </c>
      <c r="D934" s="57" t="s">
        <v>73</v>
      </c>
      <c r="E934" s="57">
        <v>675</v>
      </c>
      <c r="F934" s="57">
        <v>10755</v>
      </c>
    </row>
    <row r="935" spans="1:6" x14ac:dyDescent="0.15">
      <c r="A935" s="58">
        <v>35761</v>
      </c>
      <c r="B935" s="57" t="s">
        <v>91</v>
      </c>
      <c r="C935" s="57" t="s">
        <v>92</v>
      </c>
      <c r="D935" s="57" t="s">
        <v>82</v>
      </c>
      <c r="E935" s="57">
        <v>1049.9999960884452</v>
      </c>
      <c r="F935" s="57">
        <v>10756</v>
      </c>
    </row>
    <row r="936" spans="1:6" x14ac:dyDescent="0.15">
      <c r="A936" s="58">
        <v>35761</v>
      </c>
      <c r="B936" s="57" t="s">
        <v>91</v>
      </c>
      <c r="C936" s="57" t="s">
        <v>92</v>
      </c>
      <c r="D936" s="57" t="s">
        <v>82</v>
      </c>
      <c r="E936" s="57">
        <v>303.99999886751175</v>
      </c>
      <c r="F936" s="57">
        <v>10756</v>
      </c>
    </row>
    <row r="937" spans="1:6" x14ac:dyDescent="0.15">
      <c r="A937" s="58">
        <v>35761</v>
      </c>
      <c r="B937" s="57" t="s">
        <v>91</v>
      </c>
      <c r="C937" s="57" t="s">
        <v>92</v>
      </c>
      <c r="D937" s="57" t="s">
        <v>77</v>
      </c>
      <c r="E937" s="57">
        <v>59.999999776482582</v>
      </c>
      <c r="F937" s="57">
        <v>10756</v>
      </c>
    </row>
    <row r="938" spans="1:6" x14ac:dyDescent="0.15">
      <c r="A938" s="58">
        <v>35761</v>
      </c>
      <c r="B938" s="57" t="s">
        <v>91</v>
      </c>
      <c r="C938" s="57" t="s">
        <v>92</v>
      </c>
      <c r="D938" s="57" t="s">
        <v>73</v>
      </c>
      <c r="E938" s="57">
        <v>575.99999785423279</v>
      </c>
      <c r="F938" s="57">
        <v>10756</v>
      </c>
    </row>
    <row r="939" spans="1:6" x14ac:dyDescent="0.15">
      <c r="A939" s="58">
        <v>35761</v>
      </c>
      <c r="B939" s="57" t="s">
        <v>80</v>
      </c>
      <c r="C939" s="57" t="s">
        <v>96</v>
      </c>
      <c r="D939" s="57" t="s">
        <v>42</v>
      </c>
      <c r="E939" s="57">
        <v>420</v>
      </c>
      <c r="F939" s="57">
        <v>10757</v>
      </c>
    </row>
    <row r="940" spans="1:6" x14ac:dyDescent="0.15">
      <c r="A940" s="58">
        <v>35761</v>
      </c>
      <c r="B940" s="57" t="s">
        <v>80</v>
      </c>
      <c r="C940" s="57" t="s">
        <v>96</v>
      </c>
      <c r="D940" s="57" t="s">
        <v>73</v>
      </c>
      <c r="E940" s="57">
        <v>385</v>
      </c>
      <c r="F940" s="57">
        <v>10757</v>
      </c>
    </row>
    <row r="941" spans="1:6" x14ac:dyDescent="0.15">
      <c r="A941" s="58">
        <v>35761</v>
      </c>
      <c r="B941" s="57" t="s">
        <v>80</v>
      </c>
      <c r="C941" s="57" t="s">
        <v>96</v>
      </c>
      <c r="D941" s="57" t="s">
        <v>77</v>
      </c>
      <c r="E941" s="57">
        <v>1479</v>
      </c>
      <c r="F941" s="57">
        <v>10757</v>
      </c>
    </row>
    <row r="942" spans="1:6" x14ac:dyDescent="0.15">
      <c r="A942" s="58">
        <v>35761</v>
      </c>
      <c r="B942" s="57" t="s">
        <v>80</v>
      </c>
      <c r="C942" s="57" t="s">
        <v>96</v>
      </c>
      <c r="D942" s="57" t="s">
        <v>86</v>
      </c>
      <c r="E942" s="57">
        <v>798</v>
      </c>
      <c r="F942" s="57">
        <v>10757</v>
      </c>
    </row>
    <row r="943" spans="1:6" x14ac:dyDescent="0.15">
      <c r="A943" s="58">
        <v>35762</v>
      </c>
      <c r="B943" s="57" t="s">
        <v>74</v>
      </c>
      <c r="C943" s="57" t="s">
        <v>81</v>
      </c>
      <c r="D943" s="57" t="s">
        <v>77</v>
      </c>
      <c r="E943" s="57">
        <v>624.6</v>
      </c>
      <c r="F943" s="57">
        <v>10758</v>
      </c>
    </row>
    <row r="944" spans="1:6" x14ac:dyDescent="0.15">
      <c r="A944" s="58">
        <v>35762</v>
      </c>
      <c r="B944" s="57" t="s">
        <v>74</v>
      </c>
      <c r="C944" s="57" t="s">
        <v>81</v>
      </c>
      <c r="D944" s="57" t="s">
        <v>86</v>
      </c>
      <c r="E944" s="57">
        <v>420</v>
      </c>
      <c r="F944" s="57">
        <v>10758</v>
      </c>
    </row>
    <row r="945" spans="1:6" x14ac:dyDescent="0.15">
      <c r="A945" s="58">
        <v>35762</v>
      </c>
      <c r="B945" s="57" t="s">
        <v>74</v>
      </c>
      <c r="C945" s="57" t="s">
        <v>81</v>
      </c>
      <c r="D945" s="57" t="s">
        <v>42</v>
      </c>
      <c r="E945" s="57">
        <v>600</v>
      </c>
      <c r="F945" s="57">
        <v>10758</v>
      </c>
    </row>
    <row r="946" spans="1:6" x14ac:dyDescent="0.15">
      <c r="A946" s="58">
        <v>35762</v>
      </c>
      <c r="B946" s="57" t="s">
        <v>74</v>
      </c>
      <c r="C946" s="57" t="s">
        <v>75</v>
      </c>
      <c r="D946" s="57" t="s">
        <v>73</v>
      </c>
      <c r="E946" s="57">
        <v>320</v>
      </c>
      <c r="F946" s="57">
        <v>10759</v>
      </c>
    </row>
    <row r="947" spans="1:6" x14ac:dyDescent="0.15">
      <c r="A947" s="58">
        <v>35765</v>
      </c>
      <c r="B947" s="57" t="s">
        <v>80</v>
      </c>
      <c r="C947" s="57" t="s">
        <v>81</v>
      </c>
      <c r="D947" s="57" t="s">
        <v>77</v>
      </c>
      <c r="E947" s="57">
        <v>126</v>
      </c>
      <c r="F947" s="57">
        <v>10760</v>
      </c>
    </row>
    <row r="948" spans="1:6" x14ac:dyDescent="0.15">
      <c r="A948" s="58">
        <v>35765</v>
      </c>
      <c r="B948" s="57" t="s">
        <v>80</v>
      </c>
      <c r="C948" s="57" t="s">
        <v>81</v>
      </c>
      <c r="D948" s="57" t="s">
        <v>77</v>
      </c>
      <c r="E948" s="57">
        <v>1756</v>
      </c>
      <c r="F948" s="57">
        <v>10760</v>
      </c>
    </row>
    <row r="949" spans="1:6" x14ac:dyDescent="0.15">
      <c r="A949" s="58">
        <v>35765</v>
      </c>
      <c r="B949" s="57" t="s">
        <v>80</v>
      </c>
      <c r="C949" s="57" t="s">
        <v>81</v>
      </c>
      <c r="D949" s="57" t="s">
        <v>42</v>
      </c>
      <c r="E949" s="57">
        <v>1035</v>
      </c>
      <c r="F949" s="57">
        <v>10760</v>
      </c>
    </row>
    <row r="950" spans="1:6" x14ac:dyDescent="0.15">
      <c r="A950" s="58">
        <v>35766</v>
      </c>
      <c r="B950" s="57" t="s">
        <v>91</v>
      </c>
      <c r="C950" s="57" t="s">
        <v>81</v>
      </c>
      <c r="D950" s="57" t="s">
        <v>77</v>
      </c>
      <c r="E950" s="57">
        <v>367.5</v>
      </c>
      <c r="F950" s="57">
        <v>10761</v>
      </c>
    </row>
    <row r="951" spans="1:6" x14ac:dyDescent="0.15">
      <c r="A951" s="58">
        <v>35766</v>
      </c>
      <c r="B951" s="57" t="s">
        <v>91</v>
      </c>
      <c r="C951" s="57" t="s">
        <v>81</v>
      </c>
      <c r="D951" s="57" t="s">
        <v>42</v>
      </c>
      <c r="E951" s="57">
        <v>139.5</v>
      </c>
      <c r="F951" s="57">
        <v>10761</v>
      </c>
    </row>
    <row r="952" spans="1:6" x14ac:dyDescent="0.15">
      <c r="A952" s="58">
        <v>35766</v>
      </c>
      <c r="B952" s="57" t="s">
        <v>80</v>
      </c>
      <c r="C952" s="57" t="s">
        <v>81</v>
      </c>
      <c r="D952" s="57" t="s">
        <v>42</v>
      </c>
      <c r="E952" s="57">
        <v>288</v>
      </c>
      <c r="F952" s="57">
        <v>10762</v>
      </c>
    </row>
    <row r="953" spans="1:6" x14ac:dyDescent="0.15">
      <c r="A953" s="58">
        <v>35766</v>
      </c>
      <c r="B953" s="57" t="s">
        <v>80</v>
      </c>
      <c r="C953" s="57" t="s">
        <v>81</v>
      </c>
      <c r="D953" s="57" t="s">
        <v>77</v>
      </c>
      <c r="E953" s="57">
        <v>285</v>
      </c>
      <c r="F953" s="57">
        <v>10762</v>
      </c>
    </row>
    <row r="954" spans="1:6" x14ac:dyDescent="0.15">
      <c r="A954" s="58">
        <v>35766</v>
      </c>
      <c r="B954" s="57" t="s">
        <v>80</v>
      </c>
      <c r="C954" s="57" t="s">
        <v>81</v>
      </c>
      <c r="D954" s="57" t="s">
        <v>95</v>
      </c>
      <c r="E954" s="57">
        <v>1484</v>
      </c>
      <c r="F954" s="57">
        <v>10762</v>
      </c>
    </row>
    <row r="955" spans="1:6" x14ac:dyDescent="0.15">
      <c r="A955" s="58">
        <v>35766</v>
      </c>
      <c r="B955" s="57" t="s">
        <v>80</v>
      </c>
      <c r="C955" s="57" t="s">
        <v>81</v>
      </c>
      <c r="D955" s="57" t="s">
        <v>86</v>
      </c>
      <c r="E955" s="57">
        <v>2280</v>
      </c>
      <c r="F955" s="57">
        <v>10762</v>
      </c>
    </row>
    <row r="956" spans="1:6" x14ac:dyDescent="0.15">
      <c r="A956" s="58">
        <v>35767</v>
      </c>
      <c r="B956" s="57" t="s">
        <v>74</v>
      </c>
      <c r="C956" s="57" t="s">
        <v>75</v>
      </c>
      <c r="D956" s="57" t="s">
        <v>77</v>
      </c>
      <c r="E956" s="57">
        <v>400</v>
      </c>
      <c r="F956" s="57">
        <v>10763</v>
      </c>
    </row>
    <row r="957" spans="1:6" x14ac:dyDescent="0.15">
      <c r="A957" s="58">
        <v>35767</v>
      </c>
      <c r="B957" s="57" t="s">
        <v>74</v>
      </c>
      <c r="C957" s="57" t="s">
        <v>75</v>
      </c>
      <c r="D957" s="57" t="s">
        <v>86</v>
      </c>
      <c r="E957" s="57">
        <v>126</v>
      </c>
      <c r="F957" s="57">
        <v>10763</v>
      </c>
    </row>
    <row r="958" spans="1:6" x14ac:dyDescent="0.15">
      <c r="A958" s="58">
        <v>35767</v>
      </c>
      <c r="B958" s="57" t="s">
        <v>74</v>
      </c>
      <c r="C958" s="57" t="s">
        <v>75</v>
      </c>
      <c r="D958" s="57" t="s">
        <v>42</v>
      </c>
      <c r="E958" s="57">
        <v>90</v>
      </c>
      <c r="F958" s="57">
        <v>10763</v>
      </c>
    </row>
    <row r="959" spans="1:6" x14ac:dyDescent="0.15">
      <c r="A959" s="58">
        <v>35767</v>
      </c>
      <c r="B959" s="57" t="s">
        <v>74</v>
      </c>
      <c r="C959" s="57" t="s">
        <v>92</v>
      </c>
      <c r="D959" s="57" t="s">
        <v>88</v>
      </c>
      <c r="E959" s="57">
        <v>179.99999970197678</v>
      </c>
      <c r="F959" s="57">
        <v>10764</v>
      </c>
    </row>
    <row r="960" spans="1:6" x14ac:dyDescent="0.15">
      <c r="A960" s="58">
        <v>35767</v>
      </c>
      <c r="B960" s="57" t="s">
        <v>74</v>
      </c>
      <c r="C960" s="57" t="s">
        <v>92</v>
      </c>
      <c r="D960" s="57" t="s">
        <v>42</v>
      </c>
      <c r="E960" s="57">
        <v>2105.9999965131283</v>
      </c>
      <c r="F960" s="57">
        <v>10764</v>
      </c>
    </row>
    <row r="961" spans="1:6" x14ac:dyDescent="0.15">
      <c r="A961" s="58">
        <v>35768</v>
      </c>
      <c r="B961" s="57" t="s">
        <v>74</v>
      </c>
      <c r="C961" s="57" t="s">
        <v>75</v>
      </c>
      <c r="D961" s="57" t="s">
        <v>88</v>
      </c>
      <c r="E961" s="57">
        <v>1515.5999974906445</v>
      </c>
      <c r="F961" s="57">
        <v>10765</v>
      </c>
    </row>
    <row r="962" spans="1:6" x14ac:dyDescent="0.15">
      <c r="A962" s="58">
        <v>35769</v>
      </c>
      <c r="B962" s="57" t="s">
        <v>80</v>
      </c>
      <c r="C962" s="57" t="s">
        <v>92</v>
      </c>
      <c r="D962" s="57" t="s">
        <v>42</v>
      </c>
      <c r="E962" s="57">
        <v>760</v>
      </c>
      <c r="F962" s="57">
        <v>10766</v>
      </c>
    </row>
    <row r="963" spans="1:6" x14ac:dyDescent="0.15">
      <c r="A963" s="58">
        <v>35769</v>
      </c>
      <c r="B963" s="57" t="s">
        <v>80</v>
      </c>
      <c r="C963" s="57" t="s">
        <v>92</v>
      </c>
      <c r="D963" s="57" t="s">
        <v>95</v>
      </c>
      <c r="E963" s="57">
        <v>1050</v>
      </c>
      <c r="F963" s="57">
        <v>10766</v>
      </c>
    </row>
    <row r="964" spans="1:6" x14ac:dyDescent="0.15">
      <c r="A964" s="58">
        <v>35769</v>
      </c>
      <c r="B964" s="57" t="s">
        <v>80</v>
      </c>
      <c r="C964" s="57" t="s">
        <v>92</v>
      </c>
      <c r="D964" s="57" t="s">
        <v>77</v>
      </c>
      <c r="E964" s="57">
        <v>500</v>
      </c>
      <c r="F964" s="57">
        <v>10766</v>
      </c>
    </row>
    <row r="965" spans="1:6" x14ac:dyDescent="0.15">
      <c r="A965" s="58">
        <v>35769</v>
      </c>
      <c r="B965" s="57" t="s">
        <v>74</v>
      </c>
      <c r="C965" s="57" t="s">
        <v>75</v>
      </c>
      <c r="D965" s="57" t="s">
        <v>86</v>
      </c>
      <c r="E965" s="57">
        <v>28</v>
      </c>
      <c r="F965" s="57">
        <v>10767</v>
      </c>
    </row>
    <row r="966" spans="1:6" x14ac:dyDescent="0.15">
      <c r="A966" s="58">
        <v>35772</v>
      </c>
      <c r="B966" s="57" t="s">
        <v>91</v>
      </c>
      <c r="C966" s="57" t="s">
        <v>92</v>
      </c>
      <c r="D966" s="57" t="s">
        <v>86</v>
      </c>
      <c r="E966" s="57">
        <v>84</v>
      </c>
      <c r="F966" s="57">
        <v>10768</v>
      </c>
    </row>
    <row r="967" spans="1:6" x14ac:dyDescent="0.15">
      <c r="A967" s="58">
        <v>35772</v>
      </c>
      <c r="B967" s="57" t="s">
        <v>91</v>
      </c>
      <c r="C967" s="57" t="s">
        <v>92</v>
      </c>
      <c r="D967" s="57" t="s">
        <v>73</v>
      </c>
      <c r="E967" s="57">
        <v>625</v>
      </c>
      <c r="F967" s="57">
        <v>10768</v>
      </c>
    </row>
    <row r="968" spans="1:6" x14ac:dyDescent="0.15">
      <c r="A968" s="58">
        <v>35772</v>
      </c>
      <c r="B968" s="57" t="s">
        <v>91</v>
      </c>
      <c r="C968" s="57" t="s">
        <v>92</v>
      </c>
      <c r="D968" s="57" t="s">
        <v>73</v>
      </c>
      <c r="E968" s="57">
        <v>510</v>
      </c>
      <c r="F968" s="57">
        <v>10768</v>
      </c>
    </row>
    <row r="969" spans="1:6" x14ac:dyDescent="0.15">
      <c r="A969" s="58">
        <v>35772</v>
      </c>
      <c r="B969" s="57" t="s">
        <v>91</v>
      </c>
      <c r="C969" s="57" t="s">
        <v>92</v>
      </c>
      <c r="D969" s="57" t="s">
        <v>73</v>
      </c>
      <c r="E969" s="57">
        <v>258</v>
      </c>
      <c r="F969" s="57">
        <v>10768</v>
      </c>
    </row>
    <row r="970" spans="1:6" x14ac:dyDescent="0.15">
      <c r="A970" s="58">
        <v>35772</v>
      </c>
      <c r="B970" s="57" t="s">
        <v>80</v>
      </c>
      <c r="C970" s="57" t="s">
        <v>92</v>
      </c>
      <c r="D970" s="57" t="s">
        <v>82</v>
      </c>
      <c r="E970" s="57">
        <v>275.02499978430569</v>
      </c>
      <c r="F970" s="57">
        <v>10769</v>
      </c>
    </row>
    <row r="971" spans="1:6" x14ac:dyDescent="0.15">
      <c r="A971" s="58">
        <v>35772</v>
      </c>
      <c r="B971" s="57" t="s">
        <v>80</v>
      </c>
      <c r="C971" s="57" t="s">
        <v>92</v>
      </c>
      <c r="D971" s="57" t="s">
        <v>86</v>
      </c>
      <c r="E971" s="57">
        <v>99.749999921768904</v>
      </c>
      <c r="F971" s="57">
        <v>10769</v>
      </c>
    </row>
    <row r="972" spans="1:6" x14ac:dyDescent="0.15">
      <c r="A972" s="58">
        <v>35772</v>
      </c>
      <c r="B972" s="57" t="s">
        <v>80</v>
      </c>
      <c r="C972" s="57" t="s">
        <v>92</v>
      </c>
      <c r="D972" s="57" t="s">
        <v>88</v>
      </c>
      <c r="E972" s="57">
        <v>570</v>
      </c>
      <c r="F972" s="57">
        <v>10769</v>
      </c>
    </row>
    <row r="973" spans="1:6" x14ac:dyDescent="0.15">
      <c r="A973" s="58">
        <v>35772</v>
      </c>
      <c r="B973" s="57" t="s">
        <v>80</v>
      </c>
      <c r="C973" s="57" t="s">
        <v>92</v>
      </c>
      <c r="D973" s="57" t="s">
        <v>77</v>
      </c>
      <c r="E973" s="57">
        <v>739.5</v>
      </c>
      <c r="F973" s="57">
        <v>10769</v>
      </c>
    </row>
    <row r="974" spans="1:6" x14ac:dyDescent="0.15">
      <c r="A974" s="58">
        <v>35773</v>
      </c>
      <c r="B974" s="57" t="s">
        <v>74</v>
      </c>
      <c r="C974" s="57" t="s">
        <v>81</v>
      </c>
      <c r="D974" s="57" t="s">
        <v>73</v>
      </c>
      <c r="E974" s="57">
        <v>236.25</v>
      </c>
      <c r="F974" s="57">
        <v>10770</v>
      </c>
    </row>
    <row r="975" spans="1:6" x14ac:dyDescent="0.15">
      <c r="A975" s="58">
        <v>35774</v>
      </c>
      <c r="B975" s="57" t="s">
        <v>91</v>
      </c>
      <c r="C975" s="57" t="s">
        <v>92</v>
      </c>
      <c r="D975" s="57" t="s">
        <v>73</v>
      </c>
      <c r="E975" s="57">
        <v>344</v>
      </c>
      <c r="F975" s="57">
        <v>10771</v>
      </c>
    </row>
    <row r="976" spans="1:6" x14ac:dyDescent="0.15">
      <c r="A976" s="58">
        <v>35774</v>
      </c>
      <c r="B976" s="57" t="s">
        <v>91</v>
      </c>
      <c r="C976" s="57" t="s">
        <v>81</v>
      </c>
      <c r="D976" s="57" t="s">
        <v>33</v>
      </c>
      <c r="E976" s="57">
        <v>2228.2199999999998</v>
      </c>
      <c r="F976" s="57">
        <v>10772</v>
      </c>
    </row>
    <row r="977" spans="1:6" x14ac:dyDescent="0.15">
      <c r="A977" s="58">
        <v>35774</v>
      </c>
      <c r="B977" s="57" t="s">
        <v>91</v>
      </c>
      <c r="C977" s="57" t="s">
        <v>81</v>
      </c>
      <c r="D977" s="57" t="s">
        <v>73</v>
      </c>
      <c r="E977" s="57">
        <v>1375</v>
      </c>
      <c r="F977" s="57">
        <v>10772</v>
      </c>
    </row>
    <row r="978" spans="1:6" x14ac:dyDescent="0.15">
      <c r="A978" s="58">
        <v>35775</v>
      </c>
      <c r="B978" s="57" t="s">
        <v>74</v>
      </c>
      <c r="C978" s="57" t="s">
        <v>92</v>
      </c>
      <c r="D978" s="57" t="s">
        <v>33</v>
      </c>
      <c r="E978" s="57">
        <v>1287</v>
      </c>
      <c r="F978" s="57">
        <v>10773</v>
      </c>
    </row>
    <row r="979" spans="1:6" x14ac:dyDescent="0.15">
      <c r="A979" s="58">
        <v>35775</v>
      </c>
      <c r="B979" s="57" t="s">
        <v>74</v>
      </c>
      <c r="C979" s="57" t="s">
        <v>92</v>
      </c>
      <c r="D979" s="57" t="s">
        <v>73</v>
      </c>
      <c r="E979" s="57">
        <v>699.99999739229679</v>
      </c>
      <c r="F979" s="57">
        <v>10773</v>
      </c>
    </row>
    <row r="980" spans="1:6" x14ac:dyDescent="0.15">
      <c r="A980" s="58">
        <v>35775</v>
      </c>
      <c r="B980" s="57" t="s">
        <v>74</v>
      </c>
      <c r="C980" s="57" t="s">
        <v>92</v>
      </c>
      <c r="D980" s="57" t="s">
        <v>42</v>
      </c>
      <c r="E980" s="57">
        <v>43.399999838322401</v>
      </c>
      <c r="F980" s="57">
        <v>10773</v>
      </c>
    </row>
    <row r="981" spans="1:6" x14ac:dyDescent="0.15">
      <c r="A981" s="58">
        <v>35775</v>
      </c>
      <c r="B981" s="57" t="s">
        <v>80</v>
      </c>
      <c r="C981" s="57" t="s">
        <v>81</v>
      </c>
      <c r="D981" s="57" t="s">
        <v>73</v>
      </c>
      <c r="E981" s="57">
        <v>18.75</v>
      </c>
      <c r="F981" s="57">
        <v>10774</v>
      </c>
    </row>
    <row r="982" spans="1:6" x14ac:dyDescent="0.15">
      <c r="A982" s="58">
        <v>35775</v>
      </c>
      <c r="B982" s="57" t="s">
        <v>80</v>
      </c>
      <c r="C982" s="57" t="s">
        <v>81</v>
      </c>
      <c r="D982" s="57" t="s">
        <v>88</v>
      </c>
      <c r="E982" s="57">
        <v>850</v>
      </c>
      <c r="F982" s="57">
        <v>10774</v>
      </c>
    </row>
    <row r="983" spans="1:6" x14ac:dyDescent="0.15">
      <c r="A983" s="58">
        <v>35776</v>
      </c>
      <c r="B983" s="57" t="s">
        <v>80</v>
      </c>
      <c r="C983" s="57" t="s">
        <v>96</v>
      </c>
      <c r="D983" s="57" t="s">
        <v>82</v>
      </c>
      <c r="E983" s="57">
        <v>186</v>
      </c>
      <c r="F983" s="57">
        <v>10775</v>
      </c>
    </row>
    <row r="984" spans="1:6" x14ac:dyDescent="0.15">
      <c r="A984" s="58">
        <v>35776</v>
      </c>
      <c r="B984" s="57" t="s">
        <v>80</v>
      </c>
      <c r="C984" s="57" t="s">
        <v>96</v>
      </c>
      <c r="D984" s="57" t="s">
        <v>42</v>
      </c>
      <c r="E984" s="57">
        <v>42</v>
      </c>
      <c r="F984" s="57">
        <v>10775</v>
      </c>
    </row>
    <row r="985" spans="1:6" x14ac:dyDescent="0.15">
      <c r="A985" s="58">
        <v>35779</v>
      </c>
      <c r="B985" s="57" t="s">
        <v>74</v>
      </c>
      <c r="C985" s="57" t="s">
        <v>92</v>
      </c>
      <c r="D985" s="57" t="s">
        <v>73</v>
      </c>
      <c r="E985" s="57">
        <v>189.99999985098839</v>
      </c>
      <c r="F985" s="57">
        <v>10776</v>
      </c>
    </row>
    <row r="986" spans="1:6" x14ac:dyDescent="0.15">
      <c r="A986" s="58">
        <v>35779</v>
      </c>
      <c r="B986" s="57" t="s">
        <v>74</v>
      </c>
      <c r="C986" s="57" t="s">
        <v>92</v>
      </c>
      <c r="D986" s="57" t="s">
        <v>86</v>
      </c>
      <c r="E986" s="57">
        <v>159.59999987483025</v>
      </c>
      <c r="F986" s="57">
        <v>10776</v>
      </c>
    </row>
    <row r="987" spans="1:6" x14ac:dyDescent="0.15">
      <c r="A987" s="58">
        <v>35779</v>
      </c>
      <c r="B987" s="57" t="s">
        <v>74</v>
      </c>
      <c r="C987" s="57" t="s">
        <v>92</v>
      </c>
      <c r="D987" s="57" t="s">
        <v>82</v>
      </c>
      <c r="E987" s="57">
        <v>243.67499980889261</v>
      </c>
      <c r="F987" s="57">
        <v>10776</v>
      </c>
    </row>
    <row r="988" spans="1:6" x14ac:dyDescent="0.15">
      <c r="A988" s="58">
        <v>35779</v>
      </c>
      <c r="B988" s="57" t="s">
        <v>74</v>
      </c>
      <c r="C988" s="57" t="s">
        <v>92</v>
      </c>
      <c r="D988" s="57" t="s">
        <v>95</v>
      </c>
      <c r="E988" s="57">
        <v>6041.9999952614307</v>
      </c>
      <c r="F988" s="57">
        <v>10776</v>
      </c>
    </row>
    <row r="989" spans="1:6" x14ac:dyDescent="0.15">
      <c r="A989" s="58">
        <v>35779</v>
      </c>
      <c r="B989" s="57" t="s">
        <v>91</v>
      </c>
      <c r="C989" s="57" t="s">
        <v>81</v>
      </c>
      <c r="D989" s="57" t="s">
        <v>86</v>
      </c>
      <c r="E989" s="57">
        <v>223.99999916553497</v>
      </c>
      <c r="F989" s="57">
        <v>10777</v>
      </c>
    </row>
    <row r="990" spans="1:6" x14ac:dyDescent="0.15">
      <c r="A990" s="58">
        <v>35780</v>
      </c>
      <c r="B990" s="57" t="s">
        <v>80</v>
      </c>
      <c r="C990" s="57" t="s">
        <v>81</v>
      </c>
      <c r="D990" s="57" t="s">
        <v>82</v>
      </c>
      <c r="E990" s="57">
        <v>96.5</v>
      </c>
      <c r="F990" s="57">
        <v>10778</v>
      </c>
    </row>
    <row r="991" spans="1:6" x14ac:dyDescent="0.15">
      <c r="A991" s="58">
        <v>35780</v>
      </c>
      <c r="B991" s="57" t="s">
        <v>91</v>
      </c>
      <c r="C991" s="57" t="s">
        <v>75</v>
      </c>
      <c r="D991" s="57" t="s">
        <v>77</v>
      </c>
      <c r="E991" s="57">
        <v>349</v>
      </c>
      <c r="F991" s="57">
        <v>10779</v>
      </c>
    </row>
    <row r="992" spans="1:6" x14ac:dyDescent="0.15">
      <c r="A992" s="58">
        <v>35780</v>
      </c>
      <c r="B992" s="57" t="s">
        <v>91</v>
      </c>
      <c r="C992" s="57" t="s">
        <v>75</v>
      </c>
      <c r="D992" s="57" t="s">
        <v>77</v>
      </c>
      <c r="E992" s="57">
        <v>986</v>
      </c>
      <c r="F992" s="57">
        <v>10779</v>
      </c>
    </row>
    <row r="993" spans="1:6" x14ac:dyDescent="0.15">
      <c r="A993" s="58">
        <v>35780</v>
      </c>
      <c r="B993" s="57" t="s">
        <v>80</v>
      </c>
      <c r="C993" s="57" t="s">
        <v>75</v>
      </c>
      <c r="D993" s="57" t="s">
        <v>42</v>
      </c>
      <c r="E993" s="57">
        <v>525</v>
      </c>
      <c r="F993" s="57">
        <v>10780</v>
      </c>
    </row>
    <row r="994" spans="1:6" x14ac:dyDescent="0.15">
      <c r="A994" s="58">
        <v>35780</v>
      </c>
      <c r="B994" s="57" t="s">
        <v>80</v>
      </c>
      <c r="C994" s="57" t="s">
        <v>75</v>
      </c>
      <c r="D994" s="57" t="s">
        <v>88</v>
      </c>
      <c r="E994" s="57">
        <v>195</v>
      </c>
      <c r="F994" s="57">
        <v>10780</v>
      </c>
    </row>
    <row r="995" spans="1:6" x14ac:dyDescent="0.15">
      <c r="A995" s="58">
        <v>35781</v>
      </c>
      <c r="B995" s="57" t="s">
        <v>74</v>
      </c>
      <c r="C995" s="57" t="s">
        <v>75</v>
      </c>
      <c r="D995" s="57" t="s">
        <v>33</v>
      </c>
      <c r="E995" s="57">
        <v>17.879999933391812</v>
      </c>
      <c r="F995" s="57">
        <v>10781</v>
      </c>
    </row>
    <row r="996" spans="1:6" x14ac:dyDescent="0.15">
      <c r="A996" s="58">
        <v>35781</v>
      </c>
      <c r="B996" s="57" t="s">
        <v>74</v>
      </c>
      <c r="C996" s="57" t="s">
        <v>75</v>
      </c>
      <c r="D996" s="57" t="s">
        <v>86</v>
      </c>
      <c r="E996" s="57">
        <v>607.9999977350235</v>
      </c>
      <c r="F996" s="57">
        <v>10781</v>
      </c>
    </row>
    <row r="997" spans="1:6" x14ac:dyDescent="0.15">
      <c r="A997" s="58">
        <v>35781</v>
      </c>
      <c r="B997" s="57" t="s">
        <v>74</v>
      </c>
      <c r="C997" s="57" t="s">
        <v>75</v>
      </c>
      <c r="D997" s="57" t="s">
        <v>95</v>
      </c>
      <c r="E997" s="57">
        <v>350</v>
      </c>
      <c r="F997" s="57">
        <v>10781</v>
      </c>
    </row>
    <row r="998" spans="1:6" x14ac:dyDescent="0.15">
      <c r="A998" s="58">
        <v>35781</v>
      </c>
      <c r="B998" s="57" t="s">
        <v>74</v>
      </c>
      <c r="C998" s="57" t="s">
        <v>97</v>
      </c>
      <c r="D998" s="57" t="s">
        <v>73</v>
      </c>
      <c r="E998" s="57">
        <v>12.5</v>
      </c>
      <c r="F998" s="57">
        <v>10782</v>
      </c>
    </row>
    <row r="999" spans="1:6" x14ac:dyDescent="0.15">
      <c r="A999" s="58">
        <v>35782</v>
      </c>
      <c r="B999" s="57" t="s">
        <v>91</v>
      </c>
      <c r="C999" s="57" t="s">
        <v>81</v>
      </c>
      <c r="D999" s="57" t="s">
        <v>73</v>
      </c>
      <c r="E999" s="57">
        <v>125</v>
      </c>
      <c r="F999" s="57">
        <v>10783</v>
      </c>
    </row>
    <row r="1000" spans="1:6" x14ac:dyDescent="0.15">
      <c r="A1000" s="58">
        <v>35782</v>
      </c>
      <c r="B1000" s="57" t="s">
        <v>91</v>
      </c>
      <c r="C1000" s="57" t="s">
        <v>81</v>
      </c>
      <c r="D1000" s="57" t="s">
        <v>42</v>
      </c>
      <c r="E1000" s="57">
        <v>1317.5</v>
      </c>
      <c r="F1000" s="57">
        <v>10783</v>
      </c>
    </row>
    <row r="1001" spans="1:6" x14ac:dyDescent="0.15">
      <c r="A1001" s="58">
        <v>35782</v>
      </c>
      <c r="B1001" s="57" t="s">
        <v>74</v>
      </c>
      <c r="C1001" s="57" t="s">
        <v>92</v>
      </c>
      <c r="D1001" s="57" t="s">
        <v>82</v>
      </c>
      <c r="E1001" s="57">
        <v>570</v>
      </c>
      <c r="F1001" s="57">
        <v>10784</v>
      </c>
    </row>
    <row r="1002" spans="1:6" x14ac:dyDescent="0.15">
      <c r="A1002" s="58">
        <v>35782</v>
      </c>
      <c r="B1002" s="57" t="s">
        <v>74</v>
      </c>
      <c r="C1002" s="57" t="s">
        <v>92</v>
      </c>
      <c r="D1002" s="57" t="s">
        <v>42</v>
      </c>
      <c r="E1002" s="57">
        <v>30.599999785423279</v>
      </c>
      <c r="F1002" s="57">
        <v>10784</v>
      </c>
    </row>
    <row r="1003" spans="1:6" x14ac:dyDescent="0.15">
      <c r="A1003" s="58">
        <v>35782</v>
      </c>
      <c r="B1003" s="57" t="s">
        <v>74</v>
      </c>
      <c r="C1003" s="57" t="s">
        <v>92</v>
      </c>
      <c r="D1003" s="57" t="s">
        <v>73</v>
      </c>
      <c r="E1003" s="57">
        <v>887.39999377727509</v>
      </c>
      <c r="F1003" s="57">
        <v>10784</v>
      </c>
    </row>
    <row r="1004" spans="1:6" x14ac:dyDescent="0.15">
      <c r="A1004" s="58">
        <v>35782</v>
      </c>
      <c r="B1004" s="57" t="s">
        <v>74</v>
      </c>
      <c r="C1004" s="57" t="s">
        <v>75</v>
      </c>
      <c r="D1004" s="57" t="s">
        <v>82</v>
      </c>
      <c r="E1004" s="57">
        <v>310</v>
      </c>
      <c r="F1004" s="57">
        <v>10785</v>
      </c>
    </row>
    <row r="1005" spans="1:6" x14ac:dyDescent="0.15">
      <c r="A1005" s="58">
        <v>35782</v>
      </c>
      <c r="B1005" s="57" t="s">
        <v>74</v>
      </c>
      <c r="C1005" s="57" t="s">
        <v>75</v>
      </c>
      <c r="D1005" s="57" t="s">
        <v>42</v>
      </c>
      <c r="E1005" s="57">
        <v>77.5</v>
      </c>
      <c r="F1005" s="57">
        <v>10785</v>
      </c>
    </row>
    <row r="1006" spans="1:6" x14ac:dyDescent="0.15">
      <c r="A1006" s="58">
        <v>35783</v>
      </c>
      <c r="B1006" s="57" t="s">
        <v>80</v>
      </c>
      <c r="C1006" s="57" t="s">
        <v>75</v>
      </c>
      <c r="D1006" s="57" t="s">
        <v>88</v>
      </c>
      <c r="E1006" s="57">
        <v>959.99999642372131</v>
      </c>
      <c r="F1006" s="57">
        <v>10786</v>
      </c>
    </row>
    <row r="1007" spans="1:6" x14ac:dyDescent="0.15">
      <c r="A1007" s="58">
        <v>35783</v>
      </c>
      <c r="B1007" s="57" t="s">
        <v>80</v>
      </c>
      <c r="C1007" s="57" t="s">
        <v>75</v>
      </c>
      <c r="D1007" s="57" t="s">
        <v>82</v>
      </c>
      <c r="E1007" s="57">
        <v>310.67999884262684</v>
      </c>
      <c r="F1007" s="57">
        <v>10786</v>
      </c>
    </row>
    <row r="1008" spans="1:6" x14ac:dyDescent="0.15">
      <c r="A1008" s="58">
        <v>35783</v>
      </c>
      <c r="B1008" s="57" t="s">
        <v>80</v>
      </c>
      <c r="C1008" s="57" t="s">
        <v>75</v>
      </c>
      <c r="D1008" s="57" t="s">
        <v>42</v>
      </c>
      <c r="E1008" s="57">
        <v>260.39999902993441</v>
      </c>
      <c r="F1008" s="57">
        <v>10786</v>
      </c>
    </row>
    <row r="1009" spans="1:6" x14ac:dyDescent="0.15">
      <c r="A1009" s="58">
        <v>35783</v>
      </c>
      <c r="B1009" s="57" t="s">
        <v>80</v>
      </c>
      <c r="C1009" s="57" t="s">
        <v>75</v>
      </c>
      <c r="D1009" s="57" t="s">
        <v>42</v>
      </c>
      <c r="E1009" s="57">
        <v>270.74999978765845</v>
      </c>
      <c r="F1009" s="57">
        <v>10787</v>
      </c>
    </row>
    <row r="1010" spans="1:6" x14ac:dyDescent="0.15">
      <c r="A1010" s="58">
        <v>35783</v>
      </c>
      <c r="B1010" s="57" t="s">
        <v>80</v>
      </c>
      <c r="C1010" s="57" t="s">
        <v>75</v>
      </c>
      <c r="D1010" s="57" t="s">
        <v>33</v>
      </c>
      <c r="E1010" s="57">
        <v>2352.0099981553853</v>
      </c>
      <c r="F1010" s="57">
        <v>10787</v>
      </c>
    </row>
    <row r="1011" spans="1:6" x14ac:dyDescent="0.15">
      <c r="A1011" s="58">
        <v>35786</v>
      </c>
      <c r="B1011" s="57" t="s">
        <v>91</v>
      </c>
      <c r="C1011" s="57" t="s">
        <v>75</v>
      </c>
      <c r="D1011" s="57" t="s">
        <v>77</v>
      </c>
      <c r="E1011" s="57">
        <v>436.99999965727329</v>
      </c>
      <c r="F1011" s="57">
        <v>10788</v>
      </c>
    </row>
    <row r="1012" spans="1:6" x14ac:dyDescent="0.15">
      <c r="A1012" s="58">
        <v>35786</v>
      </c>
      <c r="B1012" s="57" t="s">
        <v>91</v>
      </c>
      <c r="C1012" s="57" t="s">
        <v>75</v>
      </c>
      <c r="D1012" s="57" t="s">
        <v>42</v>
      </c>
      <c r="E1012" s="57">
        <v>294.499999769032</v>
      </c>
      <c r="F1012" s="57">
        <v>10788</v>
      </c>
    </row>
    <row r="1013" spans="1:6" x14ac:dyDescent="0.15">
      <c r="A1013" s="58">
        <v>35786</v>
      </c>
      <c r="B1013" s="57" t="s">
        <v>91</v>
      </c>
      <c r="C1013" s="57" t="s">
        <v>75</v>
      </c>
      <c r="D1013" s="57" t="s">
        <v>82</v>
      </c>
      <c r="E1013" s="57">
        <v>1875</v>
      </c>
      <c r="F1013" s="57">
        <v>10789</v>
      </c>
    </row>
    <row r="1014" spans="1:6" x14ac:dyDescent="0.15">
      <c r="A1014" s="58">
        <v>35786</v>
      </c>
      <c r="B1014" s="57" t="s">
        <v>91</v>
      </c>
      <c r="C1014" s="57" t="s">
        <v>75</v>
      </c>
      <c r="D1014" s="57" t="s">
        <v>42</v>
      </c>
      <c r="E1014" s="57">
        <v>270</v>
      </c>
      <c r="F1014" s="57">
        <v>10789</v>
      </c>
    </row>
    <row r="1015" spans="1:6" x14ac:dyDescent="0.15">
      <c r="A1015" s="58">
        <v>35786</v>
      </c>
      <c r="B1015" s="57" t="s">
        <v>91</v>
      </c>
      <c r="C1015" s="57" t="s">
        <v>75</v>
      </c>
      <c r="D1015" s="57" t="s">
        <v>88</v>
      </c>
      <c r="E1015" s="57">
        <v>1317</v>
      </c>
      <c r="F1015" s="57">
        <v>10789</v>
      </c>
    </row>
    <row r="1016" spans="1:6" x14ac:dyDescent="0.15">
      <c r="A1016" s="58">
        <v>35786</v>
      </c>
      <c r="B1016" s="57" t="s">
        <v>91</v>
      </c>
      <c r="C1016" s="57" t="s">
        <v>75</v>
      </c>
      <c r="D1016" s="57" t="s">
        <v>77</v>
      </c>
      <c r="E1016" s="57">
        <v>225</v>
      </c>
      <c r="F1016" s="57">
        <v>10789</v>
      </c>
    </row>
    <row r="1017" spans="1:6" x14ac:dyDescent="0.15">
      <c r="A1017" s="58">
        <v>35786</v>
      </c>
      <c r="B1017" s="57" t="s">
        <v>80</v>
      </c>
      <c r="C1017" s="57" t="s">
        <v>81</v>
      </c>
      <c r="D1017" s="57" t="s">
        <v>95</v>
      </c>
      <c r="E1017" s="57">
        <v>76.499999463558197</v>
      </c>
      <c r="F1017" s="57">
        <v>10790</v>
      </c>
    </row>
    <row r="1018" spans="1:6" x14ac:dyDescent="0.15">
      <c r="A1018" s="58">
        <v>35786</v>
      </c>
      <c r="B1018" s="57" t="s">
        <v>80</v>
      </c>
      <c r="C1018" s="57" t="s">
        <v>81</v>
      </c>
      <c r="D1018" s="57" t="s">
        <v>86</v>
      </c>
      <c r="E1018" s="57">
        <v>645.999995470047</v>
      </c>
      <c r="F1018" s="57">
        <v>10790</v>
      </c>
    </row>
    <row r="1019" spans="1:6" x14ac:dyDescent="0.15">
      <c r="A1019" s="58">
        <v>35787</v>
      </c>
      <c r="B1019" s="57" t="s">
        <v>91</v>
      </c>
      <c r="C1019" s="57" t="s">
        <v>75</v>
      </c>
      <c r="D1019" s="57" t="s">
        <v>33</v>
      </c>
      <c r="E1019" s="57">
        <v>1646.4069987087696</v>
      </c>
      <c r="F1019" s="57">
        <v>10791</v>
      </c>
    </row>
    <row r="1020" spans="1:6" x14ac:dyDescent="0.15">
      <c r="A1020" s="58">
        <v>35787</v>
      </c>
      <c r="B1020" s="57" t="s">
        <v>91</v>
      </c>
      <c r="C1020" s="57" t="s">
        <v>75</v>
      </c>
      <c r="D1020" s="57" t="s">
        <v>82</v>
      </c>
      <c r="E1020" s="57">
        <v>183.34999985620379</v>
      </c>
      <c r="F1020" s="57">
        <v>10791</v>
      </c>
    </row>
    <row r="1021" spans="1:6" x14ac:dyDescent="0.15">
      <c r="A1021" s="58">
        <v>35787</v>
      </c>
      <c r="B1021" s="57" t="s">
        <v>74</v>
      </c>
      <c r="C1021" s="57" t="s">
        <v>75</v>
      </c>
      <c r="D1021" s="57" t="s">
        <v>42</v>
      </c>
      <c r="E1021" s="57">
        <v>190</v>
      </c>
      <c r="F1021" s="57">
        <v>10792</v>
      </c>
    </row>
    <row r="1022" spans="1:6" x14ac:dyDescent="0.15">
      <c r="A1022" s="58">
        <v>35787</v>
      </c>
      <c r="B1022" s="57" t="s">
        <v>74</v>
      </c>
      <c r="C1022" s="57" t="s">
        <v>75</v>
      </c>
      <c r="D1022" s="57" t="s">
        <v>33</v>
      </c>
      <c r="E1022" s="57">
        <v>22.35</v>
      </c>
      <c r="F1022" s="57">
        <v>10792</v>
      </c>
    </row>
    <row r="1023" spans="1:6" x14ac:dyDescent="0.15">
      <c r="A1023" s="58">
        <v>35787</v>
      </c>
      <c r="B1023" s="57" t="s">
        <v>74</v>
      </c>
      <c r="C1023" s="57" t="s">
        <v>75</v>
      </c>
      <c r="D1023" s="57" t="s">
        <v>77</v>
      </c>
      <c r="E1023" s="57">
        <v>187.5</v>
      </c>
      <c r="F1023" s="57">
        <v>10792</v>
      </c>
    </row>
    <row r="1024" spans="1:6" x14ac:dyDescent="0.15">
      <c r="A1024" s="58">
        <v>35788</v>
      </c>
      <c r="B1024" s="57" t="s">
        <v>74</v>
      </c>
      <c r="C1024" s="57" t="s">
        <v>92</v>
      </c>
      <c r="D1024" s="57" t="s">
        <v>82</v>
      </c>
      <c r="E1024" s="57">
        <v>135.1</v>
      </c>
      <c r="F1024" s="57">
        <v>10793</v>
      </c>
    </row>
    <row r="1025" spans="1:6" x14ac:dyDescent="0.15">
      <c r="A1025" s="58">
        <v>35788</v>
      </c>
      <c r="B1025" s="57" t="s">
        <v>74</v>
      </c>
      <c r="C1025" s="57" t="s">
        <v>92</v>
      </c>
      <c r="D1025" s="57" t="s">
        <v>86</v>
      </c>
      <c r="E1025" s="57">
        <v>56</v>
      </c>
      <c r="F1025" s="57">
        <v>10793</v>
      </c>
    </row>
    <row r="1026" spans="1:6" x14ac:dyDescent="0.15">
      <c r="A1026" s="58">
        <v>35788</v>
      </c>
      <c r="B1026" s="57" t="s">
        <v>80</v>
      </c>
      <c r="C1026" s="57" t="s">
        <v>75</v>
      </c>
      <c r="D1026" s="57" t="s">
        <v>95</v>
      </c>
      <c r="E1026" s="57">
        <v>278.99999896064401</v>
      </c>
      <c r="F1026" s="57">
        <v>10794</v>
      </c>
    </row>
    <row r="1027" spans="1:6" x14ac:dyDescent="0.15">
      <c r="A1027" s="58">
        <v>35788</v>
      </c>
      <c r="B1027" s="57" t="s">
        <v>80</v>
      </c>
      <c r="C1027" s="57" t="s">
        <v>75</v>
      </c>
      <c r="D1027" s="57" t="s">
        <v>33</v>
      </c>
      <c r="E1027" s="57">
        <v>35.759999866783623</v>
      </c>
      <c r="F1027" s="57">
        <v>10794</v>
      </c>
    </row>
    <row r="1028" spans="1:6" x14ac:dyDescent="0.15">
      <c r="A1028" s="58">
        <v>35788</v>
      </c>
      <c r="B1028" s="57" t="s">
        <v>91</v>
      </c>
      <c r="C1028" s="57" t="s">
        <v>92</v>
      </c>
      <c r="D1028" s="57" t="s">
        <v>77</v>
      </c>
      <c r="E1028" s="57">
        <v>1134.25</v>
      </c>
      <c r="F1028" s="57">
        <v>10795</v>
      </c>
    </row>
    <row r="1029" spans="1:6" x14ac:dyDescent="0.15">
      <c r="A1029" s="58">
        <v>35788</v>
      </c>
      <c r="B1029" s="57" t="s">
        <v>91</v>
      </c>
      <c r="C1029" s="57" t="s">
        <v>92</v>
      </c>
      <c r="D1029" s="57" t="s">
        <v>33</v>
      </c>
      <c r="E1029" s="57">
        <v>1023.75</v>
      </c>
      <c r="F1029" s="57">
        <v>10795</v>
      </c>
    </row>
    <row r="1030" spans="1:6" x14ac:dyDescent="0.15">
      <c r="A1030" s="58">
        <v>35789</v>
      </c>
      <c r="B1030" s="57" t="s">
        <v>80</v>
      </c>
      <c r="C1030" s="57" t="s">
        <v>92</v>
      </c>
      <c r="D1030" s="57" t="s">
        <v>77</v>
      </c>
      <c r="E1030" s="57">
        <v>524.66399804547427</v>
      </c>
      <c r="F1030" s="57">
        <v>10796</v>
      </c>
    </row>
    <row r="1031" spans="1:6" x14ac:dyDescent="0.15">
      <c r="A1031" s="58">
        <v>35789</v>
      </c>
      <c r="B1031" s="57" t="s">
        <v>80</v>
      </c>
      <c r="C1031" s="57" t="s">
        <v>92</v>
      </c>
      <c r="D1031" s="57" t="s">
        <v>88</v>
      </c>
      <c r="E1031" s="57">
        <v>194.5</v>
      </c>
      <c r="F1031" s="57">
        <v>10796</v>
      </c>
    </row>
    <row r="1032" spans="1:6" x14ac:dyDescent="0.15">
      <c r="A1032" s="58">
        <v>35789</v>
      </c>
      <c r="B1032" s="57" t="s">
        <v>80</v>
      </c>
      <c r="C1032" s="57" t="s">
        <v>92</v>
      </c>
      <c r="D1032" s="57" t="s">
        <v>86</v>
      </c>
      <c r="E1032" s="57">
        <v>930.99999653175473</v>
      </c>
      <c r="F1032" s="57">
        <v>10796</v>
      </c>
    </row>
    <row r="1033" spans="1:6" x14ac:dyDescent="0.15">
      <c r="A1033" s="58">
        <v>35789</v>
      </c>
      <c r="B1033" s="57" t="s">
        <v>80</v>
      </c>
      <c r="C1033" s="57" t="s">
        <v>92</v>
      </c>
      <c r="D1033" s="57" t="s">
        <v>73</v>
      </c>
      <c r="E1033" s="57">
        <v>691.19999742507935</v>
      </c>
      <c r="F1033" s="57">
        <v>10796</v>
      </c>
    </row>
    <row r="1034" spans="1:6" x14ac:dyDescent="0.15">
      <c r="A1034" s="58">
        <v>35789</v>
      </c>
      <c r="B1034" s="57" t="s">
        <v>91</v>
      </c>
      <c r="C1034" s="57" t="s">
        <v>92</v>
      </c>
      <c r="D1034" s="57" t="s">
        <v>73</v>
      </c>
      <c r="E1034" s="57">
        <v>420</v>
      </c>
      <c r="F1034" s="57">
        <v>10797</v>
      </c>
    </row>
    <row r="1035" spans="1:6" x14ac:dyDescent="0.15">
      <c r="A1035" s="58">
        <v>35790</v>
      </c>
      <c r="B1035" s="57" t="s">
        <v>80</v>
      </c>
      <c r="C1035" s="57" t="s">
        <v>98</v>
      </c>
      <c r="D1035" s="57" t="s">
        <v>77</v>
      </c>
      <c r="E1035" s="57">
        <v>98.6</v>
      </c>
      <c r="F1035" s="57">
        <v>10798</v>
      </c>
    </row>
    <row r="1036" spans="1:6" x14ac:dyDescent="0.15">
      <c r="A1036" s="58">
        <v>35790</v>
      </c>
      <c r="B1036" s="57" t="s">
        <v>80</v>
      </c>
      <c r="C1036" s="57" t="s">
        <v>98</v>
      </c>
      <c r="D1036" s="57" t="s">
        <v>73</v>
      </c>
      <c r="E1036" s="57">
        <v>348</v>
      </c>
      <c r="F1036" s="57">
        <v>10798</v>
      </c>
    </row>
    <row r="1037" spans="1:6" x14ac:dyDescent="0.15">
      <c r="A1037" s="58">
        <v>35790</v>
      </c>
      <c r="B1037" s="57" t="s">
        <v>74</v>
      </c>
      <c r="C1037" s="57" t="s">
        <v>96</v>
      </c>
      <c r="D1037" s="57" t="s">
        <v>82</v>
      </c>
      <c r="E1037" s="57">
        <v>101.99999928474426</v>
      </c>
      <c r="F1037" s="57">
        <v>10799</v>
      </c>
    </row>
    <row r="1038" spans="1:6" x14ac:dyDescent="0.15">
      <c r="A1038" s="58">
        <v>35790</v>
      </c>
      <c r="B1038" s="57" t="s">
        <v>74</v>
      </c>
      <c r="C1038" s="57" t="s">
        <v>96</v>
      </c>
      <c r="D1038" s="57" t="s">
        <v>42</v>
      </c>
      <c r="E1038" s="57">
        <v>76.499999463558197</v>
      </c>
      <c r="F1038" s="57">
        <v>10799</v>
      </c>
    </row>
    <row r="1039" spans="1:6" x14ac:dyDescent="0.15">
      <c r="A1039" s="58">
        <v>35790</v>
      </c>
      <c r="B1039" s="57" t="s">
        <v>74</v>
      </c>
      <c r="C1039" s="57" t="s">
        <v>96</v>
      </c>
      <c r="D1039" s="57" t="s">
        <v>73</v>
      </c>
      <c r="E1039" s="57">
        <v>1375</v>
      </c>
      <c r="F1039" s="57">
        <v>10799</v>
      </c>
    </row>
    <row r="1040" spans="1:6" x14ac:dyDescent="0.15">
      <c r="A1040" s="58">
        <v>35790</v>
      </c>
      <c r="B1040" s="57" t="s">
        <v>74</v>
      </c>
      <c r="C1040" s="57" t="s">
        <v>75</v>
      </c>
      <c r="D1040" s="57" t="s">
        <v>73</v>
      </c>
      <c r="E1040" s="57">
        <v>944.99999843537807</v>
      </c>
      <c r="F1040" s="57">
        <v>10800</v>
      </c>
    </row>
    <row r="1041" spans="1:6" x14ac:dyDescent="0.15">
      <c r="A1041" s="58">
        <v>35790</v>
      </c>
      <c r="B1041" s="57" t="s">
        <v>74</v>
      </c>
      <c r="C1041" s="57" t="s">
        <v>75</v>
      </c>
      <c r="D1041" s="57" t="s">
        <v>95</v>
      </c>
      <c r="E1041" s="57">
        <v>476.99999921023846</v>
      </c>
      <c r="F1041" s="57">
        <v>10800</v>
      </c>
    </row>
    <row r="1042" spans="1:6" x14ac:dyDescent="0.15">
      <c r="A1042" s="58">
        <v>35790</v>
      </c>
      <c r="B1042" s="57" t="s">
        <v>74</v>
      </c>
      <c r="C1042" s="57" t="s">
        <v>75</v>
      </c>
      <c r="D1042" s="57" t="s">
        <v>33</v>
      </c>
      <c r="E1042" s="57">
        <v>46.934999922290444</v>
      </c>
      <c r="F1042" s="57">
        <v>10800</v>
      </c>
    </row>
    <row r="1043" spans="1:6" x14ac:dyDescent="0.15">
      <c r="A1043" s="58">
        <v>35793</v>
      </c>
      <c r="B1043" s="57" t="s">
        <v>91</v>
      </c>
      <c r="C1043" s="57" t="s">
        <v>98</v>
      </c>
      <c r="D1043" s="57" t="s">
        <v>33</v>
      </c>
      <c r="E1043" s="57">
        <v>1170</v>
      </c>
      <c r="F1043" s="57">
        <v>10801</v>
      </c>
    </row>
    <row r="1044" spans="1:6" x14ac:dyDescent="0.15">
      <c r="A1044" s="58">
        <v>35793</v>
      </c>
      <c r="B1044" s="57" t="s">
        <v>91</v>
      </c>
      <c r="C1044" s="57" t="s">
        <v>98</v>
      </c>
      <c r="D1044" s="57" t="s">
        <v>33</v>
      </c>
      <c r="E1044" s="57">
        <v>1856.8500000000001</v>
      </c>
      <c r="F1044" s="57">
        <v>10801</v>
      </c>
    </row>
    <row r="1045" spans="1:6" x14ac:dyDescent="0.15">
      <c r="A1045" s="58">
        <v>35793</v>
      </c>
      <c r="B1045" s="57" t="s">
        <v>91</v>
      </c>
      <c r="C1045" s="57" t="s">
        <v>75</v>
      </c>
      <c r="D1045" s="57" t="s">
        <v>82</v>
      </c>
      <c r="E1045" s="57">
        <v>485.4375</v>
      </c>
      <c r="F1045" s="57">
        <v>10802</v>
      </c>
    </row>
    <row r="1046" spans="1:6" x14ac:dyDescent="0.15">
      <c r="A1046" s="58">
        <v>35793</v>
      </c>
      <c r="B1046" s="57" t="s">
        <v>91</v>
      </c>
      <c r="C1046" s="57" t="s">
        <v>75</v>
      </c>
      <c r="D1046" s="57" t="s">
        <v>95</v>
      </c>
      <c r="E1046" s="57">
        <v>1192.5</v>
      </c>
      <c r="F1046" s="57">
        <v>10802</v>
      </c>
    </row>
    <row r="1047" spans="1:6" x14ac:dyDescent="0.15">
      <c r="A1047" s="58">
        <v>35793</v>
      </c>
      <c r="B1047" s="57" t="s">
        <v>91</v>
      </c>
      <c r="C1047" s="57" t="s">
        <v>75</v>
      </c>
      <c r="D1047" s="57" t="s">
        <v>33</v>
      </c>
      <c r="E1047" s="57">
        <v>1080</v>
      </c>
      <c r="F1047" s="57">
        <v>10802</v>
      </c>
    </row>
    <row r="1048" spans="1:6" x14ac:dyDescent="0.15">
      <c r="A1048" s="58">
        <v>35793</v>
      </c>
      <c r="B1048" s="57" t="s">
        <v>91</v>
      </c>
      <c r="C1048" s="57" t="s">
        <v>75</v>
      </c>
      <c r="D1048" s="57" t="s">
        <v>77</v>
      </c>
      <c r="E1048" s="57">
        <v>184.875</v>
      </c>
      <c r="F1048" s="57">
        <v>10802</v>
      </c>
    </row>
    <row r="1049" spans="1:6" x14ac:dyDescent="0.15">
      <c r="A1049" s="58">
        <v>35794</v>
      </c>
      <c r="B1049" s="57" t="s">
        <v>80</v>
      </c>
      <c r="C1049" s="57" t="s">
        <v>92</v>
      </c>
      <c r="D1049" s="57" t="s">
        <v>77</v>
      </c>
      <c r="E1049" s="57">
        <v>209.75999983549119</v>
      </c>
      <c r="F1049" s="57">
        <v>10803</v>
      </c>
    </row>
    <row r="1050" spans="1:6" x14ac:dyDescent="0.15">
      <c r="A1050" s="58">
        <v>35794</v>
      </c>
      <c r="B1050" s="57" t="s">
        <v>80</v>
      </c>
      <c r="C1050" s="57" t="s">
        <v>92</v>
      </c>
      <c r="D1050" s="57" t="s">
        <v>77</v>
      </c>
      <c r="E1050" s="57">
        <v>199.49999984353781</v>
      </c>
      <c r="F1050" s="57">
        <v>10803</v>
      </c>
    </row>
    <row r="1051" spans="1:6" x14ac:dyDescent="0.15">
      <c r="A1051" s="58">
        <v>35794</v>
      </c>
      <c r="B1051" s="57" t="s">
        <v>80</v>
      </c>
      <c r="C1051" s="57" t="s">
        <v>92</v>
      </c>
      <c r="D1051" s="57" t="s">
        <v>73</v>
      </c>
      <c r="E1051" s="57">
        <v>783.7499993853271</v>
      </c>
      <c r="F1051" s="57">
        <v>10803</v>
      </c>
    </row>
    <row r="1052" spans="1:6" x14ac:dyDescent="0.15">
      <c r="A1052" s="58">
        <v>35794</v>
      </c>
      <c r="B1052" s="57" t="s">
        <v>91</v>
      </c>
      <c r="C1052" s="57" t="s">
        <v>75</v>
      </c>
      <c r="D1052" s="57" t="s">
        <v>82</v>
      </c>
      <c r="E1052" s="57">
        <v>1116</v>
      </c>
      <c r="F1052" s="57">
        <v>10804</v>
      </c>
    </row>
    <row r="1053" spans="1:6" x14ac:dyDescent="0.15">
      <c r="A1053" s="58">
        <v>35794</v>
      </c>
      <c r="B1053" s="57" t="s">
        <v>91</v>
      </c>
      <c r="C1053" s="57" t="s">
        <v>75</v>
      </c>
      <c r="D1053" s="57" t="s">
        <v>95</v>
      </c>
      <c r="E1053" s="57">
        <v>1094.4000000000001</v>
      </c>
      <c r="F1053" s="57">
        <v>10804</v>
      </c>
    </row>
    <row r="1054" spans="1:6" x14ac:dyDescent="0.15">
      <c r="A1054" s="58">
        <v>35794</v>
      </c>
      <c r="B1054" s="57" t="s">
        <v>91</v>
      </c>
      <c r="C1054" s="57" t="s">
        <v>75</v>
      </c>
      <c r="D1054" s="57" t="s">
        <v>77</v>
      </c>
      <c r="E1054" s="57">
        <v>67.999999523162842</v>
      </c>
      <c r="F1054" s="57">
        <v>10804</v>
      </c>
    </row>
    <row r="1055" spans="1:6" x14ac:dyDescent="0.15">
      <c r="A1055" s="58">
        <v>35794</v>
      </c>
      <c r="B1055" s="57" t="s">
        <v>74</v>
      </c>
      <c r="C1055" s="57" t="s">
        <v>92</v>
      </c>
      <c r="D1055" s="57" t="s">
        <v>42</v>
      </c>
      <c r="E1055" s="57">
        <v>140</v>
      </c>
      <c r="F1055" s="57">
        <v>10805</v>
      </c>
    </row>
    <row r="1056" spans="1:6" x14ac:dyDescent="0.15">
      <c r="A1056" s="58">
        <v>35794</v>
      </c>
      <c r="B1056" s="57" t="s">
        <v>74</v>
      </c>
      <c r="C1056" s="57" t="s">
        <v>92</v>
      </c>
      <c r="D1056" s="57" t="s">
        <v>42</v>
      </c>
      <c r="E1056" s="57">
        <v>2635</v>
      </c>
      <c r="F1056" s="57">
        <v>10805</v>
      </c>
    </row>
    <row r="1057" spans="1:6" x14ac:dyDescent="0.15">
      <c r="A1057" s="58">
        <v>35795</v>
      </c>
      <c r="B1057" s="57" t="s">
        <v>91</v>
      </c>
      <c r="C1057" s="57" t="s">
        <v>75</v>
      </c>
      <c r="D1057" s="57" t="s">
        <v>42</v>
      </c>
      <c r="E1057" s="57">
        <v>285</v>
      </c>
      <c r="F1057" s="57">
        <v>10806</v>
      </c>
    </row>
    <row r="1058" spans="1:6" x14ac:dyDescent="0.15">
      <c r="A1058" s="58">
        <v>35795</v>
      </c>
      <c r="B1058" s="57" t="s">
        <v>91</v>
      </c>
      <c r="C1058" s="57" t="s">
        <v>75</v>
      </c>
      <c r="D1058" s="57" t="s">
        <v>88</v>
      </c>
      <c r="E1058" s="57">
        <v>42.1</v>
      </c>
      <c r="F1058" s="57">
        <v>10806</v>
      </c>
    </row>
    <row r="1059" spans="1:6" x14ac:dyDescent="0.15">
      <c r="A1059" s="58">
        <v>35795</v>
      </c>
      <c r="B1059" s="57" t="s">
        <v>91</v>
      </c>
      <c r="C1059" s="57" t="s">
        <v>75</v>
      </c>
      <c r="D1059" s="57" t="s">
        <v>95</v>
      </c>
      <c r="E1059" s="57">
        <v>112.5</v>
      </c>
      <c r="F1059" s="57">
        <v>10806</v>
      </c>
    </row>
    <row r="1060" spans="1:6" x14ac:dyDescent="0.15">
      <c r="A1060" s="58">
        <v>35795</v>
      </c>
      <c r="B1060" s="57" t="s">
        <v>80</v>
      </c>
      <c r="C1060" s="57" t="s">
        <v>81</v>
      </c>
      <c r="D1060" s="57" t="s">
        <v>82</v>
      </c>
      <c r="E1060" s="57">
        <v>18.399999999999999</v>
      </c>
      <c r="F1060" s="57">
        <v>10807</v>
      </c>
    </row>
  </sheetData>
  <phoneticPr fontId="11" type="noConversion"/>
  <pageMargins left="0.7" right="0.7" top="0.75" bottom="0.75" header="0.3" footer="0.3"/>
  <pageSetup paperSize="9" orientation="portrait" horizontalDpi="1200" verticalDpi="1200"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156"/>
  <sheetViews>
    <sheetView topLeftCell="C49" zoomScale="145" zoomScaleNormal="145" workbookViewId="0">
      <selection activeCell="N45" sqref="N45"/>
    </sheetView>
  </sheetViews>
  <sheetFormatPr defaultRowHeight="13.5" x14ac:dyDescent="0.15"/>
  <cols>
    <col min="1" max="1" width="15.125" customWidth="1"/>
  </cols>
  <sheetData>
    <row r="1" spans="1:5" x14ac:dyDescent="0.15">
      <c r="A1" s="20" t="s">
        <v>29</v>
      </c>
      <c r="B1" s="20" t="s">
        <v>30</v>
      </c>
      <c r="C1" s="20" t="s">
        <v>31</v>
      </c>
      <c r="D1" s="20" t="s">
        <v>32</v>
      </c>
      <c r="E1" s="106" t="s">
        <v>152</v>
      </c>
    </row>
    <row r="2" spans="1:5" x14ac:dyDescent="0.15">
      <c r="A2" s="21">
        <v>41456</v>
      </c>
      <c r="B2" s="22" t="s">
        <v>33</v>
      </c>
      <c r="C2" s="22">
        <v>168</v>
      </c>
      <c r="D2" s="22" t="s">
        <v>34</v>
      </c>
      <c r="E2" t="str">
        <f t="shared" ref="E2:E65" si="0">YEAR(A2)&amp;"年"</f>
        <v>2013年</v>
      </c>
    </row>
    <row r="3" spans="1:5" x14ac:dyDescent="0.15">
      <c r="A3" s="21">
        <v>41456</v>
      </c>
      <c r="B3" s="22" t="s">
        <v>35</v>
      </c>
      <c r="C3" s="22">
        <v>98</v>
      </c>
      <c r="D3" s="22" t="s">
        <v>34</v>
      </c>
      <c r="E3" t="str">
        <f t="shared" si="0"/>
        <v>2013年</v>
      </c>
    </row>
    <row r="4" spans="1:5" x14ac:dyDescent="0.15">
      <c r="A4" s="21">
        <v>41456</v>
      </c>
      <c r="B4" s="22" t="s">
        <v>36</v>
      </c>
      <c r="C4" s="22">
        <v>174</v>
      </c>
      <c r="D4" s="22" t="s">
        <v>34</v>
      </c>
      <c r="E4" t="str">
        <f t="shared" si="0"/>
        <v>2013年</v>
      </c>
    </row>
    <row r="5" spans="1:5" x14ac:dyDescent="0.15">
      <c r="A5" s="21">
        <v>41457</v>
      </c>
      <c r="B5" s="22" t="s">
        <v>37</v>
      </c>
      <c r="C5" s="22">
        <v>167.4</v>
      </c>
      <c r="D5" s="22" t="s">
        <v>34</v>
      </c>
      <c r="E5" t="str">
        <f t="shared" si="0"/>
        <v>2013年</v>
      </c>
    </row>
    <row r="6" spans="1:5" x14ac:dyDescent="0.15">
      <c r="A6" s="21">
        <v>41457</v>
      </c>
      <c r="B6" s="22" t="s">
        <v>37</v>
      </c>
      <c r="C6" s="22">
        <v>1696</v>
      </c>
      <c r="D6" s="22" t="s">
        <v>34</v>
      </c>
      <c r="E6" t="str">
        <f t="shared" si="0"/>
        <v>2013年</v>
      </c>
    </row>
    <row r="7" spans="1:5" x14ac:dyDescent="0.15">
      <c r="A7" s="21">
        <v>41460</v>
      </c>
      <c r="B7" s="22" t="s">
        <v>38</v>
      </c>
      <c r="C7" s="22">
        <v>77</v>
      </c>
      <c r="D7" s="22" t="s">
        <v>39</v>
      </c>
      <c r="E7" t="str">
        <f t="shared" si="0"/>
        <v>2013年</v>
      </c>
    </row>
    <row r="8" spans="1:5" x14ac:dyDescent="0.15">
      <c r="A8" s="21">
        <v>41460</v>
      </c>
      <c r="B8" s="22" t="s">
        <v>37</v>
      </c>
      <c r="C8" s="22">
        <v>1261.3999911546707</v>
      </c>
      <c r="D8" s="22" t="s">
        <v>39</v>
      </c>
      <c r="E8" t="str">
        <f t="shared" si="0"/>
        <v>2013年</v>
      </c>
    </row>
    <row r="9" spans="1:5" x14ac:dyDescent="0.15">
      <c r="A9" s="21">
        <v>41460</v>
      </c>
      <c r="B9" s="22" t="s">
        <v>37</v>
      </c>
      <c r="C9" s="22">
        <v>214.19999849796295</v>
      </c>
      <c r="D9" s="22" t="s">
        <v>39</v>
      </c>
      <c r="E9" t="str">
        <f t="shared" si="0"/>
        <v>2013年</v>
      </c>
    </row>
    <row r="10" spans="1:5" x14ac:dyDescent="0.15">
      <c r="A10" s="21">
        <v>41460</v>
      </c>
      <c r="B10" s="22" t="s">
        <v>35</v>
      </c>
      <c r="C10" s="22">
        <v>95.759999924898153</v>
      </c>
      <c r="D10" s="22" t="s">
        <v>39</v>
      </c>
      <c r="E10" t="str">
        <f t="shared" si="0"/>
        <v>2013年</v>
      </c>
    </row>
    <row r="11" spans="1:5" x14ac:dyDescent="0.15">
      <c r="A11" s="21">
        <v>41460</v>
      </c>
      <c r="B11" s="22" t="s">
        <v>35</v>
      </c>
      <c r="C11" s="22">
        <v>222.29999982565641</v>
      </c>
      <c r="D11" s="22" t="s">
        <v>39</v>
      </c>
      <c r="E11" t="str">
        <f t="shared" si="0"/>
        <v>2013年</v>
      </c>
    </row>
    <row r="12" spans="1:5" x14ac:dyDescent="0.15">
      <c r="A12" s="21">
        <v>41460</v>
      </c>
      <c r="B12" s="22" t="s">
        <v>40</v>
      </c>
      <c r="C12" s="22">
        <v>336</v>
      </c>
      <c r="D12" s="22" t="s">
        <v>39</v>
      </c>
      <c r="E12" t="str">
        <f t="shared" si="0"/>
        <v>2013年</v>
      </c>
    </row>
    <row r="13" spans="1:5" x14ac:dyDescent="0.15">
      <c r="A13" s="21">
        <v>41461</v>
      </c>
      <c r="B13" s="22" t="s">
        <v>41</v>
      </c>
      <c r="C13" s="22">
        <v>2462.3999980688095</v>
      </c>
      <c r="D13" s="22" t="s">
        <v>39</v>
      </c>
      <c r="E13" t="str">
        <f t="shared" si="0"/>
        <v>2013年</v>
      </c>
    </row>
    <row r="14" spans="1:5" x14ac:dyDescent="0.15">
      <c r="A14" s="21">
        <v>41461</v>
      </c>
      <c r="B14" s="22" t="s">
        <v>36</v>
      </c>
      <c r="C14" s="22">
        <v>47.499999962747097</v>
      </c>
      <c r="D14" s="22" t="s">
        <v>39</v>
      </c>
      <c r="E14" t="str">
        <f t="shared" si="0"/>
        <v>2013年</v>
      </c>
    </row>
    <row r="15" spans="1:5" x14ac:dyDescent="0.15">
      <c r="A15" s="21">
        <v>41461</v>
      </c>
      <c r="B15" s="22" t="s">
        <v>36</v>
      </c>
      <c r="C15" s="22">
        <v>1088</v>
      </c>
      <c r="D15" s="22" t="s">
        <v>39</v>
      </c>
      <c r="E15" t="str">
        <f t="shared" si="0"/>
        <v>2013年</v>
      </c>
    </row>
    <row r="16" spans="1:5" x14ac:dyDescent="0.15">
      <c r="A16" s="21">
        <v>41462</v>
      </c>
      <c r="B16" s="22" t="s">
        <v>36</v>
      </c>
      <c r="C16" s="22">
        <v>200</v>
      </c>
      <c r="D16" s="22" t="s">
        <v>39</v>
      </c>
      <c r="E16" t="str">
        <f t="shared" si="0"/>
        <v>2013年</v>
      </c>
    </row>
    <row r="17" spans="1:12" x14ac:dyDescent="0.15">
      <c r="A17" s="21">
        <v>41462</v>
      </c>
      <c r="B17" s="22" t="s">
        <v>42</v>
      </c>
      <c r="C17" s="22">
        <v>604.79999999999995</v>
      </c>
      <c r="D17" s="22" t="s">
        <v>39</v>
      </c>
      <c r="E17" t="str">
        <f t="shared" si="0"/>
        <v>2013年</v>
      </c>
    </row>
    <row r="18" spans="1:12" x14ac:dyDescent="0.15">
      <c r="A18" s="21">
        <v>41462</v>
      </c>
      <c r="B18" s="22" t="s">
        <v>41</v>
      </c>
      <c r="C18" s="22">
        <v>640</v>
      </c>
      <c r="D18" s="22" t="s">
        <v>39</v>
      </c>
      <c r="E18" t="str">
        <f t="shared" si="0"/>
        <v>2013年</v>
      </c>
    </row>
    <row r="19" spans="1:12" x14ac:dyDescent="0.15">
      <c r="A19" s="21">
        <v>41463</v>
      </c>
      <c r="B19" s="22" t="s">
        <v>42</v>
      </c>
      <c r="C19" s="22">
        <v>45.899999678134918</v>
      </c>
      <c r="D19" s="22" t="s">
        <v>34</v>
      </c>
      <c r="E19" t="str">
        <f t="shared" si="0"/>
        <v>2013年</v>
      </c>
    </row>
    <row r="20" spans="1:12" x14ac:dyDescent="0.15">
      <c r="A20" s="21">
        <v>41463</v>
      </c>
      <c r="B20" s="22" t="s">
        <v>33</v>
      </c>
      <c r="C20" s="22">
        <v>342.71999759674071</v>
      </c>
      <c r="D20" s="22" t="s">
        <v>34</v>
      </c>
      <c r="E20" t="str">
        <f t="shared" si="0"/>
        <v>2013年</v>
      </c>
    </row>
    <row r="21" spans="1:12" x14ac:dyDescent="0.15">
      <c r="A21" s="21">
        <v>41463</v>
      </c>
      <c r="B21" s="22" t="s">
        <v>37</v>
      </c>
      <c r="C21" s="22">
        <v>168</v>
      </c>
      <c r="D21" s="22" t="s">
        <v>34</v>
      </c>
      <c r="E21" t="str">
        <f t="shared" si="0"/>
        <v>2013年</v>
      </c>
    </row>
    <row r="22" spans="1:12" x14ac:dyDescent="0.15">
      <c r="A22" s="21">
        <v>41464</v>
      </c>
      <c r="B22" s="22" t="s">
        <v>42</v>
      </c>
      <c r="C22" s="22">
        <v>304</v>
      </c>
      <c r="D22" s="22" t="s">
        <v>34</v>
      </c>
      <c r="E22" t="str">
        <f t="shared" si="0"/>
        <v>2013年</v>
      </c>
    </row>
    <row r="23" spans="1:12" x14ac:dyDescent="0.15">
      <c r="A23" s="21">
        <v>41464</v>
      </c>
      <c r="B23" s="22" t="s">
        <v>41</v>
      </c>
      <c r="C23" s="22">
        <v>486.5</v>
      </c>
      <c r="D23" s="22" t="s">
        <v>34</v>
      </c>
      <c r="E23" t="str">
        <f t="shared" si="0"/>
        <v>2013年</v>
      </c>
    </row>
    <row r="24" spans="1:12" x14ac:dyDescent="0.15">
      <c r="A24" s="21">
        <v>41464</v>
      </c>
      <c r="B24" s="22" t="s">
        <v>38</v>
      </c>
      <c r="C24" s="22">
        <v>380</v>
      </c>
      <c r="D24" s="22" t="s">
        <v>34</v>
      </c>
      <c r="E24" t="str">
        <f t="shared" si="0"/>
        <v>2013年</v>
      </c>
    </row>
    <row r="25" spans="1:12" x14ac:dyDescent="0.15">
      <c r="A25" s="21">
        <v>41464</v>
      </c>
      <c r="B25" s="22" t="s">
        <v>36</v>
      </c>
      <c r="C25" s="22">
        <v>1320</v>
      </c>
      <c r="D25" s="22" t="s">
        <v>34</v>
      </c>
      <c r="E25" t="str">
        <f t="shared" si="0"/>
        <v>2013年</v>
      </c>
      <c r="L25">
        <v>3</v>
      </c>
    </row>
    <row r="26" spans="1:12" x14ac:dyDescent="0.15">
      <c r="A26" s="21">
        <v>41467</v>
      </c>
      <c r="B26" s="22" t="s">
        <v>33</v>
      </c>
      <c r="C26" s="22">
        <v>393</v>
      </c>
      <c r="D26" s="22" t="s">
        <v>39</v>
      </c>
      <c r="E26" t="str">
        <f t="shared" si="0"/>
        <v>2013年</v>
      </c>
      <c r="G26" t="s">
        <v>151</v>
      </c>
      <c r="H26" t="s">
        <v>150</v>
      </c>
      <c r="I26" s="20" t="s">
        <v>30</v>
      </c>
      <c r="L26" t="s">
        <v>149</v>
      </c>
    </row>
    <row r="27" spans="1:12" x14ac:dyDescent="0.15">
      <c r="A27" s="21">
        <v>41467</v>
      </c>
      <c r="B27" s="22" t="s">
        <v>40</v>
      </c>
      <c r="C27" s="22">
        <v>124.8</v>
      </c>
      <c r="D27" s="22" t="s">
        <v>39</v>
      </c>
      <c r="E27" t="str">
        <f t="shared" si="0"/>
        <v>2013年</v>
      </c>
      <c r="G27" t="str">
        <f>INDEX(L30:L31,L29)</f>
        <v>美国</v>
      </c>
      <c r="H27" t="str">
        <f>INDEX(L26:L28,L25)</f>
        <v>2015年</v>
      </c>
      <c r="I27" s="22" t="s">
        <v>33</v>
      </c>
      <c r="L27" t="s">
        <v>148</v>
      </c>
    </row>
    <row r="28" spans="1:12" x14ac:dyDescent="0.15">
      <c r="A28" s="21">
        <v>41468</v>
      </c>
      <c r="B28" s="22" t="s">
        <v>41</v>
      </c>
      <c r="C28" s="22">
        <v>877.5</v>
      </c>
      <c r="D28" s="22" t="s">
        <v>39</v>
      </c>
      <c r="E28" t="str">
        <f t="shared" si="0"/>
        <v>2013年</v>
      </c>
      <c r="L28" t="s">
        <v>147</v>
      </c>
    </row>
    <row r="29" spans="1:12" x14ac:dyDescent="0.15">
      <c r="A29" s="21">
        <v>41468</v>
      </c>
      <c r="B29" s="22" t="s">
        <v>42</v>
      </c>
      <c r="C29" s="22">
        <v>86.4</v>
      </c>
      <c r="D29" s="22" t="s">
        <v>39</v>
      </c>
      <c r="E29" t="str">
        <f t="shared" si="0"/>
        <v>2013年</v>
      </c>
      <c r="L29">
        <v>2</v>
      </c>
    </row>
    <row r="30" spans="1:12" x14ac:dyDescent="0.15">
      <c r="A30" s="21">
        <v>41468</v>
      </c>
      <c r="B30" s="22" t="s">
        <v>40</v>
      </c>
      <c r="C30" s="22">
        <v>156</v>
      </c>
      <c r="D30" s="22" t="s">
        <v>39</v>
      </c>
      <c r="E30" t="str">
        <f t="shared" si="0"/>
        <v>2013年</v>
      </c>
      <c r="I30">
        <f>DSUM(B1:E2156,C1,G26:I27)</f>
        <v>35272.076475645903</v>
      </c>
      <c r="L30" t="s">
        <v>34</v>
      </c>
    </row>
    <row r="31" spans="1:12" x14ac:dyDescent="0.15">
      <c r="A31" s="21">
        <v>41469</v>
      </c>
      <c r="B31" s="22" t="s">
        <v>42</v>
      </c>
      <c r="C31" s="22">
        <v>607.9999977350235</v>
      </c>
      <c r="D31" s="22" t="s">
        <v>39</v>
      </c>
      <c r="E31" t="str">
        <f t="shared" si="0"/>
        <v>2013年</v>
      </c>
      <c r="F31" t="str">
        <f t="shared" ref="F31:F38" si="1">INDEX($H$31:$H$38,MATCH(G31,$I$31:$I$38,0)*0)</f>
        <v>饮料</v>
      </c>
      <c r="G31">
        <f>SMALL($I$31:$I$38,8)</f>
        <v>92343.799915257841</v>
      </c>
      <c r="H31" s="22" t="s">
        <v>42</v>
      </c>
      <c r="I31">
        <f t="dataTable" ref="I31:I38" dt2D="0" dtr="0" r1="I27"/>
        <v>92343.799915257841</v>
      </c>
      <c r="J31">
        <f t="shared" ref="J31:J38" si="2">AVERAGE($I$31:$I$38)</f>
        <v>39296.622091747377</v>
      </c>
      <c r="L31" t="s">
        <v>39</v>
      </c>
    </row>
    <row r="32" spans="1:12" x14ac:dyDescent="0.15">
      <c r="A32" s="21">
        <v>41469</v>
      </c>
      <c r="B32" s="22" t="s">
        <v>40</v>
      </c>
      <c r="C32" s="22">
        <v>883.99999670684338</v>
      </c>
      <c r="D32" s="22" t="s">
        <v>39</v>
      </c>
      <c r="E32" t="str">
        <f t="shared" si="0"/>
        <v>2013年</v>
      </c>
      <c r="F32" t="str">
        <f t="shared" si="1"/>
        <v>乳制品</v>
      </c>
      <c r="G32">
        <f>SMALL($I$31:$I$38,7)</f>
        <v>45466.094982476527</v>
      </c>
      <c r="H32" s="22" t="s">
        <v>36</v>
      </c>
      <c r="I32">
        <v>45466.094982476527</v>
      </c>
      <c r="J32">
        <f t="shared" si="2"/>
        <v>39296.622091747377</v>
      </c>
    </row>
    <row r="33" spans="1:10" x14ac:dyDescent="0.15">
      <c r="A33" s="21">
        <v>41469</v>
      </c>
      <c r="B33" s="22" t="s">
        <v>36</v>
      </c>
      <c r="C33" s="22">
        <v>122.87999954223633</v>
      </c>
      <c r="D33" s="22" t="s">
        <v>39</v>
      </c>
      <c r="E33" t="str">
        <f t="shared" si="0"/>
        <v>2013年</v>
      </c>
      <c r="F33" t="str">
        <f t="shared" si="1"/>
        <v>糖果</v>
      </c>
      <c r="G33">
        <f>SMALL($I$31:$I$38,6)</f>
        <v>40761.930462450124</v>
      </c>
      <c r="H33" s="22" t="s">
        <v>41</v>
      </c>
      <c r="I33">
        <v>40761.930462450124</v>
      </c>
      <c r="J33">
        <f t="shared" si="2"/>
        <v>39296.622091747377</v>
      </c>
    </row>
    <row r="34" spans="1:10" x14ac:dyDescent="0.15">
      <c r="A34" s="21">
        <v>41470</v>
      </c>
      <c r="B34" s="22" t="s">
        <v>41</v>
      </c>
      <c r="C34" s="22">
        <v>80</v>
      </c>
      <c r="D34" s="22" t="s">
        <v>39</v>
      </c>
      <c r="E34" t="str">
        <f t="shared" si="0"/>
        <v>2013年</v>
      </c>
      <c r="F34" t="str">
        <f t="shared" si="1"/>
        <v>海洋食品</v>
      </c>
      <c r="G34">
        <f>SMALL($I$31:$I$38,5)</f>
        <v>37229.344936048983</v>
      </c>
      <c r="H34" s="22" t="s">
        <v>38</v>
      </c>
      <c r="I34">
        <v>37229.344936048983</v>
      </c>
      <c r="J34">
        <f t="shared" si="2"/>
        <v>39296.622091747377</v>
      </c>
    </row>
    <row r="35" spans="1:10" x14ac:dyDescent="0.15">
      <c r="A35" s="21">
        <v>41470</v>
      </c>
      <c r="B35" s="22" t="s">
        <v>38</v>
      </c>
      <c r="C35" s="22">
        <v>20.8</v>
      </c>
      <c r="D35" s="22" t="s">
        <v>39</v>
      </c>
      <c r="E35" t="str">
        <f t="shared" si="0"/>
        <v>2013年</v>
      </c>
      <c r="F35" t="str">
        <f t="shared" si="1"/>
        <v>肉/家禽</v>
      </c>
      <c r="G35">
        <f>SMALL($I$31:$I$38,4)</f>
        <v>35272.076475645903</v>
      </c>
      <c r="H35" s="22" t="s">
        <v>33</v>
      </c>
      <c r="I35">
        <v>35272.076475645903</v>
      </c>
      <c r="J35">
        <f t="shared" si="2"/>
        <v>39296.622091747377</v>
      </c>
    </row>
    <row r="36" spans="1:10" x14ac:dyDescent="0.15">
      <c r="A36" s="21">
        <v>41471</v>
      </c>
      <c r="B36" s="22" t="s">
        <v>38</v>
      </c>
      <c r="C36" s="22">
        <v>92.4</v>
      </c>
      <c r="D36" s="22" t="s">
        <v>39</v>
      </c>
      <c r="E36" t="str">
        <f t="shared" si="0"/>
        <v>2013年</v>
      </c>
      <c r="F36" t="str">
        <f t="shared" si="1"/>
        <v>农产品</v>
      </c>
      <c r="G36">
        <f>SMALL($I$31:$I$38,3)</f>
        <v>22575.582494998071</v>
      </c>
      <c r="H36" s="22" t="s">
        <v>37</v>
      </c>
      <c r="I36">
        <v>22575.582494998071</v>
      </c>
      <c r="J36">
        <f t="shared" si="2"/>
        <v>39296.622091747377</v>
      </c>
    </row>
    <row r="37" spans="1:10" x14ac:dyDescent="0.15">
      <c r="A37" s="21">
        <v>41471</v>
      </c>
      <c r="B37" s="22" t="s">
        <v>35</v>
      </c>
      <c r="C37" s="22">
        <v>780</v>
      </c>
      <c r="D37" s="22" t="s">
        <v>39</v>
      </c>
      <c r="E37" t="str">
        <f t="shared" si="0"/>
        <v>2013年</v>
      </c>
      <c r="F37" t="str">
        <f t="shared" si="1"/>
        <v>香料</v>
      </c>
      <c r="G37">
        <f>SMALL($I$31:$I$38,2)</f>
        <v>21262.867477269472</v>
      </c>
      <c r="H37" s="22" t="s">
        <v>40</v>
      </c>
      <c r="I37">
        <v>21262.867477269472</v>
      </c>
      <c r="J37">
        <f t="shared" si="2"/>
        <v>39296.622091747377</v>
      </c>
    </row>
    <row r="38" spans="1:10" x14ac:dyDescent="0.15">
      <c r="A38" s="21">
        <v>41471</v>
      </c>
      <c r="B38" s="22" t="s">
        <v>41</v>
      </c>
      <c r="C38" s="22">
        <v>443.25</v>
      </c>
      <c r="D38" s="22" t="s">
        <v>39</v>
      </c>
      <c r="E38" t="str">
        <f t="shared" si="0"/>
        <v>2013年</v>
      </c>
      <c r="F38" t="str">
        <f t="shared" si="1"/>
        <v>面食/谷类</v>
      </c>
      <c r="G38">
        <f>SMALL($I$31:$I$38,1)</f>
        <v>19461.279989832081</v>
      </c>
      <c r="H38" s="22" t="s">
        <v>35</v>
      </c>
      <c r="I38">
        <v>19461.279989832081</v>
      </c>
      <c r="J38">
        <f t="shared" si="2"/>
        <v>39296.622091747377</v>
      </c>
    </row>
    <row r="39" spans="1:10" x14ac:dyDescent="0.15">
      <c r="A39" s="21">
        <v>41471</v>
      </c>
      <c r="B39" s="22" t="s">
        <v>42</v>
      </c>
      <c r="C39" s="22">
        <v>189</v>
      </c>
      <c r="D39" s="22" t="s">
        <v>39</v>
      </c>
      <c r="E39" t="str">
        <f t="shared" si="0"/>
        <v>2013年</v>
      </c>
    </row>
    <row r="40" spans="1:10" x14ac:dyDescent="0.15">
      <c r="A40" s="21">
        <v>41471</v>
      </c>
      <c r="B40" s="22" t="s">
        <v>41</v>
      </c>
      <c r="C40" s="22">
        <v>160</v>
      </c>
      <c r="D40" s="22" t="s">
        <v>39</v>
      </c>
      <c r="E40" t="str">
        <f t="shared" si="0"/>
        <v>2013年</v>
      </c>
    </row>
    <row r="41" spans="1:10" x14ac:dyDescent="0.15">
      <c r="A41" s="21">
        <v>41471</v>
      </c>
      <c r="B41" s="22" t="s">
        <v>42</v>
      </c>
      <c r="C41" s="22">
        <v>288</v>
      </c>
      <c r="D41" s="22" t="s">
        <v>39</v>
      </c>
      <c r="E41" t="str">
        <f t="shared" si="0"/>
        <v>2013年</v>
      </c>
    </row>
    <row r="42" spans="1:10" x14ac:dyDescent="0.15">
      <c r="A42" s="21">
        <v>41474</v>
      </c>
      <c r="B42" s="22" t="s">
        <v>40</v>
      </c>
      <c r="C42" s="22">
        <v>163.19999939203262</v>
      </c>
      <c r="D42" s="22" t="s">
        <v>39</v>
      </c>
      <c r="E42" t="str">
        <f t="shared" si="0"/>
        <v>2013年</v>
      </c>
    </row>
    <row r="43" spans="1:10" x14ac:dyDescent="0.15">
      <c r="A43" s="21">
        <v>41474</v>
      </c>
      <c r="B43" s="22" t="s">
        <v>37</v>
      </c>
      <c r="C43" s="22">
        <v>360</v>
      </c>
      <c r="D43" s="22" t="s">
        <v>39</v>
      </c>
      <c r="E43" t="str">
        <f t="shared" si="0"/>
        <v>2013年</v>
      </c>
    </row>
    <row r="44" spans="1:10" x14ac:dyDescent="0.15">
      <c r="A44" s="21">
        <v>41474</v>
      </c>
      <c r="B44" s="22" t="s">
        <v>35</v>
      </c>
      <c r="C44" s="22">
        <v>60.8</v>
      </c>
      <c r="D44" s="22" t="s">
        <v>39</v>
      </c>
      <c r="E44" t="str">
        <f t="shared" si="0"/>
        <v>2013年</v>
      </c>
    </row>
    <row r="45" spans="1:10" x14ac:dyDescent="0.15">
      <c r="A45" s="21">
        <v>41475</v>
      </c>
      <c r="B45" s="22" t="s">
        <v>41</v>
      </c>
      <c r="C45" s="22">
        <v>625.5</v>
      </c>
      <c r="D45" s="22" t="s">
        <v>34</v>
      </c>
      <c r="E45" t="str">
        <f t="shared" si="0"/>
        <v>2013年</v>
      </c>
    </row>
    <row r="46" spans="1:10" x14ac:dyDescent="0.15">
      <c r="A46" s="21">
        <v>41475</v>
      </c>
      <c r="B46" s="22" t="s">
        <v>42</v>
      </c>
      <c r="C46" s="22">
        <v>100.8</v>
      </c>
      <c r="D46" s="22" t="s">
        <v>34</v>
      </c>
      <c r="E46" t="str">
        <f t="shared" si="0"/>
        <v>2013年</v>
      </c>
    </row>
    <row r="47" spans="1:10" x14ac:dyDescent="0.15">
      <c r="A47" s="21">
        <v>41475</v>
      </c>
      <c r="B47" s="22" t="s">
        <v>38</v>
      </c>
      <c r="C47" s="22">
        <v>931.5</v>
      </c>
      <c r="D47" s="22" t="s">
        <v>34</v>
      </c>
      <c r="E47" t="str">
        <f t="shared" si="0"/>
        <v>2013年</v>
      </c>
    </row>
    <row r="48" spans="1:10" x14ac:dyDescent="0.15">
      <c r="A48" s="21">
        <v>41475</v>
      </c>
      <c r="B48" s="22" t="s">
        <v>37</v>
      </c>
      <c r="C48" s="22">
        <v>216</v>
      </c>
      <c r="D48" s="22" t="s">
        <v>34</v>
      </c>
      <c r="E48" t="str">
        <f t="shared" si="0"/>
        <v>2013年</v>
      </c>
    </row>
    <row r="49" spans="1:5" x14ac:dyDescent="0.15">
      <c r="A49" s="21">
        <v>41476</v>
      </c>
      <c r="B49" s="22" t="s">
        <v>42</v>
      </c>
      <c r="C49" s="22">
        <v>532</v>
      </c>
      <c r="D49" s="22" t="s">
        <v>34</v>
      </c>
      <c r="E49" t="str">
        <f t="shared" si="0"/>
        <v>2013年</v>
      </c>
    </row>
    <row r="50" spans="1:5" x14ac:dyDescent="0.15">
      <c r="A50" s="21">
        <v>41476</v>
      </c>
      <c r="B50" s="22" t="s">
        <v>38</v>
      </c>
      <c r="C50" s="22">
        <v>163.62499885261059</v>
      </c>
      <c r="D50" s="22" t="s">
        <v>34</v>
      </c>
      <c r="E50" t="str">
        <f t="shared" si="0"/>
        <v>2013年</v>
      </c>
    </row>
    <row r="51" spans="1:5" x14ac:dyDescent="0.15">
      <c r="A51" s="21">
        <v>41477</v>
      </c>
      <c r="B51" s="22" t="s">
        <v>33</v>
      </c>
      <c r="C51" s="22">
        <v>936</v>
      </c>
      <c r="D51" s="22" t="s">
        <v>39</v>
      </c>
      <c r="E51" t="str">
        <f t="shared" si="0"/>
        <v>2013年</v>
      </c>
    </row>
    <row r="52" spans="1:5" x14ac:dyDescent="0.15">
      <c r="A52" s="21">
        <v>41477</v>
      </c>
      <c r="B52" s="22" t="s">
        <v>42</v>
      </c>
      <c r="C52" s="22">
        <v>240</v>
      </c>
      <c r="D52" s="22" t="s">
        <v>39</v>
      </c>
      <c r="E52" t="str">
        <f t="shared" si="0"/>
        <v>2013年</v>
      </c>
    </row>
    <row r="53" spans="1:5" x14ac:dyDescent="0.15">
      <c r="A53" s="21">
        <v>41478</v>
      </c>
      <c r="B53" s="22" t="s">
        <v>36</v>
      </c>
      <c r="C53" s="22">
        <v>346.5599997282028</v>
      </c>
      <c r="D53" s="22" t="s">
        <v>39</v>
      </c>
      <c r="E53" t="str">
        <f t="shared" si="0"/>
        <v>2013年</v>
      </c>
    </row>
    <row r="54" spans="1:5" x14ac:dyDescent="0.15">
      <c r="A54" s="21">
        <v>41481</v>
      </c>
      <c r="B54" s="22" t="s">
        <v>38</v>
      </c>
      <c r="C54" s="22">
        <v>735</v>
      </c>
      <c r="D54" s="22" t="s">
        <v>39</v>
      </c>
      <c r="E54" t="str">
        <f t="shared" si="0"/>
        <v>2013年</v>
      </c>
    </row>
    <row r="55" spans="1:5" x14ac:dyDescent="0.15">
      <c r="A55" s="21">
        <v>41481</v>
      </c>
      <c r="B55" s="22" t="s">
        <v>36</v>
      </c>
      <c r="C55" s="22">
        <v>2617.9999816417694</v>
      </c>
      <c r="D55" s="22" t="s">
        <v>39</v>
      </c>
      <c r="E55" t="str">
        <f t="shared" si="0"/>
        <v>2013年</v>
      </c>
    </row>
    <row r="56" spans="1:5" x14ac:dyDescent="0.15">
      <c r="A56" s="21">
        <v>41481</v>
      </c>
      <c r="B56" s="22" t="s">
        <v>42</v>
      </c>
      <c r="C56" s="22">
        <v>183.59999871253967</v>
      </c>
      <c r="D56" s="22" t="s">
        <v>39</v>
      </c>
      <c r="E56" t="str">
        <f t="shared" si="0"/>
        <v>2013年</v>
      </c>
    </row>
    <row r="57" spans="1:5" x14ac:dyDescent="0.15">
      <c r="A57" s="21">
        <v>41482</v>
      </c>
      <c r="B57" s="22" t="s">
        <v>33</v>
      </c>
      <c r="C57" s="22">
        <v>990</v>
      </c>
      <c r="D57" s="22" t="s">
        <v>39</v>
      </c>
      <c r="E57" t="str">
        <f t="shared" si="0"/>
        <v>2013年</v>
      </c>
    </row>
    <row r="58" spans="1:5" x14ac:dyDescent="0.15">
      <c r="A58" s="21">
        <v>41482</v>
      </c>
      <c r="B58" s="22" t="s">
        <v>36</v>
      </c>
      <c r="C58" s="22">
        <v>111.2</v>
      </c>
      <c r="D58" s="22" t="s">
        <v>39</v>
      </c>
      <c r="E58" t="str">
        <f t="shared" si="0"/>
        <v>2013年</v>
      </c>
    </row>
    <row r="59" spans="1:5" x14ac:dyDescent="0.15">
      <c r="A59" s="21">
        <v>41483</v>
      </c>
      <c r="B59" s="22" t="s">
        <v>36</v>
      </c>
      <c r="C59" s="22">
        <v>113.99999991059303</v>
      </c>
      <c r="D59" s="22" t="s">
        <v>34</v>
      </c>
      <c r="E59" t="str">
        <f t="shared" si="0"/>
        <v>2013年</v>
      </c>
    </row>
    <row r="60" spans="1:5" x14ac:dyDescent="0.15">
      <c r="A60" s="21">
        <v>41483</v>
      </c>
      <c r="B60" s="22" t="s">
        <v>36</v>
      </c>
      <c r="C60" s="22">
        <v>528.19999958574772</v>
      </c>
      <c r="D60" s="22" t="s">
        <v>34</v>
      </c>
      <c r="E60" t="str">
        <f t="shared" si="0"/>
        <v>2013年</v>
      </c>
    </row>
    <row r="61" spans="1:5" x14ac:dyDescent="0.15">
      <c r="A61" s="21">
        <v>41484</v>
      </c>
      <c r="B61" s="22" t="s">
        <v>38</v>
      </c>
      <c r="C61" s="22">
        <v>456</v>
      </c>
      <c r="D61" s="22" t="s">
        <v>39</v>
      </c>
      <c r="E61" t="str">
        <f t="shared" si="0"/>
        <v>2013年</v>
      </c>
    </row>
    <row r="62" spans="1:5" x14ac:dyDescent="0.15">
      <c r="A62" s="21">
        <v>41484</v>
      </c>
      <c r="B62" s="22" t="s">
        <v>42</v>
      </c>
      <c r="C62" s="22">
        <v>920</v>
      </c>
      <c r="D62" s="22" t="s">
        <v>39</v>
      </c>
      <c r="E62" t="str">
        <f t="shared" si="0"/>
        <v>2013年</v>
      </c>
    </row>
    <row r="63" spans="1:5" x14ac:dyDescent="0.15">
      <c r="A63" s="21">
        <v>41484</v>
      </c>
      <c r="B63" s="22" t="s">
        <v>36</v>
      </c>
      <c r="C63" s="22">
        <v>48</v>
      </c>
      <c r="D63" s="22" t="s">
        <v>34</v>
      </c>
      <c r="E63" t="str">
        <f t="shared" si="0"/>
        <v>2013年</v>
      </c>
    </row>
    <row r="64" spans="1:5" x14ac:dyDescent="0.15">
      <c r="A64" s="21">
        <v>41485</v>
      </c>
      <c r="B64" s="22" t="s">
        <v>41</v>
      </c>
      <c r="C64" s="22">
        <v>388.8</v>
      </c>
      <c r="D64" s="22" t="s">
        <v>34</v>
      </c>
      <c r="E64" t="str">
        <f t="shared" si="0"/>
        <v>2013年</v>
      </c>
    </row>
    <row r="65" spans="1:5" x14ac:dyDescent="0.15">
      <c r="A65" s="21">
        <v>41485</v>
      </c>
      <c r="B65" s="22" t="s">
        <v>36</v>
      </c>
      <c r="C65" s="22">
        <v>400</v>
      </c>
      <c r="D65" s="22" t="s">
        <v>34</v>
      </c>
      <c r="E65" t="str">
        <f t="shared" si="0"/>
        <v>2013年</v>
      </c>
    </row>
    <row r="66" spans="1:5" x14ac:dyDescent="0.15">
      <c r="A66" s="21">
        <v>41485</v>
      </c>
      <c r="B66" s="22" t="s">
        <v>36</v>
      </c>
      <c r="C66" s="22">
        <v>667.2</v>
      </c>
      <c r="D66" s="22" t="s">
        <v>34</v>
      </c>
      <c r="E66" t="str">
        <f t="shared" ref="E66:E129" si="3">YEAR(A66)&amp;"年"</f>
        <v>2013年</v>
      </c>
    </row>
    <row r="67" spans="1:5" x14ac:dyDescent="0.15">
      <c r="A67" s="21">
        <v>41488</v>
      </c>
      <c r="B67" s="22" t="s">
        <v>38</v>
      </c>
      <c r="C67" s="22">
        <v>565.43999955654147</v>
      </c>
      <c r="D67" s="22" t="s">
        <v>39</v>
      </c>
      <c r="E67" t="str">
        <f t="shared" si="3"/>
        <v>2013年</v>
      </c>
    </row>
    <row r="68" spans="1:5" x14ac:dyDescent="0.15">
      <c r="A68" s="21">
        <v>41488</v>
      </c>
      <c r="B68" s="22" t="s">
        <v>36</v>
      </c>
      <c r="C68" s="22">
        <v>142.49999988824129</v>
      </c>
      <c r="D68" s="22" t="s">
        <v>39</v>
      </c>
      <c r="E68" t="str">
        <f t="shared" si="3"/>
        <v>2013年</v>
      </c>
    </row>
    <row r="69" spans="1:5" x14ac:dyDescent="0.15">
      <c r="A69" s="21">
        <v>41488</v>
      </c>
      <c r="B69" s="22" t="s">
        <v>36</v>
      </c>
      <c r="C69" s="22">
        <v>40</v>
      </c>
      <c r="D69" s="22" t="s">
        <v>39</v>
      </c>
      <c r="E69" t="str">
        <f t="shared" si="3"/>
        <v>2013年</v>
      </c>
    </row>
    <row r="70" spans="1:5" x14ac:dyDescent="0.15">
      <c r="A70" s="21">
        <v>41488</v>
      </c>
      <c r="B70" s="22" t="s">
        <v>38</v>
      </c>
      <c r="C70" s="22">
        <v>837.89999934285879</v>
      </c>
      <c r="D70" s="22" t="s">
        <v>39</v>
      </c>
      <c r="E70" t="str">
        <f t="shared" si="3"/>
        <v>2013年</v>
      </c>
    </row>
    <row r="71" spans="1:5" x14ac:dyDescent="0.15">
      <c r="A71" s="21">
        <v>41488</v>
      </c>
      <c r="B71" s="22" t="s">
        <v>42</v>
      </c>
      <c r="C71" s="22">
        <v>451.43999964594843</v>
      </c>
      <c r="D71" s="22" t="s">
        <v>39</v>
      </c>
      <c r="E71" t="str">
        <f t="shared" si="3"/>
        <v>2013年</v>
      </c>
    </row>
    <row r="72" spans="1:5" x14ac:dyDescent="0.15">
      <c r="A72" s="21">
        <v>41489</v>
      </c>
      <c r="B72" s="22" t="s">
        <v>36</v>
      </c>
      <c r="C72" s="22">
        <v>344</v>
      </c>
      <c r="D72" s="22" t="s">
        <v>34</v>
      </c>
      <c r="E72" t="str">
        <f t="shared" si="3"/>
        <v>2013年</v>
      </c>
    </row>
    <row r="73" spans="1:5" x14ac:dyDescent="0.15">
      <c r="A73" s="21">
        <v>41489</v>
      </c>
      <c r="B73" s="22" t="s">
        <v>36</v>
      </c>
      <c r="C73" s="22">
        <v>194.6</v>
      </c>
      <c r="D73" s="22" t="s">
        <v>34</v>
      </c>
      <c r="E73" t="str">
        <f t="shared" si="3"/>
        <v>2013年</v>
      </c>
    </row>
    <row r="74" spans="1:5" x14ac:dyDescent="0.15">
      <c r="A74" s="21">
        <v>41490</v>
      </c>
      <c r="B74" s="22" t="s">
        <v>42</v>
      </c>
      <c r="C74" s="22">
        <v>41.039999967813493</v>
      </c>
      <c r="D74" s="22" t="s">
        <v>39</v>
      </c>
      <c r="E74" t="str">
        <f t="shared" si="3"/>
        <v>2013年</v>
      </c>
    </row>
    <row r="75" spans="1:5" x14ac:dyDescent="0.15">
      <c r="A75" s="21">
        <v>41490</v>
      </c>
      <c r="B75" s="22" t="s">
        <v>36</v>
      </c>
      <c r="C75" s="22">
        <v>250.79999980330467</v>
      </c>
      <c r="D75" s="22" t="s">
        <v>39</v>
      </c>
      <c r="E75" t="str">
        <f t="shared" si="3"/>
        <v>2013年</v>
      </c>
    </row>
    <row r="76" spans="1:5" x14ac:dyDescent="0.15">
      <c r="A76" s="21">
        <v>41491</v>
      </c>
      <c r="B76" s="22" t="s">
        <v>38</v>
      </c>
      <c r="C76" s="22">
        <v>372</v>
      </c>
      <c r="D76" s="22" t="s">
        <v>39</v>
      </c>
      <c r="E76" t="str">
        <f t="shared" si="3"/>
        <v>2013年</v>
      </c>
    </row>
    <row r="77" spans="1:5" x14ac:dyDescent="0.15">
      <c r="A77" s="21">
        <v>41491</v>
      </c>
      <c r="B77" s="22" t="s">
        <v>38</v>
      </c>
      <c r="C77" s="22">
        <v>48</v>
      </c>
      <c r="D77" s="22" t="s">
        <v>39</v>
      </c>
      <c r="E77" t="str">
        <f t="shared" si="3"/>
        <v>2013年</v>
      </c>
    </row>
    <row r="78" spans="1:5" x14ac:dyDescent="0.15">
      <c r="A78" s="21">
        <v>41492</v>
      </c>
      <c r="B78" s="22" t="s">
        <v>37</v>
      </c>
      <c r="C78" s="22">
        <v>728</v>
      </c>
      <c r="D78" s="22" t="s">
        <v>39</v>
      </c>
      <c r="E78" t="str">
        <f t="shared" si="3"/>
        <v>2013年</v>
      </c>
    </row>
    <row r="79" spans="1:5" x14ac:dyDescent="0.15">
      <c r="A79" s="21">
        <v>41492</v>
      </c>
      <c r="B79" s="22" t="s">
        <v>41</v>
      </c>
      <c r="C79" s="22">
        <v>472.8</v>
      </c>
      <c r="D79" s="22" t="s">
        <v>39</v>
      </c>
      <c r="E79" t="str">
        <f t="shared" si="3"/>
        <v>2013年</v>
      </c>
    </row>
    <row r="80" spans="1:5" x14ac:dyDescent="0.15">
      <c r="A80" s="21">
        <v>41495</v>
      </c>
      <c r="B80" s="22" t="s">
        <v>40</v>
      </c>
      <c r="C80" s="22">
        <v>248</v>
      </c>
      <c r="D80" s="22" t="s">
        <v>39</v>
      </c>
      <c r="E80" t="str">
        <f t="shared" si="3"/>
        <v>2013年</v>
      </c>
    </row>
    <row r="81" spans="1:5" x14ac:dyDescent="0.15">
      <c r="A81" s="21">
        <v>41495</v>
      </c>
      <c r="B81" s="22" t="s">
        <v>36</v>
      </c>
      <c r="C81" s="22">
        <v>660</v>
      </c>
      <c r="D81" s="22" t="s">
        <v>39</v>
      </c>
      <c r="E81" t="str">
        <f t="shared" si="3"/>
        <v>2013年</v>
      </c>
    </row>
    <row r="82" spans="1:5" x14ac:dyDescent="0.15">
      <c r="A82" s="21">
        <v>41495</v>
      </c>
      <c r="B82" s="22" t="s">
        <v>40</v>
      </c>
      <c r="C82" s="22">
        <v>280.8</v>
      </c>
      <c r="D82" s="22" t="s">
        <v>39</v>
      </c>
      <c r="E82" t="str">
        <f t="shared" si="3"/>
        <v>2013年</v>
      </c>
    </row>
    <row r="83" spans="1:5" x14ac:dyDescent="0.15">
      <c r="A83" s="21">
        <v>41495</v>
      </c>
      <c r="B83" s="22" t="s">
        <v>38</v>
      </c>
      <c r="C83" s="22">
        <v>300</v>
      </c>
      <c r="D83" s="22" t="s">
        <v>39</v>
      </c>
      <c r="E83" t="str">
        <f t="shared" si="3"/>
        <v>2013年</v>
      </c>
    </row>
    <row r="84" spans="1:5" x14ac:dyDescent="0.15">
      <c r="A84" s="21">
        <v>41496</v>
      </c>
      <c r="B84" s="22" t="s">
        <v>33</v>
      </c>
      <c r="C84" s="22">
        <v>351</v>
      </c>
      <c r="D84" s="22" t="s">
        <v>39</v>
      </c>
      <c r="E84" t="str">
        <f t="shared" si="3"/>
        <v>2013年</v>
      </c>
    </row>
    <row r="85" spans="1:5" x14ac:dyDescent="0.15">
      <c r="A85" s="21">
        <v>41497</v>
      </c>
      <c r="B85" s="22" t="s">
        <v>42</v>
      </c>
      <c r="C85" s="22">
        <v>43.2</v>
      </c>
      <c r="D85" s="22" t="s">
        <v>39</v>
      </c>
      <c r="E85" t="str">
        <f t="shared" si="3"/>
        <v>2013年</v>
      </c>
    </row>
    <row r="86" spans="1:5" x14ac:dyDescent="0.15">
      <c r="A86" s="21">
        <v>41497</v>
      </c>
      <c r="B86" s="22" t="s">
        <v>33</v>
      </c>
      <c r="C86" s="22">
        <v>384</v>
      </c>
      <c r="D86" s="22" t="s">
        <v>39</v>
      </c>
      <c r="E86" t="str">
        <f t="shared" si="3"/>
        <v>2013年</v>
      </c>
    </row>
    <row r="87" spans="1:5" x14ac:dyDescent="0.15">
      <c r="A87" s="21">
        <v>41497</v>
      </c>
      <c r="B87" s="22" t="s">
        <v>42</v>
      </c>
      <c r="C87" s="22">
        <v>186</v>
      </c>
      <c r="D87" s="22" t="s">
        <v>39</v>
      </c>
      <c r="E87" t="str">
        <f t="shared" si="3"/>
        <v>2013年</v>
      </c>
    </row>
    <row r="88" spans="1:5" x14ac:dyDescent="0.15">
      <c r="A88" s="21">
        <v>41497</v>
      </c>
      <c r="B88" s="22" t="s">
        <v>41</v>
      </c>
      <c r="C88" s="22">
        <v>7.3</v>
      </c>
      <c r="D88" s="22" t="s">
        <v>39</v>
      </c>
      <c r="E88" t="str">
        <f t="shared" si="3"/>
        <v>2013年</v>
      </c>
    </row>
    <row r="89" spans="1:5" x14ac:dyDescent="0.15">
      <c r="A89" s="21">
        <v>41497</v>
      </c>
      <c r="B89" s="22" t="s">
        <v>42</v>
      </c>
      <c r="C89" s="22">
        <v>21.6</v>
      </c>
      <c r="D89" s="22" t="s">
        <v>39</v>
      </c>
      <c r="E89" t="str">
        <f t="shared" si="3"/>
        <v>2013年</v>
      </c>
    </row>
    <row r="90" spans="1:5" x14ac:dyDescent="0.15">
      <c r="A90" s="21">
        <v>41497</v>
      </c>
      <c r="B90" s="22" t="s">
        <v>42</v>
      </c>
      <c r="C90" s="22">
        <v>57.6</v>
      </c>
      <c r="D90" s="22" t="s">
        <v>39</v>
      </c>
      <c r="E90" t="str">
        <f t="shared" si="3"/>
        <v>2013年</v>
      </c>
    </row>
    <row r="91" spans="1:5" x14ac:dyDescent="0.15">
      <c r="A91" s="21">
        <v>41498</v>
      </c>
      <c r="B91" s="22" t="s">
        <v>38</v>
      </c>
      <c r="C91" s="22">
        <v>124.2</v>
      </c>
      <c r="D91" s="22" t="s">
        <v>39</v>
      </c>
      <c r="E91" t="str">
        <f t="shared" si="3"/>
        <v>2013年</v>
      </c>
    </row>
    <row r="92" spans="1:5" x14ac:dyDescent="0.15">
      <c r="A92" s="21">
        <v>41498</v>
      </c>
      <c r="B92" s="22" t="s">
        <v>35</v>
      </c>
      <c r="C92" s="22">
        <v>31.2</v>
      </c>
      <c r="D92" s="22" t="s">
        <v>39</v>
      </c>
      <c r="E92" t="str">
        <f t="shared" si="3"/>
        <v>2013年</v>
      </c>
    </row>
    <row r="93" spans="1:5" x14ac:dyDescent="0.15">
      <c r="A93" s="21">
        <v>41499</v>
      </c>
      <c r="B93" s="22" t="s">
        <v>40</v>
      </c>
      <c r="C93" s="22">
        <v>248</v>
      </c>
      <c r="D93" s="22" t="s">
        <v>39</v>
      </c>
      <c r="E93" t="str">
        <f t="shared" si="3"/>
        <v>2013年</v>
      </c>
    </row>
    <row r="94" spans="1:5" x14ac:dyDescent="0.15">
      <c r="A94" s="21">
        <v>41499</v>
      </c>
      <c r="B94" s="22" t="s">
        <v>41</v>
      </c>
      <c r="C94" s="22">
        <v>131.4</v>
      </c>
      <c r="D94" s="22" t="s">
        <v>39</v>
      </c>
      <c r="E94" t="str">
        <f t="shared" si="3"/>
        <v>2013年</v>
      </c>
    </row>
    <row r="95" spans="1:5" x14ac:dyDescent="0.15">
      <c r="A95" s="21">
        <v>41499</v>
      </c>
      <c r="B95" s="22" t="s">
        <v>36</v>
      </c>
      <c r="C95" s="22">
        <v>952</v>
      </c>
      <c r="D95" s="22" t="s">
        <v>39</v>
      </c>
      <c r="E95" t="str">
        <f t="shared" si="3"/>
        <v>2013年</v>
      </c>
    </row>
    <row r="96" spans="1:5" x14ac:dyDescent="0.15">
      <c r="A96" s="21">
        <v>41499</v>
      </c>
      <c r="B96" s="22" t="s">
        <v>36</v>
      </c>
      <c r="C96" s="22">
        <v>83.4</v>
      </c>
      <c r="D96" s="22" t="s">
        <v>39</v>
      </c>
      <c r="E96" t="str">
        <f t="shared" si="3"/>
        <v>2013年</v>
      </c>
    </row>
    <row r="97" spans="1:5" x14ac:dyDescent="0.15">
      <c r="A97" s="21">
        <v>41502</v>
      </c>
      <c r="B97" s="22" t="s">
        <v>41</v>
      </c>
      <c r="C97" s="22">
        <v>394.875</v>
      </c>
      <c r="D97" s="22" t="s">
        <v>39</v>
      </c>
      <c r="E97" t="str">
        <f t="shared" si="3"/>
        <v>2013年</v>
      </c>
    </row>
    <row r="98" spans="1:5" x14ac:dyDescent="0.15">
      <c r="A98" s="21">
        <v>41502</v>
      </c>
      <c r="B98" s="22" t="s">
        <v>40</v>
      </c>
      <c r="C98" s="22">
        <v>325.5</v>
      </c>
      <c r="D98" s="22" t="s">
        <v>39</v>
      </c>
      <c r="E98" t="str">
        <f t="shared" si="3"/>
        <v>2013年</v>
      </c>
    </row>
    <row r="99" spans="1:5" x14ac:dyDescent="0.15">
      <c r="A99" s="21">
        <v>41502</v>
      </c>
      <c r="B99" s="22" t="s">
        <v>36</v>
      </c>
      <c r="C99" s="22">
        <v>408</v>
      </c>
      <c r="D99" s="22" t="s">
        <v>39</v>
      </c>
      <c r="E99" t="str">
        <f t="shared" si="3"/>
        <v>2013年</v>
      </c>
    </row>
    <row r="100" spans="1:5" x14ac:dyDescent="0.15">
      <c r="A100" s="21">
        <v>41502</v>
      </c>
      <c r="B100" s="22" t="s">
        <v>42</v>
      </c>
      <c r="C100" s="22">
        <v>42</v>
      </c>
      <c r="D100" s="22" t="s">
        <v>39</v>
      </c>
      <c r="E100" t="str">
        <f t="shared" si="3"/>
        <v>2013年</v>
      </c>
    </row>
    <row r="101" spans="1:5" x14ac:dyDescent="0.15">
      <c r="A101" s="21">
        <v>41503</v>
      </c>
      <c r="B101" s="22" t="s">
        <v>42</v>
      </c>
      <c r="C101" s="22">
        <v>518.39999806880951</v>
      </c>
      <c r="D101" s="22" t="s">
        <v>39</v>
      </c>
      <c r="E101" t="str">
        <f t="shared" si="3"/>
        <v>2013年</v>
      </c>
    </row>
    <row r="102" spans="1:5" x14ac:dyDescent="0.15">
      <c r="A102" s="21">
        <v>41503</v>
      </c>
      <c r="B102" s="22" t="s">
        <v>38</v>
      </c>
      <c r="C102" s="22">
        <v>470.39999824762344</v>
      </c>
      <c r="D102" s="22" t="s">
        <v>39</v>
      </c>
      <c r="E102" t="str">
        <f t="shared" si="3"/>
        <v>2013年</v>
      </c>
    </row>
    <row r="103" spans="1:5" x14ac:dyDescent="0.15">
      <c r="A103" s="21">
        <v>41503</v>
      </c>
      <c r="B103" s="22" t="s">
        <v>33</v>
      </c>
      <c r="C103" s="22">
        <v>754.55999718904491</v>
      </c>
      <c r="D103" s="22" t="s">
        <v>39</v>
      </c>
      <c r="E103" t="str">
        <f t="shared" si="3"/>
        <v>2013年</v>
      </c>
    </row>
    <row r="104" spans="1:5" x14ac:dyDescent="0.15">
      <c r="A104" s="21">
        <v>41504</v>
      </c>
      <c r="B104" s="22" t="s">
        <v>42</v>
      </c>
      <c r="C104" s="22">
        <v>1440</v>
      </c>
      <c r="D104" s="22" t="s">
        <v>39</v>
      </c>
      <c r="E104" t="str">
        <f t="shared" si="3"/>
        <v>2013年</v>
      </c>
    </row>
    <row r="105" spans="1:5" x14ac:dyDescent="0.15">
      <c r="A105" s="21">
        <v>41504</v>
      </c>
      <c r="B105" s="22" t="s">
        <v>41</v>
      </c>
      <c r="C105" s="22">
        <v>1576</v>
      </c>
      <c r="D105" s="22" t="s">
        <v>39</v>
      </c>
      <c r="E105" t="str">
        <f t="shared" si="3"/>
        <v>2013年</v>
      </c>
    </row>
    <row r="106" spans="1:5" x14ac:dyDescent="0.15">
      <c r="A106" s="21">
        <v>41505</v>
      </c>
      <c r="B106" s="22" t="s">
        <v>41</v>
      </c>
      <c r="C106" s="22">
        <v>472.59999668598175</v>
      </c>
      <c r="D106" s="22" t="s">
        <v>39</v>
      </c>
      <c r="E106" t="str">
        <f t="shared" si="3"/>
        <v>2013年</v>
      </c>
    </row>
    <row r="107" spans="1:5" x14ac:dyDescent="0.15">
      <c r="A107" s="21">
        <v>41505</v>
      </c>
      <c r="B107" s="22" t="s">
        <v>42</v>
      </c>
      <c r="C107" s="22">
        <v>224</v>
      </c>
      <c r="D107" s="22" t="s">
        <v>39</v>
      </c>
      <c r="E107" t="str">
        <f t="shared" si="3"/>
        <v>2013年</v>
      </c>
    </row>
    <row r="108" spans="1:5" x14ac:dyDescent="0.15">
      <c r="A108" s="21">
        <v>41505</v>
      </c>
      <c r="B108" s="22" t="s">
        <v>38</v>
      </c>
      <c r="C108" s="22">
        <v>122.39999914169312</v>
      </c>
      <c r="D108" s="22" t="s">
        <v>39</v>
      </c>
      <c r="E108" t="str">
        <f t="shared" si="3"/>
        <v>2013年</v>
      </c>
    </row>
    <row r="109" spans="1:5" x14ac:dyDescent="0.15">
      <c r="A109" s="21">
        <v>41506</v>
      </c>
      <c r="B109" s="22" t="s">
        <v>33</v>
      </c>
      <c r="C109" s="22">
        <v>53.099999912083149</v>
      </c>
      <c r="D109" s="22" t="s">
        <v>39</v>
      </c>
      <c r="E109" t="str">
        <f t="shared" si="3"/>
        <v>2013年</v>
      </c>
    </row>
    <row r="110" spans="1:5" x14ac:dyDescent="0.15">
      <c r="A110" s="21">
        <v>41506</v>
      </c>
      <c r="B110" s="22" t="s">
        <v>41</v>
      </c>
      <c r="C110" s="22">
        <v>26.999999955296516</v>
      </c>
      <c r="D110" s="22" t="s">
        <v>39</v>
      </c>
      <c r="E110" t="str">
        <f t="shared" si="3"/>
        <v>2013年</v>
      </c>
    </row>
    <row r="111" spans="1:5" x14ac:dyDescent="0.15">
      <c r="A111" s="21">
        <v>41509</v>
      </c>
      <c r="B111" s="22" t="s">
        <v>40</v>
      </c>
      <c r="C111" s="22">
        <v>240</v>
      </c>
      <c r="D111" s="22" t="s">
        <v>34</v>
      </c>
      <c r="E111" t="str">
        <f t="shared" si="3"/>
        <v>2013年</v>
      </c>
    </row>
    <row r="112" spans="1:5" x14ac:dyDescent="0.15">
      <c r="A112" s="21">
        <v>41509</v>
      </c>
      <c r="B112" s="22" t="s">
        <v>35</v>
      </c>
      <c r="C112" s="22">
        <v>239.4</v>
      </c>
      <c r="D112" s="22" t="s">
        <v>34</v>
      </c>
      <c r="E112" t="str">
        <f t="shared" si="3"/>
        <v>2013年</v>
      </c>
    </row>
    <row r="113" spans="1:5" x14ac:dyDescent="0.15">
      <c r="A113" s="21">
        <v>41510</v>
      </c>
      <c r="B113" s="22" t="s">
        <v>40</v>
      </c>
      <c r="C113" s="22">
        <v>340</v>
      </c>
      <c r="D113" s="22" t="s">
        <v>39</v>
      </c>
      <c r="E113" t="str">
        <f t="shared" si="3"/>
        <v>2013年</v>
      </c>
    </row>
    <row r="114" spans="1:5" x14ac:dyDescent="0.15">
      <c r="A114" s="21">
        <v>41510</v>
      </c>
      <c r="B114" s="22" t="s">
        <v>33</v>
      </c>
      <c r="C114" s="22">
        <v>1485</v>
      </c>
      <c r="D114" s="22" t="s">
        <v>39</v>
      </c>
      <c r="E114" t="str">
        <f t="shared" si="3"/>
        <v>2013年</v>
      </c>
    </row>
    <row r="115" spans="1:5" x14ac:dyDescent="0.15">
      <c r="A115" s="21">
        <v>41510</v>
      </c>
      <c r="B115" s="22" t="s">
        <v>41</v>
      </c>
      <c r="C115" s="22">
        <v>240</v>
      </c>
      <c r="D115" s="22" t="s">
        <v>39</v>
      </c>
      <c r="E115" t="str">
        <f t="shared" si="3"/>
        <v>2013年</v>
      </c>
    </row>
    <row r="116" spans="1:5" x14ac:dyDescent="0.15">
      <c r="A116" s="21">
        <v>41510</v>
      </c>
      <c r="B116" s="22" t="s">
        <v>40</v>
      </c>
      <c r="C116" s="22">
        <v>104</v>
      </c>
      <c r="D116" s="22" t="s">
        <v>39</v>
      </c>
      <c r="E116" t="str">
        <f t="shared" si="3"/>
        <v>2013年</v>
      </c>
    </row>
    <row r="117" spans="1:5" x14ac:dyDescent="0.15">
      <c r="A117" s="21">
        <v>41510</v>
      </c>
      <c r="B117" s="22" t="s">
        <v>38</v>
      </c>
      <c r="C117" s="22">
        <v>86.399999856948853</v>
      </c>
      <c r="D117" s="22" t="s">
        <v>34</v>
      </c>
      <c r="E117" t="str">
        <f t="shared" si="3"/>
        <v>2013年</v>
      </c>
    </row>
    <row r="118" spans="1:5" x14ac:dyDescent="0.15">
      <c r="A118" s="21">
        <v>41510</v>
      </c>
      <c r="B118" s="22" t="s">
        <v>40</v>
      </c>
      <c r="C118" s="22">
        <v>334.7999994456768</v>
      </c>
      <c r="D118" s="22" t="s">
        <v>34</v>
      </c>
      <c r="E118" t="str">
        <f t="shared" si="3"/>
        <v>2013年</v>
      </c>
    </row>
    <row r="119" spans="1:5" x14ac:dyDescent="0.15">
      <c r="A119" s="21">
        <v>41510</v>
      </c>
      <c r="B119" s="22" t="s">
        <v>37</v>
      </c>
      <c r="C119" s="22">
        <v>76.319999873638153</v>
      </c>
      <c r="D119" s="22" t="s">
        <v>34</v>
      </c>
      <c r="E119" t="str">
        <f t="shared" si="3"/>
        <v>2013年</v>
      </c>
    </row>
    <row r="120" spans="1:5" x14ac:dyDescent="0.15">
      <c r="A120" s="21">
        <v>41511</v>
      </c>
      <c r="B120" s="22" t="s">
        <v>41</v>
      </c>
      <c r="C120" s="22">
        <v>1296</v>
      </c>
      <c r="D120" s="22" t="s">
        <v>39</v>
      </c>
      <c r="E120" t="str">
        <f t="shared" si="3"/>
        <v>2013年</v>
      </c>
    </row>
    <row r="121" spans="1:5" x14ac:dyDescent="0.15">
      <c r="A121" s="21">
        <v>41512</v>
      </c>
      <c r="B121" s="22" t="s">
        <v>38</v>
      </c>
      <c r="C121" s="22">
        <v>600</v>
      </c>
      <c r="D121" s="22" t="s">
        <v>39</v>
      </c>
      <c r="E121" t="str">
        <f t="shared" si="3"/>
        <v>2013年</v>
      </c>
    </row>
    <row r="122" spans="1:5" x14ac:dyDescent="0.15">
      <c r="A122" s="21">
        <v>41512</v>
      </c>
      <c r="B122" s="22" t="s">
        <v>42</v>
      </c>
      <c r="C122" s="22">
        <v>36</v>
      </c>
      <c r="D122" s="22" t="s">
        <v>39</v>
      </c>
      <c r="E122" t="str">
        <f t="shared" si="3"/>
        <v>2013年</v>
      </c>
    </row>
    <row r="123" spans="1:5" x14ac:dyDescent="0.15">
      <c r="A123" s="21">
        <v>41512</v>
      </c>
      <c r="B123" s="22" t="s">
        <v>40</v>
      </c>
      <c r="C123" s="22">
        <v>175.5</v>
      </c>
      <c r="D123" s="22" t="s">
        <v>39</v>
      </c>
      <c r="E123" t="str">
        <f t="shared" si="3"/>
        <v>2013年</v>
      </c>
    </row>
    <row r="124" spans="1:5" x14ac:dyDescent="0.15">
      <c r="A124" s="21">
        <v>41512</v>
      </c>
      <c r="B124" s="22" t="s">
        <v>42</v>
      </c>
      <c r="C124" s="22">
        <v>37.200000000000003</v>
      </c>
      <c r="D124" s="22" t="s">
        <v>39</v>
      </c>
      <c r="E124" t="str">
        <f t="shared" si="3"/>
        <v>2013年</v>
      </c>
    </row>
    <row r="125" spans="1:5" x14ac:dyDescent="0.15">
      <c r="A125" s="21">
        <v>41513</v>
      </c>
      <c r="B125" s="22" t="s">
        <v>42</v>
      </c>
      <c r="C125" s="22">
        <v>259.2</v>
      </c>
      <c r="D125" s="22" t="s">
        <v>39</v>
      </c>
      <c r="E125" t="str">
        <f t="shared" si="3"/>
        <v>2013年</v>
      </c>
    </row>
    <row r="126" spans="1:5" x14ac:dyDescent="0.15">
      <c r="A126" s="21">
        <v>41513</v>
      </c>
      <c r="B126" s="22" t="s">
        <v>33</v>
      </c>
      <c r="C126" s="22">
        <v>468</v>
      </c>
      <c r="D126" s="22" t="s">
        <v>39</v>
      </c>
      <c r="E126" t="str">
        <f t="shared" si="3"/>
        <v>2013年</v>
      </c>
    </row>
    <row r="127" spans="1:5" x14ac:dyDescent="0.15">
      <c r="A127" s="21">
        <v>41513</v>
      </c>
      <c r="B127" s="22" t="s">
        <v>42</v>
      </c>
      <c r="C127" s="22">
        <v>552</v>
      </c>
      <c r="D127" s="22" t="s">
        <v>39</v>
      </c>
      <c r="E127" t="str">
        <f t="shared" si="3"/>
        <v>2013年</v>
      </c>
    </row>
    <row r="128" spans="1:5" x14ac:dyDescent="0.15">
      <c r="A128" s="21">
        <v>41513</v>
      </c>
      <c r="B128" s="22" t="s">
        <v>36</v>
      </c>
      <c r="C128" s="22">
        <v>571.20000000000005</v>
      </c>
      <c r="D128" s="22" t="s">
        <v>39</v>
      </c>
      <c r="E128" t="str">
        <f t="shared" si="3"/>
        <v>2013年</v>
      </c>
    </row>
    <row r="129" spans="1:5" x14ac:dyDescent="0.15">
      <c r="A129" s="21">
        <v>41513</v>
      </c>
      <c r="B129" s="22" t="s">
        <v>42</v>
      </c>
      <c r="C129" s="22">
        <v>37.200000000000003</v>
      </c>
      <c r="D129" s="22" t="s">
        <v>39</v>
      </c>
      <c r="E129" t="str">
        <f t="shared" si="3"/>
        <v>2013年</v>
      </c>
    </row>
    <row r="130" spans="1:5" x14ac:dyDescent="0.15">
      <c r="A130" s="21">
        <v>41516</v>
      </c>
      <c r="B130" s="22" t="s">
        <v>35</v>
      </c>
      <c r="C130" s="22">
        <v>121.6</v>
      </c>
      <c r="D130" s="22" t="s">
        <v>39</v>
      </c>
      <c r="E130" t="str">
        <f t="shared" ref="E130:E193" si="4">YEAR(A130)&amp;"年"</f>
        <v>2013年</v>
      </c>
    </row>
    <row r="131" spans="1:5" x14ac:dyDescent="0.15">
      <c r="A131" s="21">
        <v>41517</v>
      </c>
      <c r="B131" s="22" t="s">
        <v>36</v>
      </c>
      <c r="C131" s="22">
        <v>201.6</v>
      </c>
      <c r="D131" s="22" t="s">
        <v>34</v>
      </c>
      <c r="E131" t="str">
        <f t="shared" si="4"/>
        <v>2013年</v>
      </c>
    </row>
    <row r="132" spans="1:5" x14ac:dyDescent="0.15">
      <c r="A132" s="21">
        <v>41517</v>
      </c>
      <c r="B132" s="22" t="s">
        <v>41</v>
      </c>
      <c r="C132" s="22">
        <v>417</v>
      </c>
      <c r="D132" s="22" t="s">
        <v>34</v>
      </c>
      <c r="E132" t="str">
        <f t="shared" si="4"/>
        <v>2013年</v>
      </c>
    </row>
    <row r="133" spans="1:5" x14ac:dyDescent="0.15">
      <c r="A133" s="21">
        <v>41517</v>
      </c>
      <c r="B133" s="22" t="s">
        <v>36</v>
      </c>
      <c r="C133" s="22">
        <v>432</v>
      </c>
      <c r="D133" s="22" t="s">
        <v>34</v>
      </c>
      <c r="E133" t="str">
        <f t="shared" si="4"/>
        <v>2013年</v>
      </c>
    </row>
    <row r="134" spans="1:5" x14ac:dyDescent="0.15">
      <c r="A134" s="21">
        <v>41518</v>
      </c>
      <c r="B134" s="22" t="s">
        <v>42</v>
      </c>
      <c r="C134" s="22">
        <v>864</v>
      </c>
      <c r="D134" s="22" t="s">
        <v>34</v>
      </c>
      <c r="E134" t="str">
        <f t="shared" si="4"/>
        <v>2013年</v>
      </c>
    </row>
    <row r="135" spans="1:5" x14ac:dyDescent="0.15">
      <c r="A135" s="21">
        <v>41518</v>
      </c>
      <c r="B135" s="22" t="s">
        <v>36</v>
      </c>
      <c r="C135" s="22">
        <v>556</v>
      </c>
      <c r="D135" s="22" t="s">
        <v>34</v>
      </c>
      <c r="E135" t="str">
        <f t="shared" si="4"/>
        <v>2013年</v>
      </c>
    </row>
    <row r="136" spans="1:5" x14ac:dyDescent="0.15">
      <c r="A136" s="21">
        <v>41519</v>
      </c>
      <c r="B136" s="22" t="s">
        <v>42</v>
      </c>
      <c r="C136" s="22">
        <v>608</v>
      </c>
      <c r="D136" s="22" t="s">
        <v>34</v>
      </c>
      <c r="E136" t="str">
        <f t="shared" si="4"/>
        <v>2013年</v>
      </c>
    </row>
    <row r="137" spans="1:5" x14ac:dyDescent="0.15">
      <c r="A137" s="21">
        <v>41519</v>
      </c>
      <c r="B137" s="22" t="s">
        <v>38</v>
      </c>
      <c r="C137" s="22">
        <v>456</v>
      </c>
      <c r="D137" s="22" t="s">
        <v>34</v>
      </c>
      <c r="E137" t="str">
        <f t="shared" si="4"/>
        <v>2013年</v>
      </c>
    </row>
    <row r="138" spans="1:5" x14ac:dyDescent="0.15">
      <c r="A138" s="21">
        <v>41519</v>
      </c>
      <c r="B138" s="22" t="s">
        <v>36</v>
      </c>
      <c r="C138" s="22">
        <v>990</v>
      </c>
      <c r="D138" s="22" t="s">
        <v>34</v>
      </c>
      <c r="E138" t="str">
        <f t="shared" si="4"/>
        <v>2013年</v>
      </c>
    </row>
    <row r="139" spans="1:5" x14ac:dyDescent="0.15">
      <c r="A139" s="21">
        <v>41519</v>
      </c>
      <c r="B139" s="22" t="s">
        <v>41</v>
      </c>
      <c r="C139" s="22">
        <v>591</v>
      </c>
      <c r="D139" s="22" t="s">
        <v>34</v>
      </c>
      <c r="E139" t="str">
        <f t="shared" si="4"/>
        <v>2013年</v>
      </c>
    </row>
    <row r="140" spans="1:5" x14ac:dyDescent="0.15">
      <c r="A140" s="21">
        <v>41520</v>
      </c>
      <c r="B140" s="22" t="s">
        <v>41</v>
      </c>
      <c r="C140" s="22">
        <v>109.5</v>
      </c>
      <c r="D140" s="22" t="s">
        <v>39</v>
      </c>
      <c r="E140" t="str">
        <f t="shared" si="4"/>
        <v>2013年</v>
      </c>
    </row>
    <row r="141" spans="1:5" x14ac:dyDescent="0.15">
      <c r="A141" s="21">
        <v>41520</v>
      </c>
      <c r="B141" s="22" t="s">
        <v>42</v>
      </c>
      <c r="C141" s="22">
        <v>240</v>
      </c>
      <c r="D141" s="22" t="s">
        <v>39</v>
      </c>
      <c r="E141" t="str">
        <f t="shared" si="4"/>
        <v>2013年</v>
      </c>
    </row>
    <row r="142" spans="1:5" x14ac:dyDescent="0.15">
      <c r="A142" s="21">
        <v>41523</v>
      </c>
      <c r="B142" s="22" t="s">
        <v>40</v>
      </c>
      <c r="C142" s="22">
        <v>408</v>
      </c>
      <c r="D142" s="22" t="s">
        <v>39</v>
      </c>
      <c r="E142" t="str">
        <f t="shared" si="4"/>
        <v>2013年</v>
      </c>
    </row>
    <row r="143" spans="1:5" x14ac:dyDescent="0.15">
      <c r="A143" s="21">
        <v>41523</v>
      </c>
      <c r="B143" s="22" t="s">
        <v>41</v>
      </c>
      <c r="C143" s="22">
        <v>200</v>
      </c>
      <c r="D143" s="22" t="s">
        <v>39</v>
      </c>
      <c r="E143" t="str">
        <f t="shared" si="4"/>
        <v>2013年</v>
      </c>
    </row>
    <row r="144" spans="1:5" x14ac:dyDescent="0.15">
      <c r="A144" s="21">
        <v>41523</v>
      </c>
      <c r="B144" s="22" t="s">
        <v>38</v>
      </c>
      <c r="C144" s="22">
        <v>147</v>
      </c>
      <c r="D144" s="22" t="s">
        <v>39</v>
      </c>
      <c r="E144" t="str">
        <f t="shared" si="4"/>
        <v>2013年</v>
      </c>
    </row>
    <row r="145" spans="1:5" x14ac:dyDescent="0.15">
      <c r="A145" s="21">
        <v>41523</v>
      </c>
      <c r="B145" s="22" t="s">
        <v>35</v>
      </c>
      <c r="C145" s="22">
        <v>608</v>
      </c>
      <c r="D145" s="22" t="s">
        <v>39</v>
      </c>
      <c r="E145" t="str">
        <f t="shared" si="4"/>
        <v>2013年</v>
      </c>
    </row>
    <row r="146" spans="1:5" x14ac:dyDescent="0.15">
      <c r="A146" s="21">
        <v>41524</v>
      </c>
      <c r="B146" s="22" t="s">
        <v>33</v>
      </c>
      <c r="C146" s="22">
        <v>1248</v>
      </c>
      <c r="D146" s="22" t="s">
        <v>39</v>
      </c>
      <c r="E146" t="str">
        <f t="shared" si="4"/>
        <v>2013年</v>
      </c>
    </row>
    <row r="147" spans="1:5" x14ac:dyDescent="0.15">
      <c r="A147" s="21">
        <v>41524</v>
      </c>
      <c r="B147" s="22" t="s">
        <v>37</v>
      </c>
      <c r="C147" s="22">
        <v>1019.2</v>
      </c>
      <c r="D147" s="22" t="s">
        <v>39</v>
      </c>
      <c r="E147" t="str">
        <f t="shared" si="4"/>
        <v>2013年</v>
      </c>
    </row>
    <row r="148" spans="1:5" x14ac:dyDescent="0.15">
      <c r="A148" s="21">
        <v>41524</v>
      </c>
      <c r="B148" s="22" t="s">
        <v>42</v>
      </c>
      <c r="C148" s="22">
        <v>441.6</v>
      </c>
      <c r="D148" s="22" t="s">
        <v>39</v>
      </c>
      <c r="E148" t="str">
        <f t="shared" si="4"/>
        <v>2013年</v>
      </c>
    </row>
    <row r="149" spans="1:5" x14ac:dyDescent="0.15">
      <c r="A149" s="21">
        <v>41525</v>
      </c>
      <c r="B149" s="22" t="s">
        <v>38</v>
      </c>
      <c r="C149" s="22">
        <v>529.19999912381172</v>
      </c>
      <c r="D149" s="22" t="s">
        <v>34</v>
      </c>
      <c r="E149" t="str">
        <f t="shared" si="4"/>
        <v>2013年</v>
      </c>
    </row>
    <row r="150" spans="1:5" x14ac:dyDescent="0.15">
      <c r="A150" s="21">
        <v>41525</v>
      </c>
      <c r="B150" s="22" t="s">
        <v>40</v>
      </c>
      <c r="C150" s="22">
        <v>453.59999924898148</v>
      </c>
      <c r="D150" s="22" t="s">
        <v>34</v>
      </c>
      <c r="E150" t="str">
        <f t="shared" si="4"/>
        <v>2013年</v>
      </c>
    </row>
    <row r="151" spans="1:5" x14ac:dyDescent="0.15">
      <c r="A151" s="21">
        <v>41525</v>
      </c>
      <c r="B151" s="22" t="s">
        <v>41</v>
      </c>
      <c r="C151" s="22">
        <v>134.99999977648258</v>
      </c>
      <c r="D151" s="22" t="s">
        <v>34</v>
      </c>
      <c r="E151" t="str">
        <f t="shared" si="4"/>
        <v>2013年</v>
      </c>
    </row>
    <row r="152" spans="1:5" x14ac:dyDescent="0.15">
      <c r="A152" s="21">
        <v>41526</v>
      </c>
      <c r="B152" s="22" t="s">
        <v>41</v>
      </c>
      <c r="C152" s="22">
        <v>480</v>
      </c>
      <c r="D152" s="22" t="s">
        <v>39</v>
      </c>
      <c r="E152" t="str">
        <f t="shared" si="4"/>
        <v>2013年</v>
      </c>
    </row>
    <row r="153" spans="1:5" x14ac:dyDescent="0.15">
      <c r="A153" s="21">
        <v>41526</v>
      </c>
      <c r="B153" s="22" t="s">
        <v>36</v>
      </c>
      <c r="C153" s="22">
        <v>440</v>
      </c>
      <c r="D153" s="22" t="s">
        <v>39</v>
      </c>
      <c r="E153" t="str">
        <f t="shared" si="4"/>
        <v>2013年</v>
      </c>
    </row>
    <row r="154" spans="1:5" x14ac:dyDescent="0.15">
      <c r="A154" s="21">
        <v>41526</v>
      </c>
      <c r="B154" s="22" t="s">
        <v>36</v>
      </c>
      <c r="C154" s="22">
        <v>34.4</v>
      </c>
      <c r="D154" s="22" t="s">
        <v>39</v>
      </c>
      <c r="E154" t="str">
        <f t="shared" si="4"/>
        <v>2013年</v>
      </c>
    </row>
    <row r="155" spans="1:5" x14ac:dyDescent="0.15">
      <c r="A155" s="21">
        <v>41527</v>
      </c>
      <c r="B155" s="22" t="s">
        <v>38</v>
      </c>
      <c r="C155" s="22">
        <v>1124.9999981373549</v>
      </c>
      <c r="D155" s="22" t="s">
        <v>39</v>
      </c>
      <c r="E155" t="str">
        <f t="shared" si="4"/>
        <v>2013年</v>
      </c>
    </row>
    <row r="156" spans="1:5" x14ac:dyDescent="0.15">
      <c r="A156" s="21">
        <v>41527</v>
      </c>
      <c r="B156" s="22" t="s">
        <v>33</v>
      </c>
      <c r="C156" s="22">
        <v>2227.4999963119626</v>
      </c>
      <c r="D156" s="22" t="s">
        <v>39</v>
      </c>
      <c r="E156" t="str">
        <f t="shared" si="4"/>
        <v>2013年</v>
      </c>
    </row>
    <row r="157" spans="1:5" x14ac:dyDescent="0.15">
      <c r="A157" s="21">
        <v>41527</v>
      </c>
      <c r="B157" s="22" t="s">
        <v>42</v>
      </c>
      <c r="C157" s="22">
        <v>388.79999935626984</v>
      </c>
      <c r="D157" s="22" t="s">
        <v>39</v>
      </c>
      <c r="E157" t="str">
        <f t="shared" si="4"/>
        <v>2013年</v>
      </c>
    </row>
    <row r="158" spans="1:5" x14ac:dyDescent="0.15">
      <c r="A158" s="21">
        <v>41530</v>
      </c>
      <c r="B158" s="22" t="s">
        <v>38</v>
      </c>
      <c r="C158" s="22">
        <v>207</v>
      </c>
      <c r="D158" s="22" t="s">
        <v>39</v>
      </c>
      <c r="E158" t="str">
        <f t="shared" si="4"/>
        <v>2013年</v>
      </c>
    </row>
    <row r="159" spans="1:5" x14ac:dyDescent="0.15">
      <c r="A159" s="21">
        <v>41530</v>
      </c>
      <c r="B159" s="22" t="s">
        <v>33</v>
      </c>
      <c r="C159" s="22">
        <v>262</v>
      </c>
      <c r="D159" s="22" t="s">
        <v>39</v>
      </c>
      <c r="E159" t="str">
        <f t="shared" si="4"/>
        <v>2013年</v>
      </c>
    </row>
    <row r="160" spans="1:5" x14ac:dyDescent="0.15">
      <c r="A160" s="21">
        <v>41530</v>
      </c>
      <c r="B160" s="22" t="s">
        <v>33</v>
      </c>
      <c r="C160" s="22">
        <v>29.5</v>
      </c>
      <c r="D160" s="22" t="s">
        <v>39</v>
      </c>
      <c r="E160" t="str">
        <f t="shared" si="4"/>
        <v>2013年</v>
      </c>
    </row>
    <row r="161" spans="1:5" x14ac:dyDescent="0.15">
      <c r="A161" s="21">
        <v>41531</v>
      </c>
      <c r="B161" s="22" t="s">
        <v>41</v>
      </c>
      <c r="C161" s="22">
        <v>394</v>
      </c>
      <c r="D161" s="22" t="s">
        <v>39</v>
      </c>
      <c r="E161" t="str">
        <f t="shared" si="4"/>
        <v>2013年</v>
      </c>
    </row>
    <row r="162" spans="1:5" x14ac:dyDescent="0.15">
      <c r="A162" s="21">
        <v>41531</v>
      </c>
      <c r="B162" s="22" t="s">
        <v>41</v>
      </c>
      <c r="C162" s="22">
        <v>30</v>
      </c>
      <c r="D162" s="22" t="s">
        <v>39</v>
      </c>
      <c r="E162" t="str">
        <f t="shared" si="4"/>
        <v>2013年</v>
      </c>
    </row>
    <row r="163" spans="1:5" x14ac:dyDescent="0.15">
      <c r="A163" s="21">
        <v>41532</v>
      </c>
      <c r="B163" s="22" t="s">
        <v>36</v>
      </c>
      <c r="C163" s="22">
        <v>28.8</v>
      </c>
      <c r="D163" s="22" t="s">
        <v>39</v>
      </c>
      <c r="E163" t="str">
        <f t="shared" si="4"/>
        <v>2013年</v>
      </c>
    </row>
    <row r="164" spans="1:5" x14ac:dyDescent="0.15">
      <c r="A164" s="21">
        <v>41532</v>
      </c>
      <c r="B164" s="22" t="s">
        <v>42</v>
      </c>
      <c r="C164" s="22">
        <v>60</v>
      </c>
      <c r="D164" s="22" t="s">
        <v>39</v>
      </c>
      <c r="E164" t="str">
        <f t="shared" si="4"/>
        <v>2013年</v>
      </c>
    </row>
    <row r="165" spans="1:5" x14ac:dyDescent="0.15">
      <c r="A165" s="21">
        <v>41533</v>
      </c>
      <c r="B165" s="22" t="s">
        <v>40</v>
      </c>
      <c r="C165" s="22">
        <v>352</v>
      </c>
      <c r="D165" s="22" t="s">
        <v>39</v>
      </c>
      <c r="E165" t="str">
        <f t="shared" si="4"/>
        <v>2013年</v>
      </c>
    </row>
    <row r="166" spans="1:5" x14ac:dyDescent="0.15">
      <c r="A166" s="21">
        <v>41533</v>
      </c>
      <c r="B166" s="22" t="s">
        <v>40</v>
      </c>
      <c r="C166" s="22">
        <v>600</v>
      </c>
      <c r="D166" s="22" t="s">
        <v>39</v>
      </c>
      <c r="E166" t="str">
        <f t="shared" si="4"/>
        <v>2013年</v>
      </c>
    </row>
    <row r="167" spans="1:5" x14ac:dyDescent="0.15">
      <c r="A167" s="21">
        <v>41533</v>
      </c>
      <c r="B167" s="22" t="s">
        <v>35</v>
      </c>
      <c r="C167" s="22">
        <v>22.4</v>
      </c>
      <c r="D167" s="22" t="s">
        <v>39</v>
      </c>
      <c r="E167" t="str">
        <f t="shared" si="4"/>
        <v>2013年</v>
      </c>
    </row>
    <row r="168" spans="1:5" x14ac:dyDescent="0.15">
      <c r="A168" s="21">
        <v>41533</v>
      </c>
      <c r="B168" s="22" t="s">
        <v>42</v>
      </c>
      <c r="C168" s="22">
        <v>736</v>
      </c>
      <c r="D168" s="22" t="s">
        <v>39</v>
      </c>
      <c r="E168" t="str">
        <f t="shared" si="4"/>
        <v>2013年</v>
      </c>
    </row>
    <row r="169" spans="1:5" x14ac:dyDescent="0.15">
      <c r="A169" s="21">
        <v>41533</v>
      </c>
      <c r="B169" s="22" t="s">
        <v>36</v>
      </c>
      <c r="C169" s="22">
        <v>51.6</v>
      </c>
      <c r="D169" s="22" t="s">
        <v>39</v>
      </c>
      <c r="E169" t="str">
        <f t="shared" si="4"/>
        <v>2013年</v>
      </c>
    </row>
    <row r="170" spans="1:5" x14ac:dyDescent="0.15">
      <c r="A170" s="21">
        <v>41534</v>
      </c>
      <c r="B170" s="22" t="s">
        <v>41</v>
      </c>
      <c r="C170" s="22">
        <v>139</v>
      </c>
      <c r="D170" s="22" t="s">
        <v>39</v>
      </c>
      <c r="E170" t="str">
        <f t="shared" si="4"/>
        <v>2013年</v>
      </c>
    </row>
    <row r="171" spans="1:5" x14ac:dyDescent="0.15">
      <c r="A171" s="21">
        <v>41534</v>
      </c>
      <c r="B171" s="22" t="s">
        <v>41</v>
      </c>
      <c r="C171" s="22">
        <v>197</v>
      </c>
      <c r="D171" s="22" t="s">
        <v>39</v>
      </c>
      <c r="E171" t="str">
        <f t="shared" si="4"/>
        <v>2013年</v>
      </c>
    </row>
    <row r="172" spans="1:5" x14ac:dyDescent="0.15">
      <c r="A172" s="21">
        <v>41534</v>
      </c>
      <c r="B172" s="22" t="s">
        <v>35</v>
      </c>
      <c r="C172" s="22">
        <v>67.2</v>
      </c>
      <c r="D172" s="22" t="s">
        <v>39</v>
      </c>
      <c r="E172" t="str">
        <f t="shared" si="4"/>
        <v>2013年</v>
      </c>
    </row>
    <row r="173" spans="1:5" x14ac:dyDescent="0.15">
      <c r="A173" s="21">
        <v>41534</v>
      </c>
      <c r="B173" s="22" t="s">
        <v>36</v>
      </c>
      <c r="C173" s="22">
        <v>201.6</v>
      </c>
      <c r="D173" s="22" t="s">
        <v>39</v>
      </c>
      <c r="E173" t="str">
        <f t="shared" si="4"/>
        <v>2013年</v>
      </c>
    </row>
    <row r="174" spans="1:5" x14ac:dyDescent="0.15">
      <c r="A174" s="21">
        <v>41537</v>
      </c>
      <c r="B174" s="22" t="s">
        <v>37</v>
      </c>
      <c r="C174" s="22">
        <v>145.6</v>
      </c>
      <c r="D174" s="22" t="s">
        <v>39</v>
      </c>
      <c r="E174" t="str">
        <f t="shared" si="4"/>
        <v>2013年</v>
      </c>
    </row>
    <row r="175" spans="1:5" x14ac:dyDescent="0.15">
      <c r="A175" s="21">
        <v>41537</v>
      </c>
      <c r="B175" s="22" t="s">
        <v>42</v>
      </c>
      <c r="C175" s="22">
        <v>883.2</v>
      </c>
      <c r="D175" s="22" t="s">
        <v>39</v>
      </c>
      <c r="E175" t="str">
        <f t="shared" si="4"/>
        <v>2013年</v>
      </c>
    </row>
    <row r="176" spans="1:5" x14ac:dyDescent="0.15">
      <c r="A176" s="21">
        <v>41537</v>
      </c>
      <c r="B176" s="22" t="s">
        <v>33</v>
      </c>
      <c r="C176" s="22">
        <v>524</v>
      </c>
      <c r="D176" s="22" t="s">
        <v>39</v>
      </c>
      <c r="E176" t="str">
        <f t="shared" si="4"/>
        <v>2013年</v>
      </c>
    </row>
    <row r="177" spans="1:5" x14ac:dyDescent="0.15">
      <c r="A177" s="21">
        <v>41537</v>
      </c>
      <c r="B177" s="22" t="s">
        <v>42</v>
      </c>
      <c r="C177" s="22">
        <v>62</v>
      </c>
      <c r="D177" s="22" t="s">
        <v>39</v>
      </c>
      <c r="E177" t="str">
        <f t="shared" si="4"/>
        <v>2013年</v>
      </c>
    </row>
    <row r="178" spans="1:5" x14ac:dyDescent="0.15">
      <c r="A178" s="21">
        <v>41538</v>
      </c>
      <c r="B178" s="22" t="s">
        <v>38</v>
      </c>
      <c r="C178" s="22">
        <v>182.4</v>
      </c>
      <c r="D178" s="22" t="s">
        <v>39</v>
      </c>
      <c r="E178" t="str">
        <f t="shared" si="4"/>
        <v>2013年</v>
      </c>
    </row>
    <row r="179" spans="1:5" x14ac:dyDescent="0.15">
      <c r="A179" s="21">
        <v>41539</v>
      </c>
      <c r="B179" s="22" t="s">
        <v>36</v>
      </c>
      <c r="C179" s="22">
        <v>921.59999847412109</v>
      </c>
      <c r="D179" s="22" t="s">
        <v>39</v>
      </c>
      <c r="E179" t="str">
        <f t="shared" si="4"/>
        <v>2013年</v>
      </c>
    </row>
    <row r="180" spans="1:5" x14ac:dyDescent="0.15">
      <c r="A180" s="21">
        <v>41539</v>
      </c>
      <c r="B180" s="22" t="s">
        <v>38</v>
      </c>
      <c r="C180" s="22">
        <v>286.19999952614307</v>
      </c>
      <c r="D180" s="22" t="s">
        <v>39</v>
      </c>
      <c r="E180" t="str">
        <f t="shared" si="4"/>
        <v>2013年</v>
      </c>
    </row>
    <row r="181" spans="1:5" x14ac:dyDescent="0.15">
      <c r="A181" s="21">
        <v>41539</v>
      </c>
      <c r="B181" s="22" t="s">
        <v>41</v>
      </c>
      <c r="C181" s="22">
        <v>886.49999853223562</v>
      </c>
      <c r="D181" s="22" t="s">
        <v>39</v>
      </c>
      <c r="E181" t="str">
        <f t="shared" si="4"/>
        <v>2013年</v>
      </c>
    </row>
    <row r="182" spans="1:5" x14ac:dyDescent="0.15">
      <c r="A182" s="21">
        <v>41540</v>
      </c>
      <c r="B182" s="22" t="s">
        <v>42</v>
      </c>
      <c r="C182" s="22">
        <v>156.80000000000001</v>
      </c>
      <c r="D182" s="22" t="s">
        <v>39</v>
      </c>
      <c r="E182" t="str">
        <f t="shared" si="4"/>
        <v>2013年</v>
      </c>
    </row>
    <row r="183" spans="1:5" x14ac:dyDescent="0.15">
      <c r="A183" s="21">
        <v>41540</v>
      </c>
      <c r="B183" s="22" t="s">
        <v>42</v>
      </c>
      <c r="C183" s="22">
        <v>360</v>
      </c>
      <c r="D183" s="22" t="s">
        <v>39</v>
      </c>
      <c r="E183" t="str">
        <f t="shared" si="4"/>
        <v>2013年</v>
      </c>
    </row>
    <row r="184" spans="1:5" x14ac:dyDescent="0.15">
      <c r="A184" s="21">
        <v>41541</v>
      </c>
      <c r="B184" s="22" t="s">
        <v>38</v>
      </c>
      <c r="C184" s="22">
        <v>77</v>
      </c>
      <c r="D184" s="22" t="s">
        <v>39</v>
      </c>
      <c r="E184" t="str">
        <f t="shared" si="4"/>
        <v>2013年</v>
      </c>
    </row>
    <row r="185" spans="1:5" x14ac:dyDescent="0.15">
      <c r="A185" s="21">
        <v>41541</v>
      </c>
      <c r="B185" s="22" t="s">
        <v>41</v>
      </c>
      <c r="C185" s="22">
        <v>2758</v>
      </c>
      <c r="D185" s="22" t="s">
        <v>39</v>
      </c>
      <c r="E185" t="str">
        <f t="shared" si="4"/>
        <v>2013年</v>
      </c>
    </row>
    <row r="186" spans="1:5" x14ac:dyDescent="0.15">
      <c r="A186" s="21">
        <v>41544</v>
      </c>
      <c r="B186" s="22" t="s">
        <v>42</v>
      </c>
      <c r="C186" s="22">
        <v>288</v>
      </c>
      <c r="D186" s="22" t="s">
        <v>34</v>
      </c>
      <c r="E186" t="str">
        <f t="shared" si="4"/>
        <v>2013年</v>
      </c>
    </row>
    <row r="187" spans="1:5" x14ac:dyDescent="0.15">
      <c r="A187" s="21">
        <v>41545</v>
      </c>
      <c r="B187" s="22" t="s">
        <v>38</v>
      </c>
      <c r="C187" s="22">
        <v>154</v>
      </c>
      <c r="D187" s="22" t="s">
        <v>39</v>
      </c>
      <c r="E187" t="str">
        <f t="shared" si="4"/>
        <v>2013年</v>
      </c>
    </row>
    <row r="188" spans="1:5" x14ac:dyDescent="0.15">
      <c r="A188" s="21">
        <v>41545</v>
      </c>
      <c r="B188" s="22" t="s">
        <v>42</v>
      </c>
      <c r="C188" s="22">
        <v>86.4</v>
      </c>
      <c r="D188" s="22" t="s">
        <v>39</v>
      </c>
      <c r="E188" t="str">
        <f t="shared" si="4"/>
        <v>2013年</v>
      </c>
    </row>
    <row r="189" spans="1:5" x14ac:dyDescent="0.15">
      <c r="A189" s="21">
        <v>41546</v>
      </c>
      <c r="B189" s="22" t="s">
        <v>33</v>
      </c>
      <c r="C189" s="22">
        <v>249.6</v>
      </c>
      <c r="D189" s="22" t="s">
        <v>34</v>
      </c>
      <c r="E189" t="str">
        <f t="shared" si="4"/>
        <v>2013年</v>
      </c>
    </row>
    <row r="190" spans="1:5" x14ac:dyDescent="0.15">
      <c r="A190" s="21">
        <v>41546</v>
      </c>
      <c r="B190" s="22" t="s">
        <v>37</v>
      </c>
      <c r="C190" s="22">
        <v>509.6</v>
      </c>
      <c r="D190" s="22" t="s">
        <v>34</v>
      </c>
      <c r="E190" t="str">
        <f t="shared" si="4"/>
        <v>2013年</v>
      </c>
    </row>
    <row r="191" spans="1:5" x14ac:dyDescent="0.15">
      <c r="A191" s="21">
        <v>41546</v>
      </c>
      <c r="B191" s="22" t="s">
        <v>42</v>
      </c>
      <c r="C191" s="22">
        <v>432</v>
      </c>
      <c r="D191" s="22" t="s">
        <v>34</v>
      </c>
      <c r="E191" t="str">
        <f t="shared" si="4"/>
        <v>2013年</v>
      </c>
    </row>
    <row r="192" spans="1:5" x14ac:dyDescent="0.15">
      <c r="A192" s="21">
        <v>41547</v>
      </c>
      <c r="B192" s="22" t="s">
        <v>36</v>
      </c>
      <c r="C192" s="22">
        <v>516</v>
      </c>
      <c r="D192" s="22" t="s">
        <v>34</v>
      </c>
      <c r="E192" t="str">
        <f t="shared" si="4"/>
        <v>2013年</v>
      </c>
    </row>
    <row r="193" spans="1:5" x14ac:dyDescent="0.15">
      <c r="A193" s="21">
        <v>41547</v>
      </c>
      <c r="B193" s="22" t="s">
        <v>42</v>
      </c>
      <c r="C193" s="22">
        <v>144</v>
      </c>
      <c r="D193" s="22" t="s">
        <v>39</v>
      </c>
      <c r="E193" t="str">
        <f t="shared" si="4"/>
        <v>2013年</v>
      </c>
    </row>
    <row r="194" spans="1:5" x14ac:dyDescent="0.15">
      <c r="A194" s="21">
        <v>41548</v>
      </c>
      <c r="B194" s="22" t="s">
        <v>35</v>
      </c>
      <c r="C194" s="22">
        <v>112</v>
      </c>
      <c r="D194" s="22" t="s">
        <v>34</v>
      </c>
      <c r="E194" t="str">
        <f t="shared" ref="E194:E257" si="5">YEAR(A194)&amp;"年"</f>
        <v>2013年</v>
      </c>
    </row>
    <row r="195" spans="1:5" x14ac:dyDescent="0.15">
      <c r="A195" s="21">
        <v>41551</v>
      </c>
      <c r="B195" s="22" t="s">
        <v>40</v>
      </c>
      <c r="C195" s="22">
        <v>62</v>
      </c>
      <c r="D195" s="22" t="s">
        <v>39</v>
      </c>
      <c r="E195" t="str">
        <f t="shared" si="5"/>
        <v>2013年</v>
      </c>
    </row>
    <row r="196" spans="1:5" x14ac:dyDescent="0.15">
      <c r="A196" s="21">
        <v>41551</v>
      </c>
      <c r="B196" s="22" t="s">
        <v>41</v>
      </c>
      <c r="C196" s="22">
        <v>44.8</v>
      </c>
      <c r="D196" s="22" t="s">
        <v>39</v>
      </c>
      <c r="E196" t="str">
        <f t="shared" si="5"/>
        <v>2013年</v>
      </c>
    </row>
    <row r="197" spans="1:5" x14ac:dyDescent="0.15">
      <c r="A197" s="21">
        <v>41551</v>
      </c>
      <c r="B197" s="22" t="s">
        <v>42</v>
      </c>
      <c r="C197" s="22">
        <v>57.6</v>
      </c>
      <c r="D197" s="22" t="s">
        <v>39</v>
      </c>
      <c r="E197" t="str">
        <f t="shared" si="5"/>
        <v>2013年</v>
      </c>
    </row>
    <row r="198" spans="1:5" x14ac:dyDescent="0.15">
      <c r="A198" s="21">
        <v>41552</v>
      </c>
      <c r="B198" s="22" t="s">
        <v>41</v>
      </c>
      <c r="C198" s="22">
        <v>248.11499826014042</v>
      </c>
      <c r="D198" s="22" t="s">
        <v>34</v>
      </c>
      <c r="E198" t="str">
        <f t="shared" si="5"/>
        <v>2013年</v>
      </c>
    </row>
    <row r="199" spans="1:5" x14ac:dyDescent="0.15">
      <c r="A199" s="21">
        <v>41552</v>
      </c>
      <c r="B199" s="22" t="s">
        <v>42</v>
      </c>
      <c r="C199" s="22">
        <v>856.79999399185181</v>
      </c>
      <c r="D199" s="22" t="s">
        <v>34</v>
      </c>
      <c r="E199" t="str">
        <f t="shared" si="5"/>
        <v>2013年</v>
      </c>
    </row>
    <row r="200" spans="1:5" x14ac:dyDescent="0.15">
      <c r="A200" s="21">
        <v>41552</v>
      </c>
      <c r="B200" s="22" t="s">
        <v>38</v>
      </c>
      <c r="C200" s="22">
        <v>288</v>
      </c>
      <c r="D200" s="22" t="s">
        <v>34</v>
      </c>
      <c r="E200" t="str">
        <f t="shared" si="5"/>
        <v>2013年</v>
      </c>
    </row>
    <row r="201" spans="1:5" x14ac:dyDescent="0.15">
      <c r="A201" s="21">
        <v>41552</v>
      </c>
      <c r="B201" s="22" t="s">
        <v>36</v>
      </c>
      <c r="C201" s="22">
        <v>1495.9999895095825</v>
      </c>
      <c r="D201" s="22" t="s">
        <v>34</v>
      </c>
      <c r="E201" t="str">
        <f t="shared" si="5"/>
        <v>2013年</v>
      </c>
    </row>
    <row r="202" spans="1:5" x14ac:dyDescent="0.15">
      <c r="A202" s="21">
        <v>41552</v>
      </c>
      <c r="B202" s="22" t="s">
        <v>40</v>
      </c>
      <c r="C202" s="22">
        <v>2386.7999832630157</v>
      </c>
      <c r="D202" s="22" t="s">
        <v>34</v>
      </c>
      <c r="E202" t="str">
        <f t="shared" si="5"/>
        <v>2013年</v>
      </c>
    </row>
    <row r="203" spans="1:5" x14ac:dyDescent="0.15">
      <c r="A203" s="21">
        <v>41553</v>
      </c>
      <c r="B203" s="22" t="s">
        <v>40</v>
      </c>
      <c r="C203" s="22">
        <v>120</v>
      </c>
      <c r="D203" s="22" t="s">
        <v>39</v>
      </c>
      <c r="E203" t="str">
        <f t="shared" si="5"/>
        <v>2013年</v>
      </c>
    </row>
    <row r="204" spans="1:5" x14ac:dyDescent="0.15">
      <c r="A204" s="21">
        <v>41553</v>
      </c>
      <c r="B204" s="22" t="s">
        <v>38</v>
      </c>
      <c r="C204" s="22">
        <v>57.6</v>
      </c>
      <c r="D204" s="22" t="s">
        <v>39</v>
      </c>
      <c r="E204" t="str">
        <f t="shared" si="5"/>
        <v>2013年</v>
      </c>
    </row>
    <row r="205" spans="1:5" x14ac:dyDescent="0.15">
      <c r="A205" s="21">
        <v>41553</v>
      </c>
      <c r="B205" s="22" t="s">
        <v>37</v>
      </c>
      <c r="C205" s="22">
        <v>167.4</v>
      </c>
      <c r="D205" s="22" t="s">
        <v>39</v>
      </c>
      <c r="E205" t="str">
        <f t="shared" si="5"/>
        <v>2013年</v>
      </c>
    </row>
    <row r="206" spans="1:5" x14ac:dyDescent="0.15">
      <c r="A206" s="21">
        <v>41553</v>
      </c>
      <c r="B206" s="22" t="s">
        <v>36</v>
      </c>
      <c r="C206" s="22">
        <v>40</v>
      </c>
      <c r="D206" s="22" t="s">
        <v>39</v>
      </c>
      <c r="E206" t="str">
        <f t="shared" si="5"/>
        <v>2013年</v>
      </c>
    </row>
    <row r="207" spans="1:5" x14ac:dyDescent="0.15">
      <c r="A207" s="21">
        <v>41553</v>
      </c>
      <c r="B207" s="22" t="s">
        <v>36</v>
      </c>
      <c r="C207" s="22">
        <v>1112</v>
      </c>
      <c r="D207" s="22" t="s">
        <v>39</v>
      </c>
      <c r="E207" t="str">
        <f t="shared" si="5"/>
        <v>2013年</v>
      </c>
    </row>
    <row r="208" spans="1:5" x14ac:dyDescent="0.15">
      <c r="A208" s="21">
        <v>41554</v>
      </c>
      <c r="B208" s="22" t="s">
        <v>40</v>
      </c>
      <c r="C208" s="22">
        <v>422.4</v>
      </c>
      <c r="D208" s="22" t="s">
        <v>39</v>
      </c>
      <c r="E208" t="str">
        <f t="shared" si="5"/>
        <v>2013年</v>
      </c>
    </row>
    <row r="209" spans="1:5" x14ac:dyDescent="0.15">
      <c r="A209" s="21">
        <v>41554</v>
      </c>
      <c r="B209" s="22" t="s">
        <v>35</v>
      </c>
      <c r="C209" s="22">
        <v>249.6</v>
      </c>
      <c r="D209" s="22" t="s">
        <v>39</v>
      </c>
      <c r="E209" t="str">
        <f t="shared" si="5"/>
        <v>2013年</v>
      </c>
    </row>
    <row r="210" spans="1:5" x14ac:dyDescent="0.15">
      <c r="A210" s="21">
        <v>41554</v>
      </c>
      <c r="B210" s="22" t="s">
        <v>42</v>
      </c>
      <c r="C210" s="22">
        <v>310</v>
      </c>
      <c r="D210" s="22" t="s">
        <v>39</v>
      </c>
      <c r="E210" t="str">
        <f t="shared" si="5"/>
        <v>2013年</v>
      </c>
    </row>
    <row r="211" spans="1:5" x14ac:dyDescent="0.15">
      <c r="A211" s="21">
        <v>41555</v>
      </c>
      <c r="B211" s="22" t="s">
        <v>42</v>
      </c>
      <c r="C211" s="22">
        <v>303.99999886751175</v>
      </c>
      <c r="D211" s="22" t="s">
        <v>39</v>
      </c>
      <c r="E211" t="str">
        <f t="shared" si="5"/>
        <v>2013年</v>
      </c>
    </row>
    <row r="212" spans="1:5" x14ac:dyDescent="0.15">
      <c r="A212" s="21">
        <v>41555</v>
      </c>
      <c r="B212" s="22" t="s">
        <v>36</v>
      </c>
      <c r="C212" s="22">
        <v>671.99999749660492</v>
      </c>
      <c r="D212" s="22" t="s">
        <v>39</v>
      </c>
      <c r="E212" t="str">
        <f t="shared" si="5"/>
        <v>2013年</v>
      </c>
    </row>
    <row r="213" spans="1:5" x14ac:dyDescent="0.15">
      <c r="A213" s="21">
        <v>41555</v>
      </c>
      <c r="B213" s="22" t="s">
        <v>38</v>
      </c>
      <c r="C213" s="22">
        <v>579.59999784082174</v>
      </c>
      <c r="D213" s="22" t="s">
        <v>39</v>
      </c>
      <c r="E213" t="str">
        <f t="shared" si="5"/>
        <v>2013年</v>
      </c>
    </row>
    <row r="214" spans="1:5" x14ac:dyDescent="0.15">
      <c r="A214" s="21">
        <v>41555</v>
      </c>
      <c r="B214" s="22" t="s">
        <v>38</v>
      </c>
      <c r="C214" s="22">
        <v>254.39999905228615</v>
      </c>
      <c r="D214" s="22" t="s">
        <v>39</v>
      </c>
      <c r="E214" t="str">
        <f t="shared" si="5"/>
        <v>2013年</v>
      </c>
    </row>
    <row r="215" spans="1:5" x14ac:dyDescent="0.15">
      <c r="A215" s="21">
        <v>41558</v>
      </c>
      <c r="B215" s="22" t="s">
        <v>36</v>
      </c>
      <c r="C215" s="22">
        <v>396</v>
      </c>
      <c r="D215" s="22" t="s">
        <v>39</v>
      </c>
      <c r="E215" t="str">
        <f t="shared" si="5"/>
        <v>2013年</v>
      </c>
    </row>
    <row r="216" spans="1:5" x14ac:dyDescent="0.15">
      <c r="A216" s="21">
        <v>41558</v>
      </c>
      <c r="B216" s="22" t="s">
        <v>40</v>
      </c>
      <c r="C216" s="22">
        <v>672</v>
      </c>
      <c r="D216" s="22" t="s">
        <v>39</v>
      </c>
      <c r="E216" t="str">
        <f t="shared" si="5"/>
        <v>2013年</v>
      </c>
    </row>
    <row r="217" spans="1:5" x14ac:dyDescent="0.15">
      <c r="A217" s="21">
        <v>41558</v>
      </c>
      <c r="B217" s="22" t="s">
        <v>41</v>
      </c>
      <c r="C217" s="22">
        <v>100</v>
      </c>
      <c r="D217" s="22" t="s">
        <v>39</v>
      </c>
      <c r="E217" t="str">
        <f t="shared" si="5"/>
        <v>2013年</v>
      </c>
    </row>
    <row r="218" spans="1:5" x14ac:dyDescent="0.15">
      <c r="A218" s="21">
        <v>41559</v>
      </c>
      <c r="B218" s="22" t="s">
        <v>41</v>
      </c>
      <c r="C218" s="22">
        <v>69.349999945610762</v>
      </c>
      <c r="D218" s="22" t="s">
        <v>39</v>
      </c>
      <c r="E218" t="str">
        <f t="shared" si="5"/>
        <v>2013年</v>
      </c>
    </row>
    <row r="219" spans="1:5" x14ac:dyDescent="0.15">
      <c r="A219" s="21">
        <v>41559</v>
      </c>
      <c r="B219" s="22" t="s">
        <v>38</v>
      </c>
      <c r="C219" s="22">
        <v>157.3199998766184</v>
      </c>
      <c r="D219" s="22" t="s">
        <v>39</v>
      </c>
      <c r="E219" t="str">
        <f t="shared" si="5"/>
        <v>2013年</v>
      </c>
    </row>
    <row r="220" spans="1:5" x14ac:dyDescent="0.15">
      <c r="A220" s="21">
        <v>41559</v>
      </c>
      <c r="B220" s="22" t="s">
        <v>42</v>
      </c>
      <c r="C220" s="22">
        <v>4005.1999968588352</v>
      </c>
      <c r="D220" s="22" t="s">
        <v>39</v>
      </c>
      <c r="E220" t="str">
        <f t="shared" si="5"/>
        <v>2013年</v>
      </c>
    </row>
    <row r="221" spans="1:5" x14ac:dyDescent="0.15">
      <c r="A221" s="21">
        <v>41559</v>
      </c>
      <c r="B221" s="22" t="s">
        <v>35</v>
      </c>
      <c r="C221" s="22">
        <v>346.5599997282028</v>
      </c>
      <c r="D221" s="22" t="s">
        <v>39</v>
      </c>
      <c r="E221" t="str">
        <f t="shared" si="5"/>
        <v>2013年</v>
      </c>
    </row>
    <row r="222" spans="1:5" x14ac:dyDescent="0.15">
      <c r="A222" s="21">
        <v>41560</v>
      </c>
      <c r="B222" s="22" t="s">
        <v>41</v>
      </c>
      <c r="C222" s="22">
        <v>1058.2499925792217</v>
      </c>
      <c r="D222" s="22" t="s">
        <v>39</v>
      </c>
      <c r="E222" t="str">
        <f t="shared" si="5"/>
        <v>2013年</v>
      </c>
    </row>
    <row r="223" spans="1:5" x14ac:dyDescent="0.15">
      <c r="A223" s="21">
        <v>41560</v>
      </c>
      <c r="B223" s="22" t="s">
        <v>36</v>
      </c>
      <c r="C223" s="22">
        <v>590.74999585747719</v>
      </c>
      <c r="D223" s="22" t="s">
        <v>39</v>
      </c>
      <c r="E223" t="str">
        <f t="shared" si="5"/>
        <v>2013年</v>
      </c>
    </row>
    <row r="224" spans="1:5" x14ac:dyDescent="0.15">
      <c r="A224" s="21">
        <v>41560</v>
      </c>
      <c r="B224" s="22" t="s">
        <v>33</v>
      </c>
      <c r="C224" s="22">
        <v>88.5</v>
      </c>
      <c r="D224" s="22" t="s">
        <v>34</v>
      </c>
      <c r="E224" t="str">
        <f t="shared" si="5"/>
        <v>2013年</v>
      </c>
    </row>
    <row r="225" spans="1:5" x14ac:dyDescent="0.15">
      <c r="A225" s="21">
        <v>41561</v>
      </c>
      <c r="B225" s="22" t="s">
        <v>38</v>
      </c>
      <c r="C225" s="22">
        <v>1599.9999940395355</v>
      </c>
      <c r="D225" s="22" t="s">
        <v>39</v>
      </c>
      <c r="E225" t="str">
        <f t="shared" si="5"/>
        <v>2013年</v>
      </c>
    </row>
    <row r="226" spans="1:5" x14ac:dyDescent="0.15">
      <c r="A226" s="21">
        <v>41561</v>
      </c>
      <c r="B226" s="22" t="s">
        <v>35</v>
      </c>
      <c r="C226" s="22">
        <v>89.599999666213989</v>
      </c>
      <c r="D226" s="22" t="s">
        <v>39</v>
      </c>
      <c r="E226" t="str">
        <f t="shared" si="5"/>
        <v>2013年</v>
      </c>
    </row>
    <row r="227" spans="1:5" x14ac:dyDescent="0.15">
      <c r="A227" s="21">
        <v>41561</v>
      </c>
      <c r="B227" s="22" t="s">
        <v>41</v>
      </c>
      <c r="C227" s="22">
        <v>97.279999637603765</v>
      </c>
      <c r="D227" s="22" t="s">
        <v>39</v>
      </c>
      <c r="E227" t="str">
        <f t="shared" si="5"/>
        <v>2013年</v>
      </c>
    </row>
    <row r="228" spans="1:5" x14ac:dyDescent="0.15">
      <c r="A228" s="21">
        <v>41562</v>
      </c>
      <c r="B228" s="22" t="s">
        <v>37</v>
      </c>
      <c r="C228" s="22">
        <v>186</v>
      </c>
      <c r="D228" s="22" t="s">
        <v>34</v>
      </c>
      <c r="E228" t="str">
        <f t="shared" si="5"/>
        <v>2013年</v>
      </c>
    </row>
    <row r="229" spans="1:5" x14ac:dyDescent="0.15">
      <c r="A229" s="21">
        <v>41562</v>
      </c>
      <c r="B229" s="22" t="s">
        <v>41</v>
      </c>
      <c r="C229" s="22">
        <v>71.99999988079071</v>
      </c>
      <c r="D229" s="22" t="s">
        <v>34</v>
      </c>
      <c r="E229" t="str">
        <f t="shared" si="5"/>
        <v>2013年</v>
      </c>
    </row>
    <row r="230" spans="1:5" x14ac:dyDescent="0.15">
      <c r="A230" s="21">
        <v>41562</v>
      </c>
      <c r="B230" s="22" t="s">
        <v>36</v>
      </c>
      <c r="C230" s="22">
        <v>619.19999897480011</v>
      </c>
      <c r="D230" s="22" t="s">
        <v>34</v>
      </c>
      <c r="E230" t="str">
        <f t="shared" si="5"/>
        <v>2013年</v>
      </c>
    </row>
    <row r="231" spans="1:5" x14ac:dyDescent="0.15">
      <c r="A231" s="21">
        <v>41565</v>
      </c>
      <c r="B231" s="22" t="s">
        <v>35</v>
      </c>
      <c r="C231" s="22">
        <v>44.8</v>
      </c>
      <c r="D231" s="22" t="s">
        <v>39</v>
      </c>
      <c r="E231" t="str">
        <f t="shared" si="5"/>
        <v>2013年</v>
      </c>
    </row>
    <row r="232" spans="1:5" x14ac:dyDescent="0.15">
      <c r="A232" s="21">
        <v>41565</v>
      </c>
      <c r="B232" s="22" t="s">
        <v>41</v>
      </c>
      <c r="C232" s="22">
        <v>100</v>
      </c>
      <c r="D232" s="22" t="s">
        <v>39</v>
      </c>
      <c r="E232" t="str">
        <f t="shared" si="5"/>
        <v>2013年</v>
      </c>
    </row>
    <row r="233" spans="1:5" x14ac:dyDescent="0.15">
      <c r="A233" s="21">
        <v>41566</v>
      </c>
      <c r="B233" s="22" t="s">
        <v>42</v>
      </c>
      <c r="C233" s="22">
        <v>85.119999682903284</v>
      </c>
      <c r="D233" s="22" t="s">
        <v>34</v>
      </c>
      <c r="E233" t="str">
        <f t="shared" si="5"/>
        <v>2013年</v>
      </c>
    </row>
    <row r="234" spans="1:5" x14ac:dyDescent="0.15">
      <c r="A234" s="21">
        <v>41566</v>
      </c>
      <c r="B234" s="22" t="s">
        <v>36</v>
      </c>
      <c r="C234" s="22">
        <v>199.99999925494194</v>
      </c>
      <c r="D234" s="22" t="s">
        <v>34</v>
      </c>
      <c r="E234" t="str">
        <f t="shared" si="5"/>
        <v>2013年</v>
      </c>
    </row>
    <row r="235" spans="1:5" x14ac:dyDescent="0.15">
      <c r="A235" s="21">
        <v>41566</v>
      </c>
      <c r="B235" s="22" t="s">
        <v>36</v>
      </c>
      <c r="C235" s="22">
        <v>122.87999954223633</v>
      </c>
      <c r="D235" s="22" t="s">
        <v>34</v>
      </c>
      <c r="E235" t="str">
        <f t="shared" si="5"/>
        <v>2013年</v>
      </c>
    </row>
    <row r="236" spans="1:5" x14ac:dyDescent="0.15">
      <c r="A236" s="21">
        <v>41566</v>
      </c>
      <c r="B236" s="22" t="s">
        <v>37</v>
      </c>
      <c r="C236" s="22">
        <v>1628.1599939346313</v>
      </c>
      <c r="D236" s="22" t="s">
        <v>34</v>
      </c>
      <c r="E236" t="str">
        <f t="shared" si="5"/>
        <v>2013年</v>
      </c>
    </row>
    <row r="237" spans="1:5" x14ac:dyDescent="0.15">
      <c r="A237" s="21">
        <v>41567</v>
      </c>
      <c r="B237" s="22" t="s">
        <v>40</v>
      </c>
      <c r="C237" s="22">
        <v>285.11999952793121</v>
      </c>
      <c r="D237" s="22" t="s">
        <v>34</v>
      </c>
      <c r="E237" t="str">
        <f t="shared" si="5"/>
        <v>2013年</v>
      </c>
    </row>
    <row r="238" spans="1:5" x14ac:dyDescent="0.15">
      <c r="A238" s="21">
        <v>41568</v>
      </c>
      <c r="B238" s="22" t="s">
        <v>35</v>
      </c>
      <c r="C238" s="22">
        <v>288</v>
      </c>
      <c r="D238" s="22" t="s">
        <v>39</v>
      </c>
      <c r="E238" t="str">
        <f t="shared" si="5"/>
        <v>2013年</v>
      </c>
    </row>
    <row r="239" spans="1:5" x14ac:dyDescent="0.15">
      <c r="A239" s="21">
        <v>41568</v>
      </c>
      <c r="B239" s="22" t="s">
        <v>41</v>
      </c>
      <c r="C239" s="22">
        <v>597.6</v>
      </c>
      <c r="D239" s="22" t="s">
        <v>39</v>
      </c>
      <c r="E239" t="str">
        <f t="shared" si="5"/>
        <v>2013年</v>
      </c>
    </row>
    <row r="240" spans="1:5" x14ac:dyDescent="0.15">
      <c r="A240" s="21">
        <v>41568</v>
      </c>
      <c r="B240" s="22" t="s">
        <v>38</v>
      </c>
      <c r="C240" s="22">
        <v>304</v>
      </c>
      <c r="D240" s="22" t="s">
        <v>39</v>
      </c>
      <c r="E240" t="str">
        <f t="shared" si="5"/>
        <v>2013年</v>
      </c>
    </row>
    <row r="241" spans="1:5" x14ac:dyDescent="0.15">
      <c r="A241" s="21">
        <v>41568</v>
      </c>
      <c r="B241" s="22" t="s">
        <v>38</v>
      </c>
      <c r="C241" s="22">
        <v>582.4</v>
      </c>
      <c r="D241" s="22" t="s">
        <v>39</v>
      </c>
      <c r="E241" t="str">
        <f t="shared" si="5"/>
        <v>2013年</v>
      </c>
    </row>
    <row r="242" spans="1:5" x14ac:dyDescent="0.15">
      <c r="A242" s="21">
        <v>41568</v>
      </c>
      <c r="B242" s="22" t="s">
        <v>36</v>
      </c>
      <c r="C242" s="22">
        <v>695</v>
      </c>
      <c r="D242" s="22" t="s">
        <v>39</v>
      </c>
      <c r="E242" t="str">
        <f t="shared" si="5"/>
        <v>2013年</v>
      </c>
    </row>
    <row r="243" spans="1:5" x14ac:dyDescent="0.15">
      <c r="A243" s="21">
        <v>41569</v>
      </c>
      <c r="B243" s="22" t="s">
        <v>33</v>
      </c>
      <c r="C243" s="22">
        <v>624</v>
      </c>
      <c r="D243" s="22" t="s">
        <v>39</v>
      </c>
      <c r="E243" t="str">
        <f t="shared" si="5"/>
        <v>2013年</v>
      </c>
    </row>
    <row r="244" spans="1:5" x14ac:dyDescent="0.15">
      <c r="A244" s="21">
        <v>41569</v>
      </c>
      <c r="B244" s="22" t="s">
        <v>38</v>
      </c>
      <c r="C244" s="22">
        <v>310.5</v>
      </c>
      <c r="D244" s="22" t="s">
        <v>39</v>
      </c>
      <c r="E244" t="str">
        <f t="shared" si="5"/>
        <v>2013年</v>
      </c>
    </row>
    <row r="245" spans="1:5" x14ac:dyDescent="0.15">
      <c r="A245" s="21">
        <v>41572</v>
      </c>
      <c r="B245" s="22" t="s">
        <v>40</v>
      </c>
      <c r="C245" s="22">
        <v>176</v>
      </c>
      <c r="D245" s="22" t="s">
        <v>39</v>
      </c>
      <c r="E245" t="str">
        <f t="shared" si="5"/>
        <v>2013年</v>
      </c>
    </row>
    <row r="246" spans="1:5" x14ac:dyDescent="0.15">
      <c r="A246" s="21">
        <v>41572</v>
      </c>
      <c r="B246" s="22" t="s">
        <v>33</v>
      </c>
      <c r="C246" s="22">
        <v>2074.7999983727932</v>
      </c>
      <c r="D246" s="22" t="s">
        <v>39</v>
      </c>
      <c r="E246" t="str">
        <f t="shared" si="5"/>
        <v>2013年</v>
      </c>
    </row>
    <row r="247" spans="1:5" x14ac:dyDescent="0.15">
      <c r="A247" s="21">
        <v>41572</v>
      </c>
      <c r="B247" s="22" t="s">
        <v>41</v>
      </c>
      <c r="C247" s="22">
        <v>1103.2</v>
      </c>
      <c r="D247" s="22" t="s">
        <v>39</v>
      </c>
      <c r="E247" t="str">
        <f t="shared" si="5"/>
        <v>2013年</v>
      </c>
    </row>
    <row r="248" spans="1:5" x14ac:dyDescent="0.15">
      <c r="A248" s="21">
        <v>41573</v>
      </c>
      <c r="B248" s="22" t="s">
        <v>38</v>
      </c>
      <c r="C248" s="22">
        <v>949.99999925494194</v>
      </c>
      <c r="D248" s="22" t="s">
        <v>39</v>
      </c>
      <c r="E248" t="str">
        <f t="shared" si="5"/>
        <v>2013年</v>
      </c>
    </row>
    <row r="249" spans="1:5" x14ac:dyDescent="0.15">
      <c r="A249" s="21">
        <v>41573</v>
      </c>
      <c r="B249" s="22" t="s">
        <v>38</v>
      </c>
      <c r="C249" s="22">
        <v>87.779999931156638</v>
      </c>
      <c r="D249" s="22" t="s">
        <v>39</v>
      </c>
      <c r="E249" t="str">
        <f t="shared" si="5"/>
        <v>2013年</v>
      </c>
    </row>
    <row r="250" spans="1:5" x14ac:dyDescent="0.15">
      <c r="A250" s="21">
        <v>41573</v>
      </c>
      <c r="B250" s="22" t="s">
        <v>42</v>
      </c>
      <c r="C250" s="22">
        <v>1398.3999989032745</v>
      </c>
      <c r="D250" s="22" t="s">
        <v>39</v>
      </c>
      <c r="E250" t="str">
        <f t="shared" si="5"/>
        <v>2013年</v>
      </c>
    </row>
    <row r="251" spans="1:5" x14ac:dyDescent="0.15">
      <c r="A251" s="21">
        <v>41573</v>
      </c>
      <c r="B251" s="22" t="s">
        <v>36</v>
      </c>
      <c r="C251" s="22">
        <v>16</v>
      </c>
      <c r="D251" s="22" t="s">
        <v>34</v>
      </c>
      <c r="E251" t="str">
        <f t="shared" si="5"/>
        <v>2013年</v>
      </c>
    </row>
    <row r="252" spans="1:5" x14ac:dyDescent="0.15">
      <c r="A252" s="21">
        <v>41573</v>
      </c>
      <c r="B252" s="22" t="s">
        <v>36</v>
      </c>
      <c r="C252" s="22">
        <v>336.59999763965607</v>
      </c>
      <c r="D252" s="22" t="s">
        <v>34</v>
      </c>
      <c r="E252" t="str">
        <f t="shared" si="5"/>
        <v>2013年</v>
      </c>
    </row>
    <row r="253" spans="1:5" x14ac:dyDescent="0.15">
      <c r="A253" s="21">
        <v>41574</v>
      </c>
      <c r="B253" s="22" t="s">
        <v>42</v>
      </c>
      <c r="C253" s="22">
        <v>291.83999891281127</v>
      </c>
      <c r="D253" s="22" t="s">
        <v>39</v>
      </c>
      <c r="E253" t="str">
        <f t="shared" si="5"/>
        <v>2013年</v>
      </c>
    </row>
    <row r="254" spans="1:5" x14ac:dyDescent="0.15">
      <c r="A254" s="21">
        <v>41574</v>
      </c>
      <c r="B254" s="22" t="s">
        <v>36</v>
      </c>
      <c r="C254" s="22">
        <v>447.99999833106995</v>
      </c>
      <c r="D254" s="22" t="s">
        <v>39</v>
      </c>
      <c r="E254" t="str">
        <f t="shared" si="5"/>
        <v>2013年</v>
      </c>
    </row>
    <row r="255" spans="1:5" x14ac:dyDescent="0.15">
      <c r="A255" s="21">
        <v>41574</v>
      </c>
      <c r="B255" s="22" t="s">
        <v>38</v>
      </c>
      <c r="C255" s="22">
        <v>486.3999981880188</v>
      </c>
      <c r="D255" s="22" t="s">
        <v>39</v>
      </c>
      <c r="E255" t="str">
        <f t="shared" si="5"/>
        <v>2013年</v>
      </c>
    </row>
    <row r="256" spans="1:5" x14ac:dyDescent="0.15">
      <c r="A256" s="21">
        <v>41574</v>
      </c>
      <c r="B256" s="22" t="s">
        <v>33</v>
      </c>
      <c r="C256" s="22">
        <v>614.39999771118164</v>
      </c>
      <c r="D256" s="22" t="s">
        <v>39</v>
      </c>
      <c r="E256" t="str">
        <f t="shared" si="5"/>
        <v>2013年</v>
      </c>
    </row>
    <row r="257" spans="1:5" x14ac:dyDescent="0.15">
      <c r="A257" s="21">
        <v>41575</v>
      </c>
      <c r="B257" s="22" t="s">
        <v>35</v>
      </c>
      <c r="C257" s="22">
        <v>1330</v>
      </c>
      <c r="D257" s="22" t="s">
        <v>39</v>
      </c>
      <c r="E257" t="str">
        <f t="shared" si="5"/>
        <v>2013年</v>
      </c>
    </row>
    <row r="258" spans="1:5" x14ac:dyDescent="0.15">
      <c r="A258" s="21">
        <v>41575</v>
      </c>
      <c r="B258" s="22" t="s">
        <v>41</v>
      </c>
      <c r="C258" s="22">
        <v>37.999999970197678</v>
      </c>
      <c r="D258" s="22" t="s">
        <v>39</v>
      </c>
      <c r="E258" t="str">
        <f t="shared" ref="E258:E321" si="6">YEAR(A258)&amp;"年"</f>
        <v>2013年</v>
      </c>
    </row>
    <row r="259" spans="1:5" x14ac:dyDescent="0.15">
      <c r="A259" s="21">
        <v>41575</v>
      </c>
      <c r="B259" s="22" t="s">
        <v>42</v>
      </c>
      <c r="C259" s="22">
        <v>216</v>
      </c>
      <c r="D259" s="22" t="s">
        <v>39</v>
      </c>
      <c r="E259" t="str">
        <f t="shared" si="6"/>
        <v>2013年</v>
      </c>
    </row>
    <row r="260" spans="1:5" x14ac:dyDescent="0.15">
      <c r="A260" s="21">
        <v>41576</v>
      </c>
      <c r="B260" s="22" t="s">
        <v>40</v>
      </c>
      <c r="C260" s="22">
        <v>616</v>
      </c>
      <c r="D260" s="22" t="s">
        <v>39</v>
      </c>
      <c r="E260" t="str">
        <f t="shared" si="6"/>
        <v>2013年</v>
      </c>
    </row>
    <row r="261" spans="1:5" x14ac:dyDescent="0.15">
      <c r="A261" s="21">
        <v>41576</v>
      </c>
      <c r="B261" s="22" t="s">
        <v>40</v>
      </c>
      <c r="C261" s="22">
        <v>1680</v>
      </c>
      <c r="D261" s="22" t="s">
        <v>39</v>
      </c>
      <c r="E261" t="str">
        <f t="shared" si="6"/>
        <v>2013年</v>
      </c>
    </row>
    <row r="262" spans="1:5" x14ac:dyDescent="0.15">
      <c r="A262" s="21">
        <v>41579</v>
      </c>
      <c r="B262" s="22" t="s">
        <v>40</v>
      </c>
      <c r="C262" s="22">
        <v>2240</v>
      </c>
      <c r="D262" s="22" t="s">
        <v>39</v>
      </c>
      <c r="E262" t="str">
        <f t="shared" si="6"/>
        <v>2013年</v>
      </c>
    </row>
    <row r="263" spans="1:5" x14ac:dyDescent="0.15">
      <c r="A263" s="21">
        <v>41579</v>
      </c>
      <c r="B263" s="22" t="s">
        <v>41</v>
      </c>
      <c r="C263" s="22">
        <v>584</v>
      </c>
      <c r="D263" s="22" t="s">
        <v>39</v>
      </c>
      <c r="E263" t="str">
        <f t="shared" si="6"/>
        <v>2013年</v>
      </c>
    </row>
    <row r="264" spans="1:5" x14ac:dyDescent="0.15">
      <c r="A264" s="21">
        <v>41579</v>
      </c>
      <c r="B264" s="22" t="s">
        <v>35</v>
      </c>
      <c r="C264" s="22">
        <v>100.8</v>
      </c>
      <c r="D264" s="22" t="s">
        <v>39</v>
      </c>
      <c r="E264" t="str">
        <f t="shared" si="6"/>
        <v>2013年</v>
      </c>
    </row>
    <row r="265" spans="1:5" x14ac:dyDescent="0.15">
      <c r="A265" s="21">
        <v>41580</v>
      </c>
      <c r="B265" s="22" t="s">
        <v>33</v>
      </c>
      <c r="C265" s="22">
        <v>1010.8799983263016</v>
      </c>
      <c r="D265" s="22" t="s">
        <v>39</v>
      </c>
      <c r="E265" t="str">
        <f t="shared" si="6"/>
        <v>2013年</v>
      </c>
    </row>
    <row r="266" spans="1:5" x14ac:dyDescent="0.15">
      <c r="A266" s="21">
        <v>41580</v>
      </c>
      <c r="B266" s="22" t="s">
        <v>35</v>
      </c>
      <c r="C266" s="22">
        <v>608</v>
      </c>
      <c r="D266" s="22" t="s">
        <v>39</v>
      </c>
      <c r="E266" t="str">
        <f t="shared" si="6"/>
        <v>2013年</v>
      </c>
    </row>
    <row r="267" spans="1:5" x14ac:dyDescent="0.15">
      <c r="A267" s="21">
        <v>41581</v>
      </c>
      <c r="B267" s="22" t="s">
        <v>41</v>
      </c>
      <c r="C267" s="22">
        <v>112</v>
      </c>
      <c r="D267" s="22" t="s">
        <v>39</v>
      </c>
      <c r="E267" t="str">
        <f t="shared" si="6"/>
        <v>2013年</v>
      </c>
    </row>
    <row r="268" spans="1:5" x14ac:dyDescent="0.15">
      <c r="A268" s="21">
        <v>41581</v>
      </c>
      <c r="B268" s="22" t="s">
        <v>42</v>
      </c>
      <c r="C268" s="22">
        <v>611.99999570846558</v>
      </c>
      <c r="D268" s="22" t="s">
        <v>39</v>
      </c>
      <c r="E268" t="str">
        <f t="shared" si="6"/>
        <v>2013年</v>
      </c>
    </row>
    <row r="269" spans="1:5" x14ac:dyDescent="0.15">
      <c r="A269" s="21">
        <v>41581</v>
      </c>
      <c r="B269" s="22" t="s">
        <v>38</v>
      </c>
      <c r="C269" s="22">
        <v>58.8</v>
      </c>
      <c r="D269" s="22" t="s">
        <v>39</v>
      </c>
      <c r="E269" t="str">
        <f t="shared" si="6"/>
        <v>2013年</v>
      </c>
    </row>
    <row r="270" spans="1:5" x14ac:dyDescent="0.15">
      <c r="A270" s="21">
        <v>41581</v>
      </c>
      <c r="B270" s="22" t="s">
        <v>42</v>
      </c>
      <c r="C270" s="22">
        <v>31.619999778270721</v>
      </c>
      <c r="D270" s="22" t="s">
        <v>39</v>
      </c>
      <c r="E270" t="str">
        <f t="shared" si="6"/>
        <v>2013年</v>
      </c>
    </row>
    <row r="271" spans="1:5" x14ac:dyDescent="0.15">
      <c r="A271" s="21">
        <v>41582</v>
      </c>
      <c r="B271" s="22" t="s">
        <v>42</v>
      </c>
      <c r="C271" s="22">
        <v>183.59999871253967</v>
      </c>
      <c r="D271" s="22" t="s">
        <v>39</v>
      </c>
      <c r="E271" t="str">
        <f t="shared" si="6"/>
        <v>2013年</v>
      </c>
    </row>
    <row r="272" spans="1:5" x14ac:dyDescent="0.15">
      <c r="A272" s="21">
        <v>41582</v>
      </c>
      <c r="B272" s="22" t="s">
        <v>35</v>
      </c>
      <c r="C272" s="22">
        <v>180</v>
      </c>
      <c r="D272" s="22" t="s">
        <v>39</v>
      </c>
      <c r="E272" t="str">
        <f t="shared" si="6"/>
        <v>2013年</v>
      </c>
    </row>
    <row r="273" spans="1:5" x14ac:dyDescent="0.15">
      <c r="A273" s="21">
        <v>41583</v>
      </c>
      <c r="B273" s="22" t="s">
        <v>33</v>
      </c>
      <c r="C273" s="22">
        <v>141.6</v>
      </c>
      <c r="D273" s="22" t="s">
        <v>34</v>
      </c>
      <c r="E273" t="str">
        <f t="shared" si="6"/>
        <v>2013年</v>
      </c>
    </row>
    <row r="274" spans="1:5" x14ac:dyDescent="0.15">
      <c r="A274" s="21">
        <v>41586</v>
      </c>
      <c r="B274" s="22" t="s">
        <v>41</v>
      </c>
      <c r="C274" s="22">
        <v>175.49999970942736</v>
      </c>
      <c r="D274" s="22" t="s">
        <v>34</v>
      </c>
      <c r="E274" t="str">
        <f t="shared" si="6"/>
        <v>2013年</v>
      </c>
    </row>
    <row r="275" spans="1:5" x14ac:dyDescent="0.15">
      <c r="A275" s="21">
        <v>41586</v>
      </c>
      <c r="B275" s="22" t="s">
        <v>36</v>
      </c>
      <c r="C275" s="22">
        <v>466.5599992275238</v>
      </c>
      <c r="D275" s="22" t="s">
        <v>34</v>
      </c>
      <c r="E275" t="str">
        <f t="shared" si="6"/>
        <v>2013年</v>
      </c>
    </row>
    <row r="276" spans="1:5" x14ac:dyDescent="0.15">
      <c r="A276" s="21">
        <v>41586</v>
      </c>
      <c r="B276" s="22" t="s">
        <v>42</v>
      </c>
      <c r="C276" s="22">
        <v>4005.1999968588352</v>
      </c>
      <c r="D276" s="22" t="s">
        <v>39</v>
      </c>
      <c r="E276" t="str">
        <f t="shared" si="6"/>
        <v>2013年</v>
      </c>
    </row>
    <row r="277" spans="1:5" x14ac:dyDescent="0.15">
      <c r="A277" s="21">
        <v>41586</v>
      </c>
      <c r="B277" s="22" t="s">
        <v>38</v>
      </c>
      <c r="C277" s="22">
        <v>100.1</v>
      </c>
      <c r="D277" s="22" t="s">
        <v>39</v>
      </c>
      <c r="E277" t="str">
        <f t="shared" si="6"/>
        <v>2013年</v>
      </c>
    </row>
    <row r="278" spans="1:5" x14ac:dyDescent="0.15">
      <c r="A278" s="21">
        <v>41586</v>
      </c>
      <c r="B278" s="22" t="s">
        <v>40</v>
      </c>
      <c r="C278" s="22">
        <v>1133.8249991107732</v>
      </c>
      <c r="D278" s="22" t="s">
        <v>39</v>
      </c>
      <c r="E278" t="str">
        <f t="shared" si="6"/>
        <v>2013年</v>
      </c>
    </row>
    <row r="279" spans="1:5" x14ac:dyDescent="0.15">
      <c r="A279" s="21">
        <v>41586</v>
      </c>
      <c r="B279" s="22" t="s">
        <v>40</v>
      </c>
      <c r="C279" s="22">
        <v>159.59999987483025</v>
      </c>
      <c r="D279" s="22" t="s">
        <v>39</v>
      </c>
      <c r="E279" t="str">
        <f t="shared" si="6"/>
        <v>2013年</v>
      </c>
    </row>
    <row r="280" spans="1:5" x14ac:dyDescent="0.15">
      <c r="A280" s="21">
        <v>41587</v>
      </c>
      <c r="B280" s="22" t="s">
        <v>42</v>
      </c>
      <c r="C280" s="22">
        <v>36</v>
      </c>
      <c r="D280" s="22" t="s">
        <v>39</v>
      </c>
      <c r="E280" t="str">
        <f t="shared" si="6"/>
        <v>2013年</v>
      </c>
    </row>
    <row r="281" spans="1:5" x14ac:dyDescent="0.15">
      <c r="A281" s="21">
        <v>41587</v>
      </c>
      <c r="B281" s="22" t="s">
        <v>33</v>
      </c>
      <c r="C281" s="22">
        <v>100.29999929666519</v>
      </c>
      <c r="D281" s="22" t="s">
        <v>39</v>
      </c>
      <c r="E281" t="str">
        <f t="shared" si="6"/>
        <v>2013年</v>
      </c>
    </row>
    <row r="282" spans="1:5" x14ac:dyDescent="0.15">
      <c r="A282" s="21">
        <v>41588</v>
      </c>
      <c r="B282" s="22" t="s">
        <v>36</v>
      </c>
      <c r="C282" s="22">
        <v>161.27999939918519</v>
      </c>
      <c r="D282" s="22" t="s">
        <v>34</v>
      </c>
      <c r="E282" t="str">
        <f t="shared" si="6"/>
        <v>2013年</v>
      </c>
    </row>
    <row r="283" spans="1:5" x14ac:dyDescent="0.15">
      <c r="A283" s="21">
        <v>41588</v>
      </c>
      <c r="B283" s="22" t="s">
        <v>42</v>
      </c>
      <c r="C283" s="22">
        <v>8431.9999685883522</v>
      </c>
      <c r="D283" s="22" t="s">
        <v>34</v>
      </c>
      <c r="E283" t="str">
        <f t="shared" si="6"/>
        <v>2013年</v>
      </c>
    </row>
    <row r="284" spans="1:5" x14ac:dyDescent="0.15">
      <c r="A284" s="21">
        <v>41589</v>
      </c>
      <c r="B284" s="22" t="s">
        <v>42</v>
      </c>
      <c r="C284" s="22">
        <v>172.8</v>
      </c>
      <c r="D284" s="22" t="s">
        <v>39</v>
      </c>
      <c r="E284" t="str">
        <f t="shared" si="6"/>
        <v>2013年</v>
      </c>
    </row>
    <row r="285" spans="1:5" x14ac:dyDescent="0.15">
      <c r="A285" s="21">
        <v>41589</v>
      </c>
      <c r="B285" s="22" t="s">
        <v>33</v>
      </c>
      <c r="C285" s="22">
        <v>396</v>
      </c>
      <c r="D285" s="22" t="s">
        <v>39</v>
      </c>
      <c r="E285" t="str">
        <f t="shared" si="6"/>
        <v>2013年</v>
      </c>
    </row>
    <row r="286" spans="1:5" x14ac:dyDescent="0.15">
      <c r="A286" s="21">
        <v>41590</v>
      </c>
      <c r="B286" s="22" t="s">
        <v>42</v>
      </c>
      <c r="C286" s="22">
        <v>90</v>
      </c>
      <c r="D286" s="22" t="s">
        <v>34</v>
      </c>
      <c r="E286" t="str">
        <f t="shared" si="6"/>
        <v>2013年</v>
      </c>
    </row>
    <row r="287" spans="1:5" x14ac:dyDescent="0.15">
      <c r="A287" s="21">
        <v>41590</v>
      </c>
      <c r="B287" s="22" t="s">
        <v>35</v>
      </c>
      <c r="C287" s="22">
        <v>390</v>
      </c>
      <c r="D287" s="22" t="s">
        <v>34</v>
      </c>
      <c r="E287" t="str">
        <f t="shared" si="6"/>
        <v>2013年</v>
      </c>
    </row>
    <row r="288" spans="1:5" x14ac:dyDescent="0.15">
      <c r="A288" s="21">
        <v>41593</v>
      </c>
      <c r="B288" s="22" t="s">
        <v>36</v>
      </c>
      <c r="C288" s="22">
        <v>300</v>
      </c>
      <c r="D288" s="22" t="s">
        <v>34</v>
      </c>
      <c r="E288" t="str">
        <f t="shared" si="6"/>
        <v>2013年</v>
      </c>
    </row>
    <row r="289" spans="1:5" x14ac:dyDescent="0.15">
      <c r="A289" s="21">
        <v>41593</v>
      </c>
      <c r="B289" s="22" t="s">
        <v>33</v>
      </c>
      <c r="C289" s="22">
        <v>230.4</v>
      </c>
      <c r="D289" s="22" t="s">
        <v>34</v>
      </c>
      <c r="E289" t="str">
        <f t="shared" si="6"/>
        <v>2013年</v>
      </c>
    </row>
    <row r="290" spans="1:5" x14ac:dyDescent="0.15">
      <c r="A290" s="21">
        <v>41593</v>
      </c>
      <c r="B290" s="22" t="s">
        <v>36</v>
      </c>
      <c r="C290" s="22">
        <v>576</v>
      </c>
      <c r="D290" s="22" t="s">
        <v>34</v>
      </c>
      <c r="E290" t="str">
        <f t="shared" si="6"/>
        <v>2013年</v>
      </c>
    </row>
    <row r="291" spans="1:5" x14ac:dyDescent="0.15">
      <c r="A291" s="21">
        <v>41594</v>
      </c>
      <c r="B291" s="22" t="s">
        <v>38</v>
      </c>
      <c r="C291" s="22">
        <v>595.19999778270721</v>
      </c>
      <c r="D291" s="22" t="s">
        <v>39</v>
      </c>
      <c r="E291" t="str">
        <f t="shared" si="6"/>
        <v>2013年</v>
      </c>
    </row>
    <row r="292" spans="1:5" x14ac:dyDescent="0.15">
      <c r="A292" s="21">
        <v>41594</v>
      </c>
      <c r="B292" s="22" t="s">
        <v>41</v>
      </c>
      <c r="C292" s="22">
        <v>398.4</v>
      </c>
      <c r="D292" s="22" t="s">
        <v>39</v>
      </c>
      <c r="E292" t="str">
        <f t="shared" si="6"/>
        <v>2013年</v>
      </c>
    </row>
    <row r="293" spans="1:5" x14ac:dyDescent="0.15">
      <c r="A293" s="21">
        <v>41594</v>
      </c>
      <c r="B293" s="22" t="s">
        <v>36</v>
      </c>
      <c r="C293" s="22">
        <v>174.07999935150147</v>
      </c>
      <c r="D293" s="22" t="s">
        <v>39</v>
      </c>
      <c r="E293" t="str">
        <f t="shared" si="6"/>
        <v>2013年</v>
      </c>
    </row>
    <row r="294" spans="1:5" x14ac:dyDescent="0.15">
      <c r="A294" s="21">
        <v>41595</v>
      </c>
      <c r="B294" s="22" t="s">
        <v>42</v>
      </c>
      <c r="C294" s="22">
        <v>34.19999997317791</v>
      </c>
      <c r="D294" s="22" t="s">
        <v>34</v>
      </c>
      <c r="E294" t="str">
        <f t="shared" si="6"/>
        <v>2013年</v>
      </c>
    </row>
    <row r="295" spans="1:5" x14ac:dyDescent="0.15">
      <c r="A295" s="21">
        <v>41595</v>
      </c>
      <c r="B295" s="22" t="s">
        <v>42</v>
      </c>
      <c r="C295" s="22">
        <v>106.3999999165535</v>
      </c>
      <c r="D295" s="22" t="s">
        <v>34</v>
      </c>
      <c r="E295" t="str">
        <f t="shared" si="6"/>
        <v>2013年</v>
      </c>
    </row>
    <row r="296" spans="1:5" x14ac:dyDescent="0.15">
      <c r="A296" s="21">
        <v>41595</v>
      </c>
      <c r="B296" s="22" t="s">
        <v>38</v>
      </c>
      <c r="C296" s="22">
        <v>288.79999977350235</v>
      </c>
      <c r="D296" s="22" t="s">
        <v>34</v>
      </c>
      <c r="E296" t="str">
        <f t="shared" si="6"/>
        <v>2013年</v>
      </c>
    </row>
    <row r="297" spans="1:5" x14ac:dyDescent="0.15">
      <c r="A297" s="21">
        <v>41596</v>
      </c>
      <c r="B297" s="22" t="s">
        <v>41</v>
      </c>
      <c r="C297" s="22">
        <v>739.47999942004685</v>
      </c>
      <c r="D297" s="22" t="s">
        <v>34</v>
      </c>
      <c r="E297" t="str">
        <f t="shared" si="6"/>
        <v>2013年</v>
      </c>
    </row>
    <row r="298" spans="1:5" x14ac:dyDescent="0.15">
      <c r="A298" s="21">
        <v>41596</v>
      </c>
      <c r="B298" s="22" t="s">
        <v>36</v>
      </c>
      <c r="C298" s="22">
        <v>664.99999947845936</v>
      </c>
      <c r="D298" s="22" t="s">
        <v>34</v>
      </c>
      <c r="E298" t="str">
        <f t="shared" si="6"/>
        <v>2013年</v>
      </c>
    </row>
    <row r="299" spans="1:5" x14ac:dyDescent="0.15">
      <c r="A299" s="21">
        <v>41596</v>
      </c>
      <c r="B299" s="22" t="s">
        <v>36</v>
      </c>
      <c r="C299" s="22">
        <v>2067.1999983787537</v>
      </c>
      <c r="D299" s="22" t="s">
        <v>34</v>
      </c>
      <c r="E299" t="str">
        <f t="shared" si="6"/>
        <v>2013年</v>
      </c>
    </row>
    <row r="300" spans="1:5" x14ac:dyDescent="0.15">
      <c r="A300" s="21">
        <v>41597</v>
      </c>
      <c r="B300" s="22" t="s">
        <v>37</v>
      </c>
      <c r="C300" s="22">
        <v>1092</v>
      </c>
      <c r="D300" s="22" t="s">
        <v>39</v>
      </c>
      <c r="E300" t="str">
        <f t="shared" si="6"/>
        <v>2013年</v>
      </c>
    </row>
    <row r="301" spans="1:5" x14ac:dyDescent="0.15">
      <c r="A301" s="21">
        <v>41597</v>
      </c>
      <c r="B301" s="22" t="s">
        <v>33</v>
      </c>
      <c r="C301" s="22">
        <v>3465</v>
      </c>
      <c r="D301" s="22" t="s">
        <v>39</v>
      </c>
      <c r="E301" t="str">
        <f t="shared" si="6"/>
        <v>2013年</v>
      </c>
    </row>
    <row r="302" spans="1:5" x14ac:dyDescent="0.15">
      <c r="A302" s="21">
        <v>41597</v>
      </c>
      <c r="B302" s="22" t="s">
        <v>42</v>
      </c>
      <c r="C302" s="22">
        <v>2108</v>
      </c>
      <c r="D302" s="22" t="s">
        <v>39</v>
      </c>
      <c r="E302" t="str">
        <f t="shared" si="6"/>
        <v>2013年</v>
      </c>
    </row>
    <row r="303" spans="1:5" x14ac:dyDescent="0.15">
      <c r="A303" s="21">
        <v>41597</v>
      </c>
      <c r="B303" s="22" t="s">
        <v>41</v>
      </c>
      <c r="C303" s="22">
        <v>560</v>
      </c>
      <c r="D303" s="22" t="s">
        <v>39</v>
      </c>
      <c r="E303" t="str">
        <f t="shared" si="6"/>
        <v>2013年</v>
      </c>
    </row>
    <row r="304" spans="1:5" x14ac:dyDescent="0.15">
      <c r="A304" s="21">
        <v>41597</v>
      </c>
      <c r="B304" s="22" t="s">
        <v>33</v>
      </c>
      <c r="C304" s="22">
        <v>165.2</v>
      </c>
      <c r="D304" s="22" t="s">
        <v>39</v>
      </c>
      <c r="E304" t="str">
        <f t="shared" si="6"/>
        <v>2013年</v>
      </c>
    </row>
    <row r="305" spans="1:5" x14ac:dyDescent="0.15">
      <c r="A305" s="21">
        <v>41597</v>
      </c>
      <c r="B305" s="22" t="s">
        <v>42</v>
      </c>
      <c r="C305" s="22">
        <v>699.83999884128571</v>
      </c>
      <c r="D305" s="22" t="s">
        <v>39</v>
      </c>
      <c r="E305" t="str">
        <f t="shared" si="6"/>
        <v>2013年</v>
      </c>
    </row>
    <row r="306" spans="1:5" x14ac:dyDescent="0.15">
      <c r="A306" s="21">
        <v>41597</v>
      </c>
      <c r="B306" s="22" t="s">
        <v>36</v>
      </c>
      <c r="C306" s="22">
        <v>1346.3999977707863</v>
      </c>
      <c r="D306" s="22" t="s">
        <v>39</v>
      </c>
      <c r="E306" t="str">
        <f t="shared" si="6"/>
        <v>2013年</v>
      </c>
    </row>
    <row r="307" spans="1:5" x14ac:dyDescent="0.15">
      <c r="A307" s="21">
        <v>41600</v>
      </c>
      <c r="B307" s="22" t="s">
        <v>41</v>
      </c>
      <c r="C307" s="22">
        <v>560</v>
      </c>
      <c r="D307" s="22" t="s">
        <v>39</v>
      </c>
      <c r="E307" t="str">
        <f t="shared" si="6"/>
        <v>2013年</v>
      </c>
    </row>
    <row r="308" spans="1:5" x14ac:dyDescent="0.15">
      <c r="A308" s="21">
        <v>41600</v>
      </c>
      <c r="B308" s="22" t="s">
        <v>37</v>
      </c>
      <c r="C308" s="22">
        <v>848</v>
      </c>
      <c r="D308" s="22" t="s">
        <v>39</v>
      </c>
      <c r="E308" t="str">
        <f t="shared" si="6"/>
        <v>2013年</v>
      </c>
    </row>
    <row r="309" spans="1:5" x14ac:dyDescent="0.15">
      <c r="A309" s="21">
        <v>41600</v>
      </c>
      <c r="B309" s="22" t="s">
        <v>33</v>
      </c>
      <c r="C309" s="22">
        <v>141.6</v>
      </c>
      <c r="D309" s="22" t="s">
        <v>39</v>
      </c>
      <c r="E309" t="str">
        <f t="shared" si="6"/>
        <v>2013年</v>
      </c>
    </row>
    <row r="310" spans="1:5" x14ac:dyDescent="0.15">
      <c r="A310" s="21">
        <v>41601</v>
      </c>
      <c r="B310" s="22" t="s">
        <v>36</v>
      </c>
      <c r="C310" s="22">
        <v>200</v>
      </c>
      <c r="D310" s="22" t="s">
        <v>39</v>
      </c>
      <c r="E310" t="str">
        <f t="shared" si="6"/>
        <v>2013年</v>
      </c>
    </row>
    <row r="311" spans="1:5" x14ac:dyDescent="0.15">
      <c r="A311" s="21">
        <v>41601</v>
      </c>
      <c r="B311" s="22" t="s">
        <v>42</v>
      </c>
      <c r="C311" s="22">
        <v>74.400000000000006</v>
      </c>
      <c r="D311" s="22" t="s">
        <v>39</v>
      </c>
      <c r="E311" t="str">
        <f t="shared" si="6"/>
        <v>2013年</v>
      </c>
    </row>
    <row r="312" spans="1:5" x14ac:dyDescent="0.15">
      <c r="A312" s="21">
        <v>41601</v>
      </c>
      <c r="B312" s="22" t="s">
        <v>42</v>
      </c>
      <c r="C312" s="22">
        <v>172.8</v>
      </c>
      <c r="D312" s="22" t="s">
        <v>39</v>
      </c>
      <c r="E312" t="str">
        <f t="shared" si="6"/>
        <v>2013年</v>
      </c>
    </row>
    <row r="313" spans="1:5" x14ac:dyDescent="0.15">
      <c r="A313" s="21">
        <v>41601</v>
      </c>
      <c r="B313" s="22" t="s">
        <v>36</v>
      </c>
      <c r="C313" s="22">
        <v>864</v>
      </c>
      <c r="D313" s="22" t="s">
        <v>39</v>
      </c>
      <c r="E313" t="str">
        <f t="shared" si="6"/>
        <v>2013年</v>
      </c>
    </row>
    <row r="314" spans="1:5" x14ac:dyDescent="0.15">
      <c r="A314" s="21">
        <v>41601</v>
      </c>
      <c r="B314" s="22" t="s">
        <v>36</v>
      </c>
      <c r="C314" s="22">
        <v>86</v>
      </c>
      <c r="D314" s="22" t="s">
        <v>39</v>
      </c>
      <c r="E314" t="str">
        <f t="shared" si="6"/>
        <v>2013年</v>
      </c>
    </row>
    <row r="315" spans="1:5" x14ac:dyDescent="0.15">
      <c r="A315" s="21">
        <v>41602</v>
      </c>
      <c r="B315" s="22" t="s">
        <v>36</v>
      </c>
      <c r="C315" s="22">
        <v>403.2</v>
      </c>
      <c r="D315" s="22" t="s">
        <v>39</v>
      </c>
      <c r="E315" t="str">
        <f t="shared" si="6"/>
        <v>2013年</v>
      </c>
    </row>
    <row r="316" spans="1:5" x14ac:dyDescent="0.15">
      <c r="A316" s="21">
        <v>41603</v>
      </c>
      <c r="B316" s="22" t="s">
        <v>40</v>
      </c>
      <c r="C316" s="22">
        <v>84</v>
      </c>
      <c r="D316" s="22" t="s">
        <v>39</v>
      </c>
      <c r="E316" t="str">
        <f t="shared" si="6"/>
        <v>2013年</v>
      </c>
    </row>
    <row r="317" spans="1:5" x14ac:dyDescent="0.15">
      <c r="A317" s="21">
        <v>41603</v>
      </c>
      <c r="B317" s="22" t="s">
        <v>40</v>
      </c>
      <c r="C317" s="22">
        <v>52</v>
      </c>
      <c r="D317" s="22" t="s">
        <v>39</v>
      </c>
      <c r="E317" t="str">
        <f t="shared" si="6"/>
        <v>2013年</v>
      </c>
    </row>
    <row r="318" spans="1:5" x14ac:dyDescent="0.15">
      <c r="A318" s="21">
        <v>41603</v>
      </c>
      <c r="B318" s="22" t="s">
        <v>42</v>
      </c>
      <c r="C318" s="22">
        <v>403.2</v>
      </c>
      <c r="D318" s="22" t="s">
        <v>34</v>
      </c>
      <c r="E318" t="str">
        <f t="shared" si="6"/>
        <v>2013年</v>
      </c>
    </row>
    <row r="319" spans="1:5" x14ac:dyDescent="0.15">
      <c r="A319" s="21">
        <v>41603</v>
      </c>
      <c r="B319" s="22" t="s">
        <v>33</v>
      </c>
      <c r="C319" s="22">
        <v>106.2</v>
      </c>
      <c r="D319" s="22" t="s">
        <v>34</v>
      </c>
      <c r="E319" t="str">
        <f t="shared" si="6"/>
        <v>2013年</v>
      </c>
    </row>
    <row r="320" spans="1:5" x14ac:dyDescent="0.15">
      <c r="A320" s="21">
        <v>41603</v>
      </c>
      <c r="B320" s="22" t="s">
        <v>40</v>
      </c>
      <c r="C320" s="22">
        <v>252</v>
      </c>
      <c r="D320" s="22" t="s">
        <v>34</v>
      </c>
      <c r="E320" t="str">
        <f t="shared" si="6"/>
        <v>2013年</v>
      </c>
    </row>
    <row r="321" spans="1:5" x14ac:dyDescent="0.15">
      <c r="A321" s="21">
        <v>41603</v>
      </c>
      <c r="B321" s="22" t="s">
        <v>40</v>
      </c>
      <c r="C321" s="22">
        <v>72.8</v>
      </c>
      <c r="D321" s="22" t="s">
        <v>34</v>
      </c>
      <c r="E321" t="str">
        <f t="shared" si="6"/>
        <v>2013年</v>
      </c>
    </row>
    <row r="322" spans="1:5" x14ac:dyDescent="0.15">
      <c r="A322" s="21">
        <v>41604</v>
      </c>
      <c r="B322" s="22" t="s">
        <v>41</v>
      </c>
      <c r="C322" s="22">
        <v>35.999999940395355</v>
      </c>
      <c r="D322" s="22" t="s">
        <v>39</v>
      </c>
      <c r="E322" t="str">
        <f t="shared" ref="E322:E385" si="7">YEAR(A322)&amp;"年"</f>
        <v>2013年</v>
      </c>
    </row>
    <row r="323" spans="1:5" x14ac:dyDescent="0.15">
      <c r="A323" s="21">
        <v>41604</v>
      </c>
      <c r="B323" s="22" t="s">
        <v>37</v>
      </c>
      <c r="C323" s="22">
        <v>425.87999929487705</v>
      </c>
      <c r="D323" s="22" t="s">
        <v>39</v>
      </c>
      <c r="E323" t="str">
        <f t="shared" si="7"/>
        <v>2013年</v>
      </c>
    </row>
    <row r="324" spans="1:5" x14ac:dyDescent="0.15">
      <c r="A324" s="21">
        <v>41604</v>
      </c>
      <c r="B324" s="22" t="s">
        <v>35</v>
      </c>
      <c r="C324" s="22">
        <v>390</v>
      </c>
      <c r="D324" s="22" t="s">
        <v>39</v>
      </c>
      <c r="E324" t="str">
        <f t="shared" si="7"/>
        <v>2013年</v>
      </c>
    </row>
    <row r="325" spans="1:5" x14ac:dyDescent="0.15">
      <c r="A325" s="21">
        <v>41604</v>
      </c>
      <c r="B325" s="22" t="s">
        <v>35</v>
      </c>
      <c r="C325" s="22">
        <v>837.89999861270189</v>
      </c>
      <c r="D325" s="22" t="s">
        <v>39</v>
      </c>
      <c r="E325" t="str">
        <f t="shared" si="7"/>
        <v>2013年</v>
      </c>
    </row>
    <row r="326" spans="1:5" x14ac:dyDescent="0.15">
      <c r="A326" s="21">
        <v>41607</v>
      </c>
      <c r="B326" s="22" t="s">
        <v>33</v>
      </c>
      <c r="C326" s="22">
        <v>1980</v>
      </c>
      <c r="D326" s="22" t="s">
        <v>39</v>
      </c>
      <c r="E326" t="str">
        <f t="shared" si="7"/>
        <v>2013年</v>
      </c>
    </row>
    <row r="327" spans="1:5" x14ac:dyDescent="0.15">
      <c r="A327" s="21">
        <v>41607</v>
      </c>
      <c r="B327" s="22" t="s">
        <v>35</v>
      </c>
      <c r="C327" s="22">
        <v>410.4</v>
      </c>
      <c r="D327" s="22" t="s">
        <v>39</v>
      </c>
      <c r="E327" t="str">
        <f t="shared" si="7"/>
        <v>2013年</v>
      </c>
    </row>
    <row r="328" spans="1:5" x14ac:dyDescent="0.15">
      <c r="A328" s="21">
        <v>41608</v>
      </c>
      <c r="B328" s="22" t="s">
        <v>42</v>
      </c>
      <c r="C328" s="22">
        <v>183.59999871253967</v>
      </c>
      <c r="D328" s="22" t="s">
        <v>34</v>
      </c>
      <c r="E328" t="str">
        <f t="shared" si="7"/>
        <v>2013年</v>
      </c>
    </row>
    <row r="329" spans="1:5" x14ac:dyDescent="0.15">
      <c r="A329" s="21">
        <v>41608</v>
      </c>
      <c r="B329" s="22" t="s">
        <v>35</v>
      </c>
      <c r="C329" s="22">
        <v>798</v>
      </c>
      <c r="D329" s="22" t="s">
        <v>34</v>
      </c>
      <c r="E329" t="str">
        <f t="shared" si="7"/>
        <v>2013年</v>
      </c>
    </row>
    <row r="330" spans="1:5" x14ac:dyDescent="0.15">
      <c r="A330" s="21">
        <v>41608</v>
      </c>
      <c r="B330" s="22" t="s">
        <v>37</v>
      </c>
      <c r="C330" s="22">
        <v>135.99999904632568</v>
      </c>
      <c r="D330" s="22" t="s">
        <v>34</v>
      </c>
      <c r="E330" t="str">
        <f t="shared" si="7"/>
        <v>2013年</v>
      </c>
    </row>
    <row r="331" spans="1:5" x14ac:dyDescent="0.15">
      <c r="A331" s="21">
        <v>41608</v>
      </c>
      <c r="B331" s="22" t="s">
        <v>38</v>
      </c>
      <c r="C331" s="22">
        <v>72.959999728202817</v>
      </c>
      <c r="D331" s="22" t="s">
        <v>39</v>
      </c>
      <c r="E331" t="str">
        <f t="shared" si="7"/>
        <v>2013年</v>
      </c>
    </row>
    <row r="332" spans="1:5" x14ac:dyDescent="0.15">
      <c r="A332" s="21">
        <v>41609</v>
      </c>
      <c r="B332" s="22" t="s">
        <v>41</v>
      </c>
      <c r="C332" s="22">
        <v>583.20000000000005</v>
      </c>
      <c r="D332" s="22" t="s">
        <v>34</v>
      </c>
      <c r="E332" t="str">
        <f t="shared" si="7"/>
        <v>2013年</v>
      </c>
    </row>
    <row r="333" spans="1:5" x14ac:dyDescent="0.15">
      <c r="A333" s="21">
        <v>41609</v>
      </c>
      <c r="B333" s="22" t="s">
        <v>42</v>
      </c>
      <c r="C333" s="22">
        <v>6324</v>
      </c>
      <c r="D333" s="22" t="s">
        <v>34</v>
      </c>
      <c r="E333" t="str">
        <f t="shared" si="7"/>
        <v>2013年</v>
      </c>
    </row>
    <row r="334" spans="1:5" x14ac:dyDescent="0.15">
      <c r="A334" s="21">
        <v>41609</v>
      </c>
      <c r="B334" s="22" t="s">
        <v>36</v>
      </c>
      <c r="C334" s="22">
        <v>1428</v>
      </c>
      <c r="D334" s="22" t="s">
        <v>34</v>
      </c>
      <c r="E334" t="str">
        <f t="shared" si="7"/>
        <v>2013年</v>
      </c>
    </row>
    <row r="335" spans="1:5" x14ac:dyDescent="0.15">
      <c r="A335" s="21">
        <v>41609</v>
      </c>
      <c r="B335" s="22" t="s">
        <v>36</v>
      </c>
      <c r="C335" s="22">
        <v>875.7</v>
      </c>
      <c r="D335" s="22" t="s">
        <v>34</v>
      </c>
      <c r="E335" t="str">
        <f t="shared" si="7"/>
        <v>2013年</v>
      </c>
    </row>
    <row r="336" spans="1:5" x14ac:dyDescent="0.15">
      <c r="A336" s="21">
        <v>41610</v>
      </c>
      <c r="B336" s="22" t="s">
        <v>38</v>
      </c>
      <c r="C336" s="22">
        <v>678.39999747276306</v>
      </c>
      <c r="D336" s="22" t="s">
        <v>39</v>
      </c>
      <c r="E336" t="str">
        <f t="shared" si="7"/>
        <v>2013年</v>
      </c>
    </row>
    <row r="337" spans="1:5" x14ac:dyDescent="0.15">
      <c r="A337" s="21">
        <v>41610</v>
      </c>
      <c r="B337" s="22" t="s">
        <v>36</v>
      </c>
      <c r="C337" s="22">
        <v>687.99999743700027</v>
      </c>
      <c r="D337" s="22" t="s">
        <v>39</v>
      </c>
      <c r="E337" t="str">
        <f t="shared" si="7"/>
        <v>2013年</v>
      </c>
    </row>
    <row r="338" spans="1:5" x14ac:dyDescent="0.15">
      <c r="A338" s="21">
        <v>41610</v>
      </c>
      <c r="B338" s="22" t="s">
        <v>36</v>
      </c>
      <c r="C338" s="22">
        <v>300</v>
      </c>
      <c r="D338" s="22" t="s">
        <v>39</v>
      </c>
      <c r="E338" t="str">
        <f t="shared" si="7"/>
        <v>2013年</v>
      </c>
    </row>
    <row r="339" spans="1:5" x14ac:dyDescent="0.15">
      <c r="A339" s="21">
        <v>41610</v>
      </c>
      <c r="B339" s="22" t="s">
        <v>38</v>
      </c>
      <c r="C339" s="22">
        <v>159</v>
      </c>
      <c r="D339" s="22" t="s">
        <v>39</v>
      </c>
      <c r="E339" t="str">
        <f t="shared" si="7"/>
        <v>2013年</v>
      </c>
    </row>
    <row r="340" spans="1:5" x14ac:dyDescent="0.15">
      <c r="A340" s="21">
        <v>41611</v>
      </c>
      <c r="B340" s="22" t="s">
        <v>37</v>
      </c>
      <c r="C340" s="22">
        <v>279</v>
      </c>
      <c r="D340" s="22" t="s">
        <v>39</v>
      </c>
      <c r="E340" t="str">
        <f t="shared" si="7"/>
        <v>2013年</v>
      </c>
    </row>
    <row r="341" spans="1:5" x14ac:dyDescent="0.15">
      <c r="A341" s="21">
        <v>41611</v>
      </c>
      <c r="B341" s="22" t="s">
        <v>33</v>
      </c>
      <c r="C341" s="22">
        <v>59</v>
      </c>
      <c r="D341" s="22" t="s">
        <v>39</v>
      </c>
      <c r="E341" t="str">
        <f t="shared" si="7"/>
        <v>2013年</v>
      </c>
    </row>
    <row r="342" spans="1:5" x14ac:dyDescent="0.15">
      <c r="A342" s="21">
        <v>41614</v>
      </c>
      <c r="B342" s="22" t="s">
        <v>36</v>
      </c>
      <c r="C342" s="22">
        <v>398.99999968707561</v>
      </c>
      <c r="D342" s="22" t="s">
        <v>39</v>
      </c>
      <c r="E342" t="str">
        <f t="shared" si="7"/>
        <v>2013年</v>
      </c>
    </row>
    <row r="343" spans="1:5" x14ac:dyDescent="0.15">
      <c r="A343" s="21">
        <v>41614</v>
      </c>
      <c r="B343" s="22" t="s">
        <v>37</v>
      </c>
      <c r="C343" s="22">
        <v>618.79999566078186</v>
      </c>
      <c r="D343" s="22" t="s">
        <v>39</v>
      </c>
      <c r="E343" t="str">
        <f t="shared" si="7"/>
        <v>2013年</v>
      </c>
    </row>
    <row r="344" spans="1:5" x14ac:dyDescent="0.15">
      <c r="A344" s="21">
        <v>41614</v>
      </c>
      <c r="B344" s="22" t="s">
        <v>42</v>
      </c>
      <c r="C344" s="22">
        <v>244.79999828338623</v>
      </c>
      <c r="D344" s="22" t="s">
        <v>39</v>
      </c>
      <c r="E344" t="str">
        <f t="shared" si="7"/>
        <v>2013年</v>
      </c>
    </row>
    <row r="345" spans="1:5" x14ac:dyDescent="0.15">
      <c r="A345" s="21">
        <v>41615</v>
      </c>
      <c r="B345" s="22" t="s">
        <v>36</v>
      </c>
      <c r="C345" s="22">
        <v>103.2</v>
      </c>
      <c r="D345" s="22" t="s">
        <v>34</v>
      </c>
      <c r="E345" t="str">
        <f t="shared" si="7"/>
        <v>2013年</v>
      </c>
    </row>
    <row r="346" spans="1:5" x14ac:dyDescent="0.15">
      <c r="A346" s="21">
        <v>41616</v>
      </c>
      <c r="B346" s="22" t="s">
        <v>38</v>
      </c>
      <c r="C346" s="22">
        <v>55.439999908208847</v>
      </c>
      <c r="D346" s="22" t="s">
        <v>39</v>
      </c>
      <c r="E346" t="str">
        <f t="shared" si="7"/>
        <v>2013年</v>
      </c>
    </row>
    <row r="347" spans="1:5" x14ac:dyDescent="0.15">
      <c r="A347" s="21">
        <v>41616</v>
      </c>
      <c r="B347" s="22" t="s">
        <v>40</v>
      </c>
      <c r="C347" s="22">
        <v>505.43999916315079</v>
      </c>
      <c r="D347" s="22" t="s">
        <v>39</v>
      </c>
      <c r="E347" t="str">
        <f t="shared" si="7"/>
        <v>2013年</v>
      </c>
    </row>
    <row r="348" spans="1:5" x14ac:dyDescent="0.15">
      <c r="A348" s="21">
        <v>41616</v>
      </c>
      <c r="B348" s="22" t="s">
        <v>40</v>
      </c>
      <c r="C348" s="22">
        <v>302.39999949932098</v>
      </c>
      <c r="D348" s="22" t="s">
        <v>39</v>
      </c>
      <c r="E348" t="str">
        <f t="shared" si="7"/>
        <v>2013年</v>
      </c>
    </row>
    <row r="349" spans="1:5" x14ac:dyDescent="0.15">
      <c r="A349" s="21">
        <v>41617</v>
      </c>
      <c r="B349" s="22" t="s">
        <v>38</v>
      </c>
      <c r="C349" s="22">
        <v>335.33999944478273</v>
      </c>
      <c r="D349" s="22" t="s">
        <v>39</v>
      </c>
      <c r="E349" t="str">
        <f t="shared" si="7"/>
        <v>2013年</v>
      </c>
    </row>
    <row r="350" spans="1:5" x14ac:dyDescent="0.15">
      <c r="A350" s="21">
        <v>41617</v>
      </c>
      <c r="B350" s="22" t="s">
        <v>33</v>
      </c>
      <c r="C350" s="22">
        <v>471.59999921917915</v>
      </c>
      <c r="D350" s="22" t="s">
        <v>39</v>
      </c>
      <c r="E350" t="str">
        <f t="shared" si="7"/>
        <v>2013年</v>
      </c>
    </row>
    <row r="351" spans="1:5" x14ac:dyDescent="0.15">
      <c r="A351" s="21">
        <v>41617</v>
      </c>
      <c r="B351" s="22" t="s">
        <v>36</v>
      </c>
      <c r="C351" s="22">
        <v>146.87999975681305</v>
      </c>
      <c r="D351" s="22" t="s">
        <v>39</v>
      </c>
      <c r="E351" t="str">
        <f t="shared" si="7"/>
        <v>2013年</v>
      </c>
    </row>
    <row r="352" spans="1:5" x14ac:dyDescent="0.15">
      <c r="A352" s="21">
        <v>41617</v>
      </c>
      <c r="B352" s="22" t="s">
        <v>42</v>
      </c>
      <c r="C352" s="22">
        <v>360</v>
      </c>
      <c r="D352" s="22" t="s">
        <v>39</v>
      </c>
      <c r="E352" t="str">
        <f t="shared" si="7"/>
        <v>2013年</v>
      </c>
    </row>
    <row r="353" spans="1:5" x14ac:dyDescent="0.15">
      <c r="A353" s="21">
        <v>41617</v>
      </c>
      <c r="B353" s="22" t="s">
        <v>37</v>
      </c>
      <c r="C353" s="22">
        <v>112</v>
      </c>
      <c r="D353" s="22" t="s">
        <v>39</v>
      </c>
      <c r="E353" t="str">
        <f t="shared" si="7"/>
        <v>2013年</v>
      </c>
    </row>
    <row r="354" spans="1:5" x14ac:dyDescent="0.15">
      <c r="A354" s="21">
        <v>41618</v>
      </c>
      <c r="B354" s="22" t="s">
        <v>40</v>
      </c>
      <c r="C354" s="22">
        <v>544</v>
      </c>
      <c r="D354" s="22" t="s">
        <v>39</v>
      </c>
      <c r="E354" t="str">
        <f t="shared" si="7"/>
        <v>2013年</v>
      </c>
    </row>
    <row r="355" spans="1:5" x14ac:dyDescent="0.15">
      <c r="A355" s="21">
        <v>41618</v>
      </c>
      <c r="B355" s="22" t="s">
        <v>38</v>
      </c>
      <c r="C355" s="22">
        <v>450</v>
      </c>
      <c r="D355" s="22" t="s">
        <v>39</v>
      </c>
      <c r="E355" t="str">
        <f t="shared" si="7"/>
        <v>2013年</v>
      </c>
    </row>
    <row r="356" spans="1:5" x14ac:dyDescent="0.15">
      <c r="A356" s="21">
        <v>41618</v>
      </c>
      <c r="B356" s="22" t="s">
        <v>33</v>
      </c>
      <c r="C356" s="22">
        <v>1386</v>
      </c>
      <c r="D356" s="22" t="s">
        <v>39</v>
      </c>
      <c r="E356" t="str">
        <f t="shared" si="7"/>
        <v>2013年</v>
      </c>
    </row>
    <row r="357" spans="1:5" x14ac:dyDescent="0.15">
      <c r="A357" s="21">
        <v>41618</v>
      </c>
      <c r="B357" s="22" t="s">
        <v>36</v>
      </c>
      <c r="C357" s="22">
        <v>120</v>
      </c>
      <c r="D357" s="22" t="s">
        <v>39</v>
      </c>
      <c r="E357" t="str">
        <f t="shared" si="7"/>
        <v>2013年</v>
      </c>
    </row>
    <row r="358" spans="1:5" x14ac:dyDescent="0.15">
      <c r="A358" s="21">
        <v>41618</v>
      </c>
      <c r="B358" s="22" t="s">
        <v>37</v>
      </c>
      <c r="C358" s="22">
        <v>400</v>
      </c>
      <c r="D358" s="22" t="s">
        <v>39</v>
      </c>
      <c r="E358" t="str">
        <f t="shared" si="7"/>
        <v>2013年</v>
      </c>
    </row>
    <row r="359" spans="1:5" x14ac:dyDescent="0.15">
      <c r="A359" s="21">
        <v>41621</v>
      </c>
      <c r="B359" s="22" t="s">
        <v>38</v>
      </c>
      <c r="C359" s="22">
        <v>96</v>
      </c>
      <c r="D359" s="22" t="s">
        <v>39</v>
      </c>
      <c r="E359" t="str">
        <f t="shared" si="7"/>
        <v>2013年</v>
      </c>
    </row>
    <row r="360" spans="1:5" x14ac:dyDescent="0.15">
      <c r="A360" s="21">
        <v>41621</v>
      </c>
      <c r="B360" s="22" t="s">
        <v>41</v>
      </c>
      <c r="C360" s="22">
        <v>195</v>
      </c>
      <c r="D360" s="22" t="s">
        <v>39</v>
      </c>
      <c r="E360" t="str">
        <f t="shared" si="7"/>
        <v>2013年</v>
      </c>
    </row>
    <row r="361" spans="1:5" x14ac:dyDescent="0.15">
      <c r="A361" s="21">
        <v>41621</v>
      </c>
      <c r="B361" s="22" t="s">
        <v>35</v>
      </c>
      <c r="C361" s="22">
        <v>608</v>
      </c>
      <c r="D361" s="22" t="s">
        <v>39</v>
      </c>
      <c r="E361" t="str">
        <f t="shared" si="7"/>
        <v>2013年</v>
      </c>
    </row>
    <row r="362" spans="1:5" x14ac:dyDescent="0.15">
      <c r="A362" s="21">
        <v>41621</v>
      </c>
      <c r="B362" s="22" t="s">
        <v>41</v>
      </c>
      <c r="C362" s="22">
        <v>1814.4</v>
      </c>
      <c r="D362" s="22" t="s">
        <v>39</v>
      </c>
      <c r="E362" t="str">
        <f t="shared" si="7"/>
        <v>2013年</v>
      </c>
    </row>
    <row r="363" spans="1:5" x14ac:dyDescent="0.15">
      <c r="A363" s="21">
        <v>41621</v>
      </c>
      <c r="B363" s="22" t="s">
        <v>36</v>
      </c>
      <c r="C363" s="22">
        <v>408</v>
      </c>
      <c r="D363" s="22" t="s">
        <v>39</v>
      </c>
      <c r="E363" t="str">
        <f t="shared" si="7"/>
        <v>2013年</v>
      </c>
    </row>
    <row r="364" spans="1:5" x14ac:dyDescent="0.15">
      <c r="A364" s="21">
        <v>41622</v>
      </c>
      <c r="B364" s="22" t="s">
        <v>37</v>
      </c>
      <c r="C364" s="22">
        <v>191.99999928474426</v>
      </c>
      <c r="D364" s="22" t="s">
        <v>39</v>
      </c>
      <c r="E364" t="str">
        <f t="shared" si="7"/>
        <v>2013年</v>
      </c>
    </row>
    <row r="365" spans="1:5" x14ac:dyDescent="0.15">
      <c r="A365" s="21">
        <v>41622</v>
      </c>
      <c r="B365" s="22" t="s">
        <v>36</v>
      </c>
      <c r="C365" s="22">
        <v>435.19999837875366</v>
      </c>
      <c r="D365" s="22" t="s">
        <v>39</v>
      </c>
      <c r="E365" t="str">
        <f t="shared" si="7"/>
        <v>2013年</v>
      </c>
    </row>
    <row r="366" spans="1:5" x14ac:dyDescent="0.15">
      <c r="A366" s="21">
        <v>41622</v>
      </c>
      <c r="B366" s="22" t="s">
        <v>41</v>
      </c>
      <c r="C366" s="22">
        <v>63.999999761581421</v>
      </c>
      <c r="D366" s="22" t="s">
        <v>39</v>
      </c>
      <c r="E366" t="str">
        <f t="shared" si="7"/>
        <v>2013年</v>
      </c>
    </row>
    <row r="367" spans="1:5" x14ac:dyDescent="0.15">
      <c r="A367" s="21">
        <v>41623</v>
      </c>
      <c r="B367" s="22" t="s">
        <v>42</v>
      </c>
      <c r="C367" s="22">
        <v>54</v>
      </c>
      <c r="D367" s="22" t="s">
        <v>34</v>
      </c>
      <c r="E367" t="str">
        <f t="shared" si="7"/>
        <v>2013年</v>
      </c>
    </row>
    <row r="368" spans="1:5" x14ac:dyDescent="0.15">
      <c r="A368" s="21">
        <v>41623</v>
      </c>
      <c r="B368" s="22" t="s">
        <v>42</v>
      </c>
      <c r="C368" s="22">
        <v>112</v>
      </c>
      <c r="D368" s="22" t="s">
        <v>34</v>
      </c>
      <c r="E368" t="str">
        <f t="shared" si="7"/>
        <v>2013年</v>
      </c>
    </row>
    <row r="369" spans="1:5" x14ac:dyDescent="0.15">
      <c r="A369" s="21">
        <v>41623</v>
      </c>
      <c r="B369" s="22" t="s">
        <v>42</v>
      </c>
      <c r="C369" s="22">
        <v>54</v>
      </c>
      <c r="D369" s="22" t="s">
        <v>39</v>
      </c>
      <c r="E369" t="str">
        <f t="shared" si="7"/>
        <v>2013年</v>
      </c>
    </row>
    <row r="370" spans="1:5" x14ac:dyDescent="0.15">
      <c r="A370" s="21">
        <v>41623</v>
      </c>
      <c r="B370" s="22" t="s">
        <v>37</v>
      </c>
      <c r="C370" s="22">
        <v>218.4</v>
      </c>
      <c r="D370" s="22" t="s">
        <v>39</v>
      </c>
      <c r="E370" t="str">
        <f t="shared" si="7"/>
        <v>2013年</v>
      </c>
    </row>
    <row r="371" spans="1:5" x14ac:dyDescent="0.15">
      <c r="A371" s="21">
        <v>41623</v>
      </c>
      <c r="B371" s="22" t="s">
        <v>36</v>
      </c>
      <c r="C371" s="22">
        <v>528</v>
      </c>
      <c r="D371" s="22" t="s">
        <v>39</v>
      </c>
      <c r="E371" t="str">
        <f t="shared" si="7"/>
        <v>2013年</v>
      </c>
    </row>
    <row r="372" spans="1:5" x14ac:dyDescent="0.15">
      <c r="A372" s="21">
        <v>41623</v>
      </c>
      <c r="B372" s="22" t="s">
        <v>36</v>
      </c>
      <c r="C372" s="22">
        <v>258</v>
      </c>
      <c r="D372" s="22" t="s">
        <v>39</v>
      </c>
      <c r="E372" t="str">
        <f t="shared" si="7"/>
        <v>2013年</v>
      </c>
    </row>
    <row r="373" spans="1:5" x14ac:dyDescent="0.15">
      <c r="A373" s="21">
        <v>41624</v>
      </c>
      <c r="B373" s="22" t="s">
        <v>38</v>
      </c>
      <c r="C373" s="22">
        <v>91.199999660253525</v>
      </c>
      <c r="D373" s="22" t="s">
        <v>39</v>
      </c>
      <c r="E373" t="str">
        <f t="shared" si="7"/>
        <v>2013年</v>
      </c>
    </row>
    <row r="374" spans="1:5" x14ac:dyDescent="0.15">
      <c r="A374" s="21">
        <v>41624</v>
      </c>
      <c r="B374" s="22" t="s">
        <v>35</v>
      </c>
      <c r="C374" s="22">
        <v>89.599999666213989</v>
      </c>
      <c r="D374" s="22" t="s">
        <v>39</v>
      </c>
      <c r="E374" t="str">
        <f t="shared" si="7"/>
        <v>2013年</v>
      </c>
    </row>
    <row r="375" spans="1:5" x14ac:dyDescent="0.15">
      <c r="A375" s="21">
        <v>41624</v>
      </c>
      <c r="B375" s="22" t="s">
        <v>33</v>
      </c>
      <c r="C375" s="22">
        <v>1048</v>
      </c>
      <c r="D375" s="22" t="s">
        <v>39</v>
      </c>
      <c r="E375" t="str">
        <f t="shared" si="7"/>
        <v>2013年</v>
      </c>
    </row>
    <row r="376" spans="1:5" x14ac:dyDescent="0.15">
      <c r="A376" s="21">
        <v>41625</v>
      </c>
      <c r="B376" s="22" t="s">
        <v>38</v>
      </c>
      <c r="C376" s="22">
        <v>396.8</v>
      </c>
      <c r="D376" s="22" t="s">
        <v>39</v>
      </c>
      <c r="E376" t="str">
        <f t="shared" si="7"/>
        <v>2013年</v>
      </c>
    </row>
    <row r="377" spans="1:5" x14ac:dyDescent="0.15">
      <c r="A377" s="21">
        <v>41625</v>
      </c>
      <c r="B377" s="22" t="s">
        <v>33</v>
      </c>
      <c r="C377" s="22">
        <v>288</v>
      </c>
      <c r="D377" s="22" t="s">
        <v>39</v>
      </c>
      <c r="E377" t="str">
        <f t="shared" si="7"/>
        <v>2013年</v>
      </c>
    </row>
    <row r="378" spans="1:5" x14ac:dyDescent="0.15">
      <c r="A378" s="21">
        <v>41625</v>
      </c>
      <c r="B378" s="22" t="s">
        <v>41</v>
      </c>
      <c r="C378" s="22">
        <v>788</v>
      </c>
      <c r="D378" s="22" t="s">
        <v>39</v>
      </c>
      <c r="E378" t="str">
        <f t="shared" si="7"/>
        <v>2013年</v>
      </c>
    </row>
    <row r="379" spans="1:5" x14ac:dyDescent="0.15">
      <c r="A379" s="21">
        <v>41625</v>
      </c>
      <c r="B379" s="22" t="s">
        <v>42</v>
      </c>
      <c r="C379" s="22">
        <v>360</v>
      </c>
      <c r="D379" s="22" t="s">
        <v>39</v>
      </c>
      <c r="E379" t="str">
        <f t="shared" si="7"/>
        <v>2013年</v>
      </c>
    </row>
    <row r="380" spans="1:5" x14ac:dyDescent="0.15">
      <c r="A380" s="21">
        <v>41628</v>
      </c>
      <c r="B380" s="22" t="s">
        <v>36</v>
      </c>
      <c r="C380" s="22">
        <v>539.99999910593033</v>
      </c>
      <c r="D380" s="22" t="s">
        <v>34</v>
      </c>
      <c r="E380" t="str">
        <f t="shared" si="7"/>
        <v>2013年</v>
      </c>
    </row>
    <row r="381" spans="1:5" x14ac:dyDescent="0.15">
      <c r="A381" s="21">
        <v>41628</v>
      </c>
      <c r="B381" s="22" t="s">
        <v>42</v>
      </c>
      <c r="C381" s="22">
        <v>518.39999914169312</v>
      </c>
      <c r="D381" s="22" t="s">
        <v>34</v>
      </c>
      <c r="E381" t="str">
        <f t="shared" si="7"/>
        <v>2013年</v>
      </c>
    </row>
    <row r="382" spans="1:5" x14ac:dyDescent="0.15">
      <c r="A382" s="21">
        <v>41628</v>
      </c>
      <c r="B382" s="22" t="s">
        <v>38</v>
      </c>
      <c r="C382" s="22">
        <v>432</v>
      </c>
      <c r="D382" s="22" t="s">
        <v>34</v>
      </c>
      <c r="E382" t="str">
        <f t="shared" si="7"/>
        <v>2013年</v>
      </c>
    </row>
    <row r="383" spans="1:5" x14ac:dyDescent="0.15">
      <c r="A383" s="21">
        <v>41628</v>
      </c>
      <c r="B383" s="22" t="s">
        <v>36</v>
      </c>
      <c r="C383" s="22">
        <v>600.47999900579453</v>
      </c>
      <c r="D383" s="22" t="s">
        <v>34</v>
      </c>
      <c r="E383" t="str">
        <f t="shared" si="7"/>
        <v>2013年</v>
      </c>
    </row>
    <row r="384" spans="1:5" x14ac:dyDescent="0.15">
      <c r="A384" s="21">
        <v>41628</v>
      </c>
      <c r="B384" s="22" t="s">
        <v>38</v>
      </c>
      <c r="C384" s="22">
        <v>86.4</v>
      </c>
      <c r="D384" s="22" t="s">
        <v>39</v>
      </c>
      <c r="E384" t="str">
        <f t="shared" si="7"/>
        <v>2013年</v>
      </c>
    </row>
    <row r="385" spans="1:5" x14ac:dyDescent="0.15">
      <c r="A385" s="21">
        <v>41629</v>
      </c>
      <c r="B385" s="22" t="s">
        <v>36</v>
      </c>
      <c r="C385" s="22">
        <v>1440</v>
      </c>
      <c r="D385" s="22" t="s">
        <v>39</v>
      </c>
      <c r="E385" t="str">
        <f t="shared" si="7"/>
        <v>2013年</v>
      </c>
    </row>
    <row r="386" spans="1:5" x14ac:dyDescent="0.15">
      <c r="A386" s="21">
        <v>41630</v>
      </c>
      <c r="B386" s="22" t="s">
        <v>42</v>
      </c>
      <c r="C386" s="22">
        <v>285</v>
      </c>
      <c r="D386" s="22" t="s">
        <v>39</v>
      </c>
      <c r="E386" t="str">
        <f t="shared" ref="E386:E449" si="8">YEAR(A386)&amp;"年"</f>
        <v>2013年</v>
      </c>
    </row>
    <row r="387" spans="1:5" x14ac:dyDescent="0.15">
      <c r="A387" s="21">
        <v>41630</v>
      </c>
      <c r="B387" s="22" t="s">
        <v>37</v>
      </c>
      <c r="C387" s="22">
        <v>585.9</v>
      </c>
      <c r="D387" s="22" t="s">
        <v>39</v>
      </c>
      <c r="E387" t="str">
        <f t="shared" si="8"/>
        <v>2013年</v>
      </c>
    </row>
    <row r="388" spans="1:5" x14ac:dyDescent="0.15">
      <c r="A388" s="21">
        <v>41630</v>
      </c>
      <c r="B388" s="22" t="s">
        <v>41</v>
      </c>
      <c r="C388" s="22">
        <v>58.8</v>
      </c>
      <c r="D388" s="22" t="s">
        <v>39</v>
      </c>
      <c r="E388" t="str">
        <f t="shared" si="8"/>
        <v>2013年</v>
      </c>
    </row>
    <row r="389" spans="1:5" x14ac:dyDescent="0.15">
      <c r="A389" s="21">
        <v>41630</v>
      </c>
      <c r="B389" s="22" t="s">
        <v>41</v>
      </c>
      <c r="C389" s="22">
        <v>1307.25</v>
      </c>
      <c r="D389" s="22" t="s">
        <v>39</v>
      </c>
      <c r="E389" t="str">
        <f t="shared" si="8"/>
        <v>2013年</v>
      </c>
    </row>
    <row r="390" spans="1:5" x14ac:dyDescent="0.15">
      <c r="A390" s="21">
        <v>41630</v>
      </c>
      <c r="B390" s="22" t="s">
        <v>36</v>
      </c>
      <c r="C390" s="22">
        <v>320</v>
      </c>
      <c r="D390" s="22" t="s">
        <v>39</v>
      </c>
      <c r="E390" t="str">
        <f t="shared" si="8"/>
        <v>2013年</v>
      </c>
    </row>
    <row r="391" spans="1:5" x14ac:dyDescent="0.15">
      <c r="A391" s="21">
        <v>41630</v>
      </c>
      <c r="B391" s="22" t="s">
        <v>38</v>
      </c>
      <c r="C391" s="22">
        <v>48</v>
      </c>
      <c r="D391" s="22" t="s">
        <v>39</v>
      </c>
      <c r="E391" t="str">
        <f t="shared" si="8"/>
        <v>2013年</v>
      </c>
    </row>
    <row r="392" spans="1:5" x14ac:dyDescent="0.15">
      <c r="A392" s="21">
        <v>41630</v>
      </c>
      <c r="B392" s="22" t="s">
        <v>41</v>
      </c>
      <c r="C392" s="22">
        <v>394</v>
      </c>
      <c r="D392" s="22" t="s">
        <v>39</v>
      </c>
      <c r="E392" t="str">
        <f t="shared" si="8"/>
        <v>2013年</v>
      </c>
    </row>
    <row r="393" spans="1:5" x14ac:dyDescent="0.15">
      <c r="A393" s="21">
        <v>41631</v>
      </c>
      <c r="B393" s="22" t="s">
        <v>38</v>
      </c>
      <c r="C393" s="22">
        <v>241.91999959945679</v>
      </c>
      <c r="D393" s="22" t="s">
        <v>34</v>
      </c>
      <c r="E393" t="str">
        <f t="shared" si="8"/>
        <v>2013年</v>
      </c>
    </row>
    <row r="394" spans="1:5" x14ac:dyDescent="0.15">
      <c r="A394" s="21">
        <v>41631</v>
      </c>
      <c r="B394" s="22" t="s">
        <v>33</v>
      </c>
      <c r="C394" s="22">
        <v>1650.599997267127</v>
      </c>
      <c r="D394" s="22" t="s">
        <v>34</v>
      </c>
      <c r="E394" t="str">
        <f t="shared" si="8"/>
        <v>2013年</v>
      </c>
    </row>
    <row r="395" spans="1:5" x14ac:dyDescent="0.15">
      <c r="A395" s="21">
        <v>41631</v>
      </c>
      <c r="B395" s="22" t="s">
        <v>36</v>
      </c>
      <c r="C395" s="22">
        <v>230.4</v>
      </c>
      <c r="D395" s="22" t="s">
        <v>34</v>
      </c>
      <c r="E395" t="str">
        <f t="shared" si="8"/>
        <v>2013年</v>
      </c>
    </row>
    <row r="396" spans="1:5" x14ac:dyDescent="0.15">
      <c r="A396" s="21">
        <v>41632</v>
      </c>
      <c r="B396" s="22" t="s">
        <v>35</v>
      </c>
      <c r="C396" s="22">
        <v>288</v>
      </c>
      <c r="D396" s="22" t="s">
        <v>39</v>
      </c>
      <c r="E396" t="str">
        <f t="shared" si="8"/>
        <v>2013年</v>
      </c>
    </row>
    <row r="397" spans="1:5" x14ac:dyDescent="0.15">
      <c r="A397" s="21">
        <v>41632</v>
      </c>
      <c r="B397" s="22" t="s">
        <v>36</v>
      </c>
      <c r="C397" s="22">
        <v>1032</v>
      </c>
      <c r="D397" s="22" t="s">
        <v>39</v>
      </c>
      <c r="E397" t="str">
        <f t="shared" si="8"/>
        <v>2013年</v>
      </c>
    </row>
    <row r="398" spans="1:5" x14ac:dyDescent="0.15">
      <c r="A398" s="21">
        <v>41632</v>
      </c>
      <c r="B398" s="22" t="s">
        <v>36</v>
      </c>
      <c r="C398" s="22">
        <v>583.79999999999995</v>
      </c>
      <c r="D398" s="22" t="s">
        <v>39</v>
      </c>
      <c r="E398" t="str">
        <f t="shared" si="8"/>
        <v>2013年</v>
      </c>
    </row>
    <row r="399" spans="1:5" x14ac:dyDescent="0.15">
      <c r="A399" s="21">
        <v>41632</v>
      </c>
      <c r="B399" s="22" t="s">
        <v>41</v>
      </c>
      <c r="C399" s="22">
        <v>67.999999523162842</v>
      </c>
      <c r="D399" s="22" t="s">
        <v>34</v>
      </c>
      <c r="E399" t="str">
        <f t="shared" si="8"/>
        <v>2013年</v>
      </c>
    </row>
    <row r="400" spans="1:5" x14ac:dyDescent="0.15">
      <c r="A400" s="21">
        <v>41632</v>
      </c>
      <c r="B400" s="22" t="s">
        <v>37</v>
      </c>
      <c r="C400" s="22">
        <v>648.71999545097356</v>
      </c>
      <c r="D400" s="22" t="s">
        <v>34</v>
      </c>
      <c r="E400" t="str">
        <f t="shared" si="8"/>
        <v>2013年</v>
      </c>
    </row>
    <row r="401" spans="1:5" x14ac:dyDescent="0.15">
      <c r="A401" s="21">
        <v>41635</v>
      </c>
      <c r="B401" s="22" t="s">
        <v>42</v>
      </c>
      <c r="C401" s="22">
        <v>432</v>
      </c>
      <c r="D401" s="22" t="s">
        <v>39</v>
      </c>
      <c r="E401" t="str">
        <f t="shared" si="8"/>
        <v>2013年</v>
      </c>
    </row>
    <row r="402" spans="1:5" x14ac:dyDescent="0.15">
      <c r="A402" s="21">
        <v>41635</v>
      </c>
      <c r="B402" s="22" t="s">
        <v>33</v>
      </c>
      <c r="C402" s="22">
        <v>2073.5999965667725</v>
      </c>
      <c r="D402" s="22" t="s">
        <v>39</v>
      </c>
      <c r="E402" t="str">
        <f t="shared" si="8"/>
        <v>2013年</v>
      </c>
    </row>
    <row r="403" spans="1:5" x14ac:dyDescent="0.15">
      <c r="A403" s="21">
        <v>41636</v>
      </c>
      <c r="B403" s="22" t="s">
        <v>41</v>
      </c>
      <c r="C403" s="22">
        <v>600</v>
      </c>
      <c r="D403" s="22" t="s">
        <v>39</v>
      </c>
      <c r="E403" t="str">
        <f t="shared" si="8"/>
        <v>2013年</v>
      </c>
    </row>
    <row r="404" spans="1:5" x14ac:dyDescent="0.15">
      <c r="A404" s="21">
        <v>41636</v>
      </c>
      <c r="B404" s="22" t="s">
        <v>36</v>
      </c>
      <c r="C404" s="22">
        <v>516</v>
      </c>
      <c r="D404" s="22" t="s">
        <v>39</v>
      </c>
      <c r="E404" t="str">
        <f t="shared" si="8"/>
        <v>2013年</v>
      </c>
    </row>
    <row r="405" spans="1:5" x14ac:dyDescent="0.15">
      <c r="A405" s="21">
        <v>41636</v>
      </c>
      <c r="B405" s="22" t="s">
        <v>42</v>
      </c>
      <c r="C405" s="22">
        <v>504</v>
      </c>
      <c r="D405" s="22" t="s">
        <v>39</v>
      </c>
      <c r="E405" t="str">
        <f t="shared" si="8"/>
        <v>2013年</v>
      </c>
    </row>
    <row r="406" spans="1:5" x14ac:dyDescent="0.15">
      <c r="A406" s="21">
        <v>41636</v>
      </c>
      <c r="B406" s="22" t="s">
        <v>40</v>
      </c>
      <c r="C406" s="22">
        <v>145.6</v>
      </c>
      <c r="D406" s="22" t="s">
        <v>39</v>
      </c>
      <c r="E406" t="str">
        <f t="shared" si="8"/>
        <v>2013年</v>
      </c>
    </row>
    <row r="407" spans="1:5" x14ac:dyDescent="0.15">
      <c r="A407" s="21">
        <v>41637</v>
      </c>
      <c r="B407" s="22" t="s">
        <v>33</v>
      </c>
      <c r="C407" s="22">
        <v>2079</v>
      </c>
      <c r="D407" s="22" t="s">
        <v>39</v>
      </c>
      <c r="E407" t="str">
        <f t="shared" si="8"/>
        <v>2013年</v>
      </c>
    </row>
    <row r="408" spans="1:5" x14ac:dyDescent="0.15">
      <c r="A408" s="21">
        <v>41637</v>
      </c>
      <c r="B408" s="22" t="s">
        <v>42</v>
      </c>
      <c r="C408" s="22">
        <v>504</v>
      </c>
      <c r="D408" s="22" t="s">
        <v>39</v>
      </c>
      <c r="E408" t="str">
        <f t="shared" si="8"/>
        <v>2013年</v>
      </c>
    </row>
    <row r="409" spans="1:5" x14ac:dyDescent="0.15">
      <c r="A409" s="21">
        <v>41637</v>
      </c>
      <c r="B409" s="22" t="s">
        <v>41</v>
      </c>
      <c r="C409" s="22">
        <v>480</v>
      </c>
      <c r="D409" s="22" t="s">
        <v>39</v>
      </c>
      <c r="E409" t="str">
        <f t="shared" si="8"/>
        <v>2013年</v>
      </c>
    </row>
    <row r="410" spans="1:5" x14ac:dyDescent="0.15">
      <c r="A410" s="21">
        <v>41637</v>
      </c>
      <c r="B410" s="22" t="s">
        <v>38</v>
      </c>
      <c r="C410" s="22">
        <v>372.6</v>
      </c>
      <c r="D410" s="22" t="s">
        <v>39</v>
      </c>
      <c r="E410" t="str">
        <f t="shared" si="8"/>
        <v>2013年</v>
      </c>
    </row>
    <row r="411" spans="1:5" x14ac:dyDescent="0.15">
      <c r="A411" s="21">
        <v>41637</v>
      </c>
      <c r="B411" s="22" t="s">
        <v>35</v>
      </c>
      <c r="C411" s="22">
        <v>2128</v>
      </c>
      <c r="D411" s="22" t="s">
        <v>39</v>
      </c>
      <c r="E411" t="str">
        <f t="shared" si="8"/>
        <v>2013年</v>
      </c>
    </row>
    <row r="412" spans="1:5" x14ac:dyDescent="0.15">
      <c r="A412" s="21">
        <v>41637</v>
      </c>
      <c r="B412" s="22" t="s">
        <v>40</v>
      </c>
      <c r="C412" s="22">
        <v>336</v>
      </c>
      <c r="D412" s="22" t="s">
        <v>39</v>
      </c>
      <c r="E412" t="str">
        <f t="shared" si="8"/>
        <v>2013年</v>
      </c>
    </row>
    <row r="413" spans="1:5" x14ac:dyDescent="0.15">
      <c r="A413" s="21">
        <v>41637</v>
      </c>
      <c r="B413" s="22" t="s">
        <v>36</v>
      </c>
      <c r="C413" s="22">
        <v>1032</v>
      </c>
      <c r="D413" s="22" t="s">
        <v>39</v>
      </c>
      <c r="E413" t="str">
        <f t="shared" si="8"/>
        <v>2013年</v>
      </c>
    </row>
    <row r="414" spans="1:5" x14ac:dyDescent="0.15">
      <c r="A414" s="21">
        <v>41638</v>
      </c>
      <c r="B414" s="22" t="s">
        <v>35</v>
      </c>
      <c r="C414" s="22">
        <v>432</v>
      </c>
      <c r="D414" s="22" t="s">
        <v>39</v>
      </c>
      <c r="E414" t="str">
        <f t="shared" si="8"/>
        <v>2013年</v>
      </c>
    </row>
    <row r="415" spans="1:5" x14ac:dyDescent="0.15">
      <c r="A415" s="21">
        <v>41638</v>
      </c>
      <c r="B415" s="22" t="s">
        <v>40</v>
      </c>
      <c r="C415" s="22">
        <v>2281.5</v>
      </c>
      <c r="D415" s="22" t="s">
        <v>39</v>
      </c>
      <c r="E415" t="str">
        <f t="shared" si="8"/>
        <v>2013年</v>
      </c>
    </row>
    <row r="416" spans="1:5" x14ac:dyDescent="0.15">
      <c r="A416" s="21">
        <v>41639</v>
      </c>
      <c r="B416" s="22" t="s">
        <v>41</v>
      </c>
      <c r="C416" s="22">
        <v>248.11499826014042</v>
      </c>
      <c r="D416" s="22" t="s">
        <v>39</v>
      </c>
      <c r="E416" t="str">
        <f t="shared" si="8"/>
        <v>2013年</v>
      </c>
    </row>
    <row r="417" spans="1:5" x14ac:dyDescent="0.15">
      <c r="A417" s="21">
        <v>41639</v>
      </c>
      <c r="B417" s="22" t="s">
        <v>41</v>
      </c>
      <c r="C417" s="22">
        <v>606.89999574422836</v>
      </c>
      <c r="D417" s="22" t="s">
        <v>39</v>
      </c>
      <c r="E417" t="str">
        <f t="shared" si="8"/>
        <v>2013年</v>
      </c>
    </row>
    <row r="418" spans="1:5" x14ac:dyDescent="0.15">
      <c r="A418" s="21">
        <v>41639</v>
      </c>
      <c r="B418" s="22" t="s">
        <v>41</v>
      </c>
      <c r="C418" s="22">
        <v>709.64999944344163</v>
      </c>
      <c r="D418" s="22" t="s">
        <v>39</v>
      </c>
      <c r="E418" t="str">
        <f t="shared" si="8"/>
        <v>2013年</v>
      </c>
    </row>
    <row r="419" spans="1:5" x14ac:dyDescent="0.15">
      <c r="A419" s="21">
        <v>41639</v>
      </c>
      <c r="B419" s="22" t="s">
        <v>35</v>
      </c>
      <c r="C419" s="22">
        <v>425.59999966621399</v>
      </c>
      <c r="D419" s="22" t="s">
        <v>39</v>
      </c>
      <c r="E419" t="str">
        <f t="shared" si="8"/>
        <v>2013年</v>
      </c>
    </row>
    <row r="420" spans="1:5" x14ac:dyDescent="0.15">
      <c r="A420" s="21">
        <v>41639</v>
      </c>
      <c r="B420" s="22" t="s">
        <v>41</v>
      </c>
      <c r="C420" s="22">
        <v>455.99999964237213</v>
      </c>
      <c r="D420" s="22" t="s">
        <v>39</v>
      </c>
      <c r="E420" t="str">
        <f t="shared" si="8"/>
        <v>2013年</v>
      </c>
    </row>
    <row r="421" spans="1:5" x14ac:dyDescent="0.15">
      <c r="A421" s="21">
        <v>41642</v>
      </c>
      <c r="B421" s="22" t="s">
        <v>40</v>
      </c>
      <c r="C421" s="22">
        <v>400</v>
      </c>
      <c r="D421" s="22" t="s">
        <v>39</v>
      </c>
      <c r="E421" t="str">
        <f t="shared" si="8"/>
        <v>2014年</v>
      </c>
    </row>
    <row r="422" spans="1:5" x14ac:dyDescent="0.15">
      <c r="A422" s="21">
        <v>41643</v>
      </c>
      <c r="B422" s="22" t="s">
        <v>42</v>
      </c>
      <c r="C422" s="22">
        <v>144</v>
      </c>
      <c r="D422" s="22" t="s">
        <v>34</v>
      </c>
      <c r="E422" t="str">
        <f t="shared" si="8"/>
        <v>2014年</v>
      </c>
    </row>
    <row r="423" spans="1:5" x14ac:dyDescent="0.15">
      <c r="A423" s="21">
        <v>41643</v>
      </c>
      <c r="B423" s="22" t="s">
        <v>41</v>
      </c>
      <c r="C423" s="22">
        <v>215.99999964237213</v>
      </c>
      <c r="D423" s="22" t="s">
        <v>34</v>
      </c>
      <c r="E423" t="str">
        <f t="shared" si="8"/>
        <v>2014年</v>
      </c>
    </row>
    <row r="424" spans="1:5" x14ac:dyDescent="0.15">
      <c r="A424" s="21">
        <v>41643</v>
      </c>
      <c r="B424" s="22" t="s">
        <v>37</v>
      </c>
      <c r="C424" s="22">
        <v>1375.9199977219105</v>
      </c>
      <c r="D424" s="22" t="s">
        <v>34</v>
      </c>
      <c r="E424" t="str">
        <f t="shared" si="8"/>
        <v>2014年</v>
      </c>
    </row>
    <row r="425" spans="1:5" x14ac:dyDescent="0.15">
      <c r="A425" s="21">
        <v>41643</v>
      </c>
      <c r="B425" s="22" t="s">
        <v>38</v>
      </c>
      <c r="C425" s="22">
        <v>68.399999886751175</v>
      </c>
      <c r="D425" s="22" t="s">
        <v>34</v>
      </c>
      <c r="E425" t="str">
        <f t="shared" si="8"/>
        <v>2014年</v>
      </c>
    </row>
    <row r="426" spans="1:5" x14ac:dyDescent="0.15">
      <c r="A426" s="21">
        <v>41643</v>
      </c>
      <c r="B426" s="22" t="s">
        <v>38</v>
      </c>
      <c r="C426" s="22">
        <v>26.459999956190586</v>
      </c>
      <c r="D426" s="22" t="s">
        <v>34</v>
      </c>
      <c r="E426" t="str">
        <f t="shared" si="8"/>
        <v>2014年</v>
      </c>
    </row>
    <row r="427" spans="1:5" x14ac:dyDescent="0.15">
      <c r="A427" s="21">
        <v>41643</v>
      </c>
      <c r="B427" s="22" t="s">
        <v>36</v>
      </c>
      <c r="C427" s="22">
        <v>504</v>
      </c>
      <c r="D427" s="22" t="s">
        <v>39</v>
      </c>
      <c r="E427" t="str">
        <f t="shared" si="8"/>
        <v>2014年</v>
      </c>
    </row>
    <row r="428" spans="1:5" x14ac:dyDescent="0.15">
      <c r="A428" s="21">
        <v>41643</v>
      </c>
      <c r="B428" s="22" t="s">
        <v>36</v>
      </c>
      <c r="C428" s="22">
        <v>432</v>
      </c>
      <c r="D428" s="22" t="s">
        <v>39</v>
      </c>
      <c r="E428" t="str">
        <f t="shared" si="8"/>
        <v>2014年</v>
      </c>
    </row>
    <row r="429" spans="1:5" x14ac:dyDescent="0.15">
      <c r="A429" s="21">
        <v>41643</v>
      </c>
      <c r="B429" s="22" t="s">
        <v>36</v>
      </c>
      <c r="C429" s="22">
        <v>258</v>
      </c>
      <c r="D429" s="22" t="s">
        <v>39</v>
      </c>
      <c r="E429" t="str">
        <f t="shared" si="8"/>
        <v>2014年</v>
      </c>
    </row>
    <row r="430" spans="1:5" x14ac:dyDescent="0.15">
      <c r="A430" s="21">
        <v>41644</v>
      </c>
      <c r="B430" s="22" t="s">
        <v>38</v>
      </c>
      <c r="C430" s="22">
        <v>208</v>
      </c>
      <c r="D430" s="22" t="s">
        <v>39</v>
      </c>
      <c r="E430" t="str">
        <f t="shared" si="8"/>
        <v>2014年</v>
      </c>
    </row>
    <row r="431" spans="1:5" x14ac:dyDescent="0.15">
      <c r="A431" s="21">
        <v>41644</v>
      </c>
      <c r="B431" s="22" t="s">
        <v>33</v>
      </c>
      <c r="C431" s="22">
        <v>35.4</v>
      </c>
      <c r="D431" s="22" t="s">
        <v>39</v>
      </c>
      <c r="E431" t="str">
        <f t="shared" si="8"/>
        <v>2014年</v>
      </c>
    </row>
    <row r="432" spans="1:5" x14ac:dyDescent="0.15">
      <c r="A432" s="21">
        <v>41644</v>
      </c>
      <c r="B432" s="22" t="s">
        <v>41</v>
      </c>
      <c r="C432" s="22">
        <v>1379</v>
      </c>
      <c r="D432" s="22" t="s">
        <v>39</v>
      </c>
      <c r="E432" t="str">
        <f t="shared" si="8"/>
        <v>2014年</v>
      </c>
    </row>
    <row r="433" spans="1:5" x14ac:dyDescent="0.15">
      <c r="A433" s="21">
        <v>41645</v>
      </c>
      <c r="B433" s="22" t="s">
        <v>37</v>
      </c>
      <c r="C433" s="22">
        <v>223.2</v>
      </c>
      <c r="D433" s="22" t="s">
        <v>39</v>
      </c>
      <c r="E433" t="str">
        <f t="shared" si="8"/>
        <v>2014年</v>
      </c>
    </row>
    <row r="434" spans="1:5" x14ac:dyDescent="0.15">
      <c r="A434" s="21">
        <v>41645</v>
      </c>
      <c r="B434" s="22" t="s">
        <v>41</v>
      </c>
      <c r="C434" s="22">
        <v>96</v>
      </c>
      <c r="D434" s="22" t="s">
        <v>39</v>
      </c>
      <c r="E434" t="str">
        <f t="shared" si="8"/>
        <v>2014年</v>
      </c>
    </row>
    <row r="435" spans="1:5" x14ac:dyDescent="0.15">
      <c r="A435" s="21">
        <v>41646</v>
      </c>
      <c r="B435" s="22" t="s">
        <v>36</v>
      </c>
      <c r="C435" s="22">
        <v>98</v>
      </c>
      <c r="D435" s="22" t="s">
        <v>39</v>
      </c>
      <c r="E435" t="str">
        <f t="shared" si="8"/>
        <v>2014年</v>
      </c>
    </row>
    <row r="436" spans="1:5" x14ac:dyDescent="0.15">
      <c r="A436" s="21">
        <v>41646</v>
      </c>
      <c r="B436" s="22" t="s">
        <v>36</v>
      </c>
      <c r="C436" s="22">
        <v>704</v>
      </c>
      <c r="D436" s="22" t="s">
        <v>39</v>
      </c>
      <c r="E436" t="str">
        <f t="shared" si="8"/>
        <v>2014年</v>
      </c>
    </row>
    <row r="437" spans="1:5" x14ac:dyDescent="0.15">
      <c r="A437" s="21">
        <v>41646</v>
      </c>
      <c r="B437" s="22" t="s">
        <v>38</v>
      </c>
      <c r="C437" s="22">
        <v>153.99999942630529</v>
      </c>
      <c r="D437" s="22" t="s">
        <v>34</v>
      </c>
      <c r="E437" t="str">
        <f t="shared" si="8"/>
        <v>2014年</v>
      </c>
    </row>
    <row r="438" spans="1:5" x14ac:dyDescent="0.15">
      <c r="A438" s="21">
        <v>41646</v>
      </c>
      <c r="B438" s="22" t="s">
        <v>40</v>
      </c>
      <c r="C438" s="22">
        <v>495.99999815225601</v>
      </c>
      <c r="D438" s="22" t="s">
        <v>34</v>
      </c>
      <c r="E438" t="str">
        <f t="shared" si="8"/>
        <v>2014年</v>
      </c>
    </row>
    <row r="439" spans="1:5" x14ac:dyDescent="0.15">
      <c r="A439" s="21">
        <v>41646</v>
      </c>
      <c r="B439" s="22" t="s">
        <v>36</v>
      </c>
      <c r="C439" s="22">
        <v>316.79999881982803</v>
      </c>
      <c r="D439" s="22" t="s">
        <v>34</v>
      </c>
      <c r="E439" t="str">
        <f t="shared" si="8"/>
        <v>2014年</v>
      </c>
    </row>
    <row r="440" spans="1:5" x14ac:dyDescent="0.15">
      <c r="A440" s="21">
        <v>41649</v>
      </c>
      <c r="B440" s="22" t="s">
        <v>37</v>
      </c>
      <c r="C440" s="22">
        <v>334.7999994456768</v>
      </c>
      <c r="D440" s="22" t="s">
        <v>39</v>
      </c>
      <c r="E440" t="str">
        <f t="shared" si="8"/>
        <v>2014年</v>
      </c>
    </row>
    <row r="441" spans="1:5" x14ac:dyDescent="0.15">
      <c r="A441" s="21">
        <v>41650</v>
      </c>
      <c r="B441" s="22" t="s">
        <v>42</v>
      </c>
      <c r="C441" s="22">
        <v>345.6</v>
      </c>
      <c r="D441" s="22" t="s">
        <v>39</v>
      </c>
      <c r="E441" t="str">
        <f t="shared" si="8"/>
        <v>2014年</v>
      </c>
    </row>
    <row r="442" spans="1:5" x14ac:dyDescent="0.15">
      <c r="A442" s="21">
        <v>41650</v>
      </c>
      <c r="B442" s="22" t="s">
        <v>41</v>
      </c>
      <c r="C442" s="22">
        <v>1576</v>
      </c>
      <c r="D442" s="22" t="s">
        <v>39</v>
      </c>
      <c r="E442" t="str">
        <f t="shared" si="8"/>
        <v>2014年</v>
      </c>
    </row>
    <row r="443" spans="1:5" x14ac:dyDescent="0.15">
      <c r="A443" s="21">
        <v>41650</v>
      </c>
      <c r="B443" s="22" t="s">
        <v>42</v>
      </c>
      <c r="C443" s="22">
        <v>201.6</v>
      </c>
      <c r="D443" s="22" t="s">
        <v>39</v>
      </c>
      <c r="E443" t="str">
        <f t="shared" si="8"/>
        <v>2014年</v>
      </c>
    </row>
    <row r="444" spans="1:5" x14ac:dyDescent="0.15">
      <c r="A444" s="21">
        <v>41650</v>
      </c>
      <c r="B444" s="22" t="s">
        <v>41</v>
      </c>
      <c r="C444" s="22">
        <v>124.82999990209937</v>
      </c>
      <c r="D444" s="22" t="s">
        <v>39</v>
      </c>
      <c r="E444" t="str">
        <f t="shared" si="8"/>
        <v>2014年</v>
      </c>
    </row>
    <row r="445" spans="1:5" x14ac:dyDescent="0.15">
      <c r="A445" s="21">
        <v>41650</v>
      </c>
      <c r="B445" s="22" t="s">
        <v>36</v>
      </c>
      <c r="C445" s="22">
        <v>100</v>
      </c>
      <c r="D445" s="22" t="s">
        <v>39</v>
      </c>
      <c r="E445" t="str">
        <f t="shared" si="8"/>
        <v>2014年</v>
      </c>
    </row>
    <row r="446" spans="1:5" x14ac:dyDescent="0.15">
      <c r="A446" s="21">
        <v>41651</v>
      </c>
      <c r="B446" s="22" t="s">
        <v>33</v>
      </c>
      <c r="C446" s="22">
        <v>62.4</v>
      </c>
      <c r="D446" s="22" t="s">
        <v>39</v>
      </c>
      <c r="E446" t="str">
        <f t="shared" si="8"/>
        <v>2014年</v>
      </c>
    </row>
    <row r="447" spans="1:5" x14ac:dyDescent="0.15">
      <c r="A447" s="21">
        <v>41651</v>
      </c>
      <c r="B447" s="22" t="s">
        <v>36</v>
      </c>
      <c r="C447" s="22">
        <v>40</v>
      </c>
      <c r="D447" s="22" t="s">
        <v>39</v>
      </c>
      <c r="E447" t="str">
        <f t="shared" si="8"/>
        <v>2014年</v>
      </c>
    </row>
    <row r="448" spans="1:5" x14ac:dyDescent="0.15">
      <c r="A448" s="21">
        <v>41652</v>
      </c>
      <c r="B448" s="22" t="s">
        <v>41</v>
      </c>
      <c r="C448" s="22">
        <v>146</v>
      </c>
      <c r="D448" s="22" t="s">
        <v>39</v>
      </c>
      <c r="E448" t="str">
        <f t="shared" si="8"/>
        <v>2014年</v>
      </c>
    </row>
    <row r="449" spans="1:5" x14ac:dyDescent="0.15">
      <c r="A449" s="21">
        <v>41652</v>
      </c>
      <c r="B449" s="22" t="s">
        <v>33</v>
      </c>
      <c r="C449" s="22">
        <v>262</v>
      </c>
      <c r="D449" s="22" t="s">
        <v>39</v>
      </c>
      <c r="E449" t="str">
        <f t="shared" si="8"/>
        <v>2014年</v>
      </c>
    </row>
    <row r="450" spans="1:5" x14ac:dyDescent="0.15">
      <c r="A450" s="21">
        <v>41652</v>
      </c>
      <c r="B450" s="22" t="s">
        <v>35</v>
      </c>
      <c r="C450" s="22">
        <v>312</v>
      </c>
      <c r="D450" s="22" t="s">
        <v>39</v>
      </c>
      <c r="E450" t="str">
        <f t="shared" ref="E450:E513" si="9">YEAR(A450)&amp;"年"</f>
        <v>2014年</v>
      </c>
    </row>
    <row r="451" spans="1:5" x14ac:dyDescent="0.15">
      <c r="A451" s="21">
        <v>41652</v>
      </c>
      <c r="B451" s="22" t="s">
        <v>42</v>
      </c>
      <c r="C451" s="22">
        <v>10540</v>
      </c>
      <c r="D451" s="22" t="s">
        <v>39</v>
      </c>
      <c r="E451" t="str">
        <f t="shared" si="9"/>
        <v>2014年</v>
      </c>
    </row>
    <row r="452" spans="1:5" x14ac:dyDescent="0.15">
      <c r="A452" s="21">
        <v>41652</v>
      </c>
      <c r="B452" s="22" t="s">
        <v>38</v>
      </c>
      <c r="C452" s="22">
        <v>14.4</v>
      </c>
      <c r="D452" s="22" t="s">
        <v>39</v>
      </c>
      <c r="E452" t="str">
        <f t="shared" si="9"/>
        <v>2014年</v>
      </c>
    </row>
    <row r="453" spans="1:5" x14ac:dyDescent="0.15">
      <c r="A453" s="21">
        <v>41652</v>
      </c>
      <c r="B453" s="22" t="s">
        <v>41</v>
      </c>
      <c r="C453" s="22">
        <v>270</v>
      </c>
      <c r="D453" s="22" t="s">
        <v>39</v>
      </c>
      <c r="E453" t="str">
        <f t="shared" si="9"/>
        <v>2014年</v>
      </c>
    </row>
    <row r="454" spans="1:5" x14ac:dyDescent="0.15">
      <c r="A454" s="21">
        <v>41652</v>
      </c>
      <c r="B454" s="22" t="s">
        <v>40</v>
      </c>
      <c r="C454" s="22">
        <v>364</v>
      </c>
      <c r="D454" s="22" t="s">
        <v>39</v>
      </c>
      <c r="E454" t="str">
        <f t="shared" si="9"/>
        <v>2014年</v>
      </c>
    </row>
    <row r="455" spans="1:5" x14ac:dyDescent="0.15">
      <c r="A455" s="21">
        <v>41653</v>
      </c>
      <c r="B455" s="22" t="s">
        <v>42</v>
      </c>
      <c r="C455" s="22">
        <v>912</v>
      </c>
      <c r="D455" s="22" t="s">
        <v>39</v>
      </c>
      <c r="E455" t="str">
        <f t="shared" si="9"/>
        <v>2014年</v>
      </c>
    </row>
    <row r="456" spans="1:5" x14ac:dyDescent="0.15">
      <c r="A456" s="21">
        <v>41653</v>
      </c>
      <c r="B456" s="22" t="s">
        <v>41</v>
      </c>
      <c r="C456" s="22">
        <v>418</v>
      </c>
      <c r="D456" s="22" t="s">
        <v>39</v>
      </c>
      <c r="E456" t="str">
        <f t="shared" si="9"/>
        <v>2014年</v>
      </c>
    </row>
    <row r="457" spans="1:5" x14ac:dyDescent="0.15">
      <c r="A457" s="21">
        <v>41653</v>
      </c>
      <c r="B457" s="22" t="s">
        <v>40</v>
      </c>
      <c r="C457" s="22">
        <v>364.8</v>
      </c>
      <c r="D457" s="22" t="s">
        <v>39</v>
      </c>
      <c r="E457" t="str">
        <f t="shared" si="9"/>
        <v>2014年</v>
      </c>
    </row>
    <row r="458" spans="1:5" x14ac:dyDescent="0.15">
      <c r="A458" s="21">
        <v>41653</v>
      </c>
      <c r="B458" s="22" t="s">
        <v>37</v>
      </c>
      <c r="C458" s="22">
        <v>120</v>
      </c>
      <c r="D458" s="22" t="s">
        <v>39</v>
      </c>
      <c r="E458" t="str">
        <f t="shared" si="9"/>
        <v>2014年</v>
      </c>
    </row>
    <row r="459" spans="1:5" x14ac:dyDescent="0.15">
      <c r="A459" s="21">
        <v>41656</v>
      </c>
      <c r="B459" s="22" t="s">
        <v>36</v>
      </c>
      <c r="C459" s="22">
        <v>1550.3999987840652</v>
      </c>
      <c r="D459" s="22" t="s">
        <v>39</v>
      </c>
      <c r="E459" t="str">
        <f t="shared" si="9"/>
        <v>2014年</v>
      </c>
    </row>
    <row r="460" spans="1:5" x14ac:dyDescent="0.15">
      <c r="A460" s="21">
        <v>41656</v>
      </c>
      <c r="B460" s="22" t="s">
        <v>36</v>
      </c>
      <c r="C460" s="22">
        <v>547.19999957084656</v>
      </c>
      <c r="D460" s="22" t="s">
        <v>39</v>
      </c>
      <c r="E460" t="str">
        <f t="shared" si="9"/>
        <v>2014年</v>
      </c>
    </row>
    <row r="461" spans="1:5" x14ac:dyDescent="0.15">
      <c r="A461" s="21">
        <v>41657</v>
      </c>
      <c r="B461" s="22" t="s">
        <v>33</v>
      </c>
      <c r="C461" s="22">
        <v>1396.7999976873398</v>
      </c>
      <c r="D461" s="22" t="s">
        <v>39</v>
      </c>
      <c r="E461" t="str">
        <f t="shared" si="9"/>
        <v>2014年</v>
      </c>
    </row>
    <row r="462" spans="1:5" x14ac:dyDescent="0.15">
      <c r="A462" s="21">
        <v>41657</v>
      </c>
      <c r="B462" s="22" t="s">
        <v>38</v>
      </c>
      <c r="C462" s="22">
        <v>8.6399999856948853</v>
      </c>
      <c r="D462" s="22" t="s">
        <v>39</v>
      </c>
      <c r="E462" t="str">
        <f t="shared" si="9"/>
        <v>2014年</v>
      </c>
    </row>
    <row r="463" spans="1:5" x14ac:dyDescent="0.15">
      <c r="A463" s="21">
        <v>41657</v>
      </c>
      <c r="B463" s="22" t="s">
        <v>42</v>
      </c>
      <c r="C463" s="22">
        <v>86.399999856948853</v>
      </c>
      <c r="D463" s="22" t="s">
        <v>39</v>
      </c>
      <c r="E463" t="str">
        <f t="shared" si="9"/>
        <v>2014年</v>
      </c>
    </row>
    <row r="464" spans="1:5" x14ac:dyDescent="0.15">
      <c r="A464" s="21">
        <v>41657</v>
      </c>
      <c r="B464" s="22" t="s">
        <v>38</v>
      </c>
      <c r="C464" s="22">
        <v>215.99999964237213</v>
      </c>
      <c r="D464" s="22" t="s">
        <v>39</v>
      </c>
      <c r="E464" t="str">
        <f t="shared" si="9"/>
        <v>2014年</v>
      </c>
    </row>
    <row r="465" spans="1:5" x14ac:dyDescent="0.15">
      <c r="A465" s="21">
        <v>41657</v>
      </c>
      <c r="B465" s="22" t="s">
        <v>41</v>
      </c>
      <c r="C465" s="22">
        <v>24.819999825954437</v>
      </c>
      <c r="D465" s="22" t="s">
        <v>39</v>
      </c>
      <c r="E465" t="str">
        <f t="shared" si="9"/>
        <v>2014年</v>
      </c>
    </row>
    <row r="466" spans="1:5" x14ac:dyDescent="0.15">
      <c r="A466" s="21">
        <v>41657</v>
      </c>
      <c r="B466" s="22" t="s">
        <v>41</v>
      </c>
      <c r="C466" s="22">
        <v>747</v>
      </c>
      <c r="D466" s="22" t="s">
        <v>39</v>
      </c>
      <c r="E466" t="str">
        <f t="shared" si="9"/>
        <v>2014年</v>
      </c>
    </row>
    <row r="467" spans="1:5" x14ac:dyDescent="0.15">
      <c r="A467" s="21">
        <v>41657</v>
      </c>
      <c r="B467" s="22" t="s">
        <v>33</v>
      </c>
      <c r="C467" s="22">
        <v>334.04999765753746</v>
      </c>
      <c r="D467" s="22" t="s">
        <v>39</v>
      </c>
      <c r="E467" t="str">
        <f t="shared" si="9"/>
        <v>2014年</v>
      </c>
    </row>
    <row r="468" spans="1:5" x14ac:dyDescent="0.15">
      <c r="A468" s="21">
        <v>41657</v>
      </c>
      <c r="B468" s="22" t="s">
        <v>40</v>
      </c>
      <c r="C468" s="22">
        <v>88.399999380111694</v>
      </c>
      <c r="D468" s="22" t="s">
        <v>39</v>
      </c>
      <c r="E468" t="str">
        <f t="shared" si="9"/>
        <v>2014年</v>
      </c>
    </row>
    <row r="469" spans="1:5" x14ac:dyDescent="0.15">
      <c r="A469" s="21">
        <v>41658</v>
      </c>
      <c r="B469" s="22" t="s">
        <v>41</v>
      </c>
      <c r="C469" s="22">
        <v>49.8</v>
      </c>
      <c r="D469" s="22" t="s">
        <v>39</v>
      </c>
      <c r="E469" t="str">
        <f t="shared" si="9"/>
        <v>2014年</v>
      </c>
    </row>
    <row r="470" spans="1:5" x14ac:dyDescent="0.15">
      <c r="A470" s="21">
        <v>41659</v>
      </c>
      <c r="B470" s="22" t="s">
        <v>36</v>
      </c>
      <c r="C470" s="22">
        <v>140</v>
      </c>
      <c r="D470" s="22" t="s">
        <v>34</v>
      </c>
      <c r="E470" t="str">
        <f t="shared" si="9"/>
        <v>2014年</v>
      </c>
    </row>
    <row r="471" spans="1:5" x14ac:dyDescent="0.15">
      <c r="A471" s="21">
        <v>41659</v>
      </c>
      <c r="B471" s="22" t="s">
        <v>36</v>
      </c>
      <c r="C471" s="22">
        <v>880</v>
      </c>
      <c r="D471" s="22" t="s">
        <v>34</v>
      </c>
      <c r="E471" t="str">
        <f t="shared" si="9"/>
        <v>2014年</v>
      </c>
    </row>
    <row r="472" spans="1:5" x14ac:dyDescent="0.15">
      <c r="A472" s="21">
        <v>41659</v>
      </c>
      <c r="B472" s="22" t="s">
        <v>42</v>
      </c>
      <c r="C472" s="22">
        <v>691.19999742507935</v>
      </c>
      <c r="D472" s="22" t="s">
        <v>34</v>
      </c>
      <c r="E472" t="str">
        <f t="shared" si="9"/>
        <v>2014年</v>
      </c>
    </row>
    <row r="473" spans="1:5" x14ac:dyDescent="0.15">
      <c r="A473" s="21">
        <v>41659</v>
      </c>
      <c r="B473" s="22" t="s">
        <v>42</v>
      </c>
      <c r="C473" s="22">
        <v>8263.3599692165844</v>
      </c>
      <c r="D473" s="22" t="s">
        <v>34</v>
      </c>
      <c r="E473" t="str">
        <f t="shared" si="9"/>
        <v>2014年</v>
      </c>
    </row>
    <row r="474" spans="1:5" x14ac:dyDescent="0.15">
      <c r="A474" s="21">
        <v>41659</v>
      </c>
      <c r="B474" s="22" t="s">
        <v>41</v>
      </c>
      <c r="C474" s="22">
        <v>239.99999910593033</v>
      </c>
      <c r="D474" s="22" t="s">
        <v>34</v>
      </c>
      <c r="E474" t="str">
        <f t="shared" si="9"/>
        <v>2014年</v>
      </c>
    </row>
    <row r="475" spans="1:5" x14ac:dyDescent="0.15">
      <c r="A475" s="21">
        <v>41660</v>
      </c>
      <c r="B475" s="22" t="s">
        <v>33</v>
      </c>
      <c r="C475" s="22">
        <v>144</v>
      </c>
      <c r="D475" s="22" t="s">
        <v>34</v>
      </c>
      <c r="E475" t="str">
        <f t="shared" si="9"/>
        <v>2014年</v>
      </c>
    </row>
    <row r="476" spans="1:5" x14ac:dyDescent="0.15">
      <c r="A476" s="21">
        <v>41660</v>
      </c>
      <c r="B476" s="22" t="s">
        <v>42</v>
      </c>
      <c r="C476" s="22">
        <v>216</v>
      </c>
      <c r="D476" s="22" t="s">
        <v>34</v>
      </c>
      <c r="E476" t="str">
        <f t="shared" si="9"/>
        <v>2014年</v>
      </c>
    </row>
    <row r="477" spans="1:5" x14ac:dyDescent="0.15">
      <c r="A477" s="21">
        <v>41663</v>
      </c>
      <c r="B477" s="22" t="s">
        <v>35</v>
      </c>
      <c r="C477" s="22">
        <v>152</v>
      </c>
      <c r="D477" s="22" t="s">
        <v>39</v>
      </c>
      <c r="E477" t="str">
        <f t="shared" si="9"/>
        <v>2014年</v>
      </c>
    </row>
    <row r="478" spans="1:5" x14ac:dyDescent="0.15">
      <c r="A478" s="21">
        <v>41663</v>
      </c>
      <c r="B478" s="22" t="s">
        <v>35</v>
      </c>
      <c r="C478" s="22">
        <v>186.2</v>
      </c>
      <c r="D478" s="22" t="s">
        <v>39</v>
      </c>
      <c r="E478" t="str">
        <f t="shared" si="9"/>
        <v>2014年</v>
      </c>
    </row>
    <row r="479" spans="1:5" x14ac:dyDescent="0.15">
      <c r="A479" s="21">
        <v>41663</v>
      </c>
      <c r="B479" s="22" t="s">
        <v>37</v>
      </c>
      <c r="C479" s="22">
        <v>651</v>
      </c>
      <c r="D479" s="22" t="s">
        <v>39</v>
      </c>
      <c r="E479" t="str">
        <f t="shared" si="9"/>
        <v>2014年</v>
      </c>
    </row>
    <row r="480" spans="1:5" x14ac:dyDescent="0.15">
      <c r="A480" s="21">
        <v>41664</v>
      </c>
      <c r="B480" s="22" t="s">
        <v>38</v>
      </c>
      <c r="C480" s="22">
        <v>192</v>
      </c>
      <c r="D480" s="22" t="s">
        <v>34</v>
      </c>
      <c r="E480" t="str">
        <f t="shared" si="9"/>
        <v>2014年</v>
      </c>
    </row>
    <row r="481" spans="1:5" x14ac:dyDescent="0.15">
      <c r="A481" s="21">
        <v>41665</v>
      </c>
      <c r="B481" s="22" t="s">
        <v>41</v>
      </c>
      <c r="C481" s="22">
        <v>520</v>
      </c>
      <c r="D481" s="22" t="s">
        <v>39</v>
      </c>
      <c r="E481" t="str">
        <f t="shared" si="9"/>
        <v>2014年</v>
      </c>
    </row>
    <row r="482" spans="1:5" x14ac:dyDescent="0.15">
      <c r="A482" s="21">
        <v>41665</v>
      </c>
      <c r="B482" s="22" t="s">
        <v>40</v>
      </c>
      <c r="C482" s="22">
        <v>921.375</v>
      </c>
      <c r="D482" s="22" t="s">
        <v>39</v>
      </c>
      <c r="E482" t="str">
        <f t="shared" si="9"/>
        <v>2014年</v>
      </c>
    </row>
    <row r="483" spans="1:5" x14ac:dyDescent="0.15">
      <c r="A483" s="21">
        <v>41666</v>
      </c>
      <c r="B483" s="22" t="s">
        <v>33</v>
      </c>
      <c r="C483" s="22">
        <v>1123.1999958157539</v>
      </c>
      <c r="D483" s="22" t="s">
        <v>39</v>
      </c>
      <c r="E483" t="str">
        <f t="shared" si="9"/>
        <v>2014年</v>
      </c>
    </row>
    <row r="484" spans="1:5" x14ac:dyDescent="0.15">
      <c r="A484" s="21">
        <v>41666</v>
      </c>
      <c r="B484" s="22" t="s">
        <v>41</v>
      </c>
      <c r="C484" s="22">
        <v>400</v>
      </c>
      <c r="D484" s="22" t="s">
        <v>39</v>
      </c>
      <c r="E484" t="str">
        <f t="shared" si="9"/>
        <v>2014年</v>
      </c>
    </row>
    <row r="485" spans="1:5" x14ac:dyDescent="0.15">
      <c r="A485" s="21">
        <v>41666</v>
      </c>
      <c r="B485" s="22" t="s">
        <v>35</v>
      </c>
      <c r="C485" s="22">
        <v>912</v>
      </c>
      <c r="D485" s="22" t="s">
        <v>39</v>
      </c>
      <c r="E485" t="str">
        <f t="shared" si="9"/>
        <v>2014年</v>
      </c>
    </row>
    <row r="486" spans="1:5" x14ac:dyDescent="0.15">
      <c r="A486" s="21">
        <v>41666</v>
      </c>
      <c r="B486" s="22" t="s">
        <v>36</v>
      </c>
      <c r="C486" s="22">
        <v>2463.9999908208847</v>
      </c>
      <c r="D486" s="22" t="s">
        <v>39</v>
      </c>
      <c r="E486" t="str">
        <f t="shared" si="9"/>
        <v>2014年</v>
      </c>
    </row>
    <row r="487" spans="1:5" x14ac:dyDescent="0.15">
      <c r="A487" s="21">
        <v>41666</v>
      </c>
      <c r="B487" s="22" t="s">
        <v>33</v>
      </c>
      <c r="C487" s="22">
        <v>1170</v>
      </c>
      <c r="D487" s="22" t="s">
        <v>39</v>
      </c>
      <c r="E487" t="str">
        <f t="shared" si="9"/>
        <v>2014年</v>
      </c>
    </row>
    <row r="488" spans="1:5" x14ac:dyDescent="0.15">
      <c r="A488" s="21">
        <v>41666</v>
      </c>
      <c r="B488" s="22" t="s">
        <v>38</v>
      </c>
      <c r="C488" s="22">
        <v>551.25</v>
      </c>
      <c r="D488" s="22" t="s">
        <v>39</v>
      </c>
      <c r="E488" t="str">
        <f t="shared" si="9"/>
        <v>2014年</v>
      </c>
    </row>
    <row r="489" spans="1:5" x14ac:dyDescent="0.15">
      <c r="A489" s="21">
        <v>41666</v>
      </c>
      <c r="B489" s="22" t="s">
        <v>41</v>
      </c>
      <c r="C489" s="22">
        <v>171</v>
      </c>
      <c r="D489" s="22" t="s">
        <v>39</v>
      </c>
      <c r="E489" t="str">
        <f t="shared" si="9"/>
        <v>2014年</v>
      </c>
    </row>
    <row r="490" spans="1:5" x14ac:dyDescent="0.15">
      <c r="A490" s="21">
        <v>41667</v>
      </c>
      <c r="B490" s="22" t="s">
        <v>41</v>
      </c>
      <c r="C490" s="22">
        <v>249</v>
      </c>
      <c r="D490" s="22" t="s">
        <v>39</v>
      </c>
      <c r="E490" t="str">
        <f t="shared" si="9"/>
        <v>2014年</v>
      </c>
    </row>
    <row r="491" spans="1:5" x14ac:dyDescent="0.15">
      <c r="A491" s="21">
        <v>41667</v>
      </c>
      <c r="B491" s="22" t="s">
        <v>33</v>
      </c>
      <c r="C491" s="22">
        <v>236</v>
      </c>
      <c r="D491" s="22" t="s">
        <v>39</v>
      </c>
      <c r="E491" t="str">
        <f t="shared" si="9"/>
        <v>2014年</v>
      </c>
    </row>
    <row r="492" spans="1:5" x14ac:dyDescent="0.15">
      <c r="A492" s="21">
        <v>41670</v>
      </c>
      <c r="B492" s="22" t="s">
        <v>35</v>
      </c>
      <c r="C492" s="22">
        <v>851.2</v>
      </c>
      <c r="D492" s="22" t="s">
        <v>39</v>
      </c>
      <c r="E492" t="str">
        <f t="shared" si="9"/>
        <v>2014年</v>
      </c>
    </row>
    <row r="493" spans="1:5" x14ac:dyDescent="0.15">
      <c r="A493" s="21">
        <v>41670</v>
      </c>
      <c r="B493" s="22" t="s">
        <v>36</v>
      </c>
      <c r="C493" s="22">
        <v>100.8</v>
      </c>
      <c r="D493" s="22" t="s">
        <v>39</v>
      </c>
      <c r="E493" t="str">
        <f t="shared" si="9"/>
        <v>2014年</v>
      </c>
    </row>
    <row r="494" spans="1:5" x14ac:dyDescent="0.15">
      <c r="A494" s="21">
        <v>41670</v>
      </c>
      <c r="B494" s="22" t="s">
        <v>42</v>
      </c>
      <c r="C494" s="22">
        <v>220.3199984550476</v>
      </c>
      <c r="D494" s="22" t="s">
        <v>39</v>
      </c>
      <c r="E494" t="str">
        <f t="shared" si="9"/>
        <v>2014年</v>
      </c>
    </row>
    <row r="495" spans="1:5" x14ac:dyDescent="0.15">
      <c r="A495" s="21">
        <v>41671</v>
      </c>
      <c r="B495" s="22" t="s">
        <v>42</v>
      </c>
      <c r="C495" s="22">
        <v>152</v>
      </c>
      <c r="D495" s="22" t="s">
        <v>39</v>
      </c>
      <c r="E495" t="str">
        <f t="shared" si="9"/>
        <v>2014年</v>
      </c>
    </row>
    <row r="496" spans="1:5" x14ac:dyDescent="0.15">
      <c r="A496" s="21">
        <v>41671</v>
      </c>
      <c r="B496" s="22" t="s">
        <v>35</v>
      </c>
      <c r="C496" s="22">
        <v>201.6</v>
      </c>
      <c r="D496" s="22" t="s">
        <v>39</v>
      </c>
      <c r="E496" t="str">
        <f t="shared" si="9"/>
        <v>2014年</v>
      </c>
    </row>
    <row r="497" spans="1:5" x14ac:dyDescent="0.15">
      <c r="A497" s="21">
        <v>41671</v>
      </c>
      <c r="B497" s="22" t="s">
        <v>36</v>
      </c>
      <c r="C497" s="22">
        <v>278</v>
      </c>
      <c r="D497" s="22" t="s">
        <v>39</v>
      </c>
      <c r="E497" t="str">
        <f t="shared" si="9"/>
        <v>2014年</v>
      </c>
    </row>
    <row r="498" spans="1:5" x14ac:dyDescent="0.15">
      <c r="A498" s="21">
        <v>41672</v>
      </c>
      <c r="B498" s="22" t="s">
        <v>38</v>
      </c>
      <c r="C498" s="22">
        <v>48</v>
      </c>
      <c r="D498" s="22" t="s">
        <v>39</v>
      </c>
      <c r="E498" t="str">
        <f t="shared" si="9"/>
        <v>2014年</v>
      </c>
    </row>
    <row r="499" spans="1:5" x14ac:dyDescent="0.15">
      <c r="A499" s="21">
        <v>41672</v>
      </c>
      <c r="B499" s="22" t="s">
        <v>35</v>
      </c>
      <c r="C499" s="22">
        <v>1094.3999981880188</v>
      </c>
      <c r="D499" s="22" t="s">
        <v>39</v>
      </c>
      <c r="E499" t="str">
        <f t="shared" si="9"/>
        <v>2014年</v>
      </c>
    </row>
    <row r="500" spans="1:5" x14ac:dyDescent="0.15">
      <c r="A500" s="21">
        <v>41672</v>
      </c>
      <c r="B500" s="22" t="s">
        <v>35</v>
      </c>
      <c r="C500" s="22">
        <v>718.19999881088734</v>
      </c>
      <c r="D500" s="22" t="s">
        <v>39</v>
      </c>
      <c r="E500" t="str">
        <f t="shared" si="9"/>
        <v>2014年</v>
      </c>
    </row>
    <row r="501" spans="1:5" x14ac:dyDescent="0.15">
      <c r="A501" s="21">
        <v>41672</v>
      </c>
      <c r="B501" s="22" t="s">
        <v>42</v>
      </c>
      <c r="C501" s="22">
        <v>133.91999977827072</v>
      </c>
      <c r="D501" s="22" t="s">
        <v>39</v>
      </c>
      <c r="E501" t="str">
        <f t="shared" si="9"/>
        <v>2014年</v>
      </c>
    </row>
    <row r="502" spans="1:5" x14ac:dyDescent="0.15">
      <c r="A502" s="21">
        <v>41672</v>
      </c>
      <c r="B502" s="22" t="s">
        <v>33</v>
      </c>
      <c r="C502" s="22">
        <v>393</v>
      </c>
      <c r="D502" s="22" t="s">
        <v>39</v>
      </c>
      <c r="E502" t="str">
        <f t="shared" si="9"/>
        <v>2014年</v>
      </c>
    </row>
    <row r="503" spans="1:5" x14ac:dyDescent="0.15">
      <c r="A503" s="21">
        <v>41673</v>
      </c>
      <c r="B503" s="22" t="s">
        <v>41</v>
      </c>
      <c r="C503" s="22">
        <v>87.59999967366457</v>
      </c>
      <c r="D503" s="22" t="s">
        <v>39</v>
      </c>
      <c r="E503" t="str">
        <f t="shared" si="9"/>
        <v>2014年</v>
      </c>
    </row>
    <row r="504" spans="1:5" x14ac:dyDescent="0.15">
      <c r="A504" s="21">
        <v>41673</v>
      </c>
      <c r="B504" s="22" t="s">
        <v>42</v>
      </c>
      <c r="C504" s="22">
        <v>179.19999933242798</v>
      </c>
      <c r="D504" s="22" t="s">
        <v>39</v>
      </c>
      <c r="E504" t="str">
        <f t="shared" si="9"/>
        <v>2014年</v>
      </c>
    </row>
    <row r="505" spans="1:5" x14ac:dyDescent="0.15">
      <c r="A505" s="21">
        <v>41673</v>
      </c>
      <c r="B505" s="22" t="s">
        <v>35</v>
      </c>
      <c r="C505" s="22">
        <v>187.19999930262566</v>
      </c>
      <c r="D505" s="22" t="s">
        <v>39</v>
      </c>
      <c r="E505" t="str">
        <f t="shared" si="9"/>
        <v>2014年</v>
      </c>
    </row>
    <row r="506" spans="1:5" x14ac:dyDescent="0.15">
      <c r="A506" s="21">
        <v>41674</v>
      </c>
      <c r="B506" s="22" t="s">
        <v>36</v>
      </c>
      <c r="C506" s="22">
        <v>456</v>
      </c>
      <c r="D506" s="22" t="s">
        <v>34</v>
      </c>
      <c r="E506" t="str">
        <f t="shared" si="9"/>
        <v>2014年</v>
      </c>
    </row>
    <row r="507" spans="1:5" x14ac:dyDescent="0.15">
      <c r="A507" s="21">
        <v>41674</v>
      </c>
      <c r="B507" s="22" t="s">
        <v>41</v>
      </c>
      <c r="C507" s="22">
        <v>222.4</v>
      </c>
      <c r="D507" s="22" t="s">
        <v>34</v>
      </c>
      <c r="E507" t="str">
        <f t="shared" si="9"/>
        <v>2014年</v>
      </c>
    </row>
    <row r="508" spans="1:5" x14ac:dyDescent="0.15">
      <c r="A508" s="21">
        <v>41674</v>
      </c>
      <c r="B508" s="22" t="s">
        <v>35</v>
      </c>
      <c r="C508" s="22">
        <v>159.6</v>
      </c>
      <c r="D508" s="22" t="s">
        <v>34</v>
      </c>
      <c r="E508" t="str">
        <f t="shared" si="9"/>
        <v>2014年</v>
      </c>
    </row>
    <row r="509" spans="1:5" x14ac:dyDescent="0.15">
      <c r="A509" s="21">
        <v>41674</v>
      </c>
      <c r="B509" s="22" t="s">
        <v>37</v>
      </c>
      <c r="C509" s="22">
        <v>240</v>
      </c>
      <c r="D509" s="22" t="s">
        <v>34</v>
      </c>
      <c r="E509" t="str">
        <f t="shared" si="9"/>
        <v>2014年</v>
      </c>
    </row>
    <row r="510" spans="1:5" x14ac:dyDescent="0.15">
      <c r="A510" s="21">
        <v>41677</v>
      </c>
      <c r="B510" s="22" t="s">
        <v>42</v>
      </c>
      <c r="C510" s="22">
        <v>581.3999959230423</v>
      </c>
      <c r="D510" s="22" t="s">
        <v>39</v>
      </c>
      <c r="E510" t="str">
        <f t="shared" si="9"/>
        <v>2014年</v>
      </c>
    </row>
    <row r="511" spans="1:5" x14ac:dyDescent="0.15">
      <c r="A511" s="21">
        <v>41677</v>
      </c>
      <c r="B511" s="22" t="s">
        <v>41</v>
      </c>
      <c r="C511" s="22">
        <v>578.93499594032767</v>
      </c>
      <c r="D511" s="22" t="s">
        <v>39</v>
      </c>
      <c r="E511" t="str">
        <f t="shared" si="9"/>
        <v>2014年</v>
      </c>
    </row>
    <row r="512" spans="1:5" x14ac:dyDescent="0.15">
      <c r="A512" s="21">
        <v>41677</v>
      </c>
      <c r="B512" s="22" t="s">
        <v>33</v>
      </c>
      <c r="C512" s="22">
        <v>2019.5999858379364</v>
      </c>
      <c r="D512" s="22" t="s">
        <v>39</v>
      </c>
      <c r="E512" t="str">
        <f t="shared" si="9"/>
        <v>2014年</v>
      </c>
    </row>
    <row r="513" spans="1:5" x14ac:dyDescent="0.15">
      <c r="A513" s="21">
        <v>41677</v>
      </c>
      <c r="B513" s="22" t="s">
        <v>40</v>
      </c>
      <c r="C513" s="22">
        <v>1744.1999877691269</v>
      </c>
      <c r="D513" s="22" t="s">
        <v>39</v>
      </c>
      <c r="E513" t="str">
        <f t="shared" si="9"/>
        <v>2014年</v>
      </c>
    </row>
    <row r="514" spans="1:5" x14ac:dyDescent="0.15">
      <c r="A514" s="21">
        <v>41677</v>
      </c>
      <c r="B514" s="22" t="s">
        <v>41</v>
      </c>
      <c r="C514" s="22">
        <v>1755</v>
      </c>
      <c r="D514" s="22" t="s">
        <v>39</v>
      </c>
      <c r="E514" t="str">
        <f t="shared" ref="E514:E577" si="10">YEAR(A514)&amp;"年"</f>
        <v>2014年</v>
      </c>
    </row>
    <row r="515" spans="1:5" x14ac:dyDescent="0.15">
      <c r="A515" s="21">
        <v>41678</v>
      </c>
      <c r="B515" s="22" t="s">
        <v>36</v>
      </c>
      <c r="C515" s="22">
        <v>504</v>
      </c>
      <c r="D515" s="22" t="s">
        <v>39</v>
      </c>
      <c r="E515" t="str">
        <f t="shared" si="10"/>
        <v>2014年</v>
      </c>
    </row>
    <row r="516" spans="1:5" x14ac:dyDescent="0.15">
      <c r="A516" s="21">
        <v>41678</v>
      </c>
      <c r="B516" s="22" t="s">
        <v>33</v>
      </c>
      <c r="C516" s="22">
        <v>472</v>
      </c>
      <c r="D516" s="22" t="s">
        <v>39</v>
      </c>
      <c r="E516" t="str">
        <f t="shared" si="10"/>
        <v>2014年</v>
      </c>
    </row>
    <row r="517" spans="1:5" x14ac:dyDescent="0.15">
      <c r="A517" s="21">
        <v>41678</v>
      </c>
      <c r="B517" s="22" t="s">
        <v>40</v>
      </c>
      <c r="C517" s="22">
        <v>816</v>
      </c>
      <c r="D517" s="22" t="s">
        <v>39</v>
      </c>
      <c r="E517" t="str">
        <f t="shared" si="10"/>
        <v>2014年</v>
      </c>
    </row>
    <row r="518" spans="1:5" x14ac:dyDescent="0.15">
      <c r="A518" s="21">
        <v>41679</v>
      </c>
      <c r="B518" s="22" t="s">
        <v>36</v>
      </c>
      <c r="C518" s="22">
        <v>80.639999699592593</v>
      </c>
      <c r="D518" s="22" t="s">
        <v>39</v>
      </c>
      <c r="E518" t="str">
        <f t="shared" si="10"/>
        <v>2014年</v>
      </c>
    </row>
    <row r="519" spans="1:5" x14ac:dyDescent="0.15">
      <c r="A519" s="21">
        <v>41679</v>
      </c>
      <c r="B519" s="22" t="s">
        <v>37</v>
      </c>
      <c r="C519" s="22">
        <v>436.8</v>
      </c>
      <c r="D519" s="22" t="s">
        <v>39</v>
      </c>
      <c r="E519" t="str">
        <f t="shared" si="10"/>
        <v>2014年</v>
      </c>
    </row>
    <row r="520" spans="1:5" x14ac:dyDescent="0.15">
      <c r="A520" s="21">
        <v>41679</v>
      </c>
      <c r="B520" s="22" t="s">
        <v>33</v>
      </c>
      <c r="C520" s="22">
        <v>312</v>
      </c>
      <c r="D520" s="22" t="s">
        <v>39</v>
      </c>
      <c r="E520" t="str">
        <f t="shared" si="10"/>
        <v>2014年</v>
      </c>
    </row>
    <row r="521" spans="1:5" x14ac:dyDescent="0.15">
      <c r="A521" s="21">
        <v>41679</v>
      </c>
      <c r="B521" s="22" t="s">
        <v>41</v>
      </c>
      <c r="C521" s="22">
        <v>373.5</v>
      </c>
      <c r="D521" s="22" t="s">
        <v>39</v>
      </c>
      <c r="E521" t="str">
        <f t="shared" si="10"/>
        <v>2014年</v>
      </c>
    </row>
    <row r="522" spans="1:5" x14ac:dyDescent="0.15">
      <c r="A522" s="21">
        <v>41679</v>
      </c>
      <c r="B522" s="22" t="s">
        <v>42</v>
      </c>
      <c r="C522" s="22">
        <v>115.2</v>
      </c>
      <c r="D522" s="22" t="s">
        <v>39</v>
      </c>
      <c r="E522" t="str">
        <f t="shared" si="10"/>
        <v>2014年</v>
      </c>
    </row>
    <row r="523" spans="1:5" x14ac:dyDescent="0.15">
      <c r="A523" s="21">
        <v>41679</v>
      </c>
      <c r="B523" s="22" t="s">
        <v>38</v>
      </c>
      <c r="C523" s="22">
        <v>231</v>
      </c>
      <c r="D523" s="22" t="s">
        <v>39</v>
      </c>
      <c r="E523" t="str">
        <f t="shared" si="10"/>
        <v>2014年</v>
      </c>
    </row>
    <row r="524" spans="1:5" x14ac:dyDescent="0.15">
      <c r="A524" s="21">
        <v>41680</v>
      </c>
      <c r="B524" s="22" t="s">
        <v>42</v>
      </c>
      <c r="C524" s="22">
        <v>86.4</v>
      </c>
      <c r="D524" s="22" t="s">
        <v>39</v>
      </c>
      <c r="E524" t="str">
        <f t="shared" si="10"/>
        <v>2014年</v>
      </c>
    </row>
    <row r="525" spans="1:5" x14ac:dyDescent="0.15">
      <c r="A525" s="21">
        <v>41680</v>
      </c>
      <c r="B525" s="22" t="s">
        <v>33</v>
      </c>
      <c r="C525" s="22">
        <v>88.5</v>
      </c>
      <c r="D525" s="22" t="s">
        <v>39</v>
      </c>
      <c r="E525" t="str">
        <f t="shared" si="10"/>
        <v>2014年</v>
      </c>
    </row>
    <row r="526" spans="1:5" x14ac:dyDescent="0.15">
      <c r="A526" s="21">
        <v>41681</v>
      </c>
      <c r="B526" s="22" t="s">
        <v>41</v>
      </c>
      <c r="C526" s="22">
        <v>78.839999869465828</v>
      </c>
      <c r="D526" s="22" t="s">
        <v>34</v>
      </c>
      <c r="E526" t="str">
        <f t="shared" si="10"/>
        <v>2014年</v>
      </c>
    </row>
    <row r="527" spans="1:5" x14ac:dyDescent="0.15">
      <c r="A527" s="21">
        <v>41681</v>
      </c>
      <c r="B527" s="22" t="s">
        <v>42</v>
      </c>
      <c r="C527" s="22">
        <v>64.799999892711639</v>
      </c>
      <c r="D527" s="22" t="s">
        <v>34</v>
      </c>
      <c r="E527" t="str">
        <f t="shared" si="10"/>
        <v>2014年</v>
      </c>
    </row>
    <row r="528" spans="1:5" x14ac:dyDescent="0.15">
      <c r="A528" s="21">
        <v>41681</v>
      </c>
      <c r="B528" s="22" t="s">
        <v>36</v>
      </c>
      <c r="C528" s="22">
        <v>26.999999955296516</v>
      </c>
      <c r="D528" s="22" t="s">
        <v>34</v>
      </c>
      <c r="E528" t="str">
        <f t="shared" si="10"/>
        <v>2014年</v>
      </c>
    </row>
    <row r="529" spans="1:5" x14ac:dyDescent="0.15">
      <c r="A529" s="21">
        <v>41681</v>
      </c>
      <c r="B529" s="22" t="s">
        <v>35</v>
      </c>
      <c r="C529" s="22">
        <v>75.599999874830246</v>
      </c>
      <c r="D529" s="22" t="s">
        <v>34</v>
      </c>
      <c r="E529" t="str">
        <f t="shared" si="10"/>
        <v>2014年</v>
      </c>
    </row>
    <row r="530" spans="1:5" x14ac:dyDescent="0.15">
      <c r="A530" s="21">
        <v>41681</v>
      </c>
      <c r="B530" s="22" t="s">
        <v>41</v>
      </c>
      <c r="C530" s="22">
        <v>292</v>
      </c>
      <c r="D530" s="22" t="s">
        <v>39</v>
      </c>
      <c r="E530" t="str">
        <f t="shared" si="10"/>
        <v>2014年</v>
      </c>
    </row>
    <row r="531" spans="1:5" x14ac:dyDescent="0.15">
      <c r="A531" s="21">
        <v>41681</v>
      </c>
      <c r="B531" s="22" t="s">
        <v>40</v>
      </c>
      <c r="C531" s="22">
        <v>588</v>
      </c>
      <c r="D531" s="22" t="s">
        <v>39</v>
      </c>
      <c r="E531" t="str">
        <f t="shared" si="10"/>
        <v>2014年</v>
      </c>
    </row>
    <row r="532" spans="1:5" x14ac:dyDescent="0.15">
      <c r="A532" s="21">
        <v>41681</v>
      </c>
      <c r="B532" s="22" t="s">
        <v>36</v>
      </c>
      <c r="C532" s="22">
        <v>34.4</v>
      </c>
      <c r="D532" s="22" t="s">
        <v>39</v>
      </c>
      <c r="E532" t="str">
        <f t="shared" si="10"/>
        <v>2014年</v>
      </c>
    </row>
    <row r="533" spans="1:5" x14ac:dyDescent="0.15">
      <c r="A533" s="21">
        <v>41684</v>
      </c>
      <c r="B533" s="22" t="s">
        <v>41</v>
      </c>
      <c r="C533" s="22">
        <v>149.4</v>
      </c>
      <c r="D533" s="22" t="s">
        <v>39</v>
      </c>
      <c r="E533" t="str">
        <f t="shared" si="10"/>
        <v>2014年</v>
      </c>
    </row>
    <row r="534" spans="1:5" x14ac:dyDescent="0.15">
      <c r="A534" s="21">
        <v>41684</v>
      </c>
      <c r="B534" s="22" t="s">
        <v>38</v>
      </c>
      <c r="C534" s="22">
        <v>294</v>
      </c>
      <c r="D534" s="22" t="s">
        <v>39</v>
      </c>
      <c r="E534" t="str">
        <f t="shared" si="10"/>
        <v>2014年</v>
      </c>
    </row>
    <row r="535" spans="1:5" x14ac:dyDescent="0.15">
      <c r="A535" s="21">
        <v>41685</v>
      </c>
      <c r="B535" s="22" t="s">
        <v>38</v>
      </c>
      <c r="C535" s="22">
        <v>347.2</v>
      </c>
      <c r="D535" s="22" t="s">
        <v>39</v>
      </c>
      <c r="E535" t="str">
        <f t="shared" si="10"/>
        <v>2014年</v>
      </c>
    </row>
    <row r="536" spans="1:5" x14ac:dyDescent="0.15">
      <c r="A536" s="21">
        <v>41685</v>
      </c>
      <c r="B536" s="22" t="s">
        <v>35</v>
      </c>
      <c r="C536" s="22">
        <v>112</v>
      </c>
      <c r="D536" s="22" t="s">
        <v>39</v>
      </c>
      <c r="E536" t="str">
        <f t="shared" si="10"/>
        <v>2014年</v>
      </c>
    </row>
    <row r="537" spans="1:5" x14ac:dyDescent="0.15">
      <c r="A537" s="21">
        <v>41685</v>
      </c>
      <c r="B537" s="22" t="s">
        <v>41</v>
      </c>
      <c r="C537" s="22">
        <v>1379</v>
      </c>
      <c r="D537" s="22" t="s">
        <v>39</v>
      </c>
      <c r="E537" t="str">
        <f t="shared" si="10"/>
        <v>2014年</v>
      </c>
    </row>
    <row r="538" spans="1:5" x14ac:dyDescent="0.15">
      <c r="A538" s="21">
        <v>41686</v>
      </c>
      <c r="B538" s="22" t="s">
        <v>38</v>
      </c>
      <c r="C538" s="22">
        <v>396.79999852180481</v>
      </c>
      <c r="D538" s="22" t="s">
        <v>39</v>
      </c>
      <c r="E538" t="str">
        <f t="shared" si="10"/>
        <v>2014年</v>
      </c>
    </row>
    <row r="539" spans="1:5" x14ac:dyDescent="0.15">
      <c r="A539" s="21">
        <v>41686</v>
      </c>
      <c r="B539" s="22" t="s">
        <v>33</v>
      </c>
      <c r="C539" s="22">
        <v>28.31999989449978</v>
      </c>
      <c r="D539" s="22" t="s">
        <v>39</v>
      </c>
      <c r="E539" t="str">
        <f t="shared" si="10"/>
        <v>2014年</v>
      </c>
    </row>
    <row r="540" spans="1:5" x14ac:dyDescent="0.15">
      <c r="A540" s="21">
        <v>41686</v>
      </c>
      <c r="B540" s="22" t="s">
        <v>33</v>
      </c>
      <c r="C540" s="22">
        <v>2073.5999965667725</v>
      </c>
      <c r="D540" s="22" t="s">
        <v>39</v>
      </c>
      <c r="E540" t="str">
        <f t="shared" si="10"/>
        <v>2014年</v>
      </c>
    </row>
    <row r="541" spans="1:5" x14ac:dyDescent="0.15">
      <c r="A541" s="21">
        <v>41686</v>
      </c>
      <c r="B541" s="22" t="s">
        <v>35</v>
      </c>
      <c r="C541" s="22">
        <v>837.89999861270189</v>
      </c>
      <c r="D541" s="22" t="s">
        <v>39</v>
      </c>
      <c r="E541" t="str">
        <f t="shared" si="10"/>
        <v>2014年</v>
      </c>
    </row>
    <row r="542" spans="1:5" x14ac:dyDescent="0.15">
      <c r="A542" s="21">
        <v>41686</v>
      </c>
      <c r="B542" s="22" t="s">
        <v>40</v>
      </c>
      <c r="C542" s="22">
        <v>423.35999929904938</v>
      </c>
      <c r="D542" s="22" t="s">
        <v>39</v>
      </c>
      <c r="E542" t="str">
        <f t="shared" si="10"/>
        <v>2014年</v>
      </c>
    </row>
    <row r="543" spans="1:5" x14ac:dyDescent="0.15">
      <c r="A543" s="21">
        <v>41686</v>
      </c>
      <c r="B543" s="22" t="s">
        <v>40</v>
      </c>
      <c r="C543" s="22">
        <v>514.79999914765358</v>
      </c>
      <c r="D543" s="22" t="s">
        <v>39</v>
      </c>
      <c r="E543" t="str">
        <f t="shared" si="10"/>
        <v>2014年</v>
      </c>
    </row>
    <row r="544" spans="1:5" x14ac:dyDescent="0.15">
      <c r="A544" s="21">
        <v>41687</v>
      </c>
      <c r="B544" s="22" t="s">
        <v>37</v>
      </c>
      <c r="C544" s="22">
        <v>546</v>
      </c>
      <c r="D544" s="22" t="s">
        <v>39</v>
      </c>
      <c r="E544" t="str">
        <f t="shared" si="10"/>
        <v>2014年</v>
      </c>
    </row>
    <row r="545" spans="1:5" x14ac:dyDescent="0.15">
      <c r="A545" s="21">
        <v>41687</v>
      </c>
      <c r="B545" s="22" t="s">
        <v>40</v>
      </c>
      <c r="C545" s="22">
        <v>1472.49999884516</v>
      </c>
      <c r="D545" s="22" t="s">
        <v>39</v>
      </c>
      <c r="E545" t="str">
        <f t="shared" si="10"/>
        <v>2014年</v>
      </c>
    </row>
    <row r="546" spans="1:5" x14ac:dyDescent="0.15">
      <c r="A546" s="21">
        <v>41688</v>
      </c>
      <c r="B546" s="22" t="s">
        <v>41</v>
      </c>
      <c r="C546" s="22">
        <v>137.69999977201223</v>
      </c>
      <c r="D546" s="22" t="s">
        <v>39</v>
      </c>
      <c r="E546" t="str">
        <f t="shared" si="10"/>
        <v>2014年</v>
      </c>
    </row>
    <row r="547" spans="1:5" x14ac:dyDescent="0.15">
      <c r="A547" s="21">
        <v>41688</v>
      </c>
      <c r="B547" s="22" t="s">
        <v>42</v>
      </c>
      <c r="C547" s="22">
        <v>269.99999955296516</v>
      </c>
      <c r="D547" s="22" t="s">
        <v>39</v>
      </c>
      <c r="E547" t="str">
        <f t="shared" si="10"/>
        <v>2014年</v>
      </c>
    </row>
    <row r="548" spans="1:5" x14ac:dyDescent="0.15">
      <c r="A548" s="21">
        <v>41688</v>
      </c>
      <c r="B548" s="22" t="s">
        <v>41</v>
      </c>
      <c r="C548" s="22">
        <v>222.39999917149544</v>
      </c>
      <c r="D548" s="22" t="s">
        <v>39</v>
      </c>
      <c r="E548" t="str">
        <f t="shared" si="10"/>
        <v>2014年</v>
      </c>
    </row>
    <row r="549" spans="1:5" x14ac:dyDescent="0.15">
      <c r="A549" s="21">
        <v>41688</v>
      </c>
      <c r="B549" s="22" t="s">
        <v>36</v>
      </c>
      <c r="C549" s="22">
        <v>31.99999988079071</v>
      </c>
      <c r="D549" s="22" t="s">
        <v>39</v>
      </c>
      <c r="E549" t="str">
        <f t="shared" si="10"/>
        <v>2014年</v>
      </c>
    </row>
    <row r="550" spans="1:5" x14ac:dyDescent="0.15">
      <c r="A550" s="21">
        <v>41688</v>
      </c>
      <c r="B550" s="22" t="s">
        <v>38</v>
      </c>
      <c r="C550" s="22">
        <v>76.799999713897705</v>
      </c>
      <c r="D550" s="22" t="s">
        <v>39</v>
      </c>
      <c r="E550" t="str">
        <f t="shared" si="10"/>
        <v>2014年</v>
      </c>
    </row>
    <row r="551" spans="1:5" x14ac:dyDescent="0.15">
      <c r="A551" s="21">
        <v>41691</v>
      </c>
      <c r="B551" s="22" t="s">
        <v>42</v>
      </c>
      <c r="C551" s="22">
        <v>288</v>
      </c>
      <c r="D551" s="22" t="s">
        <v>39</v>
      </c>
      <c r="E551" t="str">
        <f t="shared" si="10"/>
        <v>2014年</v>
      </c>
    </row>
    <row r="552" spans="1:5" x14ac:dyDescent="0.15">
      <c r="A552" s="21">
        <v>41691</v>
      </c>
      <c r="B552" s="22" t="s">
        <v>33</v>
      </c>
      <c r="C552" s="22">
        <v>1310</v>
      </c>
      <c r="D552" s="22" t="s">
        <v>39</v>
      </c>
      <c r="E552" t="str">
        <f t="shared" si="10"/>
        <v>2014年</v>
      </c>
    </row>
    <row r="553" spans="1:5" x14ac:dyDescent="0.15">
      <c r="A553" s="21">
        <v>41691</v>
      </c>
      <c r="B553" s="22" t="s">
        <v>40</v>
      </c>
      <c r="C553" s="22">
        <v>570</v>
      </c>
      <c r="D553" s="22" t="s">
        <v>39</v>
      </c>
      <c r="E553" t="str">
        <f t="shared" si="10"/>
        <v>2014年</v>
      </c>
    </row>
    <row r="554" spans="1:5" x14ac:dyDescent="0.15">
      <c r="A554" s="21">
        <v>41691</v>
      </c>
      <c r="B554" s="22" t="s">
        <v>36</v>
      </c>
      <c r="C554" s="22">
        <v>516</v>
      </c>
      <c r="D554" s="22" t="s">
        <v>39</v>
      </c>
      <c r="E554" t="str">
        <f t="shared" si="10"/>
        <v>2014年</v>
      </c>
    </row>
    <row r="555" spans="1:5" x14ac:dyDescent="0.15">
      <c r="A555" s="21">
        <v>41692</v>
      </c>
      <c r="B555" s="22" t="s">
        <v>41</v>
      </c>
      <c r="C555" s="22">
        <v>271.99999809265137</v>
      </c>
      <c r="D555" s="22" t="s">
        <v>39</v>
      </c>
      <c r="E555" t="str">
        <f t="shared" si="10"/>
        <v>2014年</v>
      </c>
    </row>
    <row r="556" spans="1:5" x14ac:dyDescent="0.15">
      <c r="A556" s="21">
        <v>41692</v>
      </c>
      <c r="B556" s="22" t="s">
        <v>41</v>
      </c>
      <c r="C556" s="22">
        <v>285.59999799728394</v>
      </c>
      <c r="D556" s="22" t="s">
        <v>39</v>
      </c>
      <c r="E556" t="str">
        <f t="shared" si="10"/>
        <v>2014年</v>
      </c>
    </row>
    <row r="557" spans="1:5" x14ac:dyDescent="0.15">
      <c r="A557" s="21">
        <v>41692</v>
      </c>
      <c r="B557" s="22" t="s">
        <v>36</v>
      </c>
      <c r="C557" s="22">
        <v>1584</v>
      </c>
      <c r="D557" s="22" t="s">
        <v>39</v>
      </c>
      <c r="E557" t="str">
        <f t="shared" si="10"/>
        <v>2014年</v>
      </c>
    </row>
    <row r="558" spans="1:5" x14ac:dyDescent="0.15">
      <c r="A558" s="21">
        <v>41693</v>
      </c>
      <c r="B558" s="22" t="s">
        <v>41</v>
      </c>
      <c r="C558" s="22">
        <v>747</v>
      </c>
      <c r="D558" s="22" t="s">
        <v>34</v>
      </c>
      <c r="E558" t="str">
        <f t="shared" si="10"/>
        <v>2014年</v>
      </c>
    </row>
    <row r="559" spans="1:5" x14ac:dyDescent="0.15">
      <c r="A559" s="21">
        <v>41693</v>
      </c>
      <c r="B559" s="22" t="s">
        <v>37</v>
      </c>
      <c r="C559" s="22">
        <v>1092</v>
      </c>
      <c r="D559" s="22" t="s">
        <v>34</v>
      </c>
      <c r="E559" t="str">
        <f t="shared" si="10"/>
        <v>2014年</v>
      </c>
    </row>
    <row r="560" spans="1:5" x14ac:dyDescent="0.15">
      <c r="A560" s="21">
        <v>41693</v>
      </c>
      <c r="B560" s="22" t="s">
        <v>42</v>
      </c>
      <c r="C560" s="22">
        <v>736</v>
      </c>
      <c r="D560" s="22" t="s">
        <v>34</v>
      </c>
      <c r="E560" t="str">
        <f t="shared" si="10"/>
        <v>2014年</v>
      </c>
    </row>
    <row r="561" spans="1:5" x14ac:dyDescent="0.15">
      <c r="A561" s="21">
        <v>41693</v>
      </c>
      <c r="B561" s="22" t="s">
        <v>35</v>
      </c>
      <c r="C561" s="22">
        <v>456</v>
      </c>
      <c r="D561" s="22" t="s">
        <v>34</v>
      </c>
      <c r="E561" t="str">
        <f t="shared" si="10"/>
        <v>2014年</v>
      </c>
    </row>
    <row r="562" spans="1:5" x14ac:dyDescent="0.15">
      <c r="A562" s="21">
        <v>41693</v>
      </c>
      <c r="B562" s="22" t="s">
        <v>36</v>
      </c>
      <c r="C562" s="22">
        <v>860</v>
      </c>
      <c r="D562" s="22" t="s">
        <v>34</v>
      </c>
      <c r="E562" t="str">
        <f t="shared" si="10"/>
        <v>2014年</v>
      </c>
    </row>
    <row r="563" spans="1:5" x14ac:dyDescent="0.15">
      <c r="A563" s="21">
        <v>41694</v>
      </c>
      <c r="B563" s="22" t="s">
        <v>37</v>
      </c>
      <c r="C563" s="22">
        <v>364.79999971389771</v>
      </c>
      <c r="D563" s="22" t="s">
        <v>39</v>
      </c>
      <c r="E563" t="str">
        <f t="shared" si="10"/>
        <v>2014年</v>
      </c>
    </row>
    <row r="564" spans="1:5" x14ac:dyDescent="0.15">
      <c r="A564" s="21">
        <v>41694</v>
      </c>
      <c r="B564" s="22" t="s">
        <v>38</v>
      </c>
      <c r="C564" s="22">
        <v>182.39999985694885</v>
      </c>
      <c r="D564" s="22" t="s">
        <v>39</v>
      </c>
      <c r="E564" t="str">
        <f t="shared" si="10"/>
        <v>2014年</v>
      </c>
    </row>
    <row r="565" spans="1:5" x14ac:dyDescent="0.15">
      <c r="A565" s="21">
        <v>41694</v>
      </c>
      <c r="B565" s="22" t="s">
        <v>36</v>
      </c>
      <c r="C565" s="22">
        <v>1112</v>
      </c>
      <c r="D565" s="22" t="s">
        <v>39</v>
      </c>
      <c r="E565" t="str">
        <f t="shared" si="10"/>
        <v>2014年</v>
      </c>
    </row>
    <row r="566" spans="1:5" x14ac:dyDescent="0.15">
      <c r="A566" s="21">
        <v>41695</v>
      </c>
      <c r="B566" s="22" t="s">
        <v>41</v>
      </c>
      <c r="C566" s="22">
        <v>157.5</v>
      </c>
      <c r="D566" s="22" t="s">
        <v>39</v>
      </c>
      <c r="E566" t="str">
        <f t="shared" si="10"/>
        <v>2014年</v>
      </c>
    </row>
    <row r="567" spans="1:5" x14ac:dyDescent="0.15">
      <c r="A567" s="21">
        <v>41695</v>
      </c>
      <c r="B567" s="22" t="s">
        <v>42</v>
      </c>
      <c r="C567" s="22">
        <v>18.600000000000001</v>
      </c>
      <c r="D567" s="22" t="s">
        <v>39</v>
      </c>
      <c r="E567" t="str">
        <f t="shared" si="10"/>
        <v>2014年</v>
      </c>
    </row>
    <row r="568" spans="1:5" x14ac:dyDescent="0.15">
      <c r="A568" s="21">
        <v>41695</v>
      </c>
      <c r="B568" s="22" t="s">
        <v>41</v>
      </c>
      <c r="C568" s="22">
        <v>240</v>
      </c>
      <c r="D568" s="22" t="s">
        <v>39</v>
      </c>
      <c r="E568" t="str">
        <f t="shared" si="10"/>
        <v>2014年</v>
      </c>
    </row>
    <row r="569" spans="1:5" x14ac:dyDescent="0.15">
      <c r="A569" s="21">
        <v>41695</v>
      </c>
      <c r="B569" s="22" t="s">
        <v>38</v>
      </c>
      <c r="C569" s="22">
        <v>434.7</v>
      </c>
      <c r="D569" s="22" t="s">
        <v>39</v>
      </c>
      <c r="E569" t="str">
        <f t="shared" si="10"/>
        <v>2014年</v>
      </c>
    </row>
    <row r="570" spans="1:5" x14ac:dyDescent="0.15">
      <c r="A570" s="21">
        <v>41695</v>
      </c>
      <c r="B570" s="22" t="s">
        <v>33</v>
      </c>
      <c r="C570" s="22">
        <v>864</v>
      </c>
      <c r="D570" s="22" t="s">
        <v>39</v>
      </c>
      <c r="E570" t="str">
        <f t="shared" si="10"/>
        <v>2014年</v>
      </c>
    </row>
    <row r="571" spans="1:5" x14ac:dyDescent="0.15">
      <c r="A571" s="21">
        <v>41698</v>
      </c>
      <c r="B571" s="22" t="s">
        <v>38</v>
      </c>
      <c r="C571" s="22">
        <v>4.8</v>
      </c>
      <c r="D571" s="22" t="s">
        <v>39</v>
      </c>
      <c r="E571" t="str">
        <f t="shared" si="10"/>
        <v>2014年</v>
      </c>
    </row>
    <row r="572" spans="1:5" x14ac:dyDescent="0.15">
      <c r="A572" s="21">
        <v>41698</v>
      </c>
      <c r="B572" s="22" t="s">
        <v>35</v>
      </c>
      <c r="C572" s="22">
        <v>151.19999999999999</v>
      </c>
      <c r="D572" s="22" t="s">
        <v>39</v>
      </c>
      <c r="E572" t="str">
        <f t="shared" si="10"/>
        <v>2014年</v>
      </c>
    </row>
    <row r="573" spans="1:5" x14ac:dyDescent="0.15">
      <c r="A573" s="21">
        <v>41699</v>
      </c>
      <c r="B573" s="22" t="s">
        <v>41</v>
      </c>
      <c r="C573" s="22">
        <v>153.30000000000001</v>
      </c>
      <c r="D573" s="22" t="s">
        <v>34</v>
      </c>
      <c r="E573" t="str">
        <f t="shared" si="10"/>
        <v>2014年</v>
      </c>
    </row>
    <row r="574" spans="1:5" x14ac:dyDescent="0.15">
      <c r="A574" s="21">
        <v>41699</v>
      </c>
      <c r="B574" s="22" t="s">
        <v>35</v>
      </c>
      <c r="C574" s="22">
        <v>560</v>
      </c>
      <c r="D574" s="22" t="s">
        <v>34</v>
      </c>
      <c r="E574" t="str">
        <f t="shared" si="10"/>
        <v>2014年</v>
      </c>
    </row>
    <row r="575" spans="1:5" x14ac:dyDescent="0.15">
      <c r="A575" s="21">
        <v>41699</v>
      </c>
      <c r="B575" s="22" t="s">
        <v>40</v>
      </c>
      <c r="C575" s="22">
        <v>225.27999916076661</v>
      </c>
      <c r="D575" s="22" t="s">
        <v>39</v>
      </c>
      <c r="E575" t="str">
        <f t="shared" si="10"/>
        <v>2014年</v>
      </c>
    </row>
    <row r="576" spans="1:5" x14ac:dyDescent="0.15">
      <c r="A576" s="21">
        <v>41699</v>
      </c>
      <c r="B576" s="22" t="s">
        <v>42</v>
      </c>
      <c r="C576" s="22">
        <v>110.4</v>
      </c>
      <c r="D576" s="22" t="s">
        <v>39</v>
      </c>
      <c r="E576" t="str">
        <f t="shared" si="10"/>
        <v>2014年</v>
      </c>
    </row>
    <row r="577" spans="1:5" x14ac:dyDescent="0.15">
      <c r="A577" s="21">
        <v>41699</v>
      </c>
      <c r="B577" s="22" t="s">
        <v>35</v>
      </c>
      <c r="C577" s="22">
        <v>729.5999972820282</v>
      </c>
      <c r="D577" s="22" t="s">
        <v>39</v>
      </c>
      <c r="E577" t="str">
        <f t="shared" si="10"/>
        <v>2014年</v>
      </c>
    </row>
    <row r="578" spans="1:5" x14ac:dyDescent="0.15">
      <c r="A578" s="21">
        <v>41699</v>
      </c>
      <c r="B578" s="22" t="s">
        <v>36</v>
      </c>
      <c r="C578" s="22">
        <v>544</v>
      </c>
      <c r="D578" s="22" t="s">
        <v>39</v>
      </c>
      <c r="E578" t="str">
        <f t="shared" ref="E578:E641" si="11">YEAR(A578)&amp;"年"</f>
        <v>2014年</v>
      </c>
    </row>
    <row r="579" spans="1:5" x14ac:dyDescent="0.15">
      <c r="A579" s="21">
        <v>41700</v>
      </c>
      <c r="B579" s="22" t="s">
        <v>42</v>
      </c>
      <c r="C579" s="22">
        <v>90</v>
      </c>
      <c r="D579" s="22" t="s">
        <v>39</v>
      </c>
      <c r="E579" t="str">
        <f t="shared" si="11"/>
        <v>2014年</v>
      </c>
    </row>
    <row r="580" spans="1:5" x14ac:dyDescent="0.15">
      <c r="A580" s="21">
        <v>41700</v>
      </c>
      <c r="B580" s="22" t="s">
        <v>33</v>
      </c>
      <c r="C580" s="22">
        <v>1603.7999973446131</v>
      </c>
      <c r="D580" s="22" t="s">
        <v>39</v>
      </c>
      <c r="E580" t="str">
        <f t="shared" si="11"/>
        <v>2014年</v>
      </c>
    </row>
    <row r="581" spans="1:5" x14ac:dyDescent="0.15">
      <c r="A581" s="21">
        <v>41700</v>
      </c>
      <c r="B581" s="22" t="s">
        <v>38</v>
      </c>
      <c r="C581" s="22">
        <v>294</v>
      </c>
      <c r="D581" s="22" t="s">
        <v>39</v>
      </c>
      <c r="E581" t="str">
        <f t="shared" si="11"/>
        <v>2014年</v>
      </c>
    </row>
    <row r="582" spans="1:5" x14ac:dyDescent="0.15">
      <c r="A582" s="21">
        <v>41700</v>
      </c>
      <c r="B582" s="22" t="s">
        <v>38</v>
      </c>
      <c r="C582" s="22">
        <v>205.19999966025352</v>
      </c>
      <c r="D582" s="22" t="s">
        <v>39</v>
      </c>
      <c r="E582" t="str">
        <f t="shared" si="11"/>
        <v>2014年</v>
      </c>
    </row>
    <row r="583" spans="1:5" x14ac:dyDescent="0.15">
      <c r="A583" s="21">
        <v>41700</v>
      </c>
      <c r="B583" s="22" t="s">
        <v>41</v>
      </c>
      <c r="C583" s="22">
        <v>325</v>
      </c>
      <c r="D583" s="22" t="s">
        <v>39</v>
      </c>
      <c r="E583" t="str">
        <f t="shared" si="11"/>
        <v>2014年</v>
      </c>
    </row>
    <row r="584" spans="1:5" x14ac:dyDescent="0.15">
      <c r="A584" s="21">
        <v>41701</v>
      </c>
      <c r="B584" s="22" t="s">
        <v>36</v>
      </c>
      <c r="C584" s="22">
        <v>168</v>
      </c>
      <c r="D584" s="22" t="s">
        <v>39</v>
      </c>
      <c r="E584" t="str">
        <f t="shared" si="11"/>
        <v>2014年</v>
      </c>
    </row>
    <row r="585" spans="1:5" x14ac:dyDescent="0.15">
      <c r="A585" s="21">
        <v>41701</v>
      </c>
      <c r="B585" s="22" t="s">
        <v>38</v>
      </c>
      <c r="C585" s="22">
        <v>48</v>
      </c>
      <c r="D585" s="22" t="s">
        <v>39</v>
      </c>
      <c r="E585" t="str">
        <f t="shared" si="11"/>
        <v>2014年</v>
      </c>
    </row>
    <row r="586" spans="1:5" x14ac:dyDescent="0.15">
      <c r="A586" s="21">
        <v>41701</v>
      </c>
      <c r="B586" s="22" t="s">
        <v>42</v>
      </c>
      <c r="C586" s="22">
        <v>100.8</v>
      </c>
      <c r="D586" s="22" t="s">
        <v>39</v>
      </c>
      <c r="E586" t="str">
        <f t="shared" si="11"/>
        <v>2014年</v>
      </c>
    </row>
    <row r="587" spans="1:5" x14ac:dyDescent="0.15">
      <c r="A587" s="21">
        <v>41701</v>
      </c>
      <c r="B587" s="22" t="s">
        <v>41</v>
      </c>
      <c r="C587" s="22">
        <v>134.4</v>
      </c>
      <c r="D587" s="22" t="s">
        <v>39</v>
      </c>
      <c r="E587" t="str">
        <f t="shared" si="11"/>
        <v>2014年</v>
      </c>
    </row>
    <row r="588" spans="1:5" x14ac:dyDescent="0.15">
      <c r="A588" s="21">
        <v>41702</v>
      </c>
      <c r="B588" s="22" t="s">
        <v>38</v>
      </c>
      <c r="C588" s="22">
        <v>165.6</v>
      </c>
      <c r="D588" s="22" t="s">
        <v>39</v>
      </c>
      <c r="E588" t="str">
        <f t="shared" si="11"/>
        <v>2014年</v>
      </c>
    </row>
    <row r="589" spans="1:5" x14ac:dyDescent="0.15">
      <c r="A589" s="21">
        <v>41702</v>
      </c>
      <c r="B589" s="22" t="s">
        <v>42</v>
      </c>
      <c r="C589" s="22">
        <v>552</v>
      </c>
      <c r="D589" s="22" t="s">
        <v>39</v>
      </c>
      <c r="E589" t="str">
        <f t="shared" si="11"/>
        <v>2014年</v>
      </c>
    </row>
    <row r="590" spans="1:5" x14ac:dyDescent="0.15">
      <c r="A590" s="21">
        <v>41705</v>
      </c>
      <c r="B590" s="22" t="s">
        <v>42</v>
      </c>
      <c r="C590" s="22">
        <v>516.7999963760376</v>
      </c>
      <c r="D590" s="22" t="s">
        <v>39</v>
      </c>
      <c r="E590" t="str">
        <f t="shared" si="11"/>
        <v>2014年</v>
      </c>
    </row>
    <row r="591" spans="1:5" x14ac:dyDescent="0.15">
      <c r="A591" s="21">
        <v>41705</v>
      </c>
      <c r="B591" s="22" t="s">
        <v>41</v>
      </c>
      <c r="C591" s="22">
        <v>413.52499710023403</v>
      </c>
      <c r="D591" s="22" t="s">
        <v>39</v>
      </c>
      <c r="E591" t="str">
        <f t="shared" si="11"/>
        <v>2014年</v>
      </c>
    </row>
    <row r="592" spans="1:5" x14ac:dyDescent="0.15">
      <c r="A592" s="21">
        <v>41705</v>
      </c>
      <c r="B592" s="22" t="s">
        <v>40</v>
      </c>
      <c r="C592" s="22">
        <v>26.349999815225601</v>
      </c>
      <c r="D592" s="22" t="s">
        <v>39</v>
      </c>
      <c r="E592" t="str">
        <f t="shared" si="11"/>
        <v>2014年</v>
      </c>
    </row>
    <row r="593" spans="1:5" x14ac:dyDescent="0.15">
      <c r="A593" s="21">
        <v>41706</v>
      </c>
      <c r="B593" s="22" t="s">
        <v>38</v>
      </c>
      <c r="C593" s="22">
        <v>1500</v>
      </c>
      <c r="D593" s="22" t="s">
        <v>39</v>
      </c>
      <c r="E593" t="str">
        <f t="shared" si="11"/>
        <v>2014年</v>
      </c>
    </row>
    <row r="594" spans="1:5" x14ac:dyDescent="0.15">
      <c r="A594" s="21">
        <v>41706</v>
      </c>
      <c r="B594" s="22" t="s">
        <v>35</v>
      </c>
      <c r="C594" s="22">
        <v>108</v>
      </c>
      <c r="D594" s="22" t="s">
        <v>39</v>
      </c>
      <c r="E594" t="str">
        <f t="shared" si="11"/>
        <v>2014年</v>
      </c>
    </row>
    <row r="595" spans="1:5" x14ac:dyDescent="0.15">
      <c r="A595" s="21">
        <v>41706</v>
      </c>
      <c r="B595" s="22" t="s">
        <v>35</v>
      </c>
      <c r="C595" s="22">
        <v>212.8</v>
      </c>
      <c r="D595" s="22" t="s">
        <v>39</v>
      </c>
      <c r="E595" t="str">
        <f t="shared" si="11"/>
        <v>2014年</v>
      </c>
    </row>
    <row r="596" spans="1:5" x14ac:dyDescent="0.15">
      <c r="A596" s="21">
        <v>41706</v>
      </c>
      <c r="B596" s="22" t="s">
        <v>37</v>
      </c>
      <c r="C596" s="22">
        <v>720</v>
      </c>
      <c r="D596" s="22" t="s">
        <v>39</v>
      </c>
      <c r="E596" t="str">
        <f t="shared" si="11"/>
        <v>2014年</v>
      </c>
    </row>
    <row r="597" spans="1:5" x14ac:dyDescent="0.15">
      <c r="A597" s="21">
        <v>41706</v>
      </c>
      <c r="B597" s="22" t="s">
        <v>35</v>
      </c>
      <c r="C597" s="22">
        <v>608</v>
      </c>
      <c r="D597" s="22" t="s">
        <v>39</v>
      </c>
      <c r="E597" t="str">
        <f t="shared" si="11"/>
        <v>2014年</v>
      </c>
    </row>
    <row r="598" spans="1:5" x14ac:dyDescent="0.15">
      <c r="A598" s="21">
        <v>41707</v>
      </c>
      <c r="B598" s="22" t="s">
        <v>42</v>
      </c>
      <c r="C598" s="22">
        <v>273.59999978542328</v>
      </c>
      <c r="D598" s="22" t="s">
        <v>39</v>
      </c>
      <c r="E598" t="str">
        <f t="shared" si="11"/>
        <v>2014年</v>
      </c>
    </row>
    <row r="599" spans="1:5" x14ac:dyDescent="0.15">
      <c r="A599" s="21">
        <v>41707</v>
      </c>
      <c r="B599" s="22" t="s">
        <v>37</v>
      </c>
      <c r="C599" s="22">
        <v>763.2</v>
      </c>
      <c r="D599" s="22" t="s">
        <v>39</v>
      </c>
      <c r="E599" t="str">
        <f t="shared" si="11"/>
        <v>2014年</v>
      </c>
    </row>
    <row r="600" spans="1:5" x14ac:dyDescent="0.15">
      <c r="A600" s="21">
        <v>41708</v>
      </c>
      <c r="B600" s="22" t="s">
        <v>36</v>
      </c>
      <c r="C600" s="22">
        <v>24</v>
      </c>
      <c r="D600" s="22" t="s">
        <v>39</v>
      </c>
      <c r="E600" t="str">
        <f t="shared" si="11"/>
        <v>2014年</v>
      </c>
    </row>
    <row r="601" spans="1:5" x14ac:dyDescent="0.15">
      <c r="A601" s="21">
        <v>41708</v>
      </c>
      <c r="B601" s="22" t="s">
        <v>36</v>
      </c>
      <c r="C601" s="22">
        <v>206.4</v>
      </c>
      <c r="D601" s="22" t="s">
        <v>39</v>
      </c>
      <c r="E601" t="str">
        <f t="shared" si="11"/>
        <v>2014年</v>
      </c>
    </row>
    <row r="602" spans="1:5" x14ac:dyDescent="0.15">
      <c r="A602" s="21">
        <v>41708</v>
      </c>
      <c r="B602" s="22" t="s">
        <v>37</v>
      </c>
      <c r="C602" s="22">
        <v>223.2</v>
      </c>
      <c r="D602" s="22" t="s">
        <v>34</v>
      </c>
      <c r="E602" t="str">
        <f t="shared" si="11"/>
        <v>2014年</v>
      </c>
    </row>
    <row r="603" spans="1:5" x14ac:dyDescent="0.15">
      <c r="A603" s="21">
        <v>41708</v>
      </c>
      <c r="B603" s="22" t="s">
        <v>37</v>
      </c>
      <c r="C603" s="22">
        <v>655.20000000000005</v>
      </c>
      <c r="D603" s="22" t="s">
        <v>34</v>
      </c>
      <c r="E603" t="str">
        <f t="shared" si="11"/>
        <v>2014年</v>
      </c>
    </row>
    <row r="604" spans="1:5" x14ac:dyDescent="0.15">
      <c r="A604" s="21">
        <v>41708</v>
      </c>
      <c r="B604" s="22" t="s">
        <v>38</v>
      </c>
      <c r="C604" s="22">
        <v>308.7</v>
      </c>
      <c r="D604" s="22" t="s">
        <v>34</v>
      </c>
      <c r="E604" t="str">
        <f t="shared" si="11"/>
        <v>2014年</v>
      </c>
    </row>
    <row r="605" spans="1:5" x14ac:dyDescent="0.15">
      <c r="A605" s="21">
        <v>41708</v>
      </c>
      <c r="B605" s="22" t="s">
        <v>42</v>
      </c>
      <c r="C605" s="22">
        <v>62</v>
      </c>
      <c r="D605" s="22" t="s">
        <v>34</v>
      </c>
      <c r="E605" t="str">
        <f t="shared" si="11"/>
        <v>2014年</v>
      </c>
    </row>
    <row r="606" spans="1:5" x14ac:dyDescent="0.15">
      <c r="A606" s="21">
        <v>41709</v>
      </c>
      <c r="B606" s="22" t="s">
        <v>36</v>
      </c>
      <c r="C606" s="22">
        <v>297.49999791383743</v>
      </c>
      <c r="D606" s="22" t="s">
        <v>34</v>
      </c>
      <c r="E606" t="str">
        <f t="shared" si="11"/>
        <v>2014年</v>
      </c>
    </row>
    <row r="607" spans="1:5" x14ac:dyDescent="0.15">
      <c r="A607" s="21">
        <v>41709</v>
      </c>
      <c r="B607" s="22" t="s">
        <v>40</v>
      </c>
      <c r="C607" s="22">
        <v>693.59999513626099</v>
      </c>
      <c r="D607" s="22" t="s">
        <v>34</v>
      </c>
      <c r="E607" t="str">
        <f t="shared" si="11"/>
        <v>2014年</v>
      </c>
    </row>
    <row r="608" spans="1:5" x14ac:dyDescent="0.15">
      <c r="A608" s="21">
        <v>41709</v>
      </c>
      <c r="B608" s="22" t="s">
        <v>42</v>
      </c>
      <c r="C608" s="22">
        <v>514.07999639511104</v>
      </c>
      <c r="D608" s="22" t="s">
        <v>34</v>
      </c>
      <c r="E608" t="str">
        <f t="shared" si="11"/>
        <v>2014年</v>
      </c>
    </row>
    <row r="609" spans="1:5" x14ac:dyDescent="0.15">
      <c r="A609" s="21">
        <v>41712</v>
      </c>
      <c r="B609" s="22" t="s">
        <v>33</v>
      </c>
      <c r="C609" s="22">
        <v>36.479999971389773</v>
      </c>
      <c r="D609" s="22" t="s">
        <v>39</v>
      </c>
      <c r="E609" t="str">
        <f t="shared" si="11"/>
        <v>2014年</v>
      </c>
    </row>
    <row r="610" spans="1:5" x14ac:dyDescent="0.15">
      <c r="A610" s="21">
        <v>41712</v>
      </c>
      <c r="B610" s="22" t="s">
        <v>42</v>
      </c>
      <c r="C610" s="22">
        <v>144</v>
      </c>
      <c r="D610" s="22" t="s">
        <v>39</v>
      </c>
      <c r="E610" t="str">
        <f t="shared" si="11"/>
        <v>2014年</v>
      </c>
    </row>
    <row r="611" spans="1:5" x14ac:dyDescent="0.15">
      <c r="A611" s="21">
        <v>41712</v>
      </c>
      <c r="B611" s="22" t="s">
        <v>42</v>
      </c>
      <c r="C611" s="22">
        <v>216</v>
      </c>
      <c r="D611" s="22" t="s">
        <v>34</v>
      </c>
      <c r="E611" t="str">
        <f t="shared" si="11"/>
        <v>2014年</v>
      </c>
    </row>
    <row r="612" spans="1:5" x14ac:dyDescent="0.15">
      <c r="A612" s="21">
        <v>41712</v>
      </c>
      <c r="B612" s="22" t="s">
        <v>41</v>
      </c>
      <c r="C612" s="22">
        <v>126</v>
      </c>
      <c r="D612" s="22" t="s">
        <v>34</v>
      </c>
      <c r="E612" t="str">
        <f t="shared" si="11"/>
        <v>2014年</v>
      </c>
    </row>
    <row r="613" spans="1:5" x14ac:dyDescent="0.15">
      <c r="A613" s="21">
        <v>41712</v>
      </c>
      <c r="B613" s="22" t="s">
        <v>42</v>
      </c>
      <c r="C613" s="22">
        <v>216</v>
      </c>
      <c r="D613" s="22" t="s">
        <v>34</v>
      </c>
      <c r="E613" t="str">
        <f t="shared" si="11"/>
        <v>2014年</v>
      </c>
    </row>
    <row r="614" spans="1:5" x14ac:dyDescent="0.15">
      <c r="A614" s="21">
        <v>41713</v>
      </c>
      <c r="B614" s="22" t="s">
        <v>38</v>
      </c>
      <c r="C614" s="22">
        <v>471.1999996304512</v>
      </c>
      <c r="D614" s="22" t="s">
        <v>39</v>
      </c>
      <c r="E614" t="str">
        <f t="shared" si="11"/>
        <v>2014年</v>
      </c>
    </row>
    <row r="615" spans="1:5" x14ac:dyDescent="0.15">
      <c r="A615" s="21">
        <v>41714</v>
      </c>
      <c r="B615" s="22" t="s">
        <v>42</v>
      </c>
      <c r="C615" s="22">
        <v>6324</v>
      </c>
      <c r="D615" s="22" t="s">
        <v>39</v>
      </c>
      <c r="E615" t="str">
        <f t="shared" si="11"/>
        <v>2014年</v>
      </c>
    </row>
    <row r="616" spans="1:5" x14ac:dyDescent="0.15">
      <c r="A616" s="21">
        <v>41714</v>
      </c>
      <c r="B616" s="22" t="s">
        <v>33</v>
      </c>
      <c r="C616" s="22">
        <v>733.6</v>
      </c>
      <c r="D616" s="22" t="s">
        <v>39</v>
      </c>
      <c r="E616" t="str">
        <f t="shared" si="11"/>
        <v>2014年</v>
      </c>
    </row>
    <row r="617" spans="1:5" x14ac:dyDescent="0.15">
      <c r="A617" s="21">
        <v>41714</v>
      </c>
      <c r="B617" s="22" t="s">
        <v>36</v>
      </c>
      <c r="C617" s="22">
        <v>2640</v>
      </c>
      <c r="D617" s="22" t="s">
        <v>39</v>
      </c>
      <c r="E617" t="str">
        <f t="shared" si="11"/>
        <v>2014年</v>
      </c>
    </row>
    <row r="618" spans="1:5" x14ac:dyDescent="0.15">
      <c r="A618" s="21">
        <v>41714</v>
      </c>
      <c r="B618" s="22" t="s">
        <v>35</v>
      </c>
      <c r="C618" s="22">
        <v>798</v>
      </c>
      <c r="D618" s="22" t="s">
        <v>39</v>
      </c>
      <c r="E618" t="str">
        <f t="shared" si="11"/>
        <v>2014年</v>
      </c>
    </row>
    <row r="619" spans="1:5" x14ac:dyDescent="0.15">
      <c r="A619" s="21">
        <v>41715</v>
      </c>
      <c r="B619" s="22" t="s">
        <v>41</v>
      </c>
      <c r="C619" s="22">
        <v>228</v>
      </c>
      <c r="D619" s="22" t="s">
        <v>34</v>
      </c>
      <c r="E619" t="str">
        <f t="shared" si="11"/>
        <v>2014年</v>
      </c>
    </row>
    <row r="620" spans="1:5" x14ac:dyDescent="0.15">
      <c r="A620" s="21">
        <v>41715</v>
      </c>
      <c r="B620" s="22" t="s">
        <v>36</v>
      </c>
      <c r="C620" s="22">
        <v>528</v>
      </c>
      <c r="D620" s="22" t="s">
        <v>34</v>
      </c>
      <c r="E620" t="str">
        <f t="shared" si="11"/>
        <v>2014年</v>
      </c>
    </row>
    <row r="621" spans="1:5" x14ac:dyDescent="0.15">
      <c r="A621" s="21">
        <v>41715</v>
      </c>
      <c r="B621" s="22" t="s">
        <v>41</v>
      </c>
      <c r="C621" s="22">
        <v>384</v>
      </c>
      <c r="D621" s="22" t="s">
        <v>39</v>
      </c>
      <c r="E621" t="str">
        <f t="shared" si="11"/>
        <v>2014年</v>
      </c>
    </row>
    <row r="622" spans="1:5" x14ac:dyDescent="0.15">
      <c r="A622" s="21">
        <v>41715</v>
      </c>
      <c r="B622" s="22" t="s">
        <v>36</v>
      </c>
      <c r="C622" s="22">
        <v>1088</v>
      </c>
      <c r="D622" s="22" t="s">
        <v>39</v>
      </c>
      <c r="E622" t="str">
        <f t="shared" si="11"/>
        <v>2014年</v>
      </c>
    </row>
    <row r="623" spans="1:5" x14ac:dyDescent="0.15">
      <c r="A623" s="21">
        <v>41716</v>
      </c>
      <c r="B623" s="22" t="s">
        <v>38</v>
      </c>
      <c r="C623" s="22">
        <v>147</v>
      </c>
      <c r="D623" s="22" t="s">
        <v>39</v>
      </c>
      <c r="E623" t="str">
        <f t="shared" si="11"/>
        <v>2014年</v>
      </c>
    </row>
    <row r="624" spans="1:5" x14ac:dyDescent="0.15">
      <c r="A624" s="21">
        <v>41719</v>
      </c>
      <c r="B624" s="22" t="s">
        <v>42</v>
      </c>
      <c r="C624" s="22">
        <v>372.39999970793724</v>
      </c>
      <c r="D624" s="22" t="s">
        <v>34</v>
      </c>
      <c r="E624" t="str">
        <f t="shared" si="11"/>
        <v>2014年</v>
      </c>
    </row>
    <row r="625" spans="1:5" x14ac:dyDescent="0.15">
      <c r="A625" s="21">
        <v>41719</v>
      </c>
      <c r="B625" s="22" t="s">
        <v>40</v>
      </c>
      <c r="C625" s="22">
        <v>296.39999976754189</v>
      </c>
      <c r="D625" s="22" t="s">
        <v>34</v>
      </c>
      <c r="E625" t="str">
        <f t="shared" si="11"/>
        <v>2014年</v>
      </c>
    </row>
    <row r="626" spans="1:5" x14ac:dyDescent="0.15">
      <c r="A626" s="21">
        <v>41719</v>
      </c>
      <c r="B626" s="22" t="s">
        <v>41</v>
      </c>
      <c r="C626" s="22">
        <v>112</v>
      </c>
      <c r="D626" s="22" t="s">
        <v>39</v>
      </c>
      <c r="E626" t="str">
        <f t="shared" si="11"/>
        <v>2014年</v>
      </c>
    </row>
    <row r="627" spans="1:5" x14ac:dyDescent="0.15">
      <c r="A627" s="21">
        <v>41719</v>
      </c>
      <c r="B627" s="22" t="s">
        <v>38</v>
      </c>
      <c r="C627" s="22">
        <v>147</v>
      </c>
      <c r="D627" s="22" t="s">
        <v>39</v>
      </c>
      <c r="E627" t="str">
        <f t="shared" si="11"/>
        <v>2014年</v>
      </c>
    </row>
    <row r="628" spans="1:5" x14ac:dyDescent="0.15">
      <c r="A628" s="21">
        <v>41719</v>
      </c>
      <c r="B628" s="22" t="s">
        <v>37</v>
      </c>
      <c r="C628" s="22">
        <v>127.2</v>
      </c>
      <c r="D628" s="22" t="s">
        <v>39</v>
      </c>
      <c r="E628" t="str">
        <f t="shared" si="11"/>
        <v>2014年</v>
      </c>
    </row>
    <row r="629" spans="1:5" x14ac:dyDescent="0.15">
      <c r="A629" s="21">
        <v>41720</v>
      </c>
      <c r="B629" s="22" t="s">
        <v>42</v>
      </c>
      <c r="C629" s="22">
        <v>273.5999995470047</v>
      </c>
      <c r="D629" s="22" t="s">
        <v>39</v>
      </c>
      <c r="E629" t="str">
        <f t="shared" si="11"/>
        <v>2014年</v>
      </c>
    </row>
    <row r="630" spans="1:5" x14ac:dyDescent="0.15">
      <c r="A630" s="21">
        <v>41720</v>
      </c>
      <c r="B630" s="22" t="s">
        <v>40</v>
      </c>
      <c r="C630" s="22">
        <v>143.99999976158142</v>
      </c>
      <c r="D630" s="22" t="s">
        <v>39</v>
      </c>
      <c r="E630" t="str">
        <f t="shared" si="11"/>
        <v>2014年</v>
      </c>
    </row>
    <row r="631" spans="1:5" x14ac:dyDescent="0.15">
      <c r="A631" s="21">
        <v>41720</v>
      </c>
      <c r="B631" s="22" t="s">
        <v>33</v>
      </c>
      <c r="C631" s="22">
        <v>518.39999914169312</v>
      </c>
      <c r="D631" s="22" t="s">
        <v>39</v>
      </c>
      <c r="E631" t="str">
        <f t="shared" si="11"/>
        <v>2014年</v>
      </c>
    </row>
    <row r="632" spans="1:5" x14ac:dyDescent="0.15">
      <c r="A632" s="21">
        <v>41720</v>
      </c>
      <c r="B632" s="22" t="s">
        <v>42</v>
      </c>
      <c r="C632" s="22">
        <v>647.99999892711639</v>
      </c>
      <c r="D632" s="22" t="s">
        <v>39</v>
      </c>
      <c r="E632" t="str">
        <f t="shared" si="11"/>
        <v>2014年</v>
      </c>
    </row>
    <row r="633" spans="1:5" x14ac:dyDescent="0.15">
      <c r="A633" s="21">
        <v>41721</v>
      </c>
      <c r="B633" s="22" t="s">
        <v>36</v>
      </c>
      <c r="C633" s="22">
        <v>84</v>
      </c>
      <c r="D633" s="22" t="s">
        <v>39</v>
      </c>
      <c r="E633" t="str">
        <f t="shared" si="11"/>
        <v>2014年</v>
      </c>
    </row>
    <row r="634" spans="1:5" x14ac:dyDescent="0.15">
      <c r="A634" s="21">
        <v>41721</v>
      </c>
      <c r="B634" s="22" t="s">
        <v>37</v>
      </c>
      <c r="C634" s="22">
        <v>1060</v>
      </c>
      <c r="D634" s="22" t="s">
        <v>39</v>
      </c>
      <c r="E634" t="str">
        <f t="shared" si="11"/>
        <v>2014年</v>
      </c>
    </row>
    <row r="635" spans="1:5" x14ac:dyDescent="0.15">
      <c r="A635" s="21">
        <v>41721</v>
      </c>
      <c r="B635" s="22" t="s">
        <v>37</v>
      </c>
      <c r="C635" s="22">
        <v>128</v>
      </c>
      <c r="D635" s="22" t="s">
        <v>39</v>
      </c>
      <c r="E635" t="str">
        <f t="shared" si="11"/>
        <v>2014年</v>
      </c>
    </row>
    <row r="636" spans="1:5" x14ac:dyDescent="0.15">
      <c r="A636" s="21">
        <v>41721</v>
      </c>
      <c r="B636" s="22" t="s">
        <v>41</v>
      </c>
      <c r="C636" s="22">
        <v>36.5</v>
      </c>
      <c r="D636" s="22" t="s">
        <v>39</v>
      </c>
      <c r="E636" t="str">
        <f t="shared" si="11"/>
        <v>2014年</v>
      </c>
    </row>
    <row r="637" spans="1:5" x14ac:dyDescent="0.15">
      <c r="A637" s="21">
        <v>41721</v>
      </c>
      <c r="B637" s="22" t="s">
        <v>41</v>
      </c>
      <c r="C637" s="22">
        <v>747</v>
      </c>
      <c r="D637" s="22" t="s">
        <v>39</v>
      </c>
      <c r="E637" t="str">
        <f t="shared" si="11"/>
        <v>2014年</v>
      </c>
    </row>
    <row r="638" spans="1:5" x14ac:dyDescent="0.15">
      <c r="A638" s="21">
        <v>41721</v>
      </c>
      <c r="B638" s="22" t="s">
        <v>33</v>
      </c>
      <c r="C638" s="22">
        <v>106.2</v>
      </c>
      <c r="D638" s="22" t="s">
        <v>39</v>
      </c>
      <c r="E638" t="str">
        <f t="shared" si="11"/>
        <v>2014年</v>
      </c>
    </row>
    <row r="639" spans="1:5" x14ac:dyDescent="0.15">
      <c r="A639" s="21">
        <v>41722</v>
      </c>
      <c r="B639" s="22" t="s">
        <v>36</v>
      </c>
      <c r="C639" s="22">
        <v>1320</v>
      </c>
      <c r="D639" s="22" t="s">
        <v>39</v>
      </c>
      <c r="E639" t="str">
        <f t="shared" si="11"/>
        <v>2014年</v>
      </c>
    </row>
    <row r="640" spans="1:5" x14ac:dyDescent="0.15">
      <c r="A640" s="21">
        <v>41722</v>
      </c>
      <c r="B640" s="22" t="s">
        <v>38</v>
      </c>
      <c r="C640" s="22">
        <v>191.99999928474426</v>
      </c>
      <c r="D640" s="22" t="s">
        <v>39</v>
      </c>
      <c r="E640" t="str">
        <f t="shared" si="11"/>
        <v>2014年</v>
      </c>
    </row>
    <row r="641" spans="1:5" x14ac:dyDescent="0.15">
      <c r="A641" s="21">
        <v>41723</v>
      </c>
      <c r="B641" s="22" t="s">
        <v>36</v>
      </c>
      <c r="C641" s="22">
        <v>189</v>
      </c>
      <c r="D641" s="22" t="s">
        <v>34</v>
      </c>
      <c r="E641" t="str">
        <f t="shared" si="11"/>
        <v>2014年</v>
      </c>
    </row>
    <row r="642" spans="1:5" x14ac:dyDescent="0.15">
      <c r="A642" s="21">
        <v>41723</v>
      </c>
      <c r="B642" s="22" t="s">
        <v>41</v>
      </c>
      <c r="C642" s="22">
        <v>250.2</v>
      </c>
      <c r="D642" s="22" t="s">
        <v>34</v>
      </c>
      <c r="E642" t="str">
        <f t="shared" ref="E642:E705" si="12">YEAR(A642)&amp;"年"</f>
        <v>2014年</v>
      </c>
    </row>
    <row r="643" spans="1:5" x14ac:dyDescent="0.15">
      <c r="A643" s="21">
        <v>41726</v>
      </c>
      <c r="B643" s="22" t="s">
        <v>36</v>
      </c>
      <c r="C643" s="22">
        <v>2640</v>
      </c>
      <c r="D643" s="22" t="s">
        <v>34</v>
      </c>
      <c r="E643" t="str">
        <f t="shared" si="12"/>
        <v>2014年</v>
      </c>
    </row>
    <row r="644" spans="1:5" x14ac:dyDescent="0.15">
      <c r="A644" s="21">
        <v>41726</v>
      </c>
      <c r="B644" s="22" t="s">
        <v>41</v>
      </c>
      <c r="C644" s="22">
        <v>300</v>
      </c>
      <c r="D644" s="22" t="s">
        <v>34</v>
      </c>
      <c r="E644" t="str">
        <f t="shared" si="12"/>
        <v>2014年</v>
      </c>
    </row>
    <row r="645" spans="1:5" x14ac:dyDescent="0.15">
      <c r="A645" s="21">
        <v>41726</v>
      </c>
      <c r="B645" s="22" t="s">
        <v>42</v>
      </c>
      <c r="C645" s="22">
        <v>223.2</v>
      </c>
      <c r="D645" s="22" t="s">
        <v>34</v>
      </c>
      <c r="E645" t="str">
        <f t="shared" si="12"/>
        <v>2014年</v>
      </c>
    </row>
    <row r="646" spans="1:5" x14ac:dyDescent="0.15">
      <c r="A646" s="21">
        <v>41726</v>
      </c>
      <c r="B646" s="22" t="s">
        <v>40</v>
      </c>
      <c r="C646" s="22">
        <v>197.62499861419201</v>
      </c>
      <c r="D646" s="22" t="s">
        <v>39</v>
      </c>
      <c r="E646" t="str">
        <f t="shared" si="12"/>
        <v>2014年</v>
      </c>
    </row>
    <row r="647" spans="1:5" x14ac:dyDescent="0.15">
      <c r="A647" s="21">
        <v>41726</v>
      </c>
      <c r="B647" s="22" t="s">
        <v>40</v>
      </c>
      <c r="C647" s="22">
        <v>61.879999566078183</v>
      </c>
      <c r="D647" s="22" t="s">
        <v>39</v>
      </c>
      <c r="E647" t="str">
        <f t="shared" si="12"/>
        <v>2014年</v>
      </c>
    </row>
    <row r="648" spans="1:5" x14ac:dyDescent="0.15">
      <c r="A648" s="21">
        <v>41727</v>
      </c>
      <c r="B648" s="22" t="s">
        <v>41</v>
      </c>
      <c r="C648" s="22">
        <v>638.39999949932098</v>
      </c>
      <c r="D648" s="22" t="s">
        <v>39</v>
      </c>
      <c r="E648" t="str">
        <f t="shared" si="12"/>
        <v>2014年</v>
      </c>
    </row>
    <row r="649" spans="1:5" x14ac:dyDescent="0.15">
      <c r="A649" s="21">
        <v>41727</v>
      </c>
      <c r="B649" s="22" t="s">
        <v>35</v>
      </c>
      <c r="C649" s="22">
        <v>212.79999983310699</v>
      </c>
      <c r="D649" s="22" t="s">
        <v>39</v>
      </c>
      <c r="E649" t="str">
        <f t="shared" si="12"/>
        <v>2014年</v>
      </c>
    </row>
    <row r="650" spans="1:5" x14ac:dyDescent="0.15">
      <c r="A650" s="21">
        <v>41728</v>
      </c>
      <c r="B650" s="22" t="s">
        <v>40</v>
      </c>
      <c r="C650" s="22">
        <v>226.79999962449074</v>
      </c>
      <c r="D650" s="22" t="s">
        <v>39</v>
      </c>
      <c r="E650" t="str">
        <f t="shared" si="12"/>
        <v>2014年</v>
      </c>
    </row>
    <row r="651" spans="1:5" x14ac:dyDescent="0.15">
      <c r="A651" s="21">
        <v>41728</v>
      </c>
      <c r="B651" s="22" t="s">
        <v>40</v>
      </c>
      <c r="C651" s="22">
        <v>122.39999979734421</v>
      </c>
      <c r="D651" s="22" t="s">
        <v>39</v>
      </c>
      <c r="E651" t="str">
        <f t="shared" si="12"/>
        <v>2014年</v>
      </c>
    </row>
    <row r="652" spans="1:5" x14ac:dyDescent="0.15">
      <c r="A652" s="21">
        <v>41728</v>
      </c>
      <c r="B652" s="22" t="s">
        <v>36</v>
      </c>
      <c r="C652" s="22">
        <v>259.19999957084656</v>
      </c>
      <c r="D652" s="22" t="s">
        <v>39</v>
      </c>
      <c r="E652" t="str">
        <f t="shared" si="12"/>
        <v>2014年</v>
      </c>
    </row>
    <row r="653" spans="1:5" x14ac:dyDescent="0.15">
      <c r="A653" s="21">
        <v>41728</v>
      </c>
      <c r="B653" s="22" t="s">
        <v>35</v>
      </c>
      <c r="C653" s="22">
        <v>912</v>
      </c>
      <c r="D653" s="22" t="s">
        <v>39</v>
      </c>
      <c r="E653" t="str">
        <f t="shared" si="12"/>
        <v>2014年</v>
      </c>
    </row>
    <row r="654" spans="1:5" x14ac:dyDescent="0.15">
      <c r="A654" s="21">
        <v>41729</v>
      </c>
      <c r="B654" s="22" t="s">
        <v>35</v>
      </c>
      <c r="C654" s="22">
        <v>72</v>
      </c>
      <c r="D654" s="22" t="s">
        <v>39</v>
      </c>
      <c r="E654" t="str">
        <f t="shared" si="12"/>
        <v>2014年</v>
      </c>
    </row>
    <row r="655" spans="1:5" x14ac:dyDescent="0.15">
      <c r="A655" s="21">
        <v>41729</v>
      </c>
      <c r="B655" s="22" t="s">
        <v>38</v>
      </c>
      <c r="C655" s="22">
        <v>154</v>
      </c>
      <c r="D655" s="22" t="s">
        <v>39</v>
      </c>
      <c r="E655" t="str">
        <f t="shared" si="12"/>
        <v>2014年</v>
      </c>
    </row>
    <row r="656" spans="1:5" x14ac:dyDescent="0.15">
      <c r="A656" s="21">
        <v>41729</v>
      </c>
      <c r="B656" s="22" t="s">
        <v>40</v>
      </c>
      <c r="C656" s="22">
        <v>52</v>
      </c>
      <c r="D656" s="22" t="s">
        <v>39</v>
      </c>
      <c r="E656" t="str">
        <f t="shared" si="12"/>
        <v>2014年</v>
      </c>
    </row>
    <row r="657" spans="1:5" x14ac:dyDescent="0.15">
      <c r="A657" s="21">
        <v>41730</v>
      </c>
      <c r="B657" s="22" t="s">
        <v>36</v>
      </c>
      <c r="C657" s="22">
        <v>189.99999985098839</v>
      </c>
      <c r="D657" s="22" t="s">
        <v>34</v>
      </c>
      <c r="E657" t="str">
        <f t="shared" si="12"/>
        <v>2014年</v>
      </c>
    </row>
    <row r="658" spans="1:5" x14ac:dyDescent="0.15">
      <c r="A658" s="21">
        <v>41730</v>
      </c>
      <c r="B658" s="22" t="s">
        <v>35</v>
      </c>
      <c r="C658" s="22">
        <v>425.6</v>
      </c>
      <c r="D658" s="22" t="s">
        <v>34</v>
      </c>
      <c r="E658" t="str">
        <f t="shared" si="12"/>
        <v>2014年</v>
      </c>
    </row>
    <row r="659" spans="1:5" x14ac:dyDescent="0.15">
      <c r="A659" s="21">
        <v>41730</v>
      </c>
      <c r="B659" s="22" t="s">
        <v>36</v>
      </c>
      <c r="C659" s="22">
        <v>695</v>
      </c>
      <c r="D659" s="22" t="s">
        <v>34</v>
      </c>
      <c r="E659" t="str">
        <f t="shared" si="12"/>
        <v>2014年</v>
      </c>
    </row>
    <row r="660" spans="1:5" x14ac:dyDescent="0.15">
      <c r="A660" s="21">
        <v>41730</v>
      </c>
      <c r="B660" s="22" t="s">
        <v>40</v>
      </c>
      <c r="C660" s="22">
        <v>260</v>
      </c>
      <c r="D660" s="22" t="s">
        <v>34</v>
      </c>
      <c r="E660" t="str">
        <f t="shared" si="12"/>
        <v>2014年</v>
      </c>
    </row>
    <row r="661" spans="1:5" x14ac:dyDescent="0.15">
      <c r="A661" s="21">
        <v>41733</v>
      </c>
      <c r="B661" s="22" t="s">
        <v>42</v>
      </c>
      <c r="C661" s="22">
        <v>63</v>
      </c>
      <c r="D661" s="22" t="s">
        <v>39</v>
      </c>
      <c r="E661" t="str">
        <f t="shared" si="12"/>
        <v>2014年</v>
      </c>
    </row>
    <row r="662" spans="1:5" x14ac:dyDescent="0.15">
      <c r="A662" s="21">
        <v>41733</v>
      </c>
      <c r="B662" s="22" t="s">
        <v>38</v>
      </c>
      <c r="C662" s="22">
        <v>92</v>
      </c>
      <c r="D662" s="22" t="s">
        <v>39</v>
      </c>
      <c r="E662" t="str">
        <f t="shared" si="12"/>
        <v>2014年</v>
      </c>
    </row>
    <row r="663" spans="1:5" x14ac:dyDescent="0.15">
      <c r="A663" s="21">
        <v>41733</v>
      </c>
      <c r="B663" s="22" t="s">
        <v>35</v>
      </c>
      <c r="C663" s="22">
        <v>420</v>
      </c>
      <c r="D663" s="22" t="s">
        <v>39</v>
      </c>
      <c r="E663" t="str">
        <f t="shared" si="12"/>
        <v>2014年</v>
      </c>
    </row>
    <row r="664" spans="1:5" x14ac:dyDescent="0.15">
      <c r="A664" s="21">
        <v>41734</v>
      </c>
      <c r="B664" s="22" t="s">
        <v>37</v>
      </c>
      <c r="C664" s="22">
        <v>912</v>
      </c>
      <c r="D664" s="22" t="s">
        <v>39</v>
      </c>
      <c r="E664" t="str">
        <f t="shared" si="12"/>
        <v>2014年</v>
      </c>
    </row>
    <row r="665" spans="1:5" x14ac:dyDescent="0.15">
      <c r="A665" s="21">
        <v>41734</v>
      </c>
      <c r="B665" s="22" t="s">
        <v>41</v>
      </c>
      <c r="C665" s="22">
        <v>500</v>
      </c>
      <c r="D665" s="22" t="s">
        <v>39</v>
      </c>
      <c r="E665" t="str">
        <f t="shared" si="12"/>
        <v>2014年</v>
      </c>
    </row>
    <row r="666" spans="1:5" x14ac:dyDescent="0.15">
      <c r="A666" s="21">
        <v>41735</v>
      </c>
      <c r="B666" s="22" t="s">
        <v>40</v>
      </c>
      <c r="C666" s="22">
        <v>176.6999998614192</v>
      </c>
      <c r="D666" s="22" t="s">
        <v>34</v>
      </c>
      <c r="E666" t="str">
        <f t="shared" si="12"/>
        <v>2014年</v>
      </c>
    </row>
    <row r="667" spans="1:5" x14ac:dyDescent="0.15">
      <c r="A667" s="21">
        <v>41735</v>
      </c>
      <c r="B667" s="22" t="s">
        <v>37</v>
      </c>
      <c r="C667" s="22">
        <v>346.5599997282028</v>
      </c>
      <c r="D667" s="22" t="s">
        <v>34</v>
      </c>
      <c r="E667" t="str">
        <f t="shared" si="12"/>
        <v>2014年</v>
      </c>
    </row>
    <row r="668" spans="1:5" x14ac:dyDescent="0.15">
      <c r="A668" s="21">
        <v>41735</v>
      </c>
      <c r="B668" s="22" t="s">
        <v>33</v>
      </c>
      <c r="C668" s="22">
        <v>149</v>
      </c>
      <c r="D668" s="22" t="s">
        <v>34</v>
      </c>
      <c r="E668" t="str">
        <f t="shared" si="12"/>
        <v>2014年</v>
      </c>
    </row>
    <row r="669" spans="1:5" x14ac:dyDescent="0.15">
      <c r="A669" s="21">
        <v>41736</v>
      </c>
      <c r="B669" s="22" t="s">
        <v>38</v>
      </c>
      <c r="C669" s="22">
        <v>199.5</v>
      </c>
      <c r="D669" s="22" t="s">
        <v>39</v>
      </c>
      <c r="E669" t="str">
        <f t="shared" si="12"/>
        <v>2014年</v>
      </c>
    </row>
    <row r="670" spans="1:5" x14ac:dyDescent="0.15">
      <c r="A670" s="21">
        <v>41736</v>
      </c>
      <c r="B670" s="22" t="s">
        <v>33</v>
      </c>
      <c r="C670" s="22">
        <v>196.8</v>
      </c>
      <c r="D670" s="22" t="s">
        <v>39</v>
      </c>
      <c r="E670" t="str">
        <f t="shared" si="12"/>
        <v>2014年</v>
      </c>
    </row>
    <row r="671" spans="1:5" x14ac:dyDescent="0.15">
      <c r="A671" s="21">
        <v>41736</v>
      </c>
      <c r="B671" s="22" t="s">
        <v>42</v>
      </c>
      <c r="C671" s="22">
        <v>420</v>
      </c>
      <c r="D671" s="22" t="s">
        <v>39</v>
      </c>
      <c r="E671" t="str">
        <f t="shared" si="12"/>
        <v>2014年</v>
      </c>
    </row>
    <row r="672" spans="1:5" x14ac:dyDescent="0.15">
      <c r="A672" s="21">
        <v>41737</v>
      </c>
      <c r="B672" s="22" t="s">
        <v>37</v>
      </c>
      <c r="C672" s="22">
        <v>1627.5</v>
      </c>
      <c r="D672" s="22" t="s">
        <v>34</v>
      </c>
      <c r="E672" t="str">
        <f t="shared" si="12"/>
        <v>2014年</v>
      </c>
    </row>
    <row r="673" spans="1:5" x14ac:dyDescent="0.15">
      <c r="A673" s="21">
        <v>41737</v>
      </c>
      <c r="B673" s="22" t="s">
        <v>40</v>
      </c>
      <c r="C673" s="22">
        <v>421</v>
      </c>
      <c r="D673" s="22" t="s">
        <v>34</v>
      </c>
      <c r="E673" t="str">
        <f t="shared" si="12"/>
        <v>2014年</v>
      </c>
    </row>
    <row r="674" spans="1:5" x14ac:dyDescent="0.15">
      <c r="A674" s="21">
        <v>41737</v>
      </c>
      <c r="B674" s="22" t="s">
        <v>42</v>
      </c>
      <c r="C674" s="22">
        <v>228</v>
      </c>
      <c r="D674" s="22" t="s">
        <v>39</v>
      </c>
      <c r="E674" t="str">
        <f t="shared" si="12"/>
        <v>2014年</v>
      </c>
    </row>
    <row r="675" spans="1:5" x14ac:dyDescent="0.15">
      <c r="A675" s="21">
        <v>41737</v>
      </c>
      <c r="B675" s="22" t="s">
        <v>41</v>
      </c>
      <c r="C675" s="22">
        <v>120</v>
      </c>
      <c r="D675" s="22" t="s">
        <v>39</v>
      </c>
      <c r="E675" t="str">
        <f t="shared" si="12"/>
        <v>2014年</v>
      </c>
    </row>
    <row r="676" spans="1:5" x14ac:dyDescent="0.15">
      <c r="A676" s="21">
        <v>41737</v>
      </c>
      <c r="B676" s="22" t="s">
        <v>33</v>
      </c>
      <c r="C676" s="22">
        <v>328</v>
      </c>
      <c r="D676" s="22" t="s">
        <v>39</v>
      </c>
      <c r="E676" t="str">
        <f t="shared" si="12"/>
        <v>2014年</v>
      </c>
    </row>
    <row r="677" spans="1:5" x14ac:dyDescent="0.15">
      <c r="A677" s="21">
        <v>41737</v>
      </c>
      <c r="B677" s="22" t="s">
        <v>40</v>
      </c>
      <c r="C677" s="22">
        <v>712.5</v>
      </c>
      <c r="D677" s="22" t="s">
        <v>39</v>
      </c>
      <c r="E677" t="str">
        <f t="shared" si="12"/>
        <v>2014年</v>
      </c>
    </row>
    <row r="678" spans="1:5" x14ac:dyDescent="0.15">
      <c r="A678" s="21">
        <v>41740</v>
      </c>
      <c r="B678" s="22" t="s">
        <v>41</v>
      </c>
      <c r="C678" s="22">
        <v>147.9</v>
      </c>
      <c r="D678" s="22" t="s">
        <v>39</v>
      </c>
      <c r="E678" t="str">
        <f t="shared" si="12"/>
        <v>2014年</v>
      </c>
    </row>
    <row r="679" spans="1:5" x14ac:dyDescent="0.15">
      <c r="A679" s="21">
        <v>41741</v>
      </c>
      <c r="B679" s="22" t="s">
        <v>41</v>
      </c>
      <c r="C679" s="22">
        <v>226.79999962449074</v>
      </c>
      <c r="D679" s="22" t="s">
        <v>34</v>
      </c>
      <c r="E679" t="str">
        <f t="shared" si="12"/>
        <v>2014年</v>
      </c>
    </row>
    <row r="680" spans="1:5" x14ac:dyDescent="0.15">
      <c r="A680" s="21">
        <v>41741</v>
      </c>
      <c r="B680" s="22" t="s">
        <v>42</v>
      </c>
      <c r="C680" s="22">
        <v>188.99999968707561</v>
      </c>
      <c r="D680" s="22" t="s">
        <v>34</v>
      </c>
      <c r="E680" t="str">
        <f t="shared" si="12"/>
        <v>2014年</v>
      </c>
    </row>
    <row r="681" spans="1:5" x14ac:dyDescent="0.15">
      <c r="A681" s="21">
        <v>41741</v>
      </c>
      <c r="B681" s="22" t="s">
        <v>42</v>
      </c>
      <c r="C681" s="22">
        <v>586.49999588727951</v>
      </c>
      <c r="D681" s="22" t="s">
        <v>34</v>
      </c>
      <c r="E681" t="str">
        <f t="shared" si="12"/>
        <v>2014年</v>
      </c>
    </row>
    <row r="682" spans="1:5" x14ac:dyDescent="0.15">
      <c r="A682" s="21">
        <v>41741</v>
      </c>
      <c r="B682" s="22" t="s">
        <v>41</v>
      </c>
      <c r="C682" s="22">
        <v>162.56249886006117</v>
      </c>
      <c r="D682" s="22" t="s">
        <v>34</v>
      </c>
      <c r="E682" t="str">
        <f t="shared" si="12"/>
        <v>2014年</v>
      </c>
    </row>
    <row r="683" spans="1:5" x14ac:dyDescent="0.15">
      <c r="A683" s="21">
        <v>41742</v>
      </c>
      <c r="B683" s="22" t="s">
        <v>38</v>
      </c>
      <c r="C683" s="22">
        <v>60</v>
      </c>
      <c r="D683" s="22" t="s">
        <v>39</v>
      </c>
      <c r="E683" t="str">
        <f t="shared" si="12"/>
        <v>2014年</v>
      </c>
    </row>
    <row r="684" spans="1:5" x14ac:dyDescent="0.15">
      <c r="A684" s="21">
        <v>41742</v>
      </c>
      <c r="B684" s="22" t="s">
        <v>42</v>
      </c>
      <c r="C684" s="22">
        <v>180</v>
      </c>
      <c r="D684" s="22" t="s">
        <v>39</v>
      </c>
      <c r="E684" t="str">
        <f t="shared" si="12"/>
        <v>2014年</v>
      </c>
    </row>
    <row r="685" spans="1:5" x14ac:dyDescent="0.15">
      <c r="A685" s="21">
        <v>41743</v>
      </c>
      <c r="B685" s="22" t="s">
        <v>37</v>
      </c>
      <c r="C685" s="22">
        <v>136.80000000000001</v>
      </c>
      <c r="D685" s="22" t="s">
        <v>39</v>
      </c>
      <c r="E685" t="str">
        <f t="shared" si="12"/>
        <v>2014年</v>
      </c>
    </row>
    <row r="686" spans="1:5" x14ac:dyDescent="0.15">
      <c r="A686" s="21">
        <v>41744</v>
      </c>
      <c r="B686" s="22" t="s">
        <v>33</v>
      </c>
      <c r="C686" s="22">
        <v>4456.4399999999996</v>
      </c>
      <c r="D686" s="22" t="s">
        <v>34</v>
      </c>
      <c r="E686" t="str">
        <f t="shared" si="12"/>
        <v>2014年</v>
      </c>
    </row>
    <row r="687" spans="1:5" x14ac:dyDescent="0.15">
      <c r="A687" s="21">
        <v>41744</v>
      </c>
      <c r="B687" s="22" t="s">
        <v>42</v>
      </c>
      <c r="C687" s="22">
        <v>251.0999995842576</v>
      </c>
      <c r="D687" s="22" t="s">
        <v>34</v>
      </c>
      <c r="E687" t="str">
        <f t="shared" si="12"/>
        <v>2014年</v>
      </c>
    </row>
    <row r="688" spans="1:5" x14ac:dyDescent="0.15">
      <c r="A688" s="21">
        <v>41744</v>
      </c>
      <c r="B688" s="22" t="s">
        <v>40</v>
      </c>
      <c r="C688" s="22">
        <v>934.99999344348907</v>
      </c>
      <c r="D688" s="22" t="s">
        <v>39</v>
      </c>
      <c r="E688" t="str">
        <f t="shared" si="12"/>
        <v>2014年</v>
      </c>
    </row>
    <row r="689" spans="1:5" x14ac:dyDescent="0.15">
      <c r="A689" s="21">
        <v>41744</v>
      </c>
      <c r="B689" s="22" t="s">
        <v>37</v>
      </c>
      <c r="C689" s="22">
        <v>1274.9999910593033</v>
      </c>
      <c r="D689" s="22" t="s">
        <v>39</v>
      </c>
      <c r="E689" t="str">
        <f t="shared" si="12"/>
        <v>2014年</v>
      </c>
    </row>
    <row r="690" spans="1:5" x14ac:dyDescent="0.15">
      <c r="A690" s="21">
        <v>41744</v>
      </c>
      <c r="B690" s="22" t="s">
        <v>40</v>
      </c>
      <c r="C690" s="22">
        <v>339.99999761581421</v>
      </c>
      <c r="D690" s="22" t="s">
        <v>39</v>
      </c>
      <c r="E690" t="str">
        <f t="shared" si="12"/>
        <v>2014年</v>
      </c>
    </row>
    <row r="691" spans="1:5" x14ac:dyDescent="0.15">
      <c r="A691" s="21">
        <v>41747</v>
      </c>
      <c r="B691" s="22" t="s">
        <v>42</v>
      </c>
      <c r="C691" s="22">
        <v>38.249999731779099</v>
      </c>
      <c r="D691" s="22" t="s">
        <v>34</v>
      </c>
      <c r="E691" t="str">
        <f t="shared" si="12"/>
        <v>2014年</v>
      </c>
    </row>
    <row r="692" spans="1:5" x14ac:dyDescent="0.15">
      <c r="A692" s="21">
        <v>41747</v>
      </c>
      <c r="B692" s="22" t="s">
        <v>38</v>
      </c>
      <c r="C692" s="22">
        <v>91.799999356269836</v>
      </c>
      <c r="D692" s="22" t="s">
        <v>34</v>
      </c>
      <c r="E692" t="str">
        <f t="shared" si="12"/>
        <v>2014年</v>
      </c>
    </row>
    <row r="693" spans="1:5" x14ac:dyDescent="0.15">
      <c r="A693" s="21">
        <v>41747</v>
      </c>
      <c r="B693" s="22" t="s">
        <v>41</v>
      </c>
      <c r="C693" s="22">
        <v>48.449999660253525</v>
      </c>
      <c r="D693" s="22" t="s">
        <v>34</v>
      </c>
      <c r="E693" t="str">
        <f t="shared" si="12"/>
        <v>2014年</v>
      </c>
    </row>
    <row r="694" spans="1:5" x14ac:dyDescent="0.15">
      <c r="A694" s="21">
        <v>41747</v>
      </c>
      <c r="B694" s="22" t="s">
        <v>36</v>
      </c>
      <c r="C694" s="22">
        <v>346.79999756813049</v>
      </c>
      <c r="D694" s="22" t="s">
        <v>34</v>
      </c>
      <c r="E694" t="str">
        <f t="shared" si="12"/>
        <v>2014年</v>
      </c>
    </row>
    <row r="695" spans="1:5" x14ac:dyDescent="0.15">
      <c r="A695" s="21">
        <v>41748</v>
      </c>
      <c r="B695" s="22" t="s">
        <v>41</v>
      </c>
      <c r="C695" s="22">
        <v>319.9999988079071</v>
      </c>
      <c r="D695" s="22" t="s">
        <v>34</v>
      </c>
      <c r="E695" t="str">
        <f t="shared" si="12"/>
        <v>2014年</v>
      </c>
    </row>
    <row r="696" spans="1:5" x14ac:dyDescent="0.15">
      <c r="A696" s="21">
        <v>41748</v>
      </c>
      <c r="B696" s="22" t="s">
        <v>36</v>
      </c>
      <c r="C696" s="22">
        <v>1279.9999952316284</v>
      </c>
      <c r="D696" s="22" t="s">
        <v>34</v>
      </c>
      <c r="E696" t="str">
        <f t="shared" si="12"/>
        <v>2014年</v>
      </c>
    </row>
    <row r="697" spans="1:5" x14ac:dyDescent="0.15">
      <c r="A697" s="21">
        <v>41748</v>
      </c>
      <c r="B697" s="22" t="s">
        <v>40</v>
      </c>
      <c r="C697" s="22">
        <v>341.99999872595072</v>
      </c>
      <c r="D697" s="22" t="s">
        <v>34</v>
      </c>
      <c r="E697" t="str">
        <f t="shared" si="12"/>
        <v>2014年</v>
      </c>
    </row>
    <row r="698" spans="1:5" x14ac:dyDescent="0.15">
      <c r="A698" s="21">
        <v>41748</v>
      </c>
      <c r="B698" s="22" t="s">
        <v>41</v>
      </c>
      <c r="C698" s="22">
        <v>3159</v>
      </c>
      <c r="D698" s="22" t="s">
        <v>39</v>
      </c>
      <c r="E698" t="str">
        <f t="shared" si="12"/>
        <v>2014年</v>
      </c>
    </row>
    <row r="699" spans="1:5" x14ac:dyDescent="0.15">
      <c r="A699" s="21">
        <v>41748</v>
      </c>
      <c r="B699" s="22" t="s">
        <v>37</v>
      </c>
      <c r="C699" s="22">
        <v>1596</v>
      </c>
      <c r="D699" s="22" t="s">
        <v>39</v>
      </c>
      <c r="E699" t="str">
        <f t="shared" si="12"/>
        <v>2014年</v>
      </c>
    </row>
    <row r="700" spans="1:5" x14ac:dyDescent="0.15">
      <c r="A700" s="21">
        <v>41748</v>
      </c>
      <c r="B700" s="22" t="s">
        <v>35</v>
      </c>
      <c r="C700" s="22">
        <v>2660</v>
      </c>
      <c r="D700" s="22" t="s">
        <v>39</v>
      </c>
      <c r="E700" t="str">
        <f t="shared" si="12"/>
        <v>2014年</v>
      </c>
    </row>
    <row r="701" spans="1:5" x14ac:dyDescent="0.15">
      <c r="A701" s="21">
        <v>41748</v>
      </c>
      <c r="B701" s="22" t="s">
        <v>40</v>
      </c>
      <c r="C701" s="22">
        <v>820.95</v>
      </c>
      <c r="D701" s="22" t="s">
        <v>39</v>
      </c>
      <c r="E701" t="str">
        <f t="shared" si="12"/>
        <v>2014年</v>
      </c>
    </row>
    <row r="702" spans="1:5" x14ac:dyDescent="0.15">
      <c r="A702" s="21">
        <v>41748</v>
      </c>
      <c r="B702" s="22" t="s">
        <v>42</v>
      </c>
      <c r="C702" s="22">
        <v>387.5</v>
      </c>
      <c r="D702" s="22" t="s">
        <v>39</v>
      </c>
      <c r="E702" t="str">
        <f t="shared" si="12"/>
        <v>2014年</v>
      </c>
    </row>
    <row r="703" spans="1:5" x14ac:dyDescent="0.15">
      <c r="A703" s="21">
        <v>41749</v>
      </c>
      <c r="B703" s="22" t="s">
        <v>33</v>
      </c>
      <c r="C703" s="22">
        <v>1319.1999907493591</v>
      </c>
      <c r="D703" s="22" t="s">
        <v>39</v>
      </c>
      <c r="E703" t="str">
        <f t="shared" si="12"/>
        <v>2014年</v>
      </c>
    </row>
    <row r="704" spans="1:5" x14ac:dyDescent="0.15">
      <c r="A704" s="21">
        <v>41749</v>
      </c>
      <c r="B704" s="22" t="s">
        <v>41</v>
      </c>
      <c r="C704" s="22">
        <v>872.5</v>
      </c>
      <c r="D704" s="22" t="s">
        <v>39</v>
      </c>
      <c r="E704" t="str">
        <f t="shared" si="12"/>
        <v>2014年</v>
      </c>
    </row>
    <row r="705" spans="1:5" x14ac:dyDescent="0.15">
      <c r="A705" s="21">
        <v>41749</v>
      </c>
      <c r="B705" s="22" t="s">
        <v>41</v>
      </c>
      <c r="C705" s="22">
        <v>5268</v>
      </c>
      <c r="D705" s="22" t="s">
        <v>39</v>
      </c>
      <c r="E705" t="str">
        <f t="shared" si="12"/>
        <v>2014年</v>
      </c>
    </row>
    <row r="706" spans="1:5" x14ac:dyDescent="0.15">
      <c r="A706" s="21">
        <v>41749</v>
      </c>
      <c r="B706" s="22" t="s">
        <v>36</v>
      </c>
      <c r="C706" s="22">
        <v>33.999999761581421</v>
      </c>
      <c r="D706" s="22" t="s">
        <v>39</v>
      </c>
      <c r="E706" t="str">
        <f t="shared" ref="E706:E769" si="13">YEAR(A706)&amp;"年"</f>
        <v>2014年</v>
      </c>
    </row>
    <row r="707" spans="1:5" x14ac:dyDescent="0.15">
      <c r="A707" s="21">
        <v>41749</v>
      </c>
      <c r="B707" s="22" t="s">
        <v>36</v>
      </c>
      <c r="C707" s="22">
        <v>2427.5999829769135</v>
      </c>
      <c r="D707" s="22" t="s">
        <v>39</v>
      </c>
      <c r="E707" t="str">
        <f t="shared" si="13"/>
        <v>2014年</v>
      </c>
    </row>
    <row r="708" spans="1:5" x14ac:dyDescent="0.15">
      <c r="A708" s="21">
        <v>41750</v>
      </c>
      <c r="B708" s="22" t="s">
        <v>38</v>
      </c>
      <c r="C708" s="22">
        <v>1406.2499976716936</v>
      </c>
      <c r="D708" s="22" t="s">
        <v>39</v>
      </c>
      <c r="E708" t="str">
        <f t="shared" si="13"/>
        <v>2014年</v>
      </c>
    </row>
    <row r="709" spans="1:5" x14ac:dyDescent="0.15">
      <c r="A709" s="21">
        <v>41750</v>
      </c>
      <c r="B709" s="22" t="s">
        <v>38</v>
      </c>
      <c r="C709" s="22">
        <v>694.79999884963036</v>
      </c>
      <c r="D709" s="22" t="s">
        <v>39</v>
      </c>
      <c r="E709" t="str">
        <f t="shared" si="13"/>
        <v>2014年</v>
      </c>
    </row>
    <row r="710" spans="1:5" x14ac:dyDescent="0.15">
      <c r="A710" s="21">
        <v>41750</v>
      </c>
      <c r="B710" s="22" t="s">
        <v>35</v>
      </c>
      <c r="C710" s="22">
        <v>280</v>
      </c>
      <c r="D710" s="22" t="s">
        <v>39</v>
      </c>
      <c r="E710" t="str">
        <f t="shared" si="13"/>
        <v>2014年</v>
      </c>
    </row>
    <row r="711" spans="1:5" x14ac:dyDescent="0.15">
      <c r="A711" s="21">
        <v>41750</v>
      </c>
      <c r="B711" s="22" t="s">
        <v>35</v>
      </c>
      <c r="C711" s="22">
        <v>42</v>
      </c>
      <c r="D711" s="22" t="s">
        <v>39</v>
      </c>
      <c r="E711" t="str">
        <f t="shared" si="13"/>
        <v>2014年</v>
      </c>
    </row>
    <row r="712" spans="1:5" x14ac:dyDescent="0.15">
      <c r="A712" s="21">
        <v>41750</v>
      </c>
      <c r="B712" s="22" t="s">
        <v>36</v>
      </c>
      <c r="C712" s="22">
        <v>220</v>
      </c>
      <c r="D712" s="22" t="s">
        <v>39</v>
      </c>
      <c r="E712" t="str">
        <f t="shared" si="13"/>
        <v>2014年</v>
      </c>
    </row>
    <row r="713" spans="1:5" x14ac:dyDescent="0.15">
      <c r="A713" s="21">
        <v>41750</v>
      </c>
      <c r="B713" s="22" t="s">
        <v>42</v>
      </c>
      <c r="C713" s="22">
        <v>90</v>
      </c>
      <c r="D713" s="22" t="s">
        <v>39</v>
      </c>
      <c r="E713" t="str">
        <f t="shared" si="13"/>
        <v>2014年</v>
      </c>
    </row>
    <row r="714" spans="1:5" x14ac:dyDescent="0.15">
      <c r="A714" s="21">
        <v>41751</v>
      </c>
      <c r="B714" s="22" t="s">
        <v>42</v>
      </c>
      <c r="C714" s="22">
        <v>22.5</v>
      </c>
      <c r="D714" s="22" t="s">
        <v>39</v>
      </c>
      <c r="E714" t="str">
        <f t="shared" si="13"/>
        <v>2014年</v>
      </c>
    </row>
    <row r="715" spans="1:5" x14ac:dyDescent="0.15">
      <c r="A715" s="21">
        <v>41751</v>
      </c>
      <c r="B715" s="22" t="s">
        <v>42</v>
      </c>
      <c r="C715" s="22">
        <v>3952.5</v>
      </c>
      <c r="D715" s="22" t="s">
        <v>39</v>
      </c>
      <c r="E715" t="str">
        <f t="shared" si="13"/>
        <v>2014年</v>
      </c>
    </row>
    <row r="716" spans="1:5" x14ac:dyDescent="0.15">
      <c r="A716" s="21">
        <v>41751</v>
      </c>
      <c r="B716" s="22" t="s">
        <v>40</v>
      </c>
      <c r="C716" s="22">
        <v>175.05</v>
      </c>
      <c r="D716" s="22" t="s">
        <v>39</v>
      </c>
      <c r="E716" t="str">
        <f t="shared" si="13"/>
        <v>2014年</v>
      </c>
    </row>
    <row r="717" spans="1:5" x14ac:dyDescent="0.15">
      <c r="A717" s="21">
        <v>41754</v>
      </c>
      <c r="B717" s="22" t="s">
        <v>38</v>
      </c>
      <c r="C717" s="22">
        <v>471.1999996304512</v>
      </c>
      <c r="D717" s="22" t="s">
        <v>34</v>
      </c>
      <c r="E717" t="str">
        <f t="shared" si="13"/>
        <v>2014年</v>
      </c>
    </row>
    <row r="718" spans="1:5" x14ac:dyDescent="0.15">
      <c r="A718" s="21">
        <v>41754</v>
      </c>
      <c r="B718" s="22" t="s">
        <v>35</v>
      </c>
      <c r="C718" s="22">
        <v>1520</v>
      </c>
      <c r="D718" s="22" t="s">
        <v>34</v>
      </c>
      <c r="E718" t="str">
        <f t="shared" si="13"/>
        <v>2014年</v>
      </c>
    </row>
    <row r="719" spans="1:5" x14ac:dyDescent="0.15">
      <c r="A719" s="21">
        <v>41754</v>
      </c>
      <c r="B719" s="22" t="s">
        <v>36</v>
      </c>
      <c r="C719" s="22">
        <v>322.99999974668026</v>
      </c>
      <c r="D719" s="22" t="s">
        <v>34</v>
      </c>
      <c r="E719" t="str">
        <f t="shared" si="13"/>
        <v>2014年</v>
      </c>
    </row>
    <row r="720" spans="1:5" x14ac:dyDescent="0.15">
      <c r="A720" s="21">
        <v>41755</v>
      </c>
      <c r="B720" s="22" t="s">
        <v>42</v>
      </c>
      <c r="C720" s="22">
        <v>36</v>
      </c>
      <c r="D720" s="22" t="s">
        <v>34</v>
      </c>
      <c r="E720" t="str">
        <f t="shared" si="13"/>
        <v>2014年</v>
      </c>
    </row>
    <row r="721" spans="1:5" x14ac:dyDescent="0.15">
      <c r="A721" s="21">
        <v>41755</v>
      </c>
      <c r="B721" s="22" t="s">
        <v>33</v>
      </c>
      <c r="C721" s="22">
        <v>164</v>
      </c>
      <c r="D721" s="22" t="s">
        <v>34</v>
      </c>
      <c r="E721" t="str">
        <f t="shared" si="13"/>
        <v>2014年</v>
      </c>
    </row>
    <row r="722" spans="1:5" x14ac:dyDescent="0.15">
      <c r="A722" s="21">
        <v>41755</v>
      </c>
      <c r="B722" s="22" t="s">
        <v>42</v>
      </c>
      <c r="C722" s="22">
        <v>54</v>
      </c>
      <c r="D722" s="22" t="s">
        <v>39</v>
      </c>
      <c r="E722" t="str">
        <f t="shared" si="13"/>
        <v>2014年</v>
      </c>
    </row>
    <row r="723" spans="1:5" x14ac:dyDescent="0.15">
      <c r="A723" s="21">
        <v>41755</v>
      </c>
      <c r="B723" s="22" t="s">
        <v>38</v>
      </c>
      <c r="C723" s="22">
        <v>96.5</v>
      </c>
      <c r="D723" s="22" t="s">
        <v>39</v>
      </c>
      <c r="E723" t="str">
        <f t="shared" si="13"/>
        <v>2014年</v>
      </c>
    </row>
    <row r="724" spans="1:5" x14ac:dyDescent="0.15">
      <c r="A724" s="21">
        <v>41755</v>
      </c>
      <c r="B724" s="22" t="s">
        <v>41</v>
      </c>
      <c r="C724" s="22">
        <v>75</v>
      </c>
      <c r="D724" s="22" t="s">
        <v>39</v>
      </c>
      <c r="E724" t="str">
        <f t="shared" si="13"/>
        <v>2014年</v>
      </c>
    </row>
    <row r="725" spans="1:5" x14ac:dyDescent="0.15">
      <c r="A725" s="21">
        <v>41756</v>
      </c>
      <c r="B725" s="22" t="s">
        <v>42</v>
      </c>
      <c r="C725" s="22">
        <v>575.99999785423279</v>
      </c>
      <c r="D725" s="22" t="s">
        <v>39</v>
      </c>
      <c r="E725" t="str">
        <f t="shared" si="13"/>
        <v>2014年</v>
      </c>
    </row>
    <row r="726" spans="1:5" x14ac:dyDescent="0.15">
      <c r="A726" s="21">
        <v>41756</v>
      </c>
      <c r="B726" s="22" t="s">
        <v>40</v>
      </c>
      <c r="C726" s="22">
        <v>960</v>
      </c>
      <c r="D726" s="22" t="s">
        <v>39</v>
      </c>
      <c r="E726" t="str">
        <f t="shared" si="13"/>
        <v>2014年</v>
      </c>
    </row>
    <row r="727" spans="1:5" x14ac:dyDescent="0.15">
      <c r="A727" s="21">
        <v>41756</v>
      </c>
      <c r="B727" s="22" t="s">
        <v>38</v>
      </c>
      <c r="C727" s="22">
        <v>414.23999845683574</v>
      </c>
      <c r="D727" s="22" t="s">
        <v>39</v>
      </c>
      <c r="E727" t="str">
        <f t="shared" si="13"/>
        <v>2014年</v>
      </c>
    </row>
    <row r="728" spans="1:5" x14ac:dyDescent="0.15">
      <c r="A728" s="21">
        <v>41756</v>
      </c>
      <c r="B728" s="22" t="s">
        <v>38</v>
      </c>
      <c r="C728" s="22">
        <v>367.99999862909317</v>
      </c>
      <c r="D728" s="22" t="s">
        <v>39</v>
      </c>
      <c r="E728" t="str">
        <f t="shared" si="13"/>
        <v>2014年</v>
      </c>
    </row>
    <row r="729" spans="1:5" x14ac:dyDescent="0.15">
      <c r="A729" s="21">
        <v>41757</v>
      </c>
      <c r="B729" s="22" t="s">
        <v>33</v>
      </c>
      <c r="C729" s="22">
        <v>877.49999854713678</v>
      </c>
      <c r="D729" s="22" t="s">
        <v>34</v>
      </c>
      <c r="E729" t="str">
        <f t="shared" si="13"/>
        <v>2014年</v>
      </c>
    </row>
    <row r="730" spans="1:5" x14ac:dyDescent="0.15">
      <c r="A730" s="21">
        <v>41757</v>
      </c>
      <c r="B730" s="22" t="s">
        <v>41</v>
      </c>
      <c r="C730" s="22">
        <v>1093.4999981895089</v>
      </c>
      <c r="D730" s="22" t="s">
        <v>34</v>
      </c>
      <c r="E730" t="str">
        <f t="shared" si="13"/>
        <v>2014年</v>
      </c>
    </row>
    <row r="731" spans="1:5" x14ac:dyDescent="0.15">
      <c r="A731" s="21">
        <v>41757</v>
      </c>
      <c r="B731" s="22" t="s">
        <v>38</v>
      </c>
      <c r="C731" s="22">
        <v>421.19999930262566</v>
      </c>
      <c r="D731" s="22" t="s">
        <v>34</v>
      </c>
      <c r="E731" t="str">
        <f t="shared" si="13"/>
        <v>2014年</v>
      </c>
    </row>
    <row r="732" spans="1:5" x14ac:dyDescent="0.15">
      <c r="A732" s="21">
        <v>41757</v>
      </c>
      <c r="B732" s="22" t="s">
        <v>38</v>
      </c>
      <c r="C732" s="22">
        <v>52.109999913722277</v>
      </c>
      <c r="D732" s="22" t="s">
        <v>34</v>
      </c>
      <c r="E732" t="str">
        <f t="shared" si="13"/>
        <v>2014年</v>
      </c>
    </row>
    <row r="733" spans="1:5" x14ac:dyDescent="0.15">
      <c r="A733" s="21">
        <v>41757</v>
      </c>
      <c r="B733" s="22" t="s">
        <v>38</v>
      </c>
      <c r="C733" s="22">
        <v>62</v>
      </c>
      <c r="D733" s="22" t="s">
        <v>39</v>
      </c>
      <c r="E733" t="str">
        <f t="shared" si="13"/>
        <v>2014年</v>
      </c>
    </row>
    <row r="734" spans="1:5" x14ac:dyDescent="0.15">
      <c r="A734" s="21">
        <v>41757</v>
      </c>
      <c r="B734" s="22" t="s">
        <v>38</v>
      </c>
      <c r="C734" s="22">
        <v>258.89999999999998</v>
      </c>
      <c r="D734" s="22" t="s">
        <v>39</v>
      </c>
      <c r="E734" t="str">
        <f t="shared" si="13"/>
        <v>2014年</v>
      </c>
    </row>
    <row r="735" spans="1:5" x14ac:dyDescent="0.15">
      <c r="A735" s="21">
        <v>41757</v>
      </c>
      <c r="B735" s="22" t="s">
        <v>42</v>
      </c>
      <c r="C735" s="22">
        <v>2760</v>
      </c>
      <c r="D735" s="22" t="s">
        <v>39</v>
      </c>
      <c r="E735" t="str">
        <f t="shared" si="13"/>
        <v>2014年</v>
      </c>
    </row>
    <row r="736" spans="1:5" x14ac:dyDescent="0.15">
      <c r="A736" s="21">
        <v>41757</v>
      </c>
      <c r="B736" s="22" t="s">
        <v>33</v>
      </c>
      <c r="C736" s="22">
        <v>111.75</v>
      </c>
      <c r="D736" s="22" t="s">
        <v>39</v>
      </c>
      <c r="E736" t="str">
        <f t="shared" si="13"/>
        <v>2014年</v>
      </c>
    </row>
    <row r="737" spans="1:5" x14ac:dyDescent="0.15">
      <c r="A737" s="21">
        <v>41758</v>
      </c>
      <c r="B737" s="22" t="s">
        <v>38</v>
      </c>
      <c r="C737" s="22">
        <v>570</v>
      </c>
      <c r="D737" s="22" t="s">
        <v>39</v>
      </c>
      <c r="E737" t="str">
        <f t="shared" si="13"/>
        <v>2014年</v>
      </c>
    </row>
    <row r="738" spans="1:5" x14ac:dyDescent="0.15">
      <c r="A738" s="21">
        <v>41758</v>
      </c>
      <c r="B738" s="22" t="s">
        <v>38</v>
      </c>
      <c r="C738" s="22">
        <v>248.39999958872795</v>
      </c>
      <c r="D738" s="22" t="s">
        <v>39</v>
      </c>
      <c r="E738" t="str">
        <f t="shared" si="13"/>
        <v>2014年</v>
      </c>
    </row>
    <row r="739" spans="1:5" x14ac:dyDescent="0.15">
      <c r="A739" s="21">
        <v>41761</v>
      </c>
      <c r="B739" s="22" t="s">
        <v>42</v>
      </c>
      <c r="C739" s="22">
        <v>122.39999914169312</v>
      </c>
      <c r="D739" s="22" t="s">
        <v>39</v>
      </c>
      <c r="E739" t="str">
        <f t="shared" si="13"/>
        <v>2014年</v>
      </c>
    </row>
    <row r="740" spans="1:5" x14ac:dyDescent="0.15">
      <c r="A740" s="21">
        <v>41761</v>
      </c>
      <c r="B740" s="22" t="s">
        <v>38</v>
      </c>
      <c r="C740" s="22">
        <v>60</v>
      </c>
      <c r="D740" s="22" t="s">
        <v>39</v>
      </c>
      <c r="E740" t="str">
        <f t="shared" si="13"/>
        <v>2014年</v>
      </c>
    </row>
    <row r="741" spans="1:5" x14ac:dyDescent="0.15">
      <c r="A741" s="21">
        <v>41761</v>
      </c>
      <c r="B741" s="22" t="s">
        <v>35</v>
      </c>
      <c r="C741" s="22">
        <v>968.9999932050705</v>
      </c>
      <c r="D741" s="22" t="s">
        <v>39</v>
      </c>
      <c r="E741" t="str">
        <f t="shared" si="13"/>
        <v>2014年</v>
      </c>
    </row>
    <row r="742" spans="1:5" x14ac:dyDescent="0.15">
      <c r="A742" s="21">
        <v>41761</v>
      </c>
      <c r="B742" s="22" t="s">
        <v>40</v>
      </c>
      <c r="C742" s="22">
        <v>989.99999836087227</v>
      </c>
      <c r="D742" s="22" t="s">
        <v>34</v>
      </c>
      <c r="E742" t="str">
        <f t="shared" si="13"/>
        <v>2014年</v>
      </c>
    </row>
    <row r="743" spans="1:5" x14ac:dyDescent="0.15">
      <c r="A743" s="21">
        <v>41761</v>
      </c>
      <c r="B743" s="22" t="s">
        <v>38</v>
      </c>
      <c r="C743" s="22">
        <v>512.99999915063381</v>
      </c>
      <c r="D743" s="22" t="s">
        <v>34</v>
      </c>
      <c r="E743" t="str">
        <f t="shared" si="13"/>
        <v>2014年</v>
      </c>
    </row>
    <row r="744" spans="1:5" x14ac:dyDescent="0.15">
      <c r="A744" s="21">
        <v>41762</v>
      </c>
      <c r="B744" s="22" t="s">
        <v>36</v>
      </c>
      <c r="C744" s="22">
        <v>63</v>
      </c>
      <c r="D744" s="22" t="s">
        <v>34</v>
      </c>
      <c r="E744" t="str">
        <f t="shared" si="13"/>
        <v>2014年</v>
      </c>
    </row>
    <row r="745" spans="1:5" x14ac:dyDescent="0.15">
      <c r="A745" s="21">
        <v>41762</v>
      </c>
      <c r="B745" s="22" t="s">
        <v>36</v>
      </c>
      <c r="C745" s="22">
        <v>15.999999940395355</v>
      </c>
      <c r="D745" s="22" t="s">
        <v>34</v>
      </c>
      <c r="E745" t="str">
        <f t="shared" si="13"/>
        <v>2014年</v>
      </c>
    </row>
    <row r="746" spans="1:5" x14ac:dyDescent="0.15">
      <c r="A746" s="21">
        <v>41762</v>
      </c>
      <c r="B746" s="22" t="s">
        <v>36</v>
      </c>
      <c r="C746" s="22">
        <v>313.2</v>
      </c>
      <c r="D746" s="22" t="s">
        <v>34</v>
      </c>
      <c r="E746" t="str">
        <f t="shared" si="13"/>
        <v>2014年</v>
      </c>
    </row>
    <row r="747" spans="1:5" x14ac:dyDescent="0.15">
      <c r="A747" s="21">
        <v>41763</v>
      </c>
      <c r="B747" s="22" t="s">
        <v>33</v>
      </c>
      <c r="C747" s="22">
        <v>336</v>
      </c>
      <c r="D747" s="22" t="s">
        <v>34</v>
      </c>
      <c r="E747" t="str">
        <f t="shared" si="13"/>
        <v>2014年</v>
      </c>
    </row>
    <row r="748" spans="1:5" x14ac:dyDescent="0.15">
      <c r="A748" s="21">
        <v>41763</v>
      </c>
      <c r="B748" s="22" t="s">
        <v>41</v>
      </c>
      <c r="C748" s="22">
        <v>250</v>
      </c>
      <c r="D748" s="22" t="s">
        <v>34</v>
      </c>
      <c r="E748" t="str">
        <f t="shared" si="13"/>
        <v>2014年</v>
      </c>
    </row>
    <row r="749" spans="1:5" x14ac:dyDescent="0.15">
      <c r="A749" s="21">
        <v>41763</v>
      </c>
      <c r="B749" s="22" t="s">
        <v>36</v>
      </c>
      <c r="C749" s="22">
        <v>360</v>
      </c>
      <c r="D749" s="22" t="s">
        <v>34</v>
      </c>
      <c r="E749" t="str">
        <f t="shared" si="13"/>
        <v>2014年</v>
      </c>
    </row>
    <row r="750" spans="1:5" x14ac:dyDescent="0.15">
      <c r="A750" s="21">
        <v>41764</v>
      </c>
      <c r="B750" s="22" t="s">
        <v>33</v>
      </c>
      <c r="C750" s="22">
        <v>1560</v>
      </c>
      <c r="D750" s="22" t="s">
        <v>39</v>
      </c>
      <c r="E750" t="str">
        <f t="shared" si="13"/>
        <v>2014年</v>
      </c>
    </row>
    <row r="751" spans="1:5" x14ac:dyDescent="0.15">
      <c r="A751" s="21">
        <v>41764</v>
      </c>
      <c r="B751" s="22" t="s">
        <v>42</v>
      </c>
      <c r="C751" s="22">
        <v>1150</v>
      </c>
      <c r="D751" s="22" t="s">
        <v>39</v>
      </c>
      <c r="E751" t="str">
        <f t="shared" si="13"/>
        <v>2014年</v>
      </c>
    </row>
    <row r="752" spans="1:5" x14ac:dyDescent="0.15">
      <c r="A752" s="21">
        <v>41764</v>
      </c>
      <c r="B752" s="22" t="s">
        <v>40</v>
      </c>
      <c r="C752" s="22">
        <v>570</v>
      </c>
      <c r="D752" s="22" t="s">
        <v>39</v>
      </c>
      <c r="E752" t="str">
        <f t="shared" si="13"/>
        <v>2014年</v>
      </c>
    </row>
    <row r="753" spans="1:5" x14ac:dyDescent="0.15">
      <c r="A753" s="21">
        <v>41764</v>
      </c>
      <c r="B753" s="22" t="s">
        <v>42</v>
      </c>
      <c r="C753" s="22">
        <v>900</v>
      </c>
      <c r="D753" s="22" t="s">
        <v>39</v>
      </c>
      <c r="E753" t="str">
        <f t="shared" si="13"/>
        <v>2014年</v>
      </c>
    </row>
    <row r="754" spans="1:5" x14ac:dyDescent="0.15">
      <c r="A754" s="21">
        <v>41764</v>
      </c>
      <c r="B754" s="22" t="s">
        <v>36</v>
      </c>
      <c r="C754" s="22">
        <v>110</v>
      </c>
      <c r="D754" s="22" t="s">
        <v>34</v>
      </c>
      <c r="E754" t="str">
        <f t="shared" si="13"/>
        <v>2014年</v>
      </c>
    </row>
    <row r="755" spans="1:5" x14ac:dyDescent="0.15">
      <c r="A755" s="21">
        <v>41765</v>
      </c>
      <c r="B755" s="22" t="s">
        <v>38</v>
      </c>
      <c r="C755" s="22">
        <v>388.35</v>
      </c>
      <c r="D755" s="22" t="s">
        <v>34</v>
      </c>
      <c r="E755" t="str">
        <f t="shared" si="13"/>
        <v>2014年</v>
      </c>
    </row>
    <row r="756" spans="1:5" x14ac:dyDescent="0.15">
      <c r="A756" s="21">
        <v>41765</v>
      </c>
      <c r="B756" s="22" t="s">
        <v>40</v>
      </c>
      <c r="C756" s="22">
        <v>408</v>
      </c>
      <c r="D756" s="22" t="s">
        <v>34</v>
      </c>
      <c r="E756" t="str">
        <f t="shared" si="13"/>
        <v>2014年</v>
      </c>
    </row>
    <row r="757" spans="1:5" x14ac:dyDescent="0.15">
      <c r="A757" s="21">
        <v>41768</v>
      </c>
      <c r="B757" s="22" t="s">
        <v>40</v>
      </c>
      <c r="C757" s="22">
        <v>1044.9999991804361</v>
      </c>
      <c r="D757" s="22" t="s">
        <v>39</v>
      </c>
      <c r="E757" t="str">
        <f t="shared" si="13"/>
        <v>2014年</v>
      </c>
    </row>
    <row r="758" spans="1:5" x14ac:dyDescent="0.15">
      <c r="A758" s="21">
        <v>41768</v>
      </c>
      <c r="B758" s="22" t="s">
        <v>36</v>
      </c>
      <c r="C758" s="22">
        <v>835.2</v>
      </c>
      <c r="D758" s="22" t="s">
        <v>39</v>
      </c>
      <c r="E758" t="str">
        <f t="shared" si="13"/>
        <v>2014年</v>
      </c>
    </row>
    <row r="759" spans="1:5" x14ac:dyDescent="0.15">
      <c r="A759" s="21">
        <v>41768</v>
      </c>
      <c r="B759" s="22" t="s">
        <v>38</v>
      </c>
      <c r="C759" s="22">
        <v>341.9999997317791</v>
      </c>
      <c r="D759" s="22" t="s">
        <v>39</v>
      </c>
      <c r="E759" t="str">
        <f t="shared" si="13"/>
        <v>2014年</v>
      </c>
    </row>
    <row r="760" spans="1:5" x14ac:dyDescent="0.15">
      <c r="A760" s="21">
        <v>41768</v>
      </c>
      <c r="B760" s="22" t="s">
        <v>38</v>
      </c>
      <c r="C760" s="22">
        <v>258.89999999999998</v>
      </c>
      <c r="D760" s="22" t="s">
        <v>39</v>
      </c>
      <c r="E760" t="str">
        <f t="shared" si="13"/>
        <v>2014年</v>
      </c>
    </row>
    <row r="761" spans="1:5" x14ac:dyDescent="0.15">
      <c r="A761" s="21">
        <v>41768</v>
      </c>
      <c r="B761" s="22" t="s">
        <v>38</v>
      </c>
      <c r="C761" s="22">
        <v>147.19999945163727</v>
      </c>
      <c r="D761" s="22" t="s">
        <v>39</v>
      </c>
      <c r="E761" t="str">
        <f t="shared" si="13"/>
        <v>2014年</v>
      </c>
    </row>
    <row r="762" spans="1:5" x14ac:dyDescent="0.15">
      <c r="A762" s="21">
        <v>41768</v>
      </c>
      <c r="B762" s="22" t="s">
        <v>33</v>
      </c>
      <c r="C762" s="22">
        <v>59.599999777972698</v>
      </c>
      <c r="D762" s="22" t="s">
        <v>39</v>
      </c>
      <c r="E762" t="str">
        <f t="shared" si="13"/>
        <v>2014年</v>
      </c>
    </row>
    <row r="763" spans="1:5" x14ac:dyDescent="0.15">
      <c r="A763" s="21">
        <v>41769</v>
      </c>
      <c r="B763" s="22" t="s">
        <v>36</v>
      </c>
      <c r="C763" s="22">
        <v>944.99999843537807</v>
      </c>
      <c r="D763" s="22" t="s">
        <v>39</v>
      </c>
      <c r="E763" t="str">
        <f t="shared" si="13"/>
        <v>2014年</v>
      </c>
    </row>
    <row r="764" spans="1:5" x14ac:dyDescent="0.15">
      <c r="A764" s="21">
        <v>41769</v>
      </c>
      <c r="B764" s="22" t="s">
        <v>38</v>
      </c>
      <c r="C764" s="22">
        <v>165.59999972581863</v>
      </c>
      <c r="D764" s="22" t="s">
        <v>39</v>
      </c>
      <c r="E764" t="str">
        <f t="shared" si="13"/>
        <v>2014年</v>
      </c>
    </row>
    <row r="765" spans="1:5" x14ac:dyDescent="0.15">
      <c r="A765" s="21">
        <v>41769</v>
      </c>
      <c r="B765" s="22" t="s">
        <v>35</v>
      </c>
      <c r="C765" s="22">
        <v>87.749999854713678</v>
      </c>
      <c r="D765" s="22" t="s">
        <v>39</v>
      </c>
      <c r="E765" t="str">
        <f t="shared" si="13"/>
        <v>2014年</v>
      </c>
    </row>
    <row r="766" spans="1:5" x14ac:dyDescent="0.15">
      <c r="A766" s="21">
        <v>41769</v>
      </c>
      <c r="B766" s="22" t="s">
        <v>36</v>
      </c>
      <c r="C766" s="22">
        <v>742.4999987706542</v>
      </c>
      <c r="D766" s="22" t="s">
        <v>39</v>
      </c>
      <c r="E766" t="str">
        <f t="shared" si="13"/>
        <v>2014年</v>
      </c>
    </row>
    <row r="767" spans="1:5" x14ac:dyDescent="0.15">
      <c r="A767" s="21">
        <v>41770</v>
      </c>
      <c r="B767" s="22" t="s">
        <v>36</v>
      </c>
      <c r="C767" s="22">
        <v>427.5</v>
      </c>
      <c r="D767" s="22" t="s">
        <v>39</v>
      </c>
      <c r="E767" t="str">
        <f t="shared" si="13"/>
        <v>2014年</v>
      </c>
    </row>
    <row r="768" spans="1:5" x14ac:dyDescent="0.15">
      <c r="A768" s="21">
        <v>41770</v>
      </c>
      <c r="B768" s="22" t="s">
        <v>36</v>
      </c>
      <c r="C768" s="22">
        <v>250</v>
      </c>
      <c r="D768" s="22" t="s">
        <v>39</v>
      </c>
      <c r="E768" t="str">
        <f t="shared" si="13"/>
        <v>2014年</v>
      </c>
    </row>
    <row r="769" spans="1:5" x14ac:dyDescent="0.15">
      <c r="A769" s="21">
        <v>41770</v>
      </c>
      <c r="B769" s="22" t="s">
        <v>36</v>
      </c>
      <c r="C769" s="22">
        <v>75</v>
      </c>
      <c r="D769" s="22" t="s">
        <v>39</v>
      </c>
      <c r="E769" t="str">
        <f t="shared" si="13"/>
        <v>2014年</v>
      </c>
    </row>
    <row r="770" spans="1:5" x14ac:dyDescent="0.15">
      <c r="A770" s="21">
        <v>41770</v>
      </c>
      <c r="B770" s="22" t="s">
        <v>36</v>
      </c>
      <c r="C770" s="22">
        <v>892.5</v>
      </c>
      <c r="D770" s="22" t="s">
        <v>39</v>
      </c>
      <c r="E770" t="str">
        <f t="shared" ref="E770:E833" si="14">YEAR(A770)&amp;"年"</f>
        <v>2014年</v>
      </c>
    </row>
    <row r="771" spans="1:5" x14ac:dyDescent="0.15">
      <c r="A771" s="21">
        <v>41770</v>
      </c>
      <c r="B771" s="22" t="s">
        <v>36</v>
      </c>
      <c r="C771" s="22">
        <v>375</v>
      </c>
      <c r="D771" s="22" t="s">
        <v>39</v>
      </c>
      <c r="E771" t="str">
        <f t="shared" si="14"/>
        <v>2014年</v>
      </c>
    </row>
    <row r="772" spans="1:5" x14ac:dyDescent="0.15">
      <c r="A772" s="21">
        <v>41770</v>
      </c>
      <c r="B772" s="22" t="s">
        <v>37</v>
      </c>
      <c r="C772" s="22">
        <v>318</v>
      </c>
      <c r="D772" s="22" t="s">
        <v>39</v>
      </c>
      <c r="E772" t="str">
        <f t="shared" si="14"/>
        <v>2014年</v>
      </c>
    </row>
    <row r="773" spans="1:5" x14ac:dyDescent="0.15">
      <c r="A773" s="21">
        <v>41770</v>
      </c>
      <c r="B773" s="22" t="s">
        <v>38</v>
      </c>
      <c r="C773" s="22">
        <v>265</v>
      </c>
      <c r="D773" s="22" t="s">
        <v>39</v>
      </c>
      <c r="E773" t="str">
        <f t="shared" si="14"/>
        <v>2014年</v>
      </c>
    </row>
    <row r="774" spans="1:5" x14ac:dyDescent="0.15">
      <c r="A774" s="21">
        <v>41770</v>
      </c>
      <c r="B774" s="22" t="s">
        <v>36</v>
      </c>
      <c r="C774" s="22">
        <v>730.8</v>
      </c>
      <c r="D774" s="22" t="s">
        <v>39</v>
      </c>
      <c r="E774" t="str">
        <f t="shared" si="14"/>
        <v>2014年</v>
      </c>
    </row>
    <row r="775" spans="1:5" x14ac:dyDescent="0.15">
      <c r="A775" s="21">
        <v>41770</v>
      </c>
      <c r="B775" s="22" t="s">
        <v>38</v>
      </c>
      <c r="C775" s="22">
        <v>135</v>
      </c>
      <c r="D775" s="22" t="s">
        <v>39</v>
      </c>
      <c r="E775" t="str">
        <f t="shared" si="14"/>
        <v>2014年</v>
      </c>
    </row>
    <row r="776" spans="1:5" x14ac:dyDescent="0.15">
      <c r="A776" s="21">
        <v>41771</v>
      </c>
      <c r="B776" s="22" t="s">
        <v>42</v>
      </c>
      <c r="C776" s="22">
        <v>105</v>
      </c>
      <c r="D776" s="22" t="s">
        <v>34</v>
      </c>
      <c r="E776" t="str">
        <f t="shared" si="14"/>
        <v>2014年</v>
      </c>
    </row>
    <row r="777" spans="1:5" x14ac:dyDescent="0.15">
      <c r="A777" s="21">
        <v>41771</v>
      </c>
      <c r="B777" s="22" t="s">
        <v>36</v>
      </c>
      <c r="C777" s="22">
        <v>34.799999999999997</v>
      </c>
      <c r="D777" s="22" t="s">
        <v>34</v>
      </c>
      <c r="E777" t="str">
        <f t="shared" si="14"/>
        <v>2014年</v>
      </c>
    </row>
    <row r="778" spans="1:5" x14ac:dyDescent="0.15">
      <c r="A778" s="21">
        <v>41772</v>
      </c>
      <c r="B778" s="22" t="s">
        <v>38</v>
      </c>
      <c r="C778" s="22">
        <v>48</v>
      </c>
      <c r="D778" s="22" t="s">
        <v>34</v>
      </c>
      <c r="E778" t="str">
        <f t="shared" si="14"/>
        <v>2014年</v>
      </c>
    </row>
    <row r="779" spans="1:5" x14ac:dyDescent="0.15">
      <c r="A779" s="21">
        <v>41772</v>
      </c>
      <c r="B779" s="22" t="s">
        <v>41</v>
      </c>
      <c r="C779" s="22">
        <v>150</v>
      </c>
      <c r="D779" s="22" t="s">
        <v>34</v>
      </c>
      <c r="E779" t="str">
        <f t="shared" si="14"/>
        <v>2014年</v>
      </c>
    </row>
    <row r="780" spans="1:5" x14ac:dyDescent="0.15">
      <c r="A780" s="21">
        <v>41772</v>
      </c>
      <c r="B780" s="22" t="s">
        <v>36</v>
      </c>
      <c r="C780" s="22">
        <v>37.5</v>
      </c>
      <c r="D780" s="22" t="s">
        <v>34</v>
      </c>
      <c r="E780" t="str">
        <f t="shared" si="14"/>
        <v>2014年</v>
      </c>
    </row>
    <row r="781" spans="1:5" x14ac:dyDescent="0.15">
      <c r="A781" s="21">
        <v>41772</v>
      </c>
      <c r="B781" s="22" t="s">
        <v>41</v>
      </c>
      <c r="C781" s="22">
        <v>120</v>
      </c>
      <c r="D781" s="22" t="s">
        <v>34</v>
      </c>
      <c r="E781" t="str">
        <f t="shared" si="14"/>
        <v>2014年</v>
      </c>
    </row>
    <row r="782" spans="1:5" x14ac:dyDescent="0.15">
      <c r="A782" s="21">
        <v>41775</v>
      </c>
      <c r="B782" s="22" t="s">
        <v>40</v>
      </c>
      <c r="C782" s="22">
        <v>600</v>
      </c>
      <c r="D782" s="22" t="s">
        <v>39</v>
      </c>
      <c r="E782" t="str">
        <f t="shared" si="14"/>
        <v>2014年</v>
      </c>
    </row>
    <row r="783" spans="1:5" x14ac:dyDescent="0.15">
      <c r="A783" s="21">
        <v>41775</v>
      </c>
      <c r="B783" s="22" t="s">
        <v>41</v>
      </c>
      <c r="C783" s="22">
        <v>1249.2</v>
      </c>
      <c r="D783" s="22" t="s">
        <v>39</v>
      </c>
      <c r="E783" t="str">
        <f t="shared" si="14"/>
        <v>2014年</v>
      </c>
    </row>
    <row r="784" spans="1:5" x14ac:dyDescent="0.15">
      <c r="A784" s="21">
        <v>41775</v>
      </c>
      <c r="B784" s="22" t="s">
        <v>42</v>
      </c>
      <c r="C784" s="22">
        <v>7905</v>
      </c>
      <c r="D784" s="22" t="s">
        <v>39</v>
      </c>
      <c r="E784" t="str">
        <f t="shared" si="14"/>
        <v>2014年</v>
      </c>
    </row>
    <row r="785" spans="1:5" x14ac:dyDescent="0.15">
      <c r="A785" s="21">
        <v>41775</v>
      </c>
      <c r="B785" s="22" t="s">
        <v>41</v>
      </c>
      <c r="C785" s="22">
        <v>437.5</v>
      </c>
      <c r="D785" s="22" t="s">
        <v>39</v>
      </c>
      <c r="E785" t="str">
        <f t="shared" si="14"/>
        <v>2014年</v>
      </c>
    </row>
    <row r="786" spans="1:5" x14ac:dyDescent="0.15">
      <c r="A786" s="21">
        <v>41775</v>
      </c>
      <c r="B786" s="22" t="s">
        <v>42</v>
      </c>
      <c r="C786" s="22">
        <v>141.74999976530671</v>
      </c>
      <c r="D786" s="22" t="s">
        <v>39</v>
      </c>
      <c r="E786" t="str">
        <f t="shared" si="14"/>
        <v>2014年</v>
      </c>
    </row>
    <row r="787" spans="1:5" x14ac:dyDescent="0.15">
      <c r="A787" s="21">
        <v>41775</v>
      </c>
      <c r="B787" s="22" t="s">
        <v>42</v>
      </c>
      <c r="C787" s="22">
        <v>948.59999842941761</v>
      </c>
      <c r="D787" s="22" t="s">
        <v>39</v>
      </c>
      <c r="E787" t="str">
        <f t="shared" si="14"/>
        <v>2014年</v>
      </c>
    </row>
    <row r="788" spans="1:5" x14ac:dyDescent="0.15">
      <c r="A788" s="21">
        <v>41775</v>
      </c>
      <c r="B788" s="22" t="s">
        <v>40</v>
      </c>
      <c r="C788" s="22">
        <v>682.01999887079</v>
      </c>
      <c r="D788" s="22" t="s">
        <v>39</v>
      </c>
      <c r="E788" t="str">
        <f t="shared" si="14"/>
        <v>2014年</v>
      </c>
    </row>
    <row r="789" spans="1:5" x14ac:dyDescent="0.15">
      <c r="A789" s="21">
        <v>41775</v>
      </c>
      <c r="B789" s="22" t="s">
        <v>36</v>
      </c>
      <c r="C789" s="22">
        <v>174.14999971166253</v>
      </c>
      <c r="D789" s="22" t="s">
        <v>39</v>
      </c>
      <c r="E789" t="str">
        <f t="shared" si="14"/>
        <v>2014年</v>
      </c>
    </row>
    <row r="790" spans="1:5" x14ac:dyDescent="0.15">
      <c r="A790" s="21">
        <v>41776</v>
      </c>
      <c r="B790" s="22" t="s">
        <v>36</v>
      </c>
      <c r="C790" s="22">
        <v>299.24999976530671</v>
      </c>
      <c r="D790" s="22" t="s">
        <v>39</v>
      </c>
      <c r="E790" t="str">
        <f t="shared" si="14"/>
        <v>2014年</v>
      </c>
    </row>
    <row r="791" spans="1:5" x14ac:dyDescent="0.15">
      <c r="A791" s="21">
        <v>41776</v>
      </c>
      <c r="B791" s="22" t="s">
        <v>33</v>
      </c>
      <c r="C791" s="22">
        <v>169.85999986678362</v>
      </c>
      <c r="D791" s="22" t="s">
        <v>39</v>
      </c>
      <c r="E791" t="str">
        <f t="shared" si="14"/>
        <v>2014年</v>
      </c>
    </row>
    <row r="792" spans="1:5" x14ac:dyDescent="0.15">
      <c r="A792" s="21">
        <v>41777</v>
      </c>
      <c r="B792" s="22" t="s">
        <v>36</v>
      </c>
      <c r="C792" s="22">
        <v>968.9999932050705</v>
      </c>
      <c r="D792" s="22" t="s">
        <v>39</v>
      </c>
      <c r="E792" t="str">
        <f t="shared" si="14"/>
        <v>2014年</v>
      </c>
    </row>
    <row r="793" spans="1:5" x14ac:dyDescent="0.15">
      <c r="A793" s="21">
        <v>41777</v>
      </c>
      <c r="B793" s="22" t="s">
        <v>35</v>
      </c>
      <c r="C793" s="22">
        <v>535.49999624490738</v>
      </c>
      <c r="D793" s="22" t="s">
        <v>39</v>
      </c>
      <c r="E793" t="str">
        <f t="shared" si="14"/>
        <v>2014年</v>
      </c>
    </row>
    <row r="794" spans="1:5" x14ac:dyDescent="0.15">
      <c r="A794" s="21">
        <v>41777</v>
      </c>
      <c r="B794" s="22" t="s">
        <v>37</v>
      </c>
      <c r="C794" s="22">
        <v>319.2</v>
      </c>
      <c r="D794" s="22" t="s">
        <v>39</v>
      </c>
      <c r="E794" t="str">
        <f t="shared" si="14"/>
        <v>2014年</v>
      </c>
    </row>
    <row r="795" spans="1:5" x14ac:dyDescent="0.15">
      <c r="A795" s="21">
        <v>41777</v>
      </c>
      <c r="B795" s="22" t="s">
        <v>42</v>
      </c>
      <c r="C795" s="22">
        <v>98</v>
      </c>
      <c r="D795" s="22" t="s">
        <v>39</v>
      </c>
      <c r="E795" t="str">
        <f t="shared" si="14"/>
        <v>2014年</v>
      </c>
    </row>
    <row r="796" spans="1:5" x14ac:dyDescent="0.15">
      <c r="A796" s="21">
        <v>41778</v>
      </c>
      <c r="B796" s="22" t="s">
        <v>36</v>
      </c>
      <c r="C796" s="22">
        <v>210</v>
      </c>
      <c r="D796" s="22" t="s">
        <v>39</v>
      </c>
      <c r="E796" t="str">
        <f t="shared" si="14"/>
        <v>2014年</v>
      </c>
    </row>
    <row r="797" spans="1:5" x14ac:dyDescent="0.15">
      <c r="A797" s="21">
        <v>41779</v>
      </c>
      <c r="B797" s="22" t="s">
        <v>37</v>
      </c>
      <c r="C797" s="22">
        <v>300</v>
      </c>
      <c r="D797" s="22" t="s">
        <v>39</v>
      </c>
      <c r="E797" t="str">
        <f t="shared" si="14"/>
        <v>2014年</v>
      </c>
    </row>
    <row r="798" spans="1:5" x14ac:dyDescent="0.15">
      <c r="A798" s="21">
        <v>41779</v>
      </c>
      <c r="B798" s="22" t="s">
        <v>42</v>
      </c>
      <c r="C798" s="22">
        <v>540</v>
      </c>
      <c r="D798" s="22" t="s">
        <v>39</v>
      </c>
      <c r="E798" t="str">
        <f t="shared" si="14"/>
        <v>2014年</v>
      </c>
    </row>
    <row r="799" spans="1:5" x14ac:dyDescent="0.15">
      <c r="A799" s="21">
        <v>41779</v>
      </c>
      <c r="B799" s="22" t="s">
        <v>41</v>
      </c>
      <c r="C799" s="22">
        <v>1972</v>
      </c>
      <c r="D799" s="22" t="s">
        <v>39</v>
      </c>
      <c r="E799" t="str">
        <f t="shared" si="14"/>
        <v>2014年</v>
      </c>
    </row>
    <row r="800" spans="1:5" x14ac:dyDescent="0.15">
      <c r="A800" s="21">
        <v>41779</v>
      </c>
      <c r="B800" s="22" t="s">
        <v>36</v>
      </c>
      <c r="C800" s="22">
        <v>652.79999542236328</v>
      </c>
      <c r="D800" s="22" t="s">
        <v>39</v>
      </c>
      <c r="E800" t="str">
        <f t="shared" si="14"/>
        <v>2014年</v>
      </c>
    </row>
    <row r="801" spans="1:5" x14ac:dyDescent="0.15">
      <c r="A801" s="21">
        <v>41779</v>
      </c>
      <c r="B801" s="22" t="s">
        <v>38</v>
      </c>
      <c r="C801" s="22">
        <v>1140</v>
      </c>
      <c r="D801" s="22" t="s">
        <v>39</v>
      </c>
      <c r="E801" t="str">
        <f t="shared" si="14"/>
        <v>2014年</v>
      </c>
    </row>
    <row r="802" spans="1:5" x14ac:dyDescent="0.15">
      <c r="A802" s="21">
        <v>41782</v>
      </c>
      <c r="B802" s="22" t="s">
        <v>42</v>
      </c>
      <c r="C802" s="22">
        <v>105</v>
      </c>
      <c r="D802" s="22" t="s">
        <v>39</v>
      </c>
      <c r="E802" t="str">
        <f t="shared" si="14"/>
        <v>2014年</v>
      </c>
    </row>
    <row r="803" spans="1:5" x14ac:dyDescent="0.15">
      <c r="A803" s="21">
        <v>41782</v>
      </c>
      <c r="B803" s="22" t="s">
        <v>38</v>
      </c>
      <c r="C803" s="22">
        <v>135.1</v>
      </c>
      <c r="D803" s="22" t="s">
        <v>39</v>
      </c>
      <c r="E803" t="str">
        <f t="shared" si="14"/>
        <v>2014年</v>
      </c>
    </row>
    <row r="804" spans="1:5" x14ac:dyDescent="0.15">
      <c r="A804" s="21">
        <v>41783</v>
      </c>
      <c r="B804" s="22" t="s">
        <v>36</v>
      </c>
      <c r="C804" s="22">
        <v>584.37499590218067</v>
      </c>
      <c r="D804" s="22" t="s">
        <v>34</v>
      </c>
      <c r="E804" t="str">
        <f t="shared" si="14"/>
        <v>2014年</v>
      </c>
    </row>
    <row r="805" spans="1:5" x14ac:dyDescent="0.15">
      <c r="A805" s="21">
        <v>41783</v>
      </c>
      <c r="B805" s="22" t="s">
        <v>38</v>
      </c>
      <c r="C805" s="22">
        <v>807.49999433755875</v>
      </c>
      <c r="D805" s="22" t="s">
        <v>34</v>
      </c>
      <c r="E805" t="str">
        <f t="shared" si="14"/>
        <v>2014年</v>
      </c>
    </row>
    <row r="806" spans="1:5" x14ac:dyDescent="0.15">
      <c r="A806" s="21">
        <v>41783</v>
      </c>
      <c r="B806" s="22" t="s">
        <v>37</v>
      </c>
      <c r="C806" s="22">
        <v>2162.3999848365784</v>
      </c>
      <c r="D806" s="22" t="s">
        <v>34</v>
      </c>
      <c r="E806" t="str">
        <f t="shared" si="14"/>
        <v>2014年</v>
      </c>
    </row>
    <row r="807" spans="1:5" x14ac:dyDescent="0.15">
      <c r="A807" s="21">
        <v>41784</v>
      </c>
      <c r="B807" s="22" t="s">
        <v>33</v>
      </c>
      <c r="C807" s="22">
        <v>280.79999953508377</v>
      </c>
      <c r="D807" s="22" t="s">
        <v>34</v>
      </c>
      <c r="E807" t="str">
        <f t="shared" si="14"/>
        <v>2014年</v>
      </c>
    </row>
    <row r="808" spans="1:5" x14ac:dyDescent="0.15">
      <c r="A808" s="21">
        <v>41784</v>
      </c>
      <c r="B808" s="22" t="s">
        <v>41</v>
      </c>
      <c r="C808" s="22">
        <v>92</v>
      </c>
      <c r="D808" s="22" t="s">
        <v>34</v>
      </c>
      <c r="E808" t="str">
        <f t="shared" si="14"/>
        <v>2014年</v>
      </c>
    </row>
    <row r="809" spans="1:5" x14ac:dyDescent="0.15">
      <c r="A809" s="21">
        <v>41784</v>
      </c>
      <c r="B809" s="22" t="s">
        <v>41</v>
      </c>
      <c r="C809" s="22">
        <v>53.999999910593033</v>
      </c>
      <c r="D809" s="22" t="s">
        <v>34</v>
      </c>
      <c r="E809" t="str">
        <f t="shared" si="14"/>
        <v>2014年</v>
      </c>
    </row>
    <row r="810" spans="1:5" x14ac:dyDescent="0.15">
      <c r="A810" s="21">
        <v>41784</v>
      </c>
      <c r="B810" s="22" t="s">
        <v>40</v>
      </c>
      <c r="C810" s="22">
        <v>256.49999957531691</v>
      </c>
      <c r="D810" s="22" t="s">
        <v>34</v>
      </c>
      <c r="E810" t="str">
        <f t="shared" si="14"/>
        <v>2014年</v>
      </c>
    </row>
    <row r="811" spans="1:5" x14ac:dyDescent="0.15">
      <c r="A811" s="21">
        <v>41784</v>
      </c>
      <c r="B811" s="22" t="s">
        <v>41</v>
      </c>
      <c r="C811" s="22">
        <v>593.29999583959579</v>
      </c>
      <c r="D811" s="22" t="s">
        <v>39</v>
      </c>
      <c r="E811" t="str">
        <f t="shared" si="14"/>
        <v>2014年</v>
      </c>
    </row>
    <row r="812" spans="1:5" x14ac:dyDescent="0.15">
      <c r="A812" s="21">
        <v>41784</v>
      </c>
      <c r="B812" s="22" t="s">
        <v>42</v>
      </c>
      <c r="C812" s="22">
        <v>305.99999785423279</v>
      </c>
      <c r="D812" s="22" t="s">
        <v>39</v>
      </c>
      <c r="E812" t="str">
        <f t="shared" si="14"/>
        <v>2014年</v>
      </c>
    </row>
    <row r="813" spans="1:5" x14ac:dyDescent="0.15">
      <c r="A813" s="21">
        <v>41784</v>
      </c>
      <c r="B813" s="22" t="s">
        <v>40</v>
      </c>
      <c r="C813" s="22">
        <v>778</v>
      </c>
      <c r="D813" s="22" t="s">
        <v>39</v>
      </c>
      <c r="E813" t="str">
        <f t="shared" si="14"/>
        <v>2014年</v>
      </c>
    </row>
    <row r="814" spans="1:5" x14ac:dyDescent="0.15">
      <c r="A814" s="21">
        <v>41785</v>
      </c>
      <c r="B814" s="22" t="s">
        <v>36</v>
      </c>
      <c r="C814" s="22">
        <v>648</v>
      </c>
      <c r="D814" s="22" t="s">
        <v>39</v>
      </c>
      <c r="E814" t="str">
        <f t="shared" si="14"/>
        <v>2014年</v>
      </c>
    </row>
    <row r="815" spans="1:5" x14ac:dyDescent="0.15">
      <c r="A815" s="21">
        <v>41785</v>
      </c>
      <c r="B815" s="22" t="s">
        <v>42</v>
      </c>
      <c r="C815" s="22">
        <v>232.5</v>
      </c>
      <c r="D815" s="22" t="s">
        <v>39</v>
      </c>
      <c r="E815" t="str">
        <f t="shared" si="14"/>
        <v>2014年</v>
      </c>
    </row>
    <row r="816" spans="1:5" x14ac:dyDescent="0.15">
      <c r="A816" s="21">
        <v>41786</v>
      </c>
      <c r="B816" s="22" t="s">
        <v>36</v>
      </c>
      <c r="C816" s="22">
        <v>315</v>
      </c>
      <c r="D816" s="22" t="s">
        <v>39</v>
      </c>
      <c r="E816" t="str">
        <f t="shared" si="14"/>
        <v>2014年</v>
      </c>
    </row>
    <row r="817" spans="1:5" x14ac:dyDescent="0.15">
      <c r="A817" s="21">
        <v>41786</v>
      </c>
      <c r="B817" s="22" t="s">
        <v>41</v>
      </c>
      <c r="C817" s="22">
        <v>244.3</v>
      </c>
      <c r="D817" s="22" t="s">
        <v>39</v>
      </c>
      <c r="E817" t="str">
        <f t="shared" si="14"/>
        <v>2014年</v>
      </c>
    </row>
    <row r="818" spans="1:5" x14ac:dyDescent="0.15">
      <c r="A818" s="21">
        <v>41786</v>
      </c>
      <c r="B818" s="22" t="s">
        <v>35</v>
      </c>
      <c r="C818" s="22">
        <v>504</v>
      </c>
      <c r="D818" s="22" t="s">
        <v>39</v>
      </c>
      <c r="E818" t="str">
        <f t="shared" si="14"/>
        <v>2014年</v>
      </c>
    </row>
    <row r="819" spans="1:5" x14ac:dyDescent="0.15">
      <c r="A819" s="21">
        <v>41786</v>
      </c>
      <c r="B819" s="22" t="s">
        <v>36</v>
      </c>
      <c r="C819" s="22">
        <v>375</v>
      </c>
      <c r="D819" s="22" t="s">
        <v>39</v>
      </c>
      <c r="E819" t="str">
        <f t="shared" si="14"/>
        <v>2014年</v>
      </c>
    </row>
    <row r="820" spans="1:5" x14ac:dyDescent="0.15">
      <c r="A820" s="21">
        <v>41786</v>
      </c>
      <c r="B820" s="22" t="s">
        <v>42</v>
      </c>
      <c r="C820" s="22">
        <v>108</v>
      </c>
      <c r="D820" s="22" t="s">
        <v>39</v>
      </c>
      <c r="E820" t="str">
        <f t="shared" si="14"/>
        <v>2014年</v>
      </c>
    </row>
    <row r="821" spans="1:5" x14ac:dyDescent="0.15">
      <c r="A821" s="21">
        <v>41786</v>
      </c>
      <c r="B821" s="22" t="s">
        <v>41</v>
      </c>
      <c r="C821" s="22">
        <v>497.32499960996211</v>
      </c>
      <c r="D821" s="22" t="s">
        <v>39</v>
      </c>
      <c r="E821" t="str">
        <f t="shared" si="14"/>
        <v>2014年</v>
      </c>
    </row>
    <row r="822" spans="1:5" x14ac:dyDescent="0.15">
      <c r="A822" s="21">
        <v>41786</v>
      </c>
      <c r="B822" s="22" t="s">
        <v>35</v>
      </c>
      <c r="C822" s="22">
        <v>170.99999986588955</v>
      </c>
      <c r="D822" s="22" t="s">
        <v>39</v>
      </c>
      <c r="E822" t="str">
        <f t="shared" si="14"/>
        <v>2014年</v>
      </c>
    </row>
    <row r="823" spans="1:5" x14ac:dyDescent="0.15">
      <c r="A823" s="21">
        <v>41786</v>
      </c>
      <c r="B823" s="22" t="s">
        <v>41</v>
      </c>
      <c r="C823" s="22">
        <v>936.69999926537275</v>
      </c>
      <c r="D823" s="22" t="s">
        <v>39</v>
      </c>
      <c r="E823" t="str">
        <f t="shared" si="14"/>
        <v>2014年</v>
      </c>
    </row>
    <row r="824" spans="1:5" x14ac:dyDescent="0.15">
      <c r="A824" s="21">
        <v>41786</v>
      </c>
      <c r="B824" s="22" t="s">
        <v>40</v>
      </c>
      <c r="C824" s="22">
        <v>123.49999990314245</v>
      </c>
      <c r="D824" s="22" t="s">
        <v>39</v>
      </c>
      <c r="E824" t="str">
        <f t="shared" si="14"/>
        <v>2014年</v>
      </c>
    </row>
    <row r="825" spans="1:5" x14ac:dyDescent="0.15">
      <c r="A825" s="21">
        <v>41789</v>
      </c>
      <c r="B825" s="22" t="s">
        <v>37</v>
      </c>
      <c r="C825" s="22">
        <v>557.99999792128801</v>
      </c>
      <c r="D825" s="22" t="s">
        <v>34</v>
      </c>
      <c r="E825" t="str">
        <f t="shared" si="14"/>
        <v>2014年</v>
      </c>
    </row>
    <row r="826" spans="1:5" x14ac:dyDescent="0.15">
      <c r="A826" s="21">
        <v>41789</v>
      </c>
      <c r="B826" s="22" t="s">
        <v>41</v>
      </c>
      <c r="C826" s="22">
        <v>257.59999904036522</v>
      </c>
      <c r="D826" s="22" t="s">
        <v>34</v>
      </c>
      <c r="E826" t="str">
        <f t="shared" si="14"/>
        <v>2014年</v>
      </c>
    </row>
    <row r="827" spans="1:5" x14ac:dyDescent="0.15">
      <c r="A827" s="21">
        <v>41789</v>
      </c>
      <c r="B827" s="22" t="s">
        <v>42</v>
      </c>
      <c r="C827" s="22">
        <v>64.799999758601189</v>
      </c>
      <c r="D827" s="22" t="s">
        <v>34</v>
      </c>
      <c r="E827" t="str">
        <f t="shared" si="14"/>
        <v>2014年</v>
      </c>
    </row>
    <row r="828" spans="1:5" x14ac:dyDescent="0.15">
      <c r="A828" s="21">
        <v>41789</v>
      </c>
      <c r="B828" s="22" t="s">
        <v>37</v>
      </c>
      <c r="C828" s="22">
        <v>847.99999684095383</v>
      </c>
      <c r="D828" s="22" t="s">
        <v>34</v>
      </c>
      <c r="E828" t="str">
        <f t="shared" si="14"/>
        <v>2014年</v>
      </c>
    </row>
    <row r="829" spans="1:5" x14ac:dyDescent="0.15">
      <c r="A829" s="21">
        <v>41789</v>
      </c>
      <c r="B829" s="22" t="s">
        <v>35</v>
      </c>
      <c r="C829" s="22">
        <v>1215.999995470047</v>
      </c>
      <c r="D829" s="22" t="s">
        <v>34</v>
      </c>
      <c r="E829" t="str">
        <f t="shared" si="14"/>
        <v>2014年</v>
      </c>
    </row>
    <row r="830" spans="1:5" x14ac:dyDescent="0.15">
      <c r="A830" s="21">
        <v>41790</v>
      </c>
      <c r="B830" s="22" t="s">
        <v>36</v>
      </c>
      <c r="C830" s="22">
        <v>835.2</v>
      </c>
      <c r="D830" s="22" t="s">
        <v>39</v>
      </c>
      <c r="E830" t="str">
        <f t="shared" si="14"/>
        <v>2014年</v>
      </c>
    </row>
    <row r="831" spans="1:5" x14ac:dyDescent="0.15">
      <c r="A831" s="21">
        <v>41790</v>
      </c>
      <c r="B831" s="22" t="s">
        <v>35</v>
      </c>
      <c r="C831" s="22">
        <v>997.5</v>
      </c>
      <c r="D831" s="22" t="s">
        <v>34</v>
      </c>
      <c r="E831" t="str">
        <f t="shared" si="14"/>
        <v>2014年</v>
      </c>
    </row>
    <row r="832" spans="1:5" x14ac:dyDescent="0.15">
      <c r="A832" s="21">
        <v>41790</v>
      </c>
      <c r="B832" s="22" t="s">
        <v>42</v>
      </c>
      <c r="C832" s="22">
        <v>155</v>
      </c>
      <c r="D832" s="22" t="s">
        <v>34</v>
      </c>
      <c r="E832" t="str">
        <f t="shared" si="14"/>
        <v>2014年</v>
      </c>
    </row>
    <row r="833" spans="1:5" x14ac:dyDescent="0.15">
      <c r="A833" s="21">
        <v>41791</v>
      </c>
      <c r="B833" s="22" t="s">
        <v>41</v>
      </c>
      <c r="C833" s="22">
        <v>237.5</v>
      </c>
      <c r="D833" s="22" t="s">
        <v>39</v>
      </c>
      <c r="E833" t="str">
        <f t="shared" si="14"/>
        <v>2014年</v>
      </c>
    </row>
    <row r="834" spans="1:5" x14ac:dyDescent="0.15">
      <c r="A834" s="21">
        <v>41791</v>
      </c>
      <c r="B834" s="22" t="s">
        <v>37</v>
      </c>
      <c r="C834" s="22">
        <v>1060</v>
      </c>
      <c r="D834" s="22" t="s">
        <v>39</v>
      </c>
      <c r="E834" t="str">
        <f t="shared" ref="E834:E897" si="15">YEAR(A834)&amp;"年"</f>
        <v>2014年</v>
      </c>
    </row>
    <row r="835" spans="1:5" x14ac:dyDescent="0.15">
      <c r="A835" s="21">
        <v>41791</v>
      </c>
      <c r="B835" s="22" t="s">
        <v>35</v>
      </c>
      <c r="C835" s="22">
        <v>210</v>
      </c>
      <c r="D835" s="22" t="s">
        <v>39</v>
      </c>
      <c r="E835" t="str">
        <f t="shared" si="15"/>
        <v>2014年</v>
      </c>
    </row>
    <row r="836" spans="1:5" x14ac:dyDescent="0.15">
      <c r="A836" s="21">
        <v>41791</v>
      </c>
      <c r="B836" s="22" t="s">
        <v>33</v>
      </c>
      <c r="C836" s="22">
        <v>590.4</v>
      </c>
      <c r="D836" s="22" t="s">
        <v>39</v>
      </c>
      <c r="E836" t="str">
        <f t="shared" si="15"/>
        <v>2014年</v>
      </c>
    </row>
    <row r="837" spans="1:5" x14ac:dyDescent="0.15">
      <c r="A837" s="21">
        <v>41791</v>
      </c>
      <c r="B837" s="22" t="s">
        <v>38</v>
      </c>
      <c r="C837" s="22">
        <v>45</v>
      </c>
      <c r="D837" s="22" t="s">
        <v>39</v>
      </c>
      <c r="E837" t="str">
        <f t="shared" si="15"/>
        <v>2014年</v>
      </c>
    </row>
    <row r="838" spans="1:5" x14ac:dyDescent="0.15">
      <c r="A838" s="21">
        <v>41792</v>
      </c>
      <c r="B838" s="22" t="s">
        <v>38</v>
      </c>
      <c r="C838" s="22">
        <v>110.00999991372228</v>
      </c>
      <c r="D838" s="22" t="s">
        <v>34</v>
      </c>
      <c r="E838" t="str">
        <f t="shared" si="15"/>
        <v>2014年</v>
      </c>
    </row>
    <row r="839" spans="1:5" x14ac:dyDescent="0.15">
      <c r="A839" s="21">
        <v>41792</v>
      </c>
      <c r="B839" s="22" t="s">
        <v>33</v>
      </c>
      <c r="C839" s="22">
        <v>410.39999967813492</v>
      </c>
      <c r="D839" s="22" t="s">
        <v>34</v>
      </c>
      <c r="E839" t="str">
        <f t="shared" si="15"/>
        <v>2014年</v>
      </c>
    </row>
    <row r="840" spans="1:5" x14ac:dyDescent="0.15">
      <c r="A840" s="21">
        <v>41793</v>
      </c>
      <c r="B840" s="22" t="s">
        <v>38</v>
      </c>
      <c r="C840" s="22">
        <v>517.79999999999995</v>
      </c>
      <c r="D840" s="22" t="s">
        <v>39</v>
      </c>
      <c r="E840" t="str">
        <f t="shared" si="15"/>
        <v>2014年</v>
      </c>
    </row>
    <row r="841" spans="1:5" x14ac:dyDescent="0.15">
      <c r="A841" s="21">
        <v>41793</v>
      </c>
      <c r="B841" s="22" t="s">
        <v>41</v>
      </c>
      <c r="C841" s="22">
        <v>554.625</v>
      </c>
      <c r="D841" s="22" t="s">
        <v>39</v>
      </c>
      <c r="E841" t="str">
        <f t="shared" si="15"/>
        <v>2014年</v>
      </c>
    </row>
    <row r="842" spans="1:5" x14ac:dyDescent="0.15">
      <c r="A842" s="21">
        <v>41793</v>
      </c>
      <c r="B842" s="22" t="s">
        <v>40</v>
      </c>
      <c r="C842" s="22">
        <v>194.5</v>
      </c>
      <c r="D842" s="22" t="s">
        <v>39</v>
      </c>
      <c r="E842" t="str">
        <f t="shared" si="15"/>
        <v>2014年</v>
      </c>
    </row>
    <row r="843" spans="1:5" x14ac:dyDescent="0.15">
      <c r="A843" s="21">
        <v>41793</v>
      </c>
      <c r="B843" s="22" t="s">
        <v>37</v>
      </c>
      <c r="C843" s="22">
        <v>2650</v>
      </c>
      <c r="D843" s="22" t="s">
        <v>39</v>
      </c>
      <c r="E843" t="str">
        <f t="shared" si="15"/>
        <v>2014年</v>
      </c>
    </row>
    <row r="844" spans="1:5" x14ac:dyDescent="0.15">
      <c r="A844" s="21">
        <v>41796</v>
      </c>
      <c r="B844" s="22" t="s">
        <v>36</v>
      </c>
      <c r="C844" s="22">
        <v>44.999999925494194</v>
      </c>
      <c r="D844" s="22" t="s">
        <v>39</v>
      </c>
      <c r="E844" t="str">
        <f t="shared" si="15"/>
        <v>2014年</v>
      </c>
    </row>
    <row r="845" spans="1:5" x14ac:dyDescent="0.15">
      <c r="A845" s="21">
        <v>41796</v>
      </c>
      <c r="B845" s="22" t="s">
        <v>41</v>
      </c>
      <c r="C845" s="22">
        <v>443.69999926537275</v>
      </c>
      <c r="D845" s="22" t="s">
        <v>39</v>
      </c>
      <c r="E845" t="str">
        <f t="shared" si="15"/>
        <v>2014年</v>
      </c>
    </row>
    <row r="846" spans="1:5" x14ac:dyDescent="0.15">
      <c r="A846" s="21">
        <v>41797</v>
      </c>
      <c r="B846" s="22" t="s">
        <v>38</v>
      </c>
      <c r="C846" s="22">
        <v>475</v>
      </c>
      <c r="D846" s="22" t="s">
        <v>39</v>
      </c>
      <c r="E846" t="str">
        <f t="shared" si="15"/>
        <v>2014年</v>
      </c>
    </row>
    <row r="847" spans="1:5" x14ac:dyDescent="0.15">
      <c r="A847" s="21">
        <v>41797</v>
      </c>
      <c r="B847" s="22" t="s">
        <v>35</v>
      </c>
      <c r="C847" s="22">
        <v>490</v>
      </c>
      <c r="D847" s="22" t="s">
        <v>39</v>
      </c>
      <c r="E847" t="str">
        <f t="shared" si="15"/>
        <v>2014年</v>
      </c>
    </row>
    <row r="848" spans="1:5" x14ac:dyDescent="0.15">
      <c r="A848" s="21">
        <v>41797</v>
      </c>
      <c r="B848" s="22" t="s">
        <v>33</v>
      </c>
      <c r="C848" s="22">
        <v>592.79999953508377</v>
      </c>
      <c r="D848" s="22" t="s">
        <v>39</v>
      </c>
      <c r="E848" t="str">
        <f t="shared" si="15"/>
        <v>2014年</v>
      </c>
    </row>
    <row r="849" spans="1:5" x14ac:dyDescent="0.15">
      <c r="A849" s="21">
        <v>41797</v>
      </c>
      <c r="B849" s="22" t="s">
        <v>36</v>
      </c>
      <c r="C849" s="22">
        <v>71.249999944120646</v>
      </c>
      <c r="D849" s="22" t="s">
        <v>39</v>
      </c>
      <c r="E849" t="str">
        <f t="shared" si="15"/>
        <v>2014年</v>
      </c>
    </row>
    <row r="850" spans="1:5" x14ac:dyDescent="0.15">
      <c r="A850" s="21">
        <v>41797</v>
      </c>
      <c r="B850" s="22" t="s">
        <v>33</v>
      </c>
      <c r="C850" s="22">
        <v>569.99999955296516</v>
      </c>
      <c r="D850" s="22" t="s">
        <v>39</v>
      </c>
      <c r="E850" t="str">
        <f t="shared" si="15"/>
        <v>2014年</v>
      </c>
    </row>
    <row r="851" spans="1:5" x14ac:dyDescent="0.15">
      <c r="A851" s="21">
        <v>41798</v>
      </c>
      <c r="B851" s="22" t="s">
        <v>42</v>
      </c>
      <c r="C851" s="22">
        <v>101.24999983236194</v>
      </c>
      <c r="D851" s="22" t="s">
        <v>39</v>
      </c>
      <c r="E851" t="str">
        <f t="shared" si="15"/>
        <v>2014年</v>
      </c>
    </row>
    <row r="852" spans="1:5" x14ac:dyDescent="0.15">
      <c r="A852" s="21">
        <v>41798</v>
      </c>
      <c r="B852" s="22" t="s">
        <v>35</v>
      </c>
      <c r="C852" s="22">
        <v>538.6499991081655</v>
      </c>
      <c r="D852" s="22" t="s">
        <v>39</v>
      </c>
      <c r="E852" t="str">
        <f t="shared" si="15"/>
        <v>2014年</v>
      </c>
    </row>
    <row r="853" spans="1:5" x14ac:dyDescent="0.15">
      <c r="A853" s="21">
        <v>41799</v>
      </c>
      <c r="B853" s="22" t="s">
        <v>36</v>
      </c>
      <c r="C853" s="22">
        <v>624.74999561905861</v>
      </c>
      <c r="D853" s="22" t="s">
        <v>34</v>
      </c>
      <c r="E853" t="str">
        <f t="shared" si="15"/>
        <v>2014年</v>
      </c>
    </row>
    <row r="854" spans="1:5" x14ac:dyDescent="0.15">
      <c r="A854" s="21">
        <v>41799</v>
      </c>
      <c r="B854" s="22" t="s">
        <v>38</v>
      </c>
      <c r="C854" s="22">
        <v>956.24999329447746</v>
      </c>
      <c r="D854" s="22" t="s">
        <v>34</v>
      </c>
      <c r="E854" t="str">
        <f t="shared" si="15"/>
        <v>2014年</v>
      </c>
    </row>
    <row r="855" spans="1:5" x14ac:dyDescent="0.15">
      <c r="A855" s="21">
        <v>41799</v>
      </c>
      <c r="B855" s="22" t="s">
        <v>42</v>
      </c>
      <c r="C855" s="22">
        <v>180</v>
      </c>
      <c r="D855" s="22" t="s">
        <v>34</v>
      </c>
      <c r="E855" t="str">
        <f t="shared" si="15"/>
        <v>2014年</v>
      </c>
    </row>
    <row r="856" spans="1:5" x14ac:dyDescent="0.15">
      <c r="A856" s="21">
        <v>41799</v>
      </c>
      <c r="B856" s="22" t="s">
        <v>36</v>
      </c>
      <c r="C856" s="22">
        <v>599.99999776482582</v>
      </c>
      <c r="D856" s="22" t="s">
        <v>39</v>
      </c>
      <c r="E856" t="str">
        <f t="shared" si="15"/>
        <v>2014年</v>
      </c>
    </row>
    <row r="857" spans="1:5" x14ac:dyDescent="0.15">
      <c r="A857" s="21">
        <v>41799</v>
      </c>
      <c r="B857" s="22" t="s">
        <v>37</v>
      </c>
      <c r="C857" s="22">
        <v>159</v>
      </c>
      <c r="D857" s="22" t="s">
        <v>39</v>
      </c>
      <c r="E857" t="str">
        <f t="shared" si="15"/>
        <v>2014年</v>
      </c>
    </row>
    <row r="858" spans="1:5" x14ac:dyDescent="0.15">
      <c r="A858" s="21">
        <v>41799</v>
      </c>
      <c r="B858" s="22" t="s">
        <v>36</v>
      </c>
      <c r="C858" s="22">
        <v>1759.9999934434891</v>
      </c>
      <c r="D858" s="22" t="s">
        <v>39</v>
      </c>
      <c r="E858" t="str">
        <f t="shared" si="15"/>
        <v>2014年</v>
      </c>
    </row>
    <row r="859" spans="1:5" x14ac:dyDescent="0.15">
      <c r="A859" s="21">
        <v>41800</v>
      </c>
      <c r="B859" s="22" t="s">
        <v>38</v>
      </c>
      <c r="C859" s="22">
        <v>155</v>
      </c>
      <c r="D859" s="22" t="s">
        <v>39</v>
      </c>
      <c r="E859" t="str">
        <f t="shared" si="15"/>
        <v>2014年</v>
      </c>
    </row>
    <row r="860" spans="1:5" x14ac:dyDescent="0.15">
      <c r="A860" s="21">
        <v>41803</v>
      </c>
      <c r="B860" s="22" t="s">
        <v>36</v>
      </c>
      <c r="C860" s="22">
        <v>349.9999986961484</v>
      </c>
      <c r="D860" s="22" t="s">
        <v>34</v>
      </c>
      <c r="E860" t="str">
        <f t="shared" si="15"/>
        <v>2014年</v>
      </c>
    </row>
    <row r="861" spans="1:5" x14ac:dyDescent="0.15">
      <c r="A861" s="21">
        <v>41803</v>
      </c>
      <c r="B861" s="22" t="s">
        <v>42</v>
      </c>
      <c r="C861" s="22">
        <v>540</v>
      </c>
      <c r="D861" s="22" t="s">
        <v>34</v>
      </c>
      <c r="E861" t="str">
        <f t="shared" si="15"/>
        <v>2014年</v>
      </c>
    </row>
    <row r="862" spans="1:5" x14ac:dyDescent="0.15">
      <c r="A862" s="21">
        <v>41804</v>
      </c>
      <c r="B862" s="22" t="s">
        <v>36</v>
      </c>
      <c r="C862" s="22">
        <v>299.24999976530671</v>
      </c>
      <c r="D862" s="22" t="s">
        <v>39</v>
      </c>
      <c r="E862" t="str">
        <f t="shared" si="15"/>
        <v>2014年</v>
      </c>
    </row>
    <row r="863" spans="1:5" x14ac:dyDescent="0.15">
      <c r="A863" s="21">
        <v>41804</v>
      </c>
      <c r="B863" s="22" t="s">
        <v>35</v>
      </c>
      <c r="C863" s="22">
        <v>2165.9999983012676</v>
      </c>
      <c r="D863" s="22" t="s">
        <v>39</v>
      </c>
      <c r="E863" t="str">
        <f t="shared" si="15"/>
        <v>2014年</v>
      </c>
    </row>
    <row r="864" spans="1:5" x14ac:dyDescent="0.15">
      <c r="A864" s="21">
        <v>41804</v>
      </c>
      <c r="B864" s="22" t="s">
        <v>37</v>
      </c>
      <c r="C864" s="22">
        <v>217.38749847561121</v>
      </c>
      <c r="D864" s="22" t="s">
        <v>39</v>
      </c>
      <c r="E864" t="str">
        <f t="shared" si="15"/>
        <v>2014年</v>
      </c>
    </row>
    <row r="865" spans="1:5" x14ac:dyDescent="0.15">
      <c r="A865" s="21">
        <v>41804</v>
      </c>
      <c r="B865" s="22" t="s">
        <v>35</v>
      </c>
      <c r="C865" s="22">
        <v>333.19999766349792</v>
      </c>
      <c r="D865" s="22" t="s">
        <v>39</v>
      </c>
      <c r="E865" t="str">
        <f t="shared" si="15"/>
        <v>2014年</v>
      </c>
    </row>
    <row r="866" spans="1:5" x14ac:dyDescent="0.15">
      <c r="A866" s="21">
        <v>41805</v>
      </c>
      <c r="B866" s="22" t="s">
        <v>41</v>
      </c>
      <c r="C866" s="22">
        <v>188.45999968796968</v>
      </c>
      <c r="D866" s="22" t="s">
        <v>39</v>
      </c>
      <c r="E866" t="str">
        <f t="shared" si="15"/>
        <v>2014年</v>
      </c>
    </row>
    <row r="867" spans="1:5" x14ac:dyDescent="0.15">
      <c r="A867" s="21">
        <v>41805</v>
      </c>
      <c r="B867" s="22" t="s">
        <v>36</v>
      </c>
      <c r="C867" s="22">
        <v>287.99999952316284</v>
      </c>
      <c r="D867" s="22" t="s">
        <v>39</v>
      </c>
      <c r="E867" t="str">
        <f t="shared" si="15"/>
        <v>2014年</v>
      </c>
    </row>
    <row r="868" spans="1:5" x14ac:dyDescent="0.15">
      <c r="A868" s="21">
        <v>41805</v>
      </c>
      <c r="B868" s="22" t="s">
        <v>38</v>
      </c>
      <c r="C868" s="22">
        <v>920</v>
      </c>
      <c r="D868" s="22" t="s">
        <v>39</v>
      </c>
      <c r="E868" t="str">
        <f t="shared" si="15"/>
        <v>2014年</v>
      </c>
    </row>
    <row r="869" spans="1:5" x14ac:dyDescent="0.15">
      <c r="A869" s="21">
        <v>41805</v>
      </c>
      <c r="B869" s="22" t="s">
        <v>42</v>
      </c>
      <c r="C869" s="22">
        <v>104.624999826774</v>
      </c>
      <c r="D869" s="22" t="s">
        <v>39</v>
      </c>
      <c r="E869" t="str">
        <f t="shared" si="15"/>
        <v>2014年</v>
      </c>
    </row>
    <row r="870" spans="1:5" x14ac:dyDescent="0.15">
      <c r="A870" s="21">
        <v>41806</v>
      </c>
      <c r="B870" s="22" t="s">
        <v>33</v>
      </c>
      <c r="C870" s="22">
        <v>702</v>
      </c>
      <c r="D870" s="22" t="s">
        <v>34</v>
      </c>
      <c r="E870" t="str">
        <f t="shared" si="15"/>
        <v>2014年</v>
      </c>
    </row>
    <row r="871" spans="1:5" x14ac:dyDescent="0.15">
      <c r="A871" s="21">
        <v>41806</v>
      </c>
      <c r="B871" s="22" t="s">
        <v>42</v>
      </c>
      <c r="C871" s="22">
        <v>560</v>
      </c>
      <c r="D871" s="22" t="s">
        <v>34</v>
      </c>
      <c r="E871" t="str">
        <f t="shared" si="15"/>
        <v>2014年</v>
      </c>
    </row>
    <row r="872" spans="1:5" x14ac:dyDescent="0.15">
      <c r="A872" s="21">
        <v>41806</v>
      </c>
      <c r="B872" s="22" t="s">
        <v>33</v>
      </c>
      <c r="C872" s="22">
        <v>820</v>
      </c>
      <c r="D872" s="22" t="s">
        <v>34</v>
      </c>
      <c r="E872" t="str">
        <f t="shared" si="15"/>
        <v>2014年</v>
      </c>
    </row>
    <row r="873" spans="1:5" x14ac:dyDescent="0.15">
      <c r="A873" s="21">
        <v>41806</v>
      </c>
      <c r="B873" s="22" t="s">
        <v>36</v>
      </c>
      <c r="C873" s="22">
        <v>35</v>
      </c>
      <c r="D873" s="22" t="s">
        <v>39</v>
      </c>
      <c r="E873" t="str">
        <f t="shared" si="15"/>
        <v>2014年</v>
      </c>
    </row>
    <row r="874" spans="1:5" x14ac:dyDescent="0.15">
      <c r="A874" s="21">
        <v>41806</v>
      </c>
      <c r="B874" s="22" t="s">
        <v>38</v>
      </c>
      <c r="C874" s="22">
        <v>36.799999999999997</v>
      </c>
      <c r="D874" s="22" t="s">
        <v>39</v>
      </c>
      <c r="E874" t="str">
        <f t="shared" si="15"/>
        <v>2014年</v>
      </c>
    </row>
    <row r="875" spans="1:5" x14ac:dyDescent="0.15">
      <c r="A875" s="21">
        <v>41806</v>
      </c>
      <c r="B875" s="22" t="s">
        <v>41</v>
      </c>
      <c r="C875" s="22">
        <v>493</v>
      </c>
      <c r="D875" s="22" t="s">
        <v>39</v>
      </c>
      <c r="E875" t="str">
        <f t="shared" si="15"/>
        <v>2014年</v>
      </c>
    </row>
    <row r="876" spans="1:5" x14ac:dyDescent="0.15">
      <c r="A876" s="21">
        <v>41806</v>
      </c>
      <c r="B876" s="22" t="s">
        <v>35</v>
      </c>
      <c r="C876" s="22">
        <v>199.5</v>
      </c>
      <c r="D876" s="22" t="s">
        <v>39</v>
      </c>
      <c r="E876" t="str">
        <f t="shared" si="15"/>
        <v>2014年</v>
      </c>
    </row>
    <row r="877" spans="1:5" x14ac:dyDescent="0.15">
      <c r="A877" s="21">
        <v>41807</v>
      </c>
      <c r="B877" s="22" t="s">
        <v>36</v>
      </c>
      <c r="C877" s="22">
        <v>660</v>
      </c>
      <c r="D877" s="22" t="s">
        <v>34</v>
      </c>
      <c r="E877" t="str">
        <f t="shared" si="15"/>
        <v>2014年</v>
      </c>
    </row>
    <row r="878" spans="1:5" x14ac:dyDescent="0.15">
      <c r="A878" s="21">
        <v>41807</v>
      </c>
      <c r="B878" s="22" t="s">
        <v>40</v>
      </c>
      <c r="C878" s="22">
        <v>263.39999999999998</v>
      </c>
      <c r="D878" s="22" t="s">
        <v>34</v>
      </c>
      <c r="E878" t="str">
        <f t="shared" si="15"/>
        <v>2014年</v>
      </c>
    </row>
    <row r="879" spans="1:5" x14ac:dyDescent="0.15">
      <c r="A879" s="21">
        <v>41807</v>
      </c>
      <c r="B879" s="22" t="s">
        <v>36</v>
      </c>
      <c r="C879" s="22">
        <v>1044</v>
      </c>
      <c r="D879" s="22" t="s">
        <v>34</v>
      </c>
      <c r="E879" t="str">
        <f t="shared" si="15"/>
        <v>2014年</v>
      </c>
    </row>
    <row r="880" spans="1:5" x14ac:dyDescent="0.15">
      <c r="A880" s="21">
        <v>41807</v>
      </c>
      <c r="B880" s="22" t="s">
        <v>42</v>
      </c>
      <c r="C880" s="22">
        <v>180</v>
      </c>
      <c r="D880" s="22" t="s">
        <v>34</v>
      </c>
      <c r="E880" t="str">
        <f t="shared" si="15"/>
        <v>2014年</v>
      </c>
    </row>
    <row r="881" spans="1:5" x14ac:dyDescent="0.15">
      <c r="A881" s="21">
        <v>41810</v>
      </c>
      <c r="B881" s="22" t="s">
        <v>42</v>
      </c>
      <c r="C881" s="22">
        <v>180</v>
      </c>
      <c r="D881" s="22" t="s">
        <v>39</v>
      </c>
      <c r="E881" t="str">
        <f t="shared" si="15"/>
        <v>2014年</v>
      </c>
    </row>
    <row r="882" spans="1:5" x14ac:dyDescent="0.15">
      <c r="A882" s="21">
        <v>41810</v>
      </c>
      <c r="B882" s="22" t="s">
        <v>36</v>
      </c>
      <c r="C882" s="22">
        <v>250</v>
      </c>
      <c r="D882" s="22" t="s">
        <v>39</v>
      </c>
      <c r="E882" t="str">
        <f t="shared" si="15"/>
        <v>2014年</v>
      </c>
    </row>
    <row r="883" spans="1:5" x14ac:dyDescent="0.15">
      <c r="A883" s="21">
        <v>41810</v>
      </c>
      <c r="B883" s="22" t="s">
        <v>40</v>
      </c>
      <c r="C883" s="22">
        <v>408.45</v>
      </c>
      <c r="D883" s="22" t="s">
        <v>39</v>
      </c>
      <c r="E883" t="str">
        <f t="shared" si="15"/>
        <v>2014年</v>
      </c>
    </row>
    <row r="884" spans="1:5" x14ac:dyDescent="0.15">
      <c r="A884" s="21">
        <v>41810</v>
      </c>
      <c r="B884" s="22" t="s">
        <v>42</v>
      </c>
      <c r="C884" s="22">
        <v>180</v>
      </c>
      <c r="D884" s="22" t="s">
        <v>34</v>
      </c>
      <c r="E884" t="str">
        <f t="shared" si="15"/>
        <v>2014年</v>
      </c>
    </row>
    <row r="885" spans="1:5" x14ac:dyDescent="0.15">
      <c r="A885" s="21">
        <v>41810</v>
      </c>
      <c r="B885" s="22" t="s">
        <v>42</v>
      </c>
      <c r="C885" s="22">
        <v>155</v>
      </c>
      <c r="D885" s="22" t="s">
        <v>34</v>
      </c>
      <c r="E885" t="str">
        <f t="shared" si="15"/>
        <v>2014年</v>
      </c>
    </row>
    <row r="886" spans="1:5" x14ac:dyDescent="0.15">
      <c r="A886" s="21">
        <v>41810</v>
      </c>
      <c r="B886" s="22" t="s">
        <v>40</v>
      </c>
      <c r="C886" s="22">
        <v>234</v>
      </c>
      <c r="D886" s="22" t="s">
        <v>34</v>
      </c>
      <c r="E886" t="str">
        <f t="shared" si="15"/>
        <v>2014年</v>
      </c>
    </row>
    <row r="887" spans="1:5" x14ac:dyDescent="0.15">
      <c r="A887" s="21">
        <v>41811</v>
      </c>
      <c r="B887" s="22" t="s">
        <v>42</v>
      </c>
      <c r="C887" s="22">
        <v>360</v>
      </c>
      <c r="D887" s="22" t="s">
        <v>39</v>
      </c>
      <c r="E887" t="str">
        <f t="shared" si="15"/>
        <v>2014年</v>
      </c>
    </row>
    <row r="888" spans="1:5" x14ac:dyDescent="0.15">
      <c r="A888" s="21">
        <v>41811</v>
      </c>
      <c r="B888" s="22" t="s">
        <v>35</v>
      </c>
      <c r="C888" s="22">
        <v>117</v>
      </c>
      <c r="D888" s="22" t="s">
        <v>39</v>
      </c>
      <c r="E888" t="str">
        <f t="shared" si="15"/>
        <v>2014年</v>
      </c>
    </row>
    <row r="889" spans="1:5" x14ac:dyDescent="0.15">
      <c r="A889" s="21">
        <v>41812</v>
      </c>
      <c r="B889" s="22" t="s">
        <v>40</v>
      </c>
      <c r="C889" s="22">
        <v>155</v>
      </c>
      <c r="D889" s="22" t="s">
        <v>39</v>
      </c>
      <c r="E889" t="str">
        <f t="shared" si="15"/>
        <v>2014年</v>
      </c>
    </row>
    <row r="890" spans="1:5" x14ac:dyDescent="0.15">
      <c r="A890" s="21">
        <v>41812</v>
      </c>
      <c r="B890" s="22" t="s">
        <v>42</v>
      </c>
      <c r="C890" s="22">
        <v>162.75</v>
      </c>
      <c r="D890" s="22" t="s">
        <v>39</v>
      </c>
      <c r="E890" t="str">
        <f t="shared" si="15"/>
        <v>2014年</v>
      </c>
    </row>
    <row r="891" spans="1:5" x14ac:dyDescent="0.15">
      <c r="A891" s="21">
        <v>41813</v>
      </c>
      <c r="B891" s="22" t="s">
        <v>37</v>
      </c>
      <c r="C891" s="22">
        <v>331.312499740161</v>
      </c>
      <c r="D891" s="22" t="s">
        <v>39</v>
      </c>
      <c r="E891" t="str">
        <f t="shared" si="15"/>
        <v>2014年</v>
      </c>
    </row>
    <row r="892" spans="1:5" x14ac:dyDescent="0.15">
      <c r="A892" s="21">
        <v>41813</v>
      </c>
      <c r="B892" s="22" t="s">
        <v>38</v>
      </c>
      <c r="C892" s="22">
        <v>82.507499935291705</v>
      </c>
      <c r="D892" s="22" t="s">
        <v>39</v>
      </c>
      <c r="E892" t="str">
        <f t="shared" si="15"/>
        <v>2014年</v>
      </c>
    </row>
    <row r="893" spans="1:5" x14ac:dyDescent="0.15">
      <c r="A893" s="21">
        <v>41813</v>
      </c>
      <c r="B893" s="22" t="s">
        <v>40</v>
      </c>
      <c r="C893" s="22">
        <v>599.92499952949584</v>
      </c>
      <c r="D893" s="22" t="s">
        <v>39</v>
      </c>
      <c r="E893" t="str">
        <f t="shared" si="15"/>
        <v>2014年</v>
      </c>
    </row>
    <row r="894" spans="1:5" x14ac:dyDescent="0.15">
      <c r="A894" s="21">
        <v>41813</v>
      </c>
      <c r="B894" s="22" t="s">
        <v>42</v>
      </c>
      <c r="C894" s="22">
        <v>309.99999884516001</v>
      </c>
      <c r="D894" s="22" t="s">
        <v>39</v>
      </c>
      <c r="E894" t="str">
        <f t="shared" si="15"/>
        <v>2014年</v>
      </c>
    </row>
    <row r="895" spans="1:5" x14ac:dyDescent="0.15">
      <c r="A895" s="21">
        <v>41814</v>
      </c>
      <c r="B895" s="22" t="s">
        <v>35</v>
      </c>
      <c r="C895" s="22">
        <v>78</v>
      </c>
      <c r="D895" s="22" t="s">
        <v>39</v>
      </c>
      <c r="E895" t="str">
        <f t="shared" si="15"/>
        <v>2014年</v>
      </c>
    </row>
    <row r="896" spans="1:5" x14ac:dyDescent="0.15">
      <c r="A896" s="21">
        <v>41814</v>
      </c>
      <c r="B896" s="22" t="s">
        <v>42</v>
      </c>
      <c r="C896" s="22">
        <v>252</v>
      </c>
      <c r="D896" s="22" t="s">
        <v>39</v>
      </c>
      <c r="E896" t="str">
        <f t="shared" si="15"/>
        <v>2014年</v>
      </c>
    </row>
    <row r="897" spans="1:5" x14ac:dyDescent="0.15">
      <c r="A897" s="21">
        <v>41817</v>
      </c>
      <c r="B897" s="22" t="s">
        <v>33</v>
      </c>
      <c r="C897" s="22">
        <v>1237.9000000000001</v>
      </c>
      <c r="D897" s="22" t="s">
        <v>39</v>
      </c>
      <c r="E897" t="str">
        <f t="shared" si="15"/>
        <v>2014年</v>
      </c>
    </row>
    <row r="898" spans="1:5" x14ac:dyDescent="0.15">
      <c r="A898" s="21">
        <v>41817</v>
      </c>
      <c r="B898" s="22" t="s">
        <v>36</v>
      </c>
      <c r="C898" s="22">
        <v>693.59999513626099</v>
      </c>
      <c r="D898" s="22" t="s">
        <v>39</v>
      </c>
      <c r="E898" t="str">
        <f t="shared" ref="E898:E961" si="16">YEAR(A898)&amp;"年"</f>
        <v>2014年</v>
      </c>
    </row>
    <row r="899" spans="1:5" x14ac:dyDescent="0.15">
      <c r="A899" s="21">
        <v>41817</v>
      </c>
      <c r="B899" s="22" t="s">
        <v>36</v>
      </c>
      <c r="C899" s="22">
        <v>305.99999785423279</v>
      </c>
      <c r="D899" s="22" t="s">
        <v>39</v>
      </c>
      <c r="E899" t="str">
        <f t="shared" si="16"/>
        <v>2014年</v>
      </c>
    </row>
    <row r="900" spans="1:5" x14ac:dyDescent="0.15">
      <c r="A900" s="21">
        <v>41817</v>
      </c>
      <c r="B900" s="22" t="s">
        <v>36</v>
      </c>
      <c r="C900" s="22">
        <v>593.74999953433871</v>
      </c>
      <c r="D900" s="22" t="s">
        <v>39</v>
      </c>
      <c r="E900" t="str">
        <f t="shared" si="16"/>
        <v>2014年</v>
      </c>
    </row>
    <row r="901" spans="1:5" x14ac:dyDescent="0.15">
      <c r="A901" s="21">
        <v>41818</v>
      </c>
      <c r="B901" s="22" t="s">
        <v>41</v>
      </c>
      <c r="C901" s="22">
        <v>142.5</v>
      </c>
      <c r="D901" s="22" t="s">
        <v>34</v>
      </c>
      <c r="E901" t="str">
        <f t="shared" si="16"/>
        <v>2014年</v>
      </c>
    </row>
    <row r="902" spans="1:5" x14ac:dyDescent="0.15">
      <c r="A902" s="21">
        <v>41819</v>
      </c>
      <c r="B902" s="22" t="s">
        <v>35</v>
      </c>
      <c r="C902" s="22">
        <v>23.799999833106995</v>
      </c>
      <c r="D902" s="22" t="s">
        <v>34</v>
      </c>
      <c r="E902" t="str">
        <f t="shared" si="16"/>
        <v>2014年</v>
      </c>
    </row>
    <row r="903" spans="1:5" x14ac:dyDescent="0.15">
      <c r="A903" s="21">
        <v>41819</v>
      </c>
      <c r="B903" s="22" t="s">
        <v>41</v>
      </c>
      <c r="C903" s="22">
        <v>187.38</v>
      </c>
      <c r="D903" s="22" t="s">
        <v>39</v>
      </c>
      <c r="E903" t="str">
        <f t="shared" si="16"/>
        <v>2014年</v>
      </c>
    </row>
    <row r="904" spans="1:5" x14ac:dyDescent="0.15">
      <c r="A904" s="21">
        <v>41819</v>
      </c>
      <c r="B904" s="22" t="s">
        <v>42</v>
      </c>
      <c r="C904" s="22">
        <v>360</v>
      </c>
      <c r="D904" s="22" t="s">
        <v>39</v>
      </c>
      <c r="E904" t="str">
        <f t="shared" si="16"/>
        <v>2014年</v>
      </c>
    </row>
    <row r="905" spans="1:5" x14ac:dyDescent="0.15">
      <c r="A905" s="21">
        <v>41819</v>
      </c>
      <c r="B905" s="22" t="s">
        <v>40</v>
      </c>
      <c r="C905" s="22">
        <v>260</v>
      </c>
      <c r="D905" s="22" t="s">
        <v>39</v>
      </c>
      <c r="E905" t="str">
        <f t="shared" si="16"/>
        <v>2014年</v>
      </c>
    </row>
    <row r="906" spans="1:5" x14ac:dyDescent="0.15">
      <c r="A906" s="21">
        <v>41820</v>
      </c>
      <c r="B906" s="22" t="s">
        <v>38</v>
      </c>
      <c r="C906" s="22">
        <v>1999.9999925494194</v>
      </c>
      <c r="D906" s="22" t="s">
        <v>39</v>
      </c>
      <c r="E906" t="str">
        <f t="shared" si="16"/>
        <v>2014年</v>
      </c>
    </row>
    <row r="907" spans="1:5" x14ac:dyDescent="0.15">
      <c r="A907" s="21">
        <v>41820</v>
      </c>
      <c r="B907" s="22" t="s">
        <v>35</v>
      </c>
      <c r="C907" s="22">
        <v>1119.9999958276749</v>
      </c>
      <c r="D907" s="22" t="s">
        <v>39</v>
      </c>
      <c r="E907" t="str">
        <f t="shared" si="16"/>
        <v>2014年</v>
      </c>
    </row>
    <row r="908" spans="1:5" x14ac:dyDescent="0.15">
      <c r="A908" s="21">
        <v>41821</v>
      </c>
      <c r="B908" s="22" t="s">
        <v>42</v>
      </c>
      <c r="C908" s="22">
        <v>72</v>
      </c>
      <c r="D908" s="22" t="s">
        <v>39</v>
      </c>
      <c r="E908" t="str">
        <f t="shared" si="16"/>
        <v>2014年</v>
      </c>
    </row>
    <row r="909" spans="1:5" x14ac:dyDescent="0.15">
      <c r="A909" s="21">
        <v>41824</v>
      </c>
      <c r="B909" s="22" t="s">
        <v>42</v>
      </c>
      <c r="C909" s="22">
        <v>360</v>
      </c>
      <c r="D909" s="22" t="s">
        <v>39</v>
      </c>
      <c r="E909" t="str">
        <f t="shared" si="16"/>
        <v>2014年</v>
      </c>
    </row>
    <row r="910" spans="1:5" x14ac:dyDescent="0.15">
      <c r="A910" s="21">
        <v>41824</v>
      </c>
      <c r="B910" s="22" t="s">
        <v>40</v>
      </c>
      <c r="C910" s="22">
        <v>740.99999941885471</v>
      </c>
      <c r="D910" s="22" t="s">
        <v>39</v>
      </c>
      <c r="E910" t="str">
        <f t="shared" si="16"/>
        <v>2014年</v>
      </c>
    </row>
    <row r="911" spans="1:5" x14ac:dyDescent="0.15">
      <c r="A911" s="21">
        <v>41824</v>
      </c>
      <c r="B911" s="22" t="s">
        <v>40</v>
      </c>
      <c r="C911" s="22">
        <v>140</v>
      </c>
      <c r="D911" s="22" t="s">
        <v>39</v>
      </c>
      <c r="E911" t="str">
        <f t="shared" si="16"/>
        <v>2014年</v>
      </c>
    </row>
    <row r="912" spans="1:5" x14ac:dyDescent="0.15">
      <c r="A912" s="21">
        <v>41824</v>
      </c>
      <c r="B912" s="22" t="s">
        <v>37</v>
      </c>
      <c r="C912" s="22">
        <v>300</v>
      </c>
      <c r="D912" s="22" t="s">
        <v>39</v>
      </c>
      <c r="E912" t="str">
        <f t="shared" si="16"/>
        <v>2014年</v>
      </c>
    </row>
    <row r="913" spans="1:5" x14ac:dyDescent="0.15">
      <c r="A913" s="21">
        <v>41824</v>
      </c>
      <c r="B913" s="22" t="s">
        <v>33</v>
      </c>
      <c r="C913" s="22">
        <v>372.5</v>
      </c>
      <c r="D913" s="22" t="s">
        <v>39</v>
      </c>
      <c r="E913" t="str">
        <f t="shared" si="16"/>
        <v>2014年</v>
      </c>
    </row>
    <row r="914" spans="1:5" x14ac:dyDescent="0.15">
      <c r="A914" s="21">
        <v>41825</v>
      </c>
      <c r="B914" s="22" t="s">
        <v>40</v>
      </c>
      <c r="C914" s="22">
        <v>368.12499971129</v>
      </c>
      <c r="D914" s="22" t="s">
        <v>39</v>
      </c>
      <c r="E914" t="str">
        <f t="shared" si="16"/>
        <v>2014年</v>
      </c>
    </row>
    <row r="915" spans="1:5" x14ac:dyDescent="0.15">
      <c r="A915" s="21">
        <v>41825</v>
      </c>
      <c r="B915" s="22" t="s">
        <v>41</v>
      </c>
      <c r="C915" s="22">
        <v>148.34249988365917</v>
      </c>
      <c r="D915" s="22" t="s">
        <v>39</v>
      </c>
      <c r="E915" t="str">
        <f t="shared" si="16"/>
        <v>2014年</v>
      </c>
    </row>
    <row r="916" spans="1:5" x14ac:dyDescent="0.15">
      <c r="A916" s="21">
        <v>41826</v>
      </c>
      <c r="B916" s="22" t="s">
        <v>41</v>
      </c>
      <c r="C916" s="22">
        <v>1360.799994930625</v>
      </c>
      <c r="D916" s="22" t="s">
        <v>34</v>
      </c>
      <c r="E916" t="str">
        <f t="shared" si="16"/>
        <v>2014年</v>
      </c>
    </row>
    <row r="917" spans="1:5" x14ac:dyDescent="0.15">
      <c r="A917" s="21">
        <v>41826</v>
      </c>
      <c r="B917" s="22" t="s">
        <v>36</v>
      </c>
      <c r="C917" s="22">
        <v>575.99999785423279</v>
      </c>
      <c r="D917" s="22" t="s">
        <v>34</v>
      </c>
      <c r="E917" t="str">
        <f t="shared" si="16"/>
        <v>2014年</v>
      </c>
    </row>
    <row r="918" spans="1:5" x14ac:dyDescent="0.15">
      <c r="A918" s="21">
        <v>41826</v>
      </c>
      <c r="B918" s="22" t="s">
        <v>42</v>
      </c>
      <c r="C918" s="22">
        <v>57.599999785423279</v>
      </c>
      <c r="D918" s="22" t="s">
        <v>34</v>
      </c>
      <c r="E918" t="str">
        <f t="shared" si="16"/>
        <v>2014年</v>
      </c>
    </row>
    <row r="919" spans="1:5" x14ac:dyDescent="0.15">
      <c r="A919" s="21">
        <v>41826</v>
      </c>
      <c r="B919" s="22" t="s">
        <v>35</v>
      </c>
      <c r="C919" s="22">
        <v>168</v>
      </c>
      <c r="D919" s="22" t="s">
        <v>39</v>
      </c>
      <c r="E919" t="str">
        <f t="shared" si="16"/>
        <v>2014年</v>
      </c>
    </row>
    <row r="920" spans="1:5" x14ac:dyDescent="0.15">
      <c r="A920" s="21">
        <v>41826</v>
      </c>
      <c r="B920" s="22" t="s">
        <v>38</v>
      </c>
      <c r="C920" s="22">
        <v>397.5</v>
      </c>
      <c r="D920" s="22" t="s">
        <v>39</v>
      </c>
      <c r="E920" t="str">
        <f t="shared" si="16"/>
        <v>2014年</v>
      </c>
    </row>
    <row r="921" spans="1:5" x14ac:dyDescent="0.15">
      <c r="A921" s="21">
        <v>41827</v>
      </c>
      <c r="B921" s="22" t="s">
        <v>42</v>
      </c>
      <c r="C921" s="22">
        <v>405</v>
      </c>
      <c r="D921" s="22" t="s">
        <v>39</v>
      </c>
      <c r="E921" t="str">
        <f t="shared" si="16"/>
        <v>2014年</v>
      </c>
    </row>
    <row r="922" spans="1:5" x14ac:dyDescent="0.15">
      <c r="A922" s="21">
        <v>41827</v>
      </c>
      <c r="B922" s="22" t="s">
        <v>40</v>
      </c>
      <c r="C922" s="22">
        <v>2565</v>
      </c>
      <c r="D922" s="22" t="s">
        <v>39</v>
      </c>
      <c r="E922" t="str">
        <f t="shared" si="16"/>
        <v>2014年</v>
      </c>
    </row>
    <row r="923" spans="1:5" x14ac:dyDescent="0.15">
      <c r="A923" s="21">
        <v>41827</v>
      </c>
      <c r="B923" s="22" t="s">
        <v>36</v>
      </c>
      <c r="C923" s="22">
        <v>1755</v>
      </c>
      <c r="D923" s="22" t="s">
        <v>39</v>
      </c>
      <c r="E923" t="str">
        <f t="shared" si="16"/>
        <v>2014年</v>
      </c>
    </row>
    <row r="924" spans="1:5" x14ac:dyDescent="0.15">
      <c r="A924" s="21">
        <v>41828</v>
      </c>
      <c r="B924" s="22" t="s">
        <v>35</v>
      </c>
      <c r="C924" s="22">
        <v>151.99999943375587</v>
      </c>
      <c r="D924" s="22" t="s">
        <v>39</v>
      </c>
      <c r="E924" t="str">
        <f t="shared" si="16"/>
        <v>2014年</v>
      </c>
    </row>
    <row r="925" spans="1:5" x14ac:dyDescent="0.15">
      <c r="A925" s="21">
        <v>41828</v>
      </c>
      <c r="B925" s="22" t="s">
        <v>40</v>
      </c>
      <c r="C925" s="22">
        <v>842.87999686002729</v>
      </c>
      <c r="D925" s="22" t="s">
        <v>39</v>
      </c>
      <c r="E925" t="str">
        <f t="shared" si="16"/>
        <v>2014年</v>
      </c>
    </row>
    <row r="926" spans="1:5" x14ac:dyDescent="0.15">
      <c r="A926" s="21">
        <v>41828</v>
      </c>
      <c r="B926" s="22" t="s">
        <v>42</v>
      </c>
      <c r="C926" s="22">
        <v>185.999999307096</v>
      </c>
      <c r="D926" s="22" t="s">
        <v>39</v>
      </c>
      <c r="E926" t="str">
        <f t="shared" si="16"/>
        <v>2014年</v>
      </c>
    </row>
    <row r="927" spans="1:5" x14ac:dyDescent="0.15">
      <c r="A927" s="21">
        <v>41828</v>
      </c>
      <c r="B927" s="22" t="s">
        <v>42</v>
      </c>
      <c r="C927" s="22">
        <v>125.99999953061342</v>
      </c>
      <c r="D927" s="22" t="s">
        <v>34</v>
      </c>
      <c r="E927" t="str">
        <f t="shared" si="16"/>
        <v>2014年</v>
      </c>
    </row>
    <row r="928" spans="1:5" x14ac:dyDescent="0.15">
      <c r="A928" s="21">
        <v>41828</v>
      </c>
      <c r="B928" s="22" t="s">
        <v>35</v>
      </c>
      <c r="C928" s="22">
        <v>390</v>
      </c>
      <c r="D928" s="22" t="s">
        <v>34</v>
      </c>
      <c r="E928" t="str">
        <f t="shared" si="16"/>
        <v>2014年</v>
      </c>
    </row>
    <row r="929" spans="1:5" x14ac:dyDescent="0.15">
      <c r="A929" s="21">
        <v>41828</v>
      </c>
      <c r="B929" s="22" t="s">
        <v>40</v>
      </c>
      <c r="C929" s="22">
        <v>202.07999924719334</v>
      </c>
      <c r="D929" s="22" t="s">
        <v>34</v>
      </c>
      <c r="E929" t="str">
        <f t="shared" si="16"/>
        <v>2014年</v>
      </c>
    </row>
    <row r="930" spans="1:5" x14ac:dyDescent="0.15">
      <c r="A930" s="21">
        <v>41831</v>
      </c>
      <c r="B930" s="22" t="s">
        <v>41</v>
      </c>
      <c r="C930" s="22">
        <v>2195</v>
      </c>
      <c r="D930" s="22" t="s">
        <v>39</v>
      </c>
      <c r="E930" t="str">
        <f t="shared" si="16"/>
        <v>2014年</v>
      </c>
    </row>
    <row r="931" spans="1:5" x14ac:dyDescent="0.15">
      <c r="A931" s="21">
        <v>41831</v>
      </c>
      <c r="B931" s="22" t="s">
        <v>36</v>
      </c>
      <c r="C931" s="22">
        <v>193.5</v>
      </c>
      <c r="D931" s="22" t="s">
        <v>39</v>
      </c>
      <c r="E931" t="str">
        <f t="shared" si="16"/>
        <v>2014年</v>
      </c>
    </row>
    <row r="932" spans="1:5" x14ac:dyDescent="0.15">
      <c r="A932" s="21">
        <v>41832</v>
      </c>
      <c r="B932" s="22" t="s">
        <v>41</v>
      </c>
      <c r="C932" s="22">
        <v>493</v>
      </c>
      <c r="D932" s="22" t="s">
        <v>34</v>
      </c>
      <c r="E932" t="str">
        <f t="shared" si="16"/>
        <v>2014年</v>
      </c>
    </row>
    <row r="933" spans="1:5" x14ac:dyDescent="0.15">
      <c r="A933" s="21">
        <v>41833</v>
      </c>
      <c r="B933" s="22" t="s">
        <v>33</v>
      </c>
      <c r="C933" s="22">
        <v>29.8</v>
      </c>
      <c r="D933" s="22" t="s">
        <v>39</v>
      </c>
      <c r="E933" t="str">
        <f t="shared" si="16"/>
        <v>2014年</v>
      </c>
    </row>
    <row r="934" spans="1:5" x14ac:dyDescent="0.15">
      <c r="A934" s="21">
        <v>41833</v>
      </c>
      <c r="B934" s="22" t="s">
        <v>38</v>
      </c>
      <c r="C934" s="22">
        <v>450</v>
      </c>
      <c r="D934" s="22" t="s">
        <v>39</v>
      </c>
      <c r="E934" t="str">
        <f t="shared" si="16"/>
        <v>2014年</v>
      </c>
    </row>
    <row r="935" spans="1:5" x14ac:dyDescent="0.15">
      <c r="A935" s="21">
        <v>41833</v>
      </c>
      <c r="B935" s="22" t="s">
        <v>38</v>
      </c>
      <c r="C935" s="22">
        <v>360</v>
      </c>
      <c r="D935" s="22" t="s">
        <v>34</v>
      </c>
      <c r="E935" t="str">
        <f t="shared" si="16"/>
        <v>2014年</v>
      </c>
    </row>
    <row r="936" spans="1:5" x14ac:dyDescent="0.15">
      <c r="A936" s="21">
        <v>41833</v>
      </c>
      <c r="B936" s="22" t="s">
        <v>36</v>
      </c>
      <c r="C936" s="22">
        <v>1925</v>
      </c>
      <c r="D936" s="22" t="s">
        <v>34</v>
      </c>
      <c r="E936" t="str">
        <f t="shared" si="16"/>
        <v>2014年</v>
      </c>
    </row>
    <row r="937" spans="1:5" x14ac:dyDescent="0.15">
      <c r="A937" s="21">
        <v>41834</v>
      </c>
      <c r="B937" s="22" t="s">
        <v>40</v>
      </c>
      <c r="C937" s="22">
        <v>48.75</v>
      </c>
      <c r="D937" s="22" t="s">
        <v>39</v>
      </c>
      <c r="E937" t="str">
        <f t="shared" si="16"/>
        <v>2014年</v>
      </c>
    </row>
    <row r="938" spans="1:5" x14ac:dyDescent="0.15">
      <c r="A938" s="21">
        <v>41835</v>
      </c>
      <c r="B938" s="22" t="s">
        <v>35</v>
      </c>
      <c r="C938" s="22">
        <v>1008</v>
      </c>
      <c r="D938" s="22" t="s">
        <v>39</v>
      </c>
      <c r="E938" t="str">
        <f t="shared" si="16"/>
        <v>2014年</v>
      </c>
    </row>
    <row r="939" spans="1:5" x14ac:dyDescent="0.15">
      <c r="A939" s="21">
        <v>41835</v>
      </c>
      <c r="B939" s="22" t="s">
        <v>41</v>
      </c>
      <c r="C939" s="22">
        <v>474.99999962747097</v>
      </c>
      <c r="D939" s="22" t="s">
        <v>39</v>
      </c>
      <c r="E939" t="str">
        <f t="shared" si="16"/>
        <v>2014年</v>
      </c>
    </row>
    <row r="940" spans="1:5" x14ac:dyDescent="0.15">
      <c r="A940" s="21">
        <v>41835</v>
      </c>
      <c r="B940" s="22" t="s">
        <v>41</v>
      </c>
      <c r="C940" s="22">
        <v>68.849999886006117</v>
      </c>
      <c r="D940" s="22" t="s">
        <v>39</v>
      </c>
      <c r="E940" t="str">
        <f t="shared" si="16"/>
        <v>2014年</v>
      </c>
    </row>
    <row r="941" spans="1:5" x14ac:dyDescent="0.15">
      <c r="A941" s="21">
        <v>41835</v>
      </c>
      <c r="B941" s="22" t="s">
        <v>42</v>
      </c>
      <c r="C941" s="22">
        <v>161.9999997317791</v>
      </c>
      <c r="D941" s="22" t="s">
        <v>39</v>
      </c>
      <c r="E941" t="str">
        <f t="shared" si="16"/>
        <v>2014年</v>
      </c>
    </row>
    <row r="942" spans="1:5" x14ac:dyDescent="0.15">
      <c r="A942" s="21">
        <v>41838</v>
      </c>
      <c r="B942" s="22" t="s">
        <v>41</v>
      </c>
      <c r="C942" s="22">
        <v>497.32499960996211</v>
      </c>
      <c r="D942" s="22" t="s">
        <v>39</v>
      </c>
      <c r="E942" t="str">
        <f t="shared" si="16"/>
        <v>2014年</v>
      </c>
    </row>
    <row r="943" spans="1:5" x14ac:dyDescent="0.15">
      <c r="A943" s="21">
        <v>41838</v>
      </c>
      <c r="B943" s="22" t="s">
        <v>36</v>
      </c>
      <c r="C943" s="22">
        <v>1044.9999991804361</v>
      </c>
      <c r="D943" s="22" t="s">
        <v>39</v>
      </c>
      <c r="E943" t="str">
        <f t="shared" si="16"/>
        <v>2014年</v>
      </c>
    </row>
    <row r="944" spans="1:5" x14ac:dyDescent="0.15">
      <c r="A944" s="21">
        <v>41838</v>
      </c>
      <c r="B944" s="22" t="s">
        <v>36</v>
      </c>
      <c r="C944" s="22">
        <v>2260.9999982267618</v>
      </c>
      <c r="D944" s="22" t="s">
        <v>39</v>
      </c>
      <c r="E944" t="str">
        <f t="shared" si="16"/>
        <v>2014年</v>
      </c>
    </row>
    <row r="945" spans="1:5" x14ac:dyDescent="0.15">
      <c r="A945" s="21">
        <v>41838</v>
      </c>
      <c r="B945" s="22" t="s">
        <v>36</v>
      </c>
      <c r="C945" s="22">
        <v>306.37499975971878</v>
      </c>
      <c r="D945" s="22" t="s">
        <v>39</v>
      </c>
      <c r="E945" t="str">
        <f t="shared" si="16"/>
        <v>2014年</v>
      </c>
    </row>
    <row r="946" spans="1:5" x14ac:dyDescent="0.15">
      <c r="A946" s="21">
        <v>41839</v>
      </c>
      <c r="B946" s="22" t="s">
        <v>40</v>
      </c>
      <c r="C946" s="22">
        <v>351.99999868869781</v>
      </c>
      <c r="D946" s="22" t="s">
        <v>39</v>
      </c>
      <c r="E946" t="str">
        <f t="shared" si="16"/>
        <v>2014年</v>
      </c>
    </row>
    <row r="947" spans="1:5" x14ac:dyDescent="0.15">
      <c r="A947" s="21">
        <v>41839</v>
      </c>
      <c r="B947" s="22" t="s">
        <v>33</v>
      </c>
      <c r="C947" s="22">
        <v>383.99999856948853</v>
      </c>
      <c r="D947" s="22" t="s">
        <v>39</v>
      </c>
      <c r="E947" t="str">
        <f t="shared" si="16"/>
        <v>2014年</v>
      </c>
    </row>
    <row r="948" spans="1:5" x14ac:dyDescent="0.15">
      <c r="A948" s="21">
        <v>41839</v>
      </c>
      <c r="B948" s="22" t="s">
        <v>41</v>
      </c>
      <c r="C948" s="22">
        <v>394.39999853074551</v>
      </c>
      <c r="D948" s="22" t="s">
        <v>39</v>
      </c>
      <c r="E948" t="str">
        <f t="shared" si="16"/>
        <v>2014年</v>
      </c>
    </row>
    <row r="949" spans="1:5" x14ac:dyDescent="0.15">
      <c r="A949" s="21">
        <v>41839</v>
      </c>
      <c r="B949" s="22" t="s">
        <v>37</v>
      </c>
      <c r="C949" s="22">
        <v>1350</v>
      </c>
      <c r="D949" s="22" t="s">
        <v>34</v>
      </c>
      <c r="E949" t="str">
        <f t="shared" si="16"/>
        <v>2014年</v>
      </c>
    </row>
    <row r="950" spans="1:5" x14ac:dyDescent="0.15">
      <c r="A950" s="21">
        <v>41839</v>
      </c>
      <c r="B950" s="22" t="s">
        <v>33</v>
      </c>
      <c r="C950" s="22">
        <v>3900</v>
      </c>
      <c r="D950" s="22" t="s">
        <v>34</v>
      </c>
      <c r="E950" t="str">
        <f t="shared" si="16"/>
        <v>2014年</v>
      </c>
    </row>
    <row r="951" spans="1:5" x14ac:dyDescent="0.15">
      <c r="A951" s="21">
        <v>41839</v>
      </c>
      <c r="B951" s="22" t="s">
        <v>36</v>
      </c>
      <c r="C951" s="22">
        <v>35</v>
      </c>
      <c r="D951" s="22" t="s">
        <v>34</v>
      </c>
      <c r="E951" t="str">
        <f t="shared" si="16"/>
        <v>2014年</v>
      </c>
    </row>
    <row r="952" spans="1:5" x14ac:dyDescent="0.15">
      <c r="A952" s="21">
        <v>41839</v>
      </c>
      <c r="B952" s="22" t="s">
        <v>38</v>
      </c>
      <c r="C952" s="22">
        <v>772.8</v>
      </c>
      <c r="D952" s="22" t="s">
        <v>34</v>
      </c>
      <c r="E952" t="str">
        <f t="shared" si="16"/>
        <v>2014年</v>
      </c>
    </row>
    <row r="953" spans="1:5" x14ac:dyDescent="0.15">
      <c r="A953" s="21">
        <v>41839</v>
      </c>
      <c r="B953" s="22" t="s">
        <v>36</v>
      </c>
      <c r="C953" s="22">
        <v>417.6</v>
      </c>
      <c r="D953" s="22" t="s">
        <v>34</v>
      </c>
      <c r="E953" t="str">
        <f t="shared" si="16"/>
        <v>2014年</v>
      </c>
    </row>
    <row r="954" spans="1:5" x14ac:dyDescent="0.15">
      <c r="A954" s="21">
        <v>41840</v>
      </c>
      <c r="B954" s="22" t="s">
        <v>35</v>
      </c>
      <c r="C954" s="22">
        <v>1064</v>
      </c>
      <c r="D954" s="22" t="s">
        <v>39</v>
      </c>
      <c r="E954" t="str">
        <f t="shared" si="16"/>
        <v>2014年</v>
      </c>
    </row>
    <row r="955" spans="1:5" x14ac:dyDescent="0.15">
      <c r="A955" s="21">
        <v>41841</v>
      </c>
      <c r="B955" s="22" t="s">
        <v>42</v>
      </c>
      <c r="C955" s="22">
        <v>54</v>
      </c>
      <c r="D955" s="22" t="s">
        <v>34</v>
      </c>
      <c r="E955" t="str">
        <f t="shared" si="16"/>
        <v>2014年</v>
      </c>
    </row>
    <row r="956" spans="1:5" x14ac:dyDescent="0.15">
      <c r="A956" s="21">
        <v>41841</v>
      </c>
      <c r="B956" s="22" t="s">
        <v>38</v>
      </c>
      <c r="C956" s="22">
        <v>310</v>
      </c>
      <c r="D956" s="22" t="s">
        <v>34</v>
      </c>
      <c r="E956" t="str">
        <f t="shared" si="16"/>
        <v>2014年</v>
      </c>
    </row>
    <row r="957" spans="1:5" x14ac:dyDescent="0.15">
      <c r="A957" s="21">
        <v>41841</v>
      </c>
      <c r="B957" s="22" t="s">
        <v>41</v>
      </c>
      <c r="C957" s="22">
        <v>60</v>
      </c>
      <c r="D957" s="22" t="s">
        <v>34</v>
      </c>
      <c r="E957" t="str">
        <f t="shared" si="16"/>
        <v>2014年</v>
      </c>
    </row>
    <row r="958" spans="1:5" x14ac:dyDescent="0.15">
      <c r="A958" s="21">
        <v>41842</v>
      </c>
      <c r="B958" s="22" t="s">
        <v>38</v>
      </c>
      <c r="C958" s="22">
        <v>299.25</v>
      </c>
      <c r="D958" s="22" t="s">
        <v>39</v>
      </c>
      <c r="E958" t="str">
        <f t="shared" si="16"/>
        <v>2014年</v>
      </c>
    </row>
    <row r="959" spans="1:5" x14ac:dyDescent="0.15">
      <c r="A959" s="21">
        <v>41842</v>
      </c>
      <c r="B959" s="22" t="s">
        <v>42</v>
      </c>
      <c r="C959" s="22">
        <v>108</v>
      </c>
      <c r="D959" s="22" t="s">
        <v>34</v>
      </c>
      <c r="E959" t="str">
        <f t="shared" si="16"/>
        <v>2014年</v>
      </c>
    </row>
    <row r="960" spans="1:5" x14ac:dyDescent="0.15">
      <c r="A960" s="21">
        <v>41842</v>
      </c>
      <c r="B960" s="22" t="s">
        <v>42</v>
      </c>
      <c r="C960" s="22">
        <v>190</v>
      </c>
      <c r="D960" s="22" t="s">
        <v>34</v>
      </c>
      <c r="E960" t="str">
        <f t="shared" si="16"/>
        <v>2014年</v>
      </c>
    </row>
    <row r="961" spans="1:5" x14ac:dyDescent="0.15">
      <c r="A961" s="21">
        <v>41842</v>
      </c>
      <c r="B961" s="22" t="s">
        <v>36</v>
      </c>
      <c r="C961" s="22">
        <v>510</v>
      </c>
      <c r="D961" s="22" t="s">
        <v>34</v>
      </c>
      <c r="E961" t="str">
        <f t="shared" si="16"/>
        <v>2014年</v>
      </c>
    </row>
    <row r="962" spans="1:5" x14ac:dyDescent="0.15">
      <c r="A962" s="21">
        <v>41845</v>
      </c>
      <c r="B962" s="22" t="s">
        <v>38</v>
      </c>
      <c r="C962" s="22">
        <v>2170</v>
      </c>
      <c r="D962" s="22" t="s">
        <v>39</v>
      </c>
      <c r="E962" t="str">
        <f t="shared" ref="E962:E1025" si="17">YEAR(A962)&amp;"年"</f>
        <v>2014年</v>
      </c>
    </row>
    <row r="963" spans="1:5" x14ac:dyDescent="0.15">
      <c r="A963" s="21">
        <v>41845</v>
      </c>
      <c r="B963" s="22" t="s">
        <v>38</v>
      </c>
      <c r="C963" s="22">
        <v>1045</v>
      </c>
      <c r="D963" s="22" t="s">
        <v>39</v>
      </c>
      <c r="E963" t="str">
        <f t="shared" si="17"/>
        <v>2014年</v>
      </c>
    </row>
    <row r="964" spans="1:5" x14ac:dyDescent="0.15">
      <c r="A964" s="21">
        <v>41845</v>
      </c>
      <c r="B964" s="22" t="s">
        <v>41</v>
      </c>
      <c r="C964" s="22">
        <v>360</v>
      </c>
      <c r="D964" s="22" t="s">
        <v>39</v>
      </c>
      <c r="E964" t="str">
        <f t="shared" si="17"/>
        <v>2014年</v>
      </c>
    </row>
    <row r="965" spans="1:5" x14ac:dyDescent="0.15">
      <c r="A965" s="21">
        <v>41845</v>
      </c>
      <c r="B965" s="22" t="s">
        <v>36</v>
      </c>
      <c r="C965" s="22">
        <v>1360</v>
      </c>
      <c r="D965" s="22" t="s">
        <v>39</v>
      </c>
      <c r="E965" t="str">
        <f t="shared" si="17"/>
        <v>2014年</v>
      </c>
    </row>
    <row r="966" spans="1:5" x14ac:dyDescent="0.15">
      <c r="A966" s="21">
        <v>41845</v>
      </c>
      <c r="B966" s="22" t="s">
        <v>42</v>
      </c>
      <c r="C966" s="22">
        <v>1440</v>
      </c>
      <c r="D966" s="22" t="s">
        <v>39</v>
      </c>
      <c r="E966" t="str">
        <f t="shared" si="17"/>
        <v>2014年</v>
      </c>
    </row>
    <row r="967" spans="1:5" x14ac:dyDescent="0.15">
      <c r="A967" s="21">
        <v>41846</v>
      </c>
      <c r="B967" s="22" t="s">
        <v>38</v>
      </c>
      <c r="C967" s="22">
        <v>43.199999928474426</v>
      </c>
      <c r="D967" s="22" t="s">
        <v>39</v>
      </c>
      <c r="E967" t="str">
        <f t="shared" si="17"/>
        <v>2014年</v>
      </c>
    </row>
    <row r="968" spans="1:5" x14ac:dyDescent="0.15">
      <c r="A968" s="21">
        <v>41846</v>
      </c>
      <c r="B968" s="22" t="s">
        <v>42</v>
      </c>
      <c r="C968" s="22">
        <v>310</v>
      </c>
      <c r="D968" s="22" t="s">
        <v>39</v>
      </c>
      <c r="E968" t="str">
        <f t="shared" si="17"/>
        <v>2014年</v>
      </c>
    </row>
    <row r="969" spans="1:5" x14ac:dyDescent="0.15">
      <c r="A969" s="21">
        <v>41846</v>
      </c>
      <c r="B969" s="22" t="s">
        <v>36</v>
      </c>
      <c r="C969" s="22">
        <v>294</v>
      </c>
      <c r="D969" s="22" t="s">
        <v>39</v>
      </c>
      <c r="E969" t="str">
        <f t="shared" si="17"/>
        <v>2014年</v>
      </c>
    </row>
    <row r="970" spans="1:5" x14ac:dyDescent="0.15">
      <c r="A970" s="21">
        <v>41846</v>
      </c>
      <c r="B970" s="22" t="s">
        <v>41</v>
      </c>
      <c r="C970" s="22">
        <v>80</v>
      </c>
      <c r="D970" s="22" t="s">
        <v>39</v>
      </c>
      <c r="E970" t="str">
        <f t="shared" si="17"/>
        <v>2014年</v>
      </c>
    </row>
    <row r="971" spans="1:5" x14ac:dyDescent="0.15">
      <c r="A971" s="21">
        <v>41846</v>
      </c>
      <c r="B971" s="22" t="s">
        <v>42</v>
      </c>
      <c r="C971" s="22">
        <v>90</v>
      </c>
      <c r="D971" s="22" t="s">
        <v>39</v>
      </c>
      <c r="E971" t="str">
        <f t="shared" si="17"/>
        <v>2014年</v>
      </c>
    </row>
    <row r="972" spans="1:5" x14ac:dyDescent="0.15">
      <c r="A972" s="21">
        <v>41847</v>
      </c>
      <c r="B972" s="22" t="s">
        <v>33</v>
      </c>
      <c r="C972" s="22">
        <v>120</v>
      </c>
      <c r="D972" s="22" t="s">
        <v>39</v>
      </c>
      <c r="E972" t="str">
        <f t="shared" si="17"/>
        <v>2014年</v>
      </c>
    </row>
    <row r="973" spans="1:5" x14ac:dyDescent="0.15">
      <c r="A973" s="21">
        <v>41848</v>
      </c>
      <c r="B973" s="22" t="s">
        <v>42</v>
      </c>
      <c r="C973" s="22">
        <v>3754.874997055158</v>
      </c>
      <c r="D973" s="22" t="s">
        <v>39</v>
      </c>
      <c r="E973" t="str">
        <f t="shared" si="17"/>
        <v>2014年</v>
      </c>
    </row>
    <row r="974" spans="1:5" x14ac:dyDescent="0.15">
      <c r="A974" s="21">
        <v>41848</v>
      </c>
      <c r="B974" s="22" t="s">
        <v>35</v>
      </c>
      <c r="C974" s="22">
        <v>532</v>
      </c>
      <c r="D974" s="22" t="s">
        <v>39</v>
      </c>
      <c r="E974" t="str">
        <f t="shared" si="17"/>
        <v>2014年</v>
      </c>
    </row>
    <row r="975" spans="1:5" x14ac:dyDescent="0.15">
      <c r="A975" s="21">
        <v>41848</v>
      </c>
      <c r="B975" s="22" t="s">
        <v>42</v>
      </c>
      <c r="C975" s="22">
        <v>213.74999983236194</v>
      </c>
      <c r="D975" s="22" t="s">
        <v>39</v>
      </c>
      <c r="E975" t="str">
        <f t="shared" si="17"/>
        <v>2014年</v>
      </c>
    </row>
    <row r="976" spans="1:5" x14ac:dyDescent="0.15">
      <c r="A976" s="21">
        <v>41848</v>
      </c>
      <c r="B976" s="22" t="s">
        <v>36</v>
      </c>
      <c r="C976" s="22">
        <v>306.37499975971878</v>
      </c>
      <c r="D976" s="22" t="s">
        <v>39</v>
      </c>
      <c r="E976" t="str">
        <f t="shared" si="17"/>
        <v>2014年</v>
      </c>
    </row>
    <row r="977" spans="1:5" x14ac:dyDescent="0.15">
      <c r="A977" s="21">
        <v>41848</v>
      </c>
      <c r="B977" s="22" t="s">
        <v>36</v>
      </c>
      <c r="C977" s="22">
        <v>1402.4999901652336</v>
      </c>
      <c r="D977" s="22" t="s">
        <v>39</v>
      </c>
      <c r="E977" t="str">
        <f t="shared" si="17"/>
        <v>2014年</v>
      </c>
    </row>
    <row r="978" spans="1:5" x14ac:dyDescent="0.15">
      <c r="A978" s="21">
        <v>41849</v>
      </c>
      <c r="B978" s="22" t="s">
        <v>40</v>
      </c>
      <c r="C978" s="22">
        <v>1750</v>
      </c>
      <c r="D978" s="22" t="s">
        <v>39</v>
      </c>
      <c r="E978" t="str">
        <f t="shared" si="17"/>
        <v>2014年</v>
      </c>
    </row>
    <row r="979" spans="1:5" x14ac:dyDescent="0.15">
      <c r="A979" s="21">
        <v>41849</v>
      </c>
      <c r="B979" s="22" t="s">
        <v>35</v>
      </c>
      <c r="C979" s="22">
        <v>760</v>
      </c>
      <c r="D979" s="22" t="s">
        <v>39</v>
      </c>
      <c r="E979" t="str">
        <f t="shared" si="17"/>
        <v>2014年</v>
      </c>
    </row>
    <row r="980" spans="1:5" x14ac:dyDescent="0.15">
      <c r="A980" s="21">
        <v>41849</v>
      </c>
      <c r="B980" s="22" t="s">
        <v>41</v>
      </c>
      <c r="C980" s="22">
        <v>187.5</v>
      </c>
      <c r="D980" s="22" t="s">
        <v>39</v>
      </c>
      <c r="E980" t="str">
        <f t="shared" si="17"/>
        <v>2014年</v>
      </c>
    </row>
    <row r="981" spans="1:5" x14ac:dyDescent="0.15">
      <c r="A981" s="21">
        <v>41852</v>
      </c>
      <c r="B981" s="22" t="s">
        <v>41</v>
      </c>
      <c r="C981" s="22">
        <v>420</v>
      </c>
      <c r="D981" s="22" t="s">
        <v>39</v>
      </c>
      <c r="E981" t="str">
        <f t="shared" si="17"/>
        <v>2014年</v>
      </c>
    </row>
    <row r="982" spans="1:5" x14ac:dyDescent="0.15">
      <c r="A982" s="21">
        <v>41852</v>
      </c>
      <c r="B982" s="22" t="s">
        <v>35</v>
      </c>
      <c r="C982" s="22">
        <v>840</v>
      </c>
      <c r="D982" s="22" t="s">
        <v>39</v>
      </c>
      <c r="E982" t="str">
        <f t="shared" si="17"/>
        <v>2014年</v>
      </c>
    </row>
    <row r="983" spans="1:5" x14ac:dyDescent="0.15">
      <c r="A983" s="21">
        <v>41853</v>
      </c>
      <c r="B983" s="22" t="s">
        <v>42</v>
      </c>
      <c r="C983" s="22">
        <v>22.5</v>
      </c>
      <c r="D983" s="22" t="s">
        <v>39</v>
      </c>
      <c r="E983" t="str">
        <f t="shared" si="17"/>
        <v>2014年</v>
      </c>
    </row>
    <row r="984" spans="1:5" x14ac:dyDescent="0.15">
      <c r="A984" s="21">
        <v>41853</v>
      </c>
      <c r="B984" s="22" t="s">
        <v>35</v>
      </c>
      <c r="C984" s="22">
        <v>35</v>
      </c>
      <c r="D984" s="22" t="s">
        <v>39</v>
      </c>
      <c r="E984" t="str">
        <f t="shared" si="17"/>
        <v>2014年</v>
      </c>
    </row>
    <row r="985" spans="1:5" x14ac:dyDescent="0.15">
      <c r="A985" s="21">
        <v>41853</v>
      </c>
      <c r="B985" s="22" t="s">
        <v>41</v>
      </c>
      <c r="C985" s="22">
        <v>46</v>
      </c>
      <c r="D985" s="22" t="s">
        <v>39</v>
      </c>
      <c r="E985" t="str">
        <f t="shared" si="17"/>
        <v>2014年</v>
      </c>
    </row>
    <row r="986" spans="1:5" x14ac:dyDescent="0.15">
      <c r="A986" s="21">
        <v>41853</v>
      </c>
      <c r="B986" s="22" t="s">
        <v>35</v>
      </c>
      <c r="C986" s="22">
        <v>90</v>
      </c>
      <c r="D986" s="22" t="s">
        <v>39</v>
      </c>
      <c r="E986" t="str">
        <f t="shared" si="17"/>
        <v>2014年</v>
      </c>
    </row>
    <row r="987" spans="1:5" x14ac:dyDescent="0.15">
      <c r="A987" s="21">
        <v>41853</v>
      </c>
      <c r="B987" s="22" t="s">
        <v>42</v>
      </c>
      <c r="C987" s="22">
        <v>300</v>
      </c>
      <c r="D987" s="22" t="s">
        <v>39</v>
      </c>
      <c r="E987" t="str">
        <f t="shared" si="17"/>
        <v>2014年</v>
      </c>
    </row>
    <row r="988" spans="1:5" x14ac:dyDescent="0.15">
      <c r="A988" s="21">
        <v>41853</v>
      </c>
      <c r="B988" s="22" t="s">
        <v>36</v>
      </c>
      <c r="C988" s="22">
        <v>322.5</v>
      </c>
      <c r="D988" s="22" t="s">
        <v>39</v>
      </c>
      <c r="E988" t="str">
        <f t="shared" si="17"/>
        <v>2014年</v>
      </c>
    </row>
    <row r="989" spans="1:5" x14ac:dyDescent="0.15">
      <c r="A989" s="21">
        <v>41854</v>
      </c>
      <c r="B989" s="22" t="s">
        <v>42</v>
      </c>
      <c r="C989" s="22">
        <v>380</v>
      </c>
      <c r="D989" s="22" t="s">
        <v>39</v>
      </c>
      <c r="E989" t="str">
        <f t="shared" si="17"/>
        <v>2014年</v>
      </c>
    </row>
    <row r="990" spans="1:5" x14ac:dyDescent="0.15">
      <c r="A990" s="21">
        <v>41854</v>
      </c>
      <c r="B990" s="22" t="s">
        <v>41</v>
      </c>
      <c r="C990" s="22">
        <v>179.99999932944775</v>
      </c>
      <c r="D990" s="22" t="s">
        <v>39</v>
      </c>
      <c r="E990" t="str">
        <f t="shared" si="17"/>
        <v>2014年</v>
      </c>
    </row>
    <row r="991" spans="1:5" x14ac:dyDescent="0.15">
      <c r="A991" s="21">
        <v>41855</v>
      </c>
      <c r="B991" s="22" t="s">
        <v>37</v>
      </c>
      <c r="C991" s="22">
        <v>488.25</v>
      </c>
      <c r="D991" s="22" t="s">
        <v>39</v>
      </c>
      <c r="E991" t="str">
        <f t="shared" si="17"/>
        <v>2014年</v>
      </c>
    </row>
    <row r="992" spans="1:5" x14ac:dyDescent="0.15">
      <c r="A992" s="21">
        <v>41855</v>
      </c>
      <c r="B992" s="22" t="s">
        <v>41</v>
      </c>
      <c r="C992" s="22">
        <v>124.19999979436398</v>
      </c>
      <c r="D992" s="22" t="s">
        <v>39</v>
      </c>
      <c r="E992" t="str">
        <f t="shared" si="17"/>
        <v>2014年</v>
      </c>
    </row>
    <row r="993" spans="1:5" x14ac:dyDescent="0.15">
      <c r="A993" s="21">
        <v>41855</v>
      </c>
      <c r="B993" s="22" t="s">
        <v>41</v>
      </c>
      <c r="C993" s="22">
        <v>224.99999962747097</v>
      </c>
      <c r="D993" s="22" t="s">
        <v>39</v>
      </c>
      <c r="E993" t="str">
        <f t="shared" si="17"/>
        <v>2014年</v>
      </c>
    </row>
    <row r="994" spans="1:5" x14ac:dyDescent="0.15">
      <c r="A994" s="21">
        <v>41855</v>
      </c>
      <c r="B994" s="22" t="s">
        <v>42</v>
      </c>
      <c r="C994" s="22">
        <v>13.5</v>
      </c>
      <c r="D994" s="22" t="s">
        <v>39</v>
      </c>
      <c r="E994" t="str">
        <f t="shared" si="17"/>
        <v>2014年</v>
      </c>
    </row>
    <row r="995" spans="1:5" x14ac:dyDescent="0.15">
      <c r="A995" s="21">
        <v>41855</v>
      </c>
      <c r="B995" s="22" t="s">
        <v>42</v>
      </c>
      <c r="C995" s="22">
        <v>485.9999991953373</v>
      </c>
      <c r="D995" s="22" t="s">
        <v>39</v>
      </c>
      <c r="E995" t="str">
        <f t="shared" si="17"/>
        <v>2014年</v>
      </c>
    </row>
    <row r="996" spans="1:5" x14ac:dyDescent="0.15">
      <c r="A996" s="21">
        <v>41855</v>
      </c>
      <c r="B996" s="22" t="s">
        <v>37</v>
      </c>
      <c r="C996" s="22">
        <v>456</v>
      </c>
      <c r="D996" s="22" t="s">
        <v>39</v>
      </c>
      <c r="E996" t="str">
        <f t="shared" si="17"/>
        <v>2014年</v>
      </c>
    </row>
    <row r="997" spans="1:5" x14ac:dyDescent="0.15">
      <c r="A997" s="21">
        <v>41855</v>
      </c>
      <c r="B997" s="22" t="s">
        <v>33</v>
      </c>
      <c r="C997" s="22">
        <v>742.74</v>
      </c>
      <c r="D997" s="22" t="s">
        <v>39</v>
      </c>
      <c r="E997" t="str">
        <f t="shared" si="17"/>
        <v>2014年</v>
      </c>
    </row>
    <row r="998" spans="1:5" x14ac:dyDescent="0.15">
      <c r="A998" s="21">
        <v>41855</v>
      </c>
      <c r="B998" s="22" t="s">
        <v>40</v>
      </c>
      <c r="C998" s="22">
        <v>194.5</v>
      </c>
      <c r="D998" s="22" t="s">
        <v>39</v>
      </c>
      <c r="E998" t="str">
        <f t="shared" si="17"/>
        <v>2014年</v>
      </c>
    </row>
    <row r="999" spans="1:5" x14ac:dyDescent="0.15">
      <c r="A999" s="21">
        <v>41856</v>
      </c>
      <c r="B999" s="22" t="s">
        <v>37</v>
      </c>
      <c r="C999" s="22">
        <v>69.75</v>
      </c>
      <c r="D999" s="22" t="s">
        <v>39</v>
      </c>
      <c r="E999" t="str">
        <f t="shared" si="17"/>
        <v>2014年</v>
      </c>
    </row>
    <row r="1000" spans="1:5" x14ac:dyDescent="0.15">
      <c r="A1000" s="21">
        <v>41856</v>
      </c>
      <c r="B1000" s="22" t="s">
        <v>35</v>
      </c>
      <c r="C1000" s="22">
        <v>70</v>
      </c>
      <c r="D1000" s="22" t="s">
        <v>39</v>
      </c>
      <c r="E1000" t="str">
        <f t="shared" si="17"/>
        <v>2014年</v>
      </c>
    </row>
    <row r="1001" spans="1:5" x14ac:dyDescent="0.15">
      <c r="A1001" s="21">
        <v>41856</v>
      </c>
      <c r="B1001" s="22" t="s">
        <v>36</v>
      </c>
      <c r="C1001" s="22">
        <v>340</v>
      </c>
      <c r="D1001" s="22" t="s">
        <v>39</v>
      </c>
      <c r="E1001" t="str">
        <f t="shared" si="17"/>
        <v>2014年</v>
      </c>
    </row>
    <row r="1002" spans="1:5" x14ac:dyDescent="0.15">
      <c r="A1002" s="21">
        <v>41859</v>
      </c>
      <c r="B1002" s="22" t="s">
        <v>33</v>
      </c>
      <c r="C1002" s="22">
        <v>393.6</v>
      </c>
      <c r="D1002" s="22" t="s">
        <v>39</v>
      </c>
      <c r="E1002" t="str">
        <f t="shared" si="17"/>
        <v>2014年</v>
      </c>
    </row>
    <row r="1003" spans="1:5" x14ac:dyDescent="0.15">
      <c r="A1003" s="21">
        <v>41859</v>
      </c>
      <c r="B1003" s="22" t="s">
        <v>36</v>
      </c>
      <c r="C1003" s="22">
        <v>680</v>
      </c>
      <c r="D1003" s="22" t="s">
        <v>39</v>
      </c>
      <c r="E1003" t="str">
        <f t="shared" si="17"/>
        <v>2014年</v>
      </c>
    </row>
    <row r="1004" spans="1:5" x14ac:dyDescent="0.15">
      <c r="A1004" s="21">
        <v>41859</v>
      </c>
      <c r="B1004" s="22" t="s">
        <v>36</v>
      </c>
      <c r="C1004" s="22">
        <v>430</v>
      </c>
      <c r="D1004" s="22" t="s">
        <v>39</v>
      </c>
      <c r="E1004" t="str">
        <f t="shared" si="17"/>
        <v>2014年</v>
      </c>
    </row>
    <row r="1005" spans="1:5" x14ac:dyDescent="0.15">
      <c r="A1005" s="21">
        <v>41859</v>
      </c>
      <c r="B1005" s="22" t="s">
        <v>41</v>
      </c>
      <c r="C1005" s="22">
        <v>739.5</v>
      </c>
      <c r="D1005" s="22" t="s">
        <v>39</v>
      </c>
      <c r="E1005" t="str">
        <f t="shared" si="17"/>
        <v>2014年</v>
      </c>
    </row>
    <row r="1006" spans="1:5" x14ac:dyDescent="0.15">
      <c r="A1006" s="21">
        <v>41859</v>
      </c>
      <c r="B1006" s="22" t="s">
        <v>38</v>
      </c>
      <c r="C1006" s="22">
        <v>446.24999687075615</v>
      </c>
      <c r="D1006" s="22" t="s">
        <v>39</v>
      </c>
      <c r="E1006" t="str">
        <f t="shared" si="17"/>
        <v>2014年</v>
      </c>
    </row>
    <row r="1007" spans="1:5" x14ac:dyDescent="0.15">
      <c r="A1007" s="21">
        <v>41860</v>
      </c>
      <c r="B1007" s="22" t="s">
        <v>42</v>
      </c>
      <c r="C1007" s="22">
        <v>450</v>
      </c>
      <c r="D1007" s="22" t="s">
        <v>39</v>
      </c>
      <c r="E1007" t="str">
        <f t="shared" si="17"/>
        <v>2014年</v>
      </c>
    </row>
    <row r="1008" spans="1:5" x14ac:dyDescent="0.15">
      <c r="A1008" s="21">
        <v>41860</v>
      </c>
      <c r="B1008" s="22" t="s">
        <v>33</v>
      </c>
      <c r="C1008" s="22">
        <v>2475.8000000000002</v>
      </c>
      <c r="D1008" s="22" t="s">
        <v>39</v>
      </c>
      <c r="E1008" t="str">
        <f t="shared" si="17"/>
        <v>2014年</v>
      </c>
    </row>
    <row r="1009" spans="1:5" x14ac:dyDescent="0.15">
      <c r="A1009" s="21">
        <v>41860</v>
      </c>
      <c r="B1009" s="22" t="s">
        <v>35</v>
      </c>
      <c r="C1009" s="22">
        <v>299.25</v>
      </c>
      <c r="D1009" s="22" t="s">
        <v>39</v>
      </c>
      <c r="E1009" t="str">
        <f t="shared" si="17"/>
        <v>2014年</v>
      </c>
    </row>
    <row r="1010" spans="1:5" x14ac:dyDescent="0.15">
      <c r="A1010" s="21">
        <v>41861</v>
      </c>
      <c r="B1010" s="22" t="s">
        <v>33</v>
      </c>
      <c r="C1010" s="22">
        <v>273.59999978542328</v>
      </c>
      <c r="D1010" s="22" t="s">
        <v>39</v>
      </c>
      <c r="E1010" t="str">
        <f t="shared" si="17"/>
        <v>2014年</v>
      </c>
    </row>
    <row r="1011" spans="1:5" x14ac:dyDescent="0.15">
      <c r="A1011" s="21">
        <v>41861</v>
      </c>
      <c r="B1011" s="22" t="s">
        <v>42</v>
      </c>
      <c r="C1011" s="22">
        <v>630</v>
      </c>
      <c r="D1011" s="22" t="s">
        <v>39</v>
      </c>
      <c r="E1011" t="str">
        <f t="shared" si="17"/>
        <v>2014年</v>
      </c>
    </row>
    <row r="1012" spans="1:5" x14ac:dyDescent="0.15">
      <c r="A1012" s="21">
        <v>41862</v>
      </c>
      <c r="B1012" s="22" t="s">
        <v>42</v>
      </c>
      <c r="C1012" s="22">
        <v>55.799999907612801</v>
      </c>
      <c r="D1012" s="22" t="s">
        <v>39</v>
      </c>
      <c r="E1012" t="str">
        <f t="shared" si="17"/>
        <v>2014年</v>
      </c>
    </row>
    <row r="1013" spans="1:5" x14ac:dyDescent="0.15">
      <c r="A1013" s="21">
        <v>41862</v>
      </c>
      <c r="B1013" s="22" t="s">
        <v>42</v>
      </c>
      <c r="C1013" s="22">
        <v>541.49999957531691</v>
      </c>
      <c r="D1013" s="22" t="s">
        <v>39</v>
      </c>
      <c r="E1013" t="str">
        <f t="shared" si="17"/>
        <v>2014年</v>
      </c>
    </row>
    <row r="1014" spans="1:5" x14ac:dyDescent="0.15">
      <c r="A1014" s="21">
        <v>41862</v>
      </c>
      <c r="B1014" s="22" t="s">
        <v>36</v>
      </c>
      <c r="C1014" s="22">
        <v>47.499999962747097</v>
      </c>
      <c r="D1014" s="22" t="s">
        <v>39</v>
      </c>
      <c r="E1014" t="str">
        <f t="shared" si="17"/>
        <v>2014年</v>
      </c>
    </row>
    <row r="1015" spans="1:5" x14ac:dyDescent="0.15">
      <c r="A1015" s="21">
        <v>41863</v>
      </c>
      <c r="B1015" s="22" t="s">
        <v>36</v>
      </c>
      <c r="C1015" s="22">
        <v>1162.7999918460846</v>
      </c>
      <c r="D1015" s="22" t="s">
        <v>34</v>
      </c>
      <c r="E1015" t="str">
        <f t="shared" si="17"/>
        <v>2014年</v>
      </c>
    </row>
    <row r="1016" spans="1:5" x14ac:dyDescent="0.15">
      <c r="A1016" s="21">
        <v>41863</v>
      </c>
      <c r="B1016" s="22" t="s">
        <v>38</v>
      </c>
      <c r="C1016" s="22">
        <v>66.299999535083771</v>
      </c>
      <c r="D1016" s="22" t="s">
        <v>34</v>
      </c>
      <c r="E1016" t="str">
        <f t="shared" si="17"/>
        <v>2014年</v>
      </c>
    </row>
    <row r="1017" spans="1:5" x14ac:dyDescent="0.15">
      <c r="A1017" s="21">
        <v>41863</v>
      </c>
      <c r="B1017" s="22" t="s">
        <v>41</v>
      </c>
      <c r="C1017" s="22">
        <v>929.09249348491426</v>
      </c>
      <c r="D1017" s="22" t="s">
        <v>34</v>
      </c>
      <c r="E1017" t="str">
        <f t="shared" si="17"/>
        <v>2014年</v>
      </c>
    </row>
    <row r="1018" spans="1:5" x14ac:dyDescent="0.15">
      <c r="A1018" s="21">
        <v>41863</v>
      </c>
      <c r="B1018" s="22" t="s">
        <v>41</v>
      </c>
      <c r="C1018" s="22">
        <v>3352.3999764919281</v>
      </c>
      <c r="D1018" s="22" t="s">
        <v>34</v>
      </c>
      <c r="E1018" t="str">
        <f t="shared" si="17"/>
        <v>2014年</v>
      </c>
    </row>
    <row r="1019" spans="1:5" x14ac:dyDescent="0.15">
      <c r="A1019" s="21">
        <v>41863</v>
      </c>
      <c r="B1019" s="22" t="s">
        <v>37</v>
      </c>
      <c r="C1019" s="22">
        <v>1050</v>
      </c>
      <c r="D1019" s="22" t="s">
        <v>39</v>
      </c>
      <c r="E1019" t="str">
        <f t="shared" si="17"/>
        <v>2014年</v>
      </c>
    </row>
    <row r="1020" spans="1:5" x14ac:dyDescent="0.15">
      <c r="A1020" s="21">
        <v>41863</v>
      </c>
      <c r="B1020" s="22" t="s">
        <v>38</v>
      </c>
      <c r="C1020" s="22">
        <v>3125</v>
      </c>
      <c r="D1020" s="22" t="s">
        <v>39</v>
      </c>
      <c r="E1020" t="str">
        <f t="shared" si="17"/>
        <v>2014年</v>
      </c>
    </row>
    <row r="1021" spans="1:5" x14ac:dyDescent="0.15">
      <c r="A1021" s="21">
        <v>41863</v>
      </c>
      <c r="B1021" s="22" t="s">
        <v>37</v>
      </c>
      <c r="C1021" s="22">
        <v>795</v>
      </c>
      <c r="D1021" s="22" t="s">
        <v>39</v>
      </c>
      <c r="E1021" t="str">
        <f t="shared" si="17"/>
        <v>2014年</v>
      </c>
    </row>
    <row r="1022" spans="1:5" x14ac:dyDescent="0.15">
      <c r="A1022" s="21">
        <v>41863</v>
      </c>
      <c r="B1022" s="22" t="s">
        <v>42</v>
      </c>
      <c r="C1022" s="22">
        <v>15.5</v>
      </c>
      <c r="D1022" s="22" t="s">
        <v>39</v>
      </c>
      <c r="E1022" t="str">
        <f t="shared" si="17"/>
        <v>2014年</v>
      </c>
    </row>
    <row r="1023" spans="1:5" x14ac:dyDescent="0.15">
      <c r="A1023" s="21">
        <v>41866</v>
      </c>
      <c r="B1023" s="22" t="s">
        <v>40</v>
      </c>
      <c r="C1023" s="22">
        <v>197.99999967217445</v>
      </c>
      <c r="D1023" s="22" t="s">
        <v>39</v>
      </c>
      <c r="E1023" t="str">
        <f t="shared" si="17"/>
        <v>2014年</v>
      </c>
    </row>
    <row r="1024" spans="1:5" x14ac:dyDescent="0.15">
      <c r="A1024" s="21">
        <v>41866</v>
      </c>
      <c r="B1024" s="22" t="s">
        <v>40</v>
      </c>
      <c r="C1024" s="22">
        <v>288.22499952279031</v>
      </c>
      <c r="D1024" s="22" t="s">
        <v>39</v>
      </c>
      <c r="E1024" t="str">
        <f t="shared" si="17"/>
        <v>2014年</v>
      </c>
    </row>
    <row r="1025" spans="1:5" x14ac:dyDescent="0.15">
      <c r="A1025" s="21">
        <v>41866</v>
      </c>
      <c r="B1025" s="22" t="s">
        <v>35</v>
      </c>
      <c r="C1025" s="22">
        <v>840</v>
      </c>
      <c r="D1025" s="22" t="s">
        <v>39</v>
      </c>
      <c r="E1025" t="str">
        <f t="shared" si="17"/>
        <v>2014年</v>
      </c>
    </row>
    <row r="1026" spans="1:5" x14ac:dyDescent="0.15">
      <c r="A1026" s="21">
        <v>41867</v>
      </c>
      <c r="B1026" s="22" t="s">
        <v>40</v>
      </c>
      <c r="C1026" s="22">
        <v>550</v>
      </c>
      <c r="D1026" s="22" t="s">
        <v>39</v>
      </c>
      <c r="E1026" t="str">
        <f t="shared" ref="E1026:E1089" si="18">YEAR(A1026)&amp;"年"</f>
        <v>2014年</v>
      </c>
    </row>
    <row r="1027" spans="1:5" x14ac:dyDescent="0.15">
      <c r="A1027" s="21">
        <v>41867</v>
      </c>
      <c r="B1027" s="22" t="s">
        <v>38</v>
      </c>
      <c r="C1027" s="22">
        <v>79.5</v>
      </c>
      <c r="D1027" s="22" t="s">
        <v>39</v>
      </c>
      <c r="E1027" t="str">
        <f t="shared" si="18"/>
        <v>2014年</v>
      </c>
    </row>
    <row r="1028" spans="1:5" x14ac:dyDescent="0.15">
      <c r="A1028" s="21">
        <v>41867</v>
      </c>
      <c r="B1028" s="22" t="s">
        <v>36</v>
      </c>
      <c r="C1028" s="22">
        <v>210</v>
      </c>
      <c r="D1028" s="22" t="s">
        <v>34</v>
      </c>
      <c r="E1028" t="str">
        <f t="shared" si="18"/>
        <v>2014年</v>
      </c>
    </row>
    <row r="1029" spans="1:5" x14ac:dyDescent="0.15">
      <c r="A1029" s="21">
        <v>41867</v>
      </c>
      <c r="B1029" s="22" t="s">
        <v>41</v>
      </c>
      <c r="C1029" s="22">
        <v>385.93749969732016</v>
      </c>
      <c r="D1029" s="22" t="s">
        <v>34</v>
      </c>
      <c r="E1029" t="str">
        <f t="shared" si="18"/>
        <v>2014年</v>
      </c>
    </row>
    <row r="1030" spans="1:5" x14ac:dyDescent="0.15">
      <c r="A1030" s="21">
        <v>41867</v>
      </c>
      <c r="B1030" s="22" t="s">
        <v>35</v>
      </c>
      <c r="C1030" s="22">
        <v>2165.9999983012676</v>
      </c>
      <c r="D1030" s="22" t="s">
        <v>34</v>
      </c>
      <c r="E1030" t="str">
        <f t="shared" si="18"/>
        <v>2014年</v>
      </c>
    </row>
    <row r="1031" spans="1:5" x14ac:dyDescent="0.15">
      <c r="A1031" s="21">
        <v>41868</v>
      </c>
      <c r="B1031" s="22" t="s">
        <v>38</v>
      </c>
      <c r="C1031" s="22">
        <v>190</v>
      </c>
      <c r="D1031" s="22" t="s">
        <v>39</v>
      </c>
      <c r="E1031" t="str">
        <f t="shared" si="18"/>
        <v>2014年</v>
      </c>
    </row>
    <row r="1032" spans="1:5" x14ac:dyDescent="0.15">
      <c r="A1032" s="21">
        <v>41868</v>
      </c>
      <c r="B1032" s="22" t="s">
        <v>40</v>
      </c>
      <c r="C1032" s="22">
        <v>442.05</v>
      </c>
      <c r="D1032" s="22" t="s">
        <v>39</v>
      </c>
      <c r="E1032" t="str">
        <f t="shared" si="18"/>
        <v>2014年</v>
      </c>
    </row>
    <row r="1033" spans="1:5" x14ac:dyDescent="0.15">
      <c r="A1033" s="21">
        <v>41868</v>
      </c>
      <c r="B1033" s="22" t="s">
        <v>36</v>
      </c>
      <c r="C1033" s="22">
        <v>2088</v>
      </c>
      <c r="D1033" s="22" t="s">
        <v>39</v>
      </c>
      <c r="E1033" t="str">
        <f t="shared" si="18"/>
        <v>2014年</v>
      </c>
    </row>
    <row r="1034" spans="1:5" x14ac:dyDescent="0.15">
      <c r="A1034" s="21">
        <v>41868</v>
      </c>
      <c r="B1034" s="22" t="s">
        <v>38</v>
      </c>
      <c r="C1034" s="22">
        <v>500</v>
      </c>
      <c r="D1034" s="22" t="s">
        <v>34</v>
      </c>
      <c r="E1034" t="str">
        <f t="shared" si="18"/>
        <v>2014年</v>
      </c>
    </row>
    <row r="1035" spans="1:5" x14ac:dyDescent="0.15">
      <c r="A1035" s="21">
        <v>41869</v>
      </c>
      <c r="B1035" s="22" t="s">
        <v>36</v>
      </c>
      <c r="C1035" s="22">
        <v>540</v>
      </c>
      <c r="D1035" s="22" t="s">
        <v>39</v>
      </c>
      <c r="E1035" t="str">
        <f t="shared" si="18"/>
        <v>2014年</v>
      </c>
    </row>
    <row r="1036" spans="1:5" x14ac:dyDescent="0.15">
      <c r="A1036" s="21">
        <v>41869</v>
      </c>
      <c r="B1036" s="22" t="s">
        <v>42</v>
      </c>
      <c r="C1036" s="22">
        <v>168.75</v>
      </c>
      <c r="D1036" s="22" t="s">
        <v>39</v>
      </c>
      <c r="E1036" t="str">
        <f t="shared" si="18"/>
        <v>2014年</v>
      </c>
    </row>
    <row r="1037" spans="1:5" x14ac:dyDescent="0.15">
      <c r="A1037" s="21">
        <v>41870</v>
      </c>
      <c r="B1037" s="22" t="s">
        <v>42</v>
      </c>
      <c r="C1037" s="22">
        <v>950</v>
      </c>
      <c r="D1037" s="22" t="s">
        <v>39</v>
      </c>
      <c r="E1037" t="str">
        <f t="shared" si="18"/>
        <v>2014年</v>
      </c>
    </row>
    <row r="1038" spans="1:5" x14ac:dyDescent="0.15">
      <c r="A1038" s="21">
        <v>41870</v>
      </c>
      <c r="B1038" s="22" t="s">
        <v>38</v>
      </c>
      <c r="C1038" s="22">
        <v>1104</v>
      </c>
      <c r="D1038" s="22" t="s">
        <v>39</v>
      </c>
      <c r="E1038" t="str">
        <f t="shared" si="18"/>
        <v>2014年</v>
      </c>
    </row>
    <row r="1039" spans="1:5" x14ac:dyDescent="0.15">
      <c r="A1039" s="21">
        <v>41870</v>
      </c>
      <c r="B1039" s="22" t="s">
        <v>41</v>
      </c>
      <c r="C1039" s="22">
        <v>239.99999910593033</v>
      </c>
      <c r="D1039" s="22" t="s">
        <v>34</v>
      </c>
      <c r="E1039" t="str">
        <f t="shared" si="18"/>
        <v>2014年</v>
      </c>
    </row>
    <row r="1040" spans="1:5" x14ac:dyDescent="0.15">
      <c r="A1040" s="21">
        <v>41870</v>
      </c>
      <c r="B1040" s="22" t="s">
        <v>40</v>
      </c>
      <c r="C1040" s="22">
        <v>455.99999830126762</v>
      </c>
      <c r="D1040" s="22" t="s">
        <v>34</v>
      </c>
      <c r="E1040" t="str">
        <f t="shared" si="18"/>
        <v>2014年</v>
      </c>
    </row>
    <row r="1041" spans="1:5" x14ac:dyDescent="0.15">
      <c r="A1041" s="21">
        <v>41873</v>
      </c>
      <c r="B1041" s="22" t="s">
        <v>37</v>
      </c>
      <c r="C1041" s="22">
        <v>513</v>
      </c>
      <c r="D1041" s="22" t="s">
        <v>34</v>
      </c>
      <c r="E1041" t="str">
        <f t="shared" si="18"/>
        <v>2014年</v>
      </c>
    </row>
    <row r="1042" spans="1:5" x14ac:dyDescent="0.15">
      <c r="A1042" s="21">
        <v>41873</v>
      </c>
      <c r="B1042" s="22" t="s">
        <v>42</v>
      </c>
      <c r="C1042" s="22">
        <v>283.5</v>
      </c>
      <c r="D1042" s="22" t="s">
        <v>34</v>
      </c>
      <c r="E1042" t="str">
        <f t="shared" si="18"/>
        <v>2014年</v>
      </c>
    </row>
    <row r="1043" spans="1:5" x14ac:dyDescent="0.15">
      <c r="A1043" s="21">
        <v>41873</v>
      </c>
      <c r="B1043" s="22" t="s">
        <v>38</v>
      </c>
      <c r="C1043" s="22">
        <v>18</v>
      </c>
      <c r="D1043" s="22" t="s">
        <v>34</v>
      </c>
      <c r="E1043" t="str">
        <f t="shared" si="18"/>
        <v>2014年</v>
      </c>
    </row>
    <row r="1044" spans="1:5" x14ac:dyDescent="0.15">
      <c r="A1044" s="21">
        <v>41873</v>
      </c>
      <c r="B1044" s="22" t="s">
        <v>38</v>
      </c>
      <c r="C1044" s="22">
        <v>224.99999962747097</v>
      </c>
      <c r="D1044" s="22" t="s">
        <v>39</v>
      </c>
      <c r="E1044" t="str">
        <f t="shared" si="18"/>
        <v>2014年</v>
      </c>
    </row>
    <row r="1045" spans="1:5" x14ac:dyDescent="0.15">
      <c r="A1045" s="21">
        <v>41873</v>
      </c>
      <c r="B1045" s="22" t="s">
        <v>42</v>
      </c>
      <c r="C1045" s="22">
        <v>920</v>
      </c>
      <c r="D1045" s="22" t="s">
        <v>39</v>
      </c>
      <c r="E1045" t="str">
        <f t="shared" si="18"/>
        <v>2014年</v>
      </c>
    </row>
    <row r="1046" spans="1:5" x14ac:dyDescent="0.15">
      <c r="A1046" s="21">
        <v>41873</v>
      </c>
      <c r="B1046" s="22" t="s">
        <v>38</v>
      </c>
      <c r="C1046" s="22">
        <v>226.79999962449074</v>
      </c>
      <c r="D1046" s="22" t="s">
        <v>39</v>
      </c>
      <c r="E1046" t="str">
        <f t="shared" si="18"/>
        <v>2014年</v>
      </c>
    </row>
    <row r="1047" spans="1:5" x14ac:dyDescent="0.15">
      <c r="A1047" s="21">
        <v>41874</v>
      </c>
      <c r="B1047" s="22" t="s">
        <v>38</v>
      </c>
      <c r="C1047" s="22">
        <v>1250</v>
      </c>
      <c r="D1047" s="22" t="s">
        <v>39</v>
      </c>
      <c r="E1047" t="str">
        <f t="shared" si="18"/>
        <v>2014年</v>
      </c>
    </row>
    <row r="1048" spans="1:5" x14ac:dyDescent="0.15">
      <c r="A1048" s="21">
        <v>41874</v>
      </c>
      <c r="B1048" s="22" t="s">
        <v>38</v>
      </c>
      <c r="C1048" s="22">
        <v>285</v>
      </c>
      <c r="D1048" s="22" t="s">
        <v>39</v>
      </c>
      <c r="E1048" t="str">
        <f t="shared" si="18"/>
        <v>2014年</v>
      </c>
    </row>
    <row r="1049" spans="1:5" x14ac:dyDescent="0.15">
      <c r="A1049" s="21">
        <v>41875</v>
      </c>
      <c r="B1049" s="22" t="s">
        <v>42</v>
      </c>
      <c r="C1049" s="22">
        <v>202.5</v>
      </c>
      <c r="D1049" s="22" t="s">
        <v>34</v>
      </c>
      <c r="E1049" t="str">
        <f t="shared" si="18"/>
        <v>2014年</v>
      </c>
    </row>
    <row r="1050" spans="1:5" x14ac:dyDescent="0.15">
      <c r="A1050" s="21">
        <v>41875</v>
      </c>
      <c r="B1050" s="22" t="s">
        <v>38</v>
      </c>
      <c r="C1050" s="22">
        <v>418.5</v>
      </c>
      <c r="D1050" s="22" t="s">
        <v>34</v>
      </c>
      <c r="E1050" t="str">
        <f t="shared" si="18"/>
        <v>2014年</v>
      </c>
    </row>
    <row r="1051" spans="1:5" x14ac:dyDescent="0.15">
      <c r="A1051" s="21">
        <v>41875</v>
      </c>
      <c r="B1051" s="22" t="s">
        <v>36</v>
      </c>
      <c r="C1051" s="22">
        <v>483.75</v>
      </c>
      <c r="D1051" s="22" t="s">
        <v>34</v>
      </c>
      <c r="E1051" t="str">
        <f t="shared" si="18"/>
        <v>2014年</v>
      </c>
    </row>
    <row r="1052" spans="1:5" x14ac:dyDescent="0.15">
      <c r="A1052" s="21">
        <v>41875</v>
      </c>
      <c r="B1052" s="22" t="s">
        <v>40</v>
      </c>
      <c r="C1052" s="22">
        <v>341.25</v>
      </c>
      <c r="D1052" s="22" t="s">
        <v>34</v>
      </c>
      <c r="E1052" t="str">
        <f t="shared" si="18"/>
        <v>2014年</v>
      </c>
    </row>
    <row r="1053" spans="1:5" x14ac:dyDescent="0.15">
      <c r="A1053" s="21">
        <v>41875</v>
      </c>
      <c r="B1053" s="22" t="s">
        <v>41</v>
      </c>
      <c r="C1053" s="22">
        <v>276</v>
      </c>
      <c r="D1053" s="22" t="s">
        <v>39</v>
      </c>
      <c r="E1053" t="str">
        <f t="shared" si="18"/>
        <v>2014年</v>
      </c>
    </row>
    <row r="1054" spans="1:5" x14ac:dyDescent="0.15">
      <c r="A1054" s="21">
        <v>41875</v>
      </c>
      <c r="B1054" s="22" t="s">
        <v>42</v>
      </c>
      <c r="C1054" s="22">
        <v>360</v>
      </c>
      <c r="D1054" s="22" t="s">
        <v>39</v>
      </c>
      <c r="E1054" t="str">
        <f t="shared" si="18"/>
        <v>2014年</v>
      </c>
    </row>
    <row r="1055" spans="1:5" x14ac:dyDescent="0.15">
      <c r="A1055" s="21">
        <v>41876</v>
      </c>
      <c r="B1055" s="22" t="s">
        <v>35</v>
      </c>
      <c r="C1055" s="22">
        <v>315</v>
      </c>
      <c r="D1055" s="22" t="s">
        <v>34</v>
      </c>
      <c r="E1055" t="str">
        <f t="shared" si="18"/>
        <v>2014年</v>
      </c>
    </row>
    <row r="1056" spans="1:5" x14ac:dyDescent="0.15">
      <c r="A1056" s="21">
        <v>41876</v>
      </c>
      <c r="B1056" s="22" t="s">
        <v>42</v>
      </c>
      <c r="C1056" s="22">
        <v>57.374999597668648</v>
      </c>
      <c r="D1056" s="22" t="s">
        <v>34</v>
      </c>
      <c r="E1056" t="str">
        <f t="shared" si="18"/>
        <v>2014年</v>
      </c>
    </row>
    <row r="1057" spans="1:5" x14ac:dyDescent="0.15">
      <c r="A1057" s="21">
        <v>41876</v>
      </c>
      <c r="B1057" s="22" t="s">
        <v>37</v>
      </c>
      <c r="C1057" s="22">
        <v>912</v>
      </c>
      <c r="D1057" s="22" t="s">
        <v>34</v>
      </c>
      <c r="E1057" t="str">
        <f t="shared" si="18"/>
        <v>2014年</v>
      </c>
    </row>
    <row r="1058" spans="1:5" x14ac:dyDescent="0.15">
      <c r="A1058" s="21">
        <v>41876</v>
      </c>
      <c r="B1058" s="22" t="s">
        <v>36</v>
      </c>
      <c r="C1058" s="22">
        <v>522</v>
      </c>
      <c r="D1058" s="22" t="s">
        <v>34</v>
      </c>
      <c r="E1058" t="str">
        <f t="shared" si="18"/>
        <v>2014年</v>
      </c>
    </row>
    <row r="1059" spans="1:5" x14ac:dyDescent="0.15">
      <c r="A1059" s="21">
        <v>41877</v>
      </c>
      <c r="B1059" s="22" t="s">
        <v>38</v>
      </c>
      <c r="C1059" s="22">
        <v>776.7</v>
      </c>
      <c r="D1059" s="22" t="s">
        <v>34</v>
      </c>
      <c r="E1059" t="str">
        <f t="shared" si="18"/>
        <v>2014年</v>
      </c>
    </row>
    <row r="1060" spans="1:5" x14ac:dyDescent="0.15">
      <c r="A1060" s="21">
        <v>41877</v>
      </c>
      <c r="B1060" s="22" t="s">
        <v>33</v>
      </c>
      <c r="C1060" s="22">
        <v>778.99999938905239</v>
      </c>
      <c r="D1060" s="22" t="s">
        <v>34</v>
      </c>
      <c r="E1060" t="str">
        <f t="shared" si="18"/>
        <v>2014年</v>
      </c>
    </row>
    <row r="1061" spans="1:5" x14ac:dyDescent="0.15">
      <c r="A1061" s="21">
        <v>41877</v>
      </c>
      <c r="B1061" s="22" t="s">
        <v>33</v>
      </c>
      <c r="C1061" s="22">
        <v>223.5</v>
      </c>
      <c r="D1061" s="22" t="s">
        <v>34</v>
      </c>
      <c r="E1061" t="str">
        <f t="shared" si="18"/>
        <v>2014年</v>
      </c>
    </row>
    <row r="1062" spans="1:5" x14ac:dyDescent="0.15">
      <c r="A1062" s="21">
        <v>41880</v>
      </c>
      <c r="B1062" s="22" t="s">
        <v>41</v>
      </c>
      <c r="C1062" s="22">
        <v>82.8</v>
      </c>
      <c r="D1062" s="22" t="s">
        <v>39</v>
      </c>
      <c r="E1062" t="str">
        <f t="shared" si="18"/>
        <v>2014年</v>
      </c>
    </row>
    <row r="1063" spans="1:5" x14ac:dyDescent="0.15">
      <c r="A1063" s="21">
        <v>41880</v>
      </c>
      <c r="B1063" s="22" t="s">
        <v>35</v>
      </c>
      <c r="C1063" s="22">
        <v>315</v>
      </c>
      <c r="D1063" s="22" t="s">
        <v>39</v>
      </c>
      <c r="E1063" t="str">
        <f t="shared" si="18"/>
        <v>2014年</v>
      </c>
    </row>
    <row r="1064" spans="1:5" x14ac:dyDescent="0.15">
      <c r="A1064" s="21">
        <v>41880</v>
      </c>
      <c r="B1064" s="22" t="s">
        <v>38</v>
      </c>
      <c r="C1064" s="22">
        <v>38.835000000000001</v>
      </c>
      <c r="D1064" s="22" t="s">
        <v>39</v>
      </c>
      <c r="E1064" t="str">
        <f t="shared" si="18"/>
        <v>2014年</v>
      </c>
    </row>
    <row r="1065" spans="1:5" x14ac:dyDescent="0.15">
      <c r="A1065" s="21">
        <v>41880</v>
      </c>
      <c r="B1065" s="22" t="s">
        <v>35</v>
      </c>
      <c r="C1065" s="22">
        <v>280</v>
      </c>
      <c r="D1065" s="22" t="s">
        <v>39</v>
      </c>
      <c r="E1065" t="str">
        <f t="shared" si="18"/>
        <v>2014年</v>
      </c>
    </row>
    <row r="1066" spans="1:5" x14ac:dyDescent="0.15">
      <c r="A1066" s="21">
        <v>41881</v>
      </c>
      <c r="B1066" s="22" t="s">
        <v>41</v>
      </c>
      <c r="C1066" s="22">
        <v>471.14999921992421</v>
      </c>
      <c r="D1066" s="22" t="s">
        <v>39</v>
      </c>
      <c r="E1066" t="str">
        <f t="shared" si="18"/>
        <v>2014年</v>
      </c>
    </row>
    <row r="1067" spans="1:5" x14ac:dyDescent="0.15">
      <c r="A1067" s="21">
        <v>41881</v>
      </c>
      <c r="B1067" s="22" t="s">
        <v>36</v>
      </c>
      <c r="C1067" s="22">
        <v>611.99999898672104</v>
      </c>
      <c r="D1067" s="22" t="s">
        <v>39</v>
      </c>
      <c r="E1067" t="str">
        <f t="shared" si="18"/>
        <v>2014年</v>
      </c>
    </row>
    <row r="1068" spans="1:5" x14ac:dyDescent="0.15">
      <c r="A1068" s="21">
        <v>41881</v>
      </c>
      <c r="B1068" s="22" t="s">
        <v>40</v>
      </c>
      <c r="C1068" s="22">
        <v>237.59999960660934</v>
      </c>
      <c r="D1068" s="22" t="s">
        <v>34</v>
      </c>
      <c r="E1068" t="str">
        <f t="shared" si="18"/>
        <v>2014年</v>
      </c>
    </row>
    <row r="1069" spans="1:5" x14ac:dyDescent="0.15">
      <c r="A1069" s="21">
        <v>41881</v>
      </c>
      <c r="B1069" s="22" t="s">
        <v>42</v>
      </c>
      <c r="C1069" s="22">
        <v>323.9999994635582</v>
      </c>
      <c r="D1069" s="22" t="s">
        <v>34</v>
      </c>
      <c r="E1069" t="str">
        <f t="shared" si="18"/>
        <v>2014年</v>
      </c>
    </row>
    <row r="1070" spans="1:5" x14ac:dyDescent="0.15">
      <c r="A1070" s="21">
        <v>41881</v>
      </c>
      <c r="B1070" s="22" t="s">
        <v>33</v>
      </c>
      <c r="C1070" s="22">
        <v>40.229999933391809</v>
      </c>
      <c r="D1070" s="22" t="s">
        <v>34</v>
      </c>
      <c r="E1070" t="str">
        <f t="shared" si="18"/>
        <v>2014年</v>
      </c>
    </row>
    <row r="1071" spans="1:5" x14ac:dyDescent="0.15">
      <c r="A1071" s="21">
        <v>41882</v>
      </c>
      <c r="B1071" s="22" t="s">
        <v>38</v>
      </c>
      <c r="C1071" s="22">
        <v>154.39999942481518</v>
      </c>
      <c r="D1071" s="22" t="s">
        <v>39</v>
      </c>
      <c r="E1071" t="str">
        <f t="shared" si="18"/>
        <v>2014年</v>
      </c>
    </row>
    <row r="1072" spans="1:5" x14ac:dyDescent="0.15">
      <c r="A1072" s="21">
        <v>41883</v>
      </c>
      <c r="B1072" s="22" t="s">
        <v>37</v>
      </c>
      <c r="C1072" s="22">
        <v>62.774999896064401</v>
      </c>
      <c r="D1072" s="22" t="s">
        <v>34</v>
      </c>
      <c r="E1072" t="str">
        <f t="shared" si="18"/>
        <v>2014年</v>
      </c>
    </row>
    <row r="1073" spans="1:5" x14ac:dyDescent="0.15">
      <c r="A1073" s="21">
        <v>41883</v>
      </c>
      <c r="B1073" s="22" t="s">
        <v>40</v>
      </c>
      <c r="C1073" s="22">
        <v>490.13999918848276</v>
      </c>
      <c r="D1073" s="22" t="s">
        <v>34</v>
      </c>
      <c r="E1073" t="str">
        <f t="shared" si="18"/>
        <v>2014年</v>
      </c>
    </row>
    <row r="1074" spans="1:5" x14ac:dyDescent="0.15">
      <c r="A1074" s="21">
        <v>41883</v>
      </c>
      <c r="B1074" s="22" t="s">
        <v>41</v>
      </c>
      <c r="C1074" s="22">
        <v>51.299999915063381</v>
      </c>
      <c r="D1074" s="22" t="s">
        <v>34</v>
      </c>
      <c r="E1074" t="str">
        <f t="shared" si="18"/>
        <v>2014年</v>
      </c>
    </row>
    <row r="1075" spans="1:5" x14ac:dyDescent="0.15">
      <c r="A1075" s="21">
        <v>41883</v>
      </c>
      <c r="B1075" s="22" t="s">
        <v>40</v>
      </c>
      <c r="C1075" s="22">
        <v>775</v>
      </c>
      <c r="D1075" s="22" t="s">
        <v>39</v>
      </c>
      <c r="E1075" t="str">
        <f t="shared" si="18"/>
        <v>2014年</v>
      </c>
    </row>
    <row r="1076" spans="1:5" x14ac:dyDescent="0.15">
      <c r="A1076" s="21">
        <v>41883</v>
      </c>
      <c r="B1076" s="22" t="s">
        <v>38</v>
      </c>
      <c r="C1076" s="22">
        <v>231.6</v>
      </c>
      <c r="D1076" s="22" t="s">
        <v>39</v>
      </c>
      <c r="E1076" t="str">
        <f t="shared" si="18"/>
        <v>2014年</v>
      </c>
    </row>
    <row r="1077" spans="1:5" x14ac:dyDescent="0.15">
      <c r="A1077" s="21">
        <v>41883</v>
      </c>
      <c r="B1077" s="22" t="s">
        <v>38</v>
      </c>
      <c r="C1077" s="22">
        <v>540</v>
      </c>
      <c r="D1077" s="22" t="s">
        <v>39</v>
      </c>
      <c r="E1077" t="str">
        <f t="shared" si="18"/>
        <v>2014年</v>
      </c>
    </row>
    <row r="1078" spans="1:5" x14ac:dyDescent="0.15">
      <c r="A1078" s="21">
        <v>41883</v>
      </c>
      <c r="B1078" s="22" t="s">
        <v>41</v>
      </c>
      <c r="C1078" s="22">
        <v>95</v>
      </c>
      <c r="D1078" s="22" t="s">
        <v>39</v>
      </c>
      <c r="E1078" t="str">
        <f t="shared" si="18"/>
        <v>2014年</v>
      </c>
    </row>
    <row r="1079" spans="1:5" x14ac:dyDescent="0.15">
      <c r="A1079" s="21">
        <v>41883</v>
      </c>
      <c r="B1079" s="22" t="s">
        <v>35</v>
      </c>
      <c r="C1079" s="22">
        <v>1710</v>
      </c>
      <c r="D1079" s="22" t="s">
        <v>39</v>
      </c>
      <c r="E1079" t="str">
        <f t="shared" si="18"/>
        <v>2014年</v>
      </c>
    </row>
    <row r="1080" spans="1:5" x14ac:dyDescent="0.15">
      <c r="A1080" s="21">
        <v>41883</v>
      </c>
      <c r="B1080" s="22" t="s">
        <v>36</v>
      </c>
      <c r="C1080" s="22">
        <v>1020</v>
      </c>
      <c r="D1080" s="22" t="s">
        <v>39</v>
      </c>
      <c r="E1080" t="str">
        <f t="shared" si="18"/>
        <v>2014年</v>
      </c>
    </row>
    <row r="1081" spans="1:5" x14ac:dyDescent="0.15">
      <c r="A1081" s="21">
        <v>41884</v>
      </c>
      <c r="B1081" s="22" t="s">
        <v>41</v>
      </c>
      <c r="C1081" s="22">
        <v>600</v>
      </c>
      <c r="D1081" s="22" t="s">
        <v>39</v>
      </c>
      <c r="E1081" t="str">
        <f t="shared" si="18"/>
        <v>2014年</v>
      </c>
    </row>
    <row r="1082" spans="1:5" x14ac:dyDescent="0.15">
      <c r="A1082" s="21">
        <v>41884</v>
      </c>
      <c r="B1082" s="22" t="s">
        <v>38</v>
      </c>
      <c r="C1082" s="22">
        <v>1223.5999990403652</v>
      </c>
      <c r="D1082" s="22" t="s">
        <v>39</v>
      </c>
      <c r="E1082" t="str">
        <f t="shared" si="18"/>
        <v>2014年</v>
      </c>
    </row>
    <row r="1083" spans="1:5" x14ac:dyDescent="0.15">
      <c r="A1083" s="21">
        <v>41884</v>
      </c>
      <c r="B1083" s="22" t="s">
        <v>36</v>
      </c>
      <c r="C1083" s="22">
        <v>1776.4999986067414</v>
      </c>
      <c r="D1083" s="22" t="s">
        <v>39</v>
      </c>
      <c r="E1083" t="str">
        <f t="shared" si="18"/>
        <v>2014年</v>
      </c>
    </row>
    <row r="1084" spans="1:5" x14ac:dyDescent="0.15">
      <c r="A1084" s="21">
        <v>41884</v>
      </c>
      <c r="B1084" s="22" t="s">
        <v>40</v>
      </c>
      <c r="C1084" s="22">
        <v>864.49999932199717</v>
      </c>
      <c r="D1084" s="22" t="s">
        <v>39</v>
      </c>
      <c r="E1084" t="str">
        <f t="shared" si="18"/>
        <v>2014年</v>
      </c>
    </row>
    <row r="1085" spans="1:5" x14ac:dyDescent="0.15">
      <c r="A1085" s="21">
        <v>41884</v>
      </c>
      <c r="B1085" s="22" t="s">
        <v>36</v>
      </c>
      <c r="C1085" s="22">
        <v>237.49999981373549</v>
      </c>
      <c r="D1085" s="22" t="s">
        <v>34</v>
      </c>
      <c r="E1085" t="str">
        <f t="shared" si="18"/>
        <v>2014年</v>
      </c>
    </row>
    <row r="1086" spans="1:5" x14ac:dyDescent="0.15">
      <c r="A1086" s="21">
        <v>41884</v>
      </c>
      <c r="B1086" s="22" t="s">
        <v>38</v>
      </c>
      <c r="C1086" s="22">
        <v>419.51999967098237</v>
      </c>
      <c r="D1086" s="22" t="s">
        <v>34</v>
      </c>
      <c r="E1086" t="str">
        <f t="shared" si="18"/>
        <v>2014年</v>
      </c>
    </row>
    <row r="1087" spans="1:5" x14ac:dyDescent="0.15">
      <c r="A1087" s="21">
        <v>41884</v>
      </c>
      <c r="B1087" s="22" t="s">
        <v>42</v>
      </c>
      <c r="C1087" s="22">
        <v>569.99999955296516</v>
      </c>
      <c r="D1087" s="22" t="s">
        <v>34</v>
      </c>
      <c r="E1087" t="str">
        <f t="shared" si="18"/>
        <v>2014年</v>
      </c>
    </row>
    <row r="1088" spans="1:5" x14ac:dyDescent="0.15">
      <c r="A1088" s="21">
        <v>41887</v>
      </c>
      <c r="B1088" s="22" t="s">
        <v>41</v>
      </c>
      <c r="C1088" s="22">
        <v>1701</v>
      </c>
      <c r="D1088" s="22" t="s">
        <v>39</v>
      </c>
      <c r="E1088" t="str">
        <f t="shared" si="18"/>
        <v>2014年</v>
      </c>
    </row>
    <row r="1089" spans="1:5" x14ac:dyDescent="0.15">
      <c r="A1089" s="21">
        <v>41888</v>
      </c>
      <c r="B1089" s="22" t="s">
        <v>42</v>
      </c>
      <c r="C1089" s="22">
        <v>43.199999839067459</v>
      </c>
      <c r="D1089" s="22" t="s">
        <v>34</v>
      </c>
      <c r="E1089" t="str">
        <f t="shared" si="18"/>
        <v>2014年</v>
      </c>
    </row>
    <row r="1090" spans="1:5" x14ac:dyDescent="0.15">
      <c r="A1090" s="21">
        <v>41888</v>
      </c>
      <c r="B1090" s="22" t="s">
        <v>38</v>
      </c>
      <c r="C1090" s="22">
        <v>519.39999806508422</v>
      </c>
      <c r="D1090" s="22" t="s">
        <v>34</v>
      </c>
      <c r="E1090" t="str">
        <f t="shared" ref="E1090:E1153" si="19">YEAR(A1090)&amp;"年"</f>
        <v>2014年</v>
      </c>
    </row>
    <row r="1091" spans="1:5" x14ac:dyDescent="0.15">
      <c r="A1091" s="21">
        <v>41888</v>
      </c>
      <c r="B1091" s="22" t="s">
        <v>41</v>
      </c>
      <c r="C1091" s="22">
        <v>125</v>
      </c>
      <c r="D1091" s="22" t="s">
        <v>39</v>
      </c>
      <c r="E1091" t="str">
        <f t="shared" si="19"/>
        <v>2014年</v>
      </c>
    </row>
    <row r="1092" spans="1:5" x14ac:dyDescent="0.15">
      <c r="A1092" s="21">
        <v>41889</v>
      </c>
      <c r="B1092" s="22" t="s">
        <v>38</v>
      </c>
      <c r="C1092" s="22">
        <v>524.39999958872795</v>
      </c>
      <c r="D1092" s="22" t="s">
        <v>39</v>
      </c>
      <c r="E1092" t="str">
        <f t="shared" si="19"/>
        <v>2014年</v>
      </c>
    </row>
    <row r="1093" spans="1:5" x14ac:dyDescent="0.15">
      <c r="A1093" s="21">
        <v>41889</v>
      </c>
      <c r="B1093" s="22" t="s">
        <v>35</v>
      </c>
      <c r="C1093" s="22">
        <v>398.99999968707561</v>
      </c>
      <c r="D1093" s="22" t="s">
        <v>39</v>
      </c>
      <c r="E1093" t="str">
        <f t="shared" si="19"/>
        <v>2014年</v>
      </c>
    </row>
    <row r="1094" spans="1:5" x14ac:dyDescent="0.15">
      <c r="A1094" s="21">
        <v>41889</v>
      </c>
      <c r="B1094" s="22" t="s">
        <v>37</v>
      </c>
      <c r="C1094" s="22">
        <v>1006.9999992102385</v>
      </c>
      <c r="D1094" s="22" t="s">
        <v>39</v>
      </c>
      <c r="E1094" t="str">
        <f t="shared" si="19"/>
        <v>2014年</v>
      </c>
    </row>
    <row r="1095" spans="1:5" x14ac:dyDescent="0.15">
      <c r="A1095" s="21">
        <v>41889</v>
      </c>
      <c r="B1095" s="22" t="s">
        <v>38</v>
      </c>
      <c r="C1095" s="22">
        <v>632.39999556541443</v>
      </c>
      <c r="D1095" s="22" t="s">
        <v>39</v>
      </c>
      <c r="E1095" t="str">
        <f t="shared" si="19"/>
        <v>2014年</v>
      </c>
    </row>
    <row r="1096" spans="1:5" x14ac:dyDescent="0.15">
      <c r="A1096" s="21">
        <v>41889</v>
      </c>
      <c r="B1096" s="22" t="s">
        <v>35</v>
      </c>
      <c r="C1096" s="22">
        <v>387.5999972820282</v>
      </c>
      <c r="D1096" s="22" t="s">
        <v>39</v>
      </c>
      <c r="E1096" t="str">
        <f t="shared" si="19"/>
        <v>2014年</v>
      </c>
    </row>
    <row r="1097" spans="1:5" x14ac:dyDescent="0.15">
      <c r="A1097" s="21">
        <v>41889</v>
      </c>
      <c r="B1097" s="22" t="s">
        <v>40</v>
      </c>
      <c r="C1097" s="22">
        <v>268.38749811798334</v>
      </c>
      <c r="D1097" s="22" t="s">
        <v>39</v>
      </c>
      <c r="E1097" t="str">
        <f t="shared" si="19"/>
        <v>2014年</v>
      </c>
    </row>
    <row r="1098" spans="1:5" x14ac:dyDescent="0.15">
      <c r="A1098" s="21">
        <v>41890</v>
      </c>
      <c r="B1098" s="22" t="s">
        <v>37</v>
      </c>
      <c r="C1098" s="22">
        <v>1060</v>
      </c>
      <c r="D1098" s="22" t="s">
        <v>39</v>
      </c>
      <c r="E1098" t="str">
        <f t="shared" si="19"/>
        <v>2014年</v>
      </c>
    </row>
    <row r="1099" spans="1:5" x14ac:dyDescent="0.15">
      <c r="A1099" s="21">
        <v>41890</v>
      </c>
      <c r="B1099" s="22" t="s">
        <v>36</v>
      </c>
      <c r="C1099" s="22">
        <v>55</v>
      </c>
      <c r="D1099" s="22" t="s">
        <v>39</v>
      </c>
      <c r="E1099" t="str">
        <f t="shared" si="19"/>
        <v>2014年</v>
      </c>
    </row>
    <row r="1100" spans="1:5" x14ac:dyDescent="0.15">
      <c r="A1100" s="21">
        <v>41890</v>
      </c>
      <c r="B1100" s="22" t="s">
        <v>42</v>
      </c>
      <c r="C1100" s="22">
        <v>180</v>
      </c>
      <c r="D1100" s="22" t="s">
        <v>39</v>
      </c>
      <c r="E1100" t="str">
        <f t="shared" si="19"/>
        <v>2014年</v>
      </c>
    </row>
    <row r="1101" spans="1:5" x14ac:dyDescent="0.15">
      <c r="A1101" s="21">
        <v>41891</v>
      </c>
      <c r="B1101" s="22" t="s">
        <v>33</v>
      </c>
      <c r="C1101" s="22">
        <v>4456.4399999999996</v>
      </c>
      <c r="D1101" s="22" t="s">
        <v>34</v>
      </c>
      <c r="E1101" t="str">
        <f t="shared" si="19"/>
        <v>2014年</v>
      </c>
    </row>
    <row r="1102" spans="1:5" x14ac:dyDescent="0.15">
      <c r="A1102" s="21">
        <v>41891</v>
      </c>
      <c r="B1102" s="22" t="s">
        <v>40</v>
      </c>
      <c r="C1102" s="22">
        <v>210.5</v>
      </c>
      <c r="D1102" s="22" t="s">
        <v>34</v>
      </c>
      <c r="E1102" t="str">
        <f t="shared" si="19"/>
        <v>2014年</v>
      </c>
    </row>
    <row r="1103" spans="1:5" x14ac:dyDescent="0.15">
      <c r="A1103" s="21">
        <v>41891</v>
      </c>
      <c r="B1103" s="22" t="s">
        <v>36</v>
      </c>
      <c r="C1103" s="22">
        <v>1295.9999951720238</v>
      </c>
      <c r="D1103" s="22" t="s">
        <v>34</v>
      </c>
      <c r="E1103" t="str">
        <f t="shared" si="19"/>
        <v>2014年</v>
      </c>
    </row>
    <row r="1104" spans="1:5" x14ac:dyDescent="0.15">
      <c r="A1104" s="21">
        <v>41891</v>
      </c>
      <c r="B1104" s="22" t="s">
        <v>36</v>
      </c>
      <c r="C1104" s="22">
        <v>240.7999991029501</v>
      </c>
      <c r="D1104" s="22" t="s">
        <v>34</v>
      </c>
      <c r="E1104" t="str">
        <f t="shared" si="19"/>
        <v>2014年</v>
      </c>
    </row>
    <row r="1105" spans="1:5" x14ac:dyDescent="0.15">
      <c r="A1105" s="21">
        <v>41894</v>
      </c>
      <c r="B1105" s="22" t="s">
        <v>36</v>
      </c>
      <c r="C1105" s="22">
        <v>89.999999850988388</v>
      </c>
      <c r="D1105" s="22" t="s">
        <v>39</v>
      </c>
      <c r="E1105" t="str">
        <f t="shared" si="19"/>
        <v>2014年</v>
      </c>
    </row>
    <row r="1106" spans="1:5" x14ac:dyDescent="0.15">
      <c r="A1106" s="21">
        <v>41894</v>
      </c>
      <c r="B1106" s="22" t="s">
        <v>33</v>
      </c>
      <c r="C1106" s="22">
        <v>86.399999856948853</v>
      </c>
      <c r="D1106" s="22" t="s">
        <v>39</v>
      </c>
      <c r="E1106" t="str">
        <f t="shared" si="19"/>
        <v>2014年</v>
      </c>
    </row>
    <row r="1107" spans="1:5" x14ac:dyDescent="0.15">
      <c r="A1107" s="21">
        <v>41894</v>
      </c>
      <c r="B1107" s="22" t="s">
        <v>35</v>
      </c>
      <c r="C1107" s="22">
        <v>448.87499925680459</v>
      </c>
      <c r="D1107" s="22" t="s">
        <v>39</v>
      </c>
      <c r="E1107" t="str">
        <f t="shared" si="19"/>
        <v>2014年</v>
      </c>
    </row>
    <row r="1108" spans="1:5" x14ac:dyDescent="0.15">
      <c r="A1108" s="21">
        <v>41894</v>
      </c>
      <c r="B1108" s="22" t="s">
        <v>38</v>
      </c>
      <c r="C1108" s="22">
        <v>570</v>
      </c>
      <c r="D1108" s="22" t="s">
        <v>39</v>
      </c>
      <c r="E1108" t="str">
        <f t="shared" si="19"/>
        <v>2014年</v>
      </c>
    </row>
    <row r="1109" spans="1:5" x14ac:dyDescent="0.15">
      <c r="A1109" s="21">
        <v>41895</v>
      </c>
      <c r="B1109" s="22" t="s">
        <v>35</v>
      </c>
      <c r="C1109" s="22">
        <v>288</v>
      </c>
      <c r="D1109" s="22" t="s">
        <v>39</v>
      </c>
      <c r="E1109" t="str">
        <f t="shared" si="19"/>
        <v>2014年</v>
      </c>
    </row>
    <row r="1110" spans="1:5" x14ac:dyDescent="0.15">
      <c r="A1110" s="21">
        <v>41895</v>
      </c>
      <c r="B1110" s="22" t="s">
        <v>38</v>
      </c>
      <c r="C1110" s="22">
        <v>720</v>
      </c>
      <c r="D1110" s="22" t="s">
        <v>39</v>
      </c>
      <c r="E1110" t="str">
        <f t="shared" si="19"/>
        <v>2014年</v>
      </c>
    </row>
    <row r="1111" spans="1:5" x14ac:dyDescent="0.15">
      <c r="A1111" s="21">
        <v>41895</v>
      </c>
      <c r="B1111" s="22" t="s">
        <v>42</v>
      </c>
      <c r="C1111" s="22">
        <v>350</v>
      </c>
      <c r="D1111" s="22" t="s">
        <v>39</v>
      </c>
      <c r="E1111" t="str">
        <f t="shared" si="19"/>
        <v>2014年</v>
      </c>
    </row>
    <row r="1112" spans="1:5" x14ac:dyDescent="0.15">
      <c r="A1112" s="21">
        <v>41895</v>
      </c>
      <c r="B1112" s="22" t="s">
        <v>38</v>
      </c>
      <c r="C1112" s="22">
        <v>750</v>
      </c>
      <c r="D1112" s="22" t="s">
        <v>39</v>
      </c>
      <c r="E1112" t="str">
        <f t="shared" si="19"/>
        <v>2014年</v>
      </c>
    </row>
    <row r="1113" spans="1:5" x14ac:dyDescent="0.15">
      <c r="A1113" s="21">
        <v>41895</v>
      </c>
      <c r="B1113" s="22" t="s">
        <v>42</v>
      </c>
      <c r="C1113" s="22">
        <v>193.75</v>
      </c>
      <c r="D1113" s="22" t="s">
        <v>39</v>
      </c>
      <c r="E1113" t="str">
        <f t="shared" si="19"/>
        <v>2014年</v>
      </c>
    </row>
    <row r="1114" spans="1:5" x14ac:dyDescent="0.15">
      <c r="A1114" s="21">
        <v>41896</v>
      </c>
      <c r="B1114" s="22" t="s">
        <v>41</v>
      </c>
      <c r="C1114" s="22">
        <v>174.5</v>
      </c>
      <c r="D1114" s="22" t="s">
        <v>39</v>
      </c>
      <c r="E1114" t="str">
        <f t="shared" si="19"/>
        <v>2014年</v>
      </c>
    </row>
    <row r="1115" spans="1:5" x14ac:dyDescent="0.15">
      <c r="A1115" s="21">
        <v>41896</v>
      </c>
      <c r="B1115" s="22" t="s">
        <v>41</v>
      </c>
      <c r="C1115" s="22">
        <v>493</v>
      </c>
      <c r="D1115" s="22" t="s">
        <v>39</v>
      </c>
      <c r="E1115" t="str">
        <f t="shared" si="19"/>
        <v>2014年</v>
      </c>
    </row>
    <row r="1116" spans="1:5" x14ac:dyDescent="0.15">
      <c r="A1116" s="21">
        <v>41896</v>
      </c>
      <c r="B1116" s="22" t="s">
        <v>40</v>
      </c>
      <c r="C1116" s="22">
        <v>252.6</v>
      </c>
      <c r="D1116" s="22" t="s">
        <v>39</v>
      </c>
      <c r="E1116" t="str">
        <f t="shared" si="19"/>
        <v>2014年</v>
      </c>
    </row>
    <row r="1117" spans="1:5" x14ac:dyDescent="0.15">
      <c r="A1117" s="21">
        <v>41896</v>
      </c>
      <c r="B1117" s="22" t="s">
        <v>42</v>
      </c>
      <c r="C1117" s="22">
        <v>3557.249994110316</v>
      </c>
      <c r="D1117" s="22" t="s">
        <v>34</v>
      </c>
      <c r="E1117" t="str">
        <f t="shared" si="19"/>
        <v>2014年</v>
      </c>
    </row>
    <row r="1118" spans="1:5" x14ac:dyDescent="0.15">
      <c r="A1118" s="21">
        <v>41896</v>
      </c>
      <c r="B1118" s="22" t="s">
        <v>36</v>
      </c>
      <c r="C1118" s="22">
        <v>258</v>
      </c>
      <c r="D1118" s="22" t="s">
        <v>34</v>
      </c>
      <c r="E1118" t="str">
        <f t="shared" si="19"/>
        <v>2014年</v>
      </c>
    </row>
    <row r="1119" spans="1:5" x14ac:dyDescent="0.15">
      <c r="A1119" s="21">
        <v>41897</v>
      </c>
      <c r="B1119" s="22" t="s">
        <v>41</v>
      </c>
      <c r="C1119" s="22">
        <v>52.35</v>
      </c>
      <c r="D1119" s="22" t="s">
        <v>39</v>
      </c>
      <c r="E1119" t="str">
        <f t="shared" si="19"/>
        <v>2014年</v>
      </c>
    </row>
    <row r="1120" spans="1:5" x14ac:dyDescent="0.15">
      <c r="A1120" s="21">
        <v>41897</v>
      </c>
      <c r="B1120" s="22" t="s">
        <v>35</v>
      </c>
      <c r="C1120" s="22">
        <v>84</v>
      </c>
      <c r="D1120" s="22" t="s">
        <v>39</v>
      </c>
      <c r="E1120" t="str">
        <f t="shared" si="19"/>
        <v>2014年</v>
      </c>
    </row>
    <row r="1121" spans="1:5" x14ac:dyDescent="0.15">
      <c r="A1121" s="21">
        <v>41897</v>
      </c>
      <c r="B1121" s="22" t="s">
        <v>42</v>
      </c>
      <c r="C1121" s="22">
        <v>276</v>
      </c>
      <c r="D1121" s="22" t="s">
        <v>39</v>
      </c>
      <c r="E1121" t="str">
        <f t="shared" si="19"/>
        <v>2014年</v>
      </c>
    </row>
    <row r="1122" spans="1:5" x14ac:dyDescent="0.15">
      <c r="A1122" s="21">
        <v>41897</v>
      </c>
      <c r="B1122" s="22" t="s">
        <v>35</v>
      </c>
      <c r="C1122" s="22">
        <v>45</v>
      </c>
      <c r="D1122" s="22" t="s">
        <v>39</v>
      </c>
      <c r="E1122" t="str">
        <f t="shared" si="19"/>
        <v>2014年</v>
      </c>
    </row>
    <row r="1123" spans="1:5" x14ac:dyDescent="0.15">
      <c r="A1123" s="21">
        <v>41898</v>
      </c>
      <c r="B1123" s="22" t="s">
        <v>37</v>
      </c>
      <c r="C1123" s="22">
        <v>697.5</v>
      </c>
      <c r="D1123" s="22" t="s">
        <v>34</v>
      </c>
      <c r="E1123" t="str">
        <f t="shared" si="19"/>
        <v>2014年</v>
      </c>
    </row>
    <row r="1124" spans="1:5" x14ac:dyDescent="0.15">
      <c r="A1124" s="21">
        <v>41898</v>
      </c>
      <c r="B1124" s="22" t="s">
        <v>33</v>
      </c>
      <c r="C1124" s="22">
        <v>328</v>
      </c>
      <c r="D1124" s="22" t="s">
        <v>34</v>
      </c>
      <c r="E1124" t="str">
        <f t="shared" si="19"/>
        <v>2014年</v>
      </c>
    </row>
    <row r="1125" spans="1:5" x14ac:dyDescent="0.15">
      <c r="A1125" s="21">
        <v>41898</v>
      </c>
      <c r="B1125" s="22" t="s">
        <v>38</v>
      </c>
      <c r="C1125" s="22">
        <v>397.5</v>
      </c>
      <c r="D1125" s="22" t="s">
        <v>34</v>
      </c>
      <c r="E1125" t="str">
        <f t="shared" si="19"/>
        <v>2014年</v>
      </c>
    </row>
    <row r="1126" spans="1:5" x14ac:dyDescent="0.15">
      <c r="A1126" s="21">
        <v>41901</v>
      </c>
      <c r="B1126" s="22" t="s">
        <v>38</v>
      </c>
      <c r="C1126" s="22">
        <v>62</v>
      </c>
      <c r="D1126" s="22" t="s">
        <v>39</v>
      </c>
      <c r="E1126" t="str">
        <f t="shared" si="19"/>
        <v>2014年</v>
      </c>
    </row>
    <row r="1127" spans="1:5" x14ac:dyDescent="0.15">
      <c r="A1127" s="21">
        <v>41901</v>
      </c>
      <c r="B1127" s="22" t="s">
        <v>41</v>
      </c>
      <c r="C1127" s="22">
        <v>64.400000000000006</v>
      </c>
      <c r="D1127" s="22" t="s">
        <v>39</v>
      </c>
      <c r="E1127" t="str">
        <f t="shared" si="19"/>
        <v>2014年</v>
      </c>
    </row>
    <row r="1128" spans="1:5" x14ac:dyDescent="0.15">
      <c r="A1128" s="21">
        <v>41901</v>
      </c>
      <c r="B1128" s="22" t="s">
        <v>40</v>
      </c>
      <c r="C1128" s="22">
        <v>408.45</v>
      </c>
      <c r="D1128" s="22" t="s">
        <v>39</v>
      </c>
      <c r="E1128" t="str">
        <f t="shared" si="19"/>
        <v>2014年</v>
      </c>
    </row>
    <row r="1129" spans="1:5" x14ac:dyDescent="0.15">
      <c r="A1129" s="21">
        <v>41901</v>
      </c>
      <c r="B1129" s="22" t="s">
        <v>41</v>
      </c>
      <c r="C1129" s="22">
        <v>796.36499441564081</v>
      </c>
      <c r="D1129" s="22" t="s">
        <v>39</v>
      </c>
      <c r="E1129" t="str">
        <f t="shared" si="19"/>
        <v>2014年</v>
      </c>
    </row>
    <row r="1130" spans="1:5" x14ac:dyDescent="0.15">
      <c r="A1130" s="21">
        <v>41901</v>
      </c>
      <c r="B1130" s="22" t="s">
        <v>36</v>
      </c>
      <c r="C1130" s="22">
        <v>16.99999988079071</v>
      </c>
      <c r="D1130" s="22" t="s">
        <v>39</v>
      </c>
      <c r="E1130" t="str">
        <f t="shared" si="19"/>
        <v>2014年</v>
      </c>
    </row>
    <row r="1131" spans="1:5" x14ac:dyDescent="0.15">
      <c r="A1131" s="21">
        <v>41902</v>
      </c>
      <c r="B1131" s="22" t="s">
        <v>36</v>
      </c>
      <c r="C1131" s="22">
        <v>3800</v>
      </c>
      <c r="D1131" s="22" t="s">
        <v>34</v>
      </c>
      <c r="E1131" t="str">
        <f t="shared" si="19"/>
        <v>2014年</v>
      </c>
    </row>
    <row r="1132" spans="1:5" x14ac:dyDescent="0.15">
      <c r="A1132" s="21">
        <v>41902</v>
      </c>
      <c r="B1132" s="22" t="s">
        <v>36</v>
      </c>
      <c r="C1132" s="22">
        <v>75</v>
      </c>
      <c r="D1132" s="22" t="s">
        <v>34</v>
      </c>
      <c r="E1132" t="str">
        <f t="shared" si="19"/>
        <v>2014年</v>
      </c>
    </row>
    <row r="1133" spans="1:5" x14ac:dyDescent="0.15">
      <c r="A1133" s="21">
        <v>41902</v>
      </c>
      <c r="B1133" s="22" t="s">
        <v>38</v>
      </c>
      <c r="C1133" s="22">
        <v>1158</v>
      </c>
      <c r="D1133" s="22" t="s">
        <v>34</v>
      </c>
      <c r="E1133" t="str">
        <f t="shared" si="19"/>
        <v>2014年</v>
      </c>
    </row>
    <row r="1134" spans="1:5" x14ac:dyDescent="0.15">
      <c r="A1134" s="21">
        <v>41902</v>
      </c>
      <c r="B1134" s="22" t="s">
        <v>33</v>
      </c>
      <c r="C1134" s="22">
        <v>223.5</v>
      </c>
      <c r="D1134" s="22" t="s">
        <v>34</v>
      </c>
      <c r="E1134" t="str">
        <f t="shared" si="19"/>
        <v>2014年</v>
      </c>
    </row>
    <row r="1135" spans="1:5" x14ac:dyDescent="0.15">
      <c r="A1135" s="21">
        <v>41902</v>
      </c>
      <c r="B1135" s="22" t="s">
        <v>36</v>
      </c>
      <c r="C1135" s="22">
        <v>660</v>
      </c>
      <c r="D1135" s="22" t="s">
        <v>39</v>
      </c>
      <c r="E1135" t="str">
        <f t="shared" si="19"/>
        <v>2014年</v>
      </c>
    </row>
    <row r="1136" spans="1:5" x14ac:dyDescent="0.15">
      <c r="A1136" s="21">
        <v>41903</v>
      </c>
      <c r="B1136" s="22" t="s">
        <v>41</v>
      </c>
      <c r="C1136" s="22">
        <v>654.375</v>
      </c>
      <c r="D1136" s="22" t="s">
        <v>39</v>
      </c>
      <c r="E1136" t="str">
        <f t="shared" si="19"/>
        <v>2014年</v>
      </c>
    </row>
    <row r="1137" spans="1:5" x14ac:dyDescent="0.15">
      <c r="A1137" s="21">
        <v>41903</v>
      </c>
      <c r="B1137" s="22" t="s">
        <v>36</v>
      </c>
      <c r="C1137" s="22">
        <v>187.5</v>
      </c>
      <c r="D1137" s="22" t="s">
        <v>39</v>
      </c>
      <c r="E1137" t="str">
        <f t="shared" si="19"/>
        <v>2014年</v>
      </c>
    </row>
    <row r="1138" spans="1:5" x14ac:dyDescent="0.15">
      <c r="A1138" s="21">
        <v>41903</v>
      </c>
      <c r="B1138" s="22" t="s">
        <v>35</v>
      </c>
      <c r="C1138" s="22">
        <v>420</v>
      </c>
      <c r="D1138" s="22" t="s">
        <v>39</v>
      </c>
      <c r="E1138" t="str">
        <f t="shared" si="19"/>
        <v>2014年</v>
      </c>
    </row>
    <row r="1139" spans="1:5" x14ac:dyDescent="0.15">
      <c r="A1139" s="21">
        <v>41904</v>
      </c>
      <c r="B1139" s="22" t="s">
        <v>41</v>
      </c>
      <c r="C1139" s="22">
        <v>248.39999958872795</v>
      </c>
      <c r="D1139" s="22" t="s">
        <v>39</v>
      </c>
      <c r="E1139" t="str">
        <f t="shared" si="19"/>
        <v>2014年</v>
      </c>
    </row>
    <row r="1140" spans="1:5" x14ac:dyDescent="0.15">
      <c r="A1140" s="21">
        <v>41904</v>
      </c>
      <c r="B1140" s="22" t="s">
        <v>41</v>
      </c>
      <c r="C1140" s="22">
        <v>107.99999982118607</v>
      </c>
      <c r="D1140" s="22" t="s">
        <v>39</v>
      </c>
      <c r="E1140" t="str">
        <f t="shared" si="19"/>
        <v>2014年</v>
      </c>
    </row>
    <row r="1141" spans="1:5" x14ac:dyDescent="0.15">
      <c r="A1141" s="21">
        <v>41904</v>
      </c>
      <c r="B1141" s="22" t="s">
        <v>35</v>
      </c>
      <c r="C1141" s="22">
        <v>931</v>
      </c>
      <c r="D1141" s="22" t="s">
        <v>39</v>
      </c>
      <c r="E1141" t="str">
        <f t="shared" si="19"/>
        <v>2014年</v>
      </c>
    </row>
    <row r="1142" spans="1:5" x14ac:dyDescent="0.15">
      <c r="A1142" s="21">
        <v>41904</v>
      </c>
      <c r="B1142" s="22" t="s">
        <v>36</v>
      </c>
      <c r="C1142" s="22">
        <v>75</v>
      </c>
      <c r="D1142" s="22" t="s">
        <v>39</v>
      </c>
      <c r="E1142" t="str">
        <f t="shared" si="19"/>
        <v>2014年</v>
      </c>
    </row>
    <row r="1143" spans="1:5" x14ac:dyDescent="0.15">
      <c r="A1143" s="21">
        <v>41904</v>
      </c>
      <c r="B1143" s="22" t="s">
        <v>40</v>
      </c>
      <c r="C1143" s="22">
        <v>68</v>
      </c>
      <c r="D1143" s="22" t="s">
        <v>39</v>
      </c>
      <c r="E1143" t="str">
        <f t="shared" si="19"/>
        <v>2014年</v>
      </c>
    </row>
    <row r="1144" spans="1:5" x14ac:dyDescent="0.15">
      <c r="A1144" s="21">
        <v>41904</v>
      </c>
      <c r="B1144" s="22" t="s">
        <v>42</v>
      </c>
      <c r="C1144" s="22">
        <v>232.5</v>
      </c>
      <c r="D1144" s="22" t="s">
        <v>39</v>
      </c>
      <c r="E1144" t="str">
        <f t="shared" si="19"/>
        <v>2014年</v>
      </c>
    </row>
    <row r="1145" spans="1:5" x14ac:dyDescent="0.15">
      <c r="A1145" s="21">
        <v>41905</v>
      </c>
      <c r="B1145" s="22" t="s">
        <v>35</v>
      </c>
      <c r="C1145" s="22">
        <v>63</v>
      </c>
      <c r="D1145" s="22" t="s">
        <v>39</v>
      </c>
      <c r="E1145" t="str">
        <f t="shared" si="19"/>
        <v>2014年</v>
      </c>
    </row>
    <row r="1146" spans="1:5" x14ac:dyDescent="0.15">
      <c r="A1146" s="21">
        <v>41905</v>
      </c>
      <c r="B1146" s="22" t="s">
        <v>38</v>
      </c>
      <c r="C1146" s="22">
        <v>368</v>
      </c>
      <c r="D1146" s="22" t="s">
        <v>39</v>
      </c>
      <c r="E1146" t="str">
        <f t="shared" si="19"/>
        <v>2014年</v>
      </c>
    </row>
    <row r="1147" spans="1:5" x14ac:dyDescent="0.15">
      <c r="A1147" s="21">
        <v>41905</v>
      </c>
      <c r="B1147" s="22" t="s">
        <v>41</v>
      </c>
      <c r="C1147" s="22">
        <v>380</v>
      </c>
      <c r="D1147" s="22" t="s">
        <v>39</v>
      </c>
      <c r="E1147" t="str">
        <f t="shared" si="19"/>
        <v>2014年</v>
      </c>
    </row>
    <row r="1148" spans="1:5" x14ac:dyDescent="0.15">
      <c r="A1148" s="21">
        <v>41905</v>
      </c>
      <c r="B1148" s="22" t="s">
        <v>36</v>
      </c>
      <c r="C1148" s="22">
        <v>1020</v>
      </c>
      <c r="D1148" s="22" t="s">
        <v>39</v>
      </c>
      <c r="E1148" t="str">
        <f t="shared" si="19"/>
        <v>2014年</v>
      </c>
    </row>
    <row r="1149" spans="1:5" x14ac:dyDescent="0.15">
      <c r="A1149" s="21">
        <v>41908</v>
      </c>
      <c r="B1149" s="22" t="s">
        <v>38</v>
      </c>
      <c r="C1149" s="22">
        <v>620</v>
      </c>
      <c r="D1149" s="22" t="s">
        <v>39</v>
      </c>
      <c r="E1149" t="str">
        <f t="shared" si="19"/>
        <v>2014年</v>
      </c>
    </row>
    <row r="1150" spans="1:5" x14ac:dyDescent="0.15">
      <c r="A1150" s="21">
        <v>41908</v>
      </c>
      <c r="B1150" s="22" t="s">
        <v>38</v>
      </c>
      <c r="C1150" s="22">
        <v>38.6</v>
      </c>
      <c r="D1150" s="22" t="s">
        <v>39</v>
      </c>
      <c r="E1150" t="str">
        <f t="shared" si="19"/>
        <v>2014年</v>
      </c>
    </row>
    <row r="1151" spans="1:5" x14ac:dyDescent="0.15">
      <c r="A1151" s="21">
        <v>41908</v>
      </c>
      <c r="B1151" s="22" t="s">
        <v>41</v>
      </c>
      <c r="C1151" s="22">
        <v>142.5</v>
      </c>
      <c r="D1151" s="22" t="s">
        <v>39</v>
      </c>
      <c r="E1151" t="str">
        <f t="shared" si="19"/>
        <v>2014年</v>
      </c>
    </row>
    <row r="1152" spans="1:5" x14ac:dyDescent="0.15">
      <c r="A1152" s="21">
        <v>41909</v>
      </c>
      <c r="B1152" s="22" t="s">
        <v>33</v>
      </c>
      <c r="C1152" s="22">
        <v>935.99999651312828</v>
      </c>
      <c r="D1152" s="22" t="s">
        <v>39</v>
      </c>
      <c r="E1152" t="str">
        <f t="shared" si="19"/>
        <v>2014年</v>
      </c>
    </row>
    <row r="1153" spans="1:5" x14ac:dyDescent="0.15">
      <c r="A1153" s="21">
        <v>41909</v>
      </c>
      <c r="B1153" s="22" t="s">
        <v>41</v>
      </c>
      <c r="C1153" s="22">
        <v>468.45</v>
      </c>
      <c r="D1153" s="22" t="s">
        <v>39</v>
      </c>
      <c r="E1153" t="str">
        <f t="shared" si="19"/>
        <v>2014年</v>
      </c>
    </row>
    <row r="1154" spans="1:5" x14ac:dyDescent="0.15">
      <c r="A1154" s="21">
        <v>41909</v>
      </c>
      <c r="B1154" s="22" t="s">
        <v>33</v>
      </c>
      <c r="C1154" s="22">
        <v>3637.5</v>
      </c>
      <c r="D1154" s="22" t="s">
        <v>34</v>
      </c>
      <c r="E1154" t="str">
        <f t="shared" ref="E1154:E1217" si="20">YEAR(A1154)&amp;"年"</f>
        <v>2014年</v>
      </c>
    </row>
    <row r="1155" spans="1:5" x14ac:dyDescent="0.15">
      <c r="A1155" s="21">
        <v>41909</v>
      </c>
      <c r="B1155" s="22" t="s">
        <v>33</v>
      </c>
      <c r="C1155" s="22">
        <v>1237.9000000000001</v>
      </c>
      <c r="D1155" s="22" t="s">
        <v>34</v>
      </c>
      <c r="E1155" t="str">
        <f t="shared" si="20"/>
        <v>2014年</v>
      </c>
    </row>
    <row r="1156" spans="1:5" x14ac:dyDescent="0.15">
      <c r="A1156" s="21">
        <v>41909</v>
      </c>
      <c r="B1156" s="22" t="s">
        <v>38</v>
      </c>
      <c r="C1156" s="22">
        <v>85.5</v>
      </c>
      <c r="D1156" s="22" t="s">
        <v>34</v>
      </c>
      <c r="E1156" t="str">
        <f t="shared" si="20"/>
        <v>2014年</v>
      </c>
    </row>
    <row r="1157" spans="1:5" x14ac:dyDescent="0.15">
      <c r="A1157" s="21">
        <v>41910</v>
      </c>
      <c r="B1157" s="22" t="s">
        <v>38</v>
      </c>
      <c r="C1157" s="22">
        <v>502.19999916851521</v>
      </c>
      <c r="D1157" s="22" t="s">
        <v>39</v>
      </c>
      <c r="E1157" t="str">
        <f t="shared" si="20"/>
        <v>2014年</v>
      </c>
    </row>
    <row r="1158" spans="1:5" x14ac:dyDescent="0.15">
      <c r="A1158" s="21">
        <v>41910</v>
      </c>
      <c r="B1158" s="22" t="s">
        <v>37</v>
      </c>
      <c r="C1158" s="22">
        <v>2462.3999959230423</v>
      </c>
      <c r="D1158" s="22" t="s">
        <v>39</v>
      </c>
      <c r="E1158" t="str">
        <f t="shared" si="20"/>
        <v>2014年</v>
      </c>
    </row>
    <row r="1159" spans="1:5" x14ac:dyDescent="0.15">
      <c r="A1159" s="21">
        <v>41910</v>
      </c>
      <c r="B1159" s="22" t="s">
        <v>42</v>
      </c>
      <c r="C1159" s="22">
        <v>196</v>
      </c>
      <c r="D1159" s="22" t="s">
        <v>39</v>
      </c>
      <c r="E1159" t="str">
        <f t="shared" si="20"/>
        <v>2014年</v>
      </c>
    </row>
    <row r="1160" spans="1:5" x14ac:dyDescent="0.15">
      <c r="A1160" s="21">
        <v>41910</v>
      </c>
      <c r="B1160" s="22" t="s">
        <v>42</v>
      </c>
      <c r="C1160" s="22">
        <v>472.5</v>
      </c>
      <c r="D1160" s="22" t="s">
        <v>39</v>
      </c>
      <c r="E1160" t="str">
        <f t="shared" si="20"/>
        <v>2014年</v>
      </c>
    </row>
    <row r="1161" spans="1:5" x14ac:dyDescent="0.15">
      <c r="A1161" s="21">
        <v>41911</v>
      </c>
      <c r="B1161" s="22" t="s">
        <v>35</v>
      </c>
      <c r="C1161" s="22">
        <v>570</v>
      </c>
      <c r="D1161" s="22" t="s">
        <v>39</v>
      </c>
      <c r="E1161" t="str">
        <f t="shared" si="20"/>
        <v>2014年</v>
      </c>
    </row>
    <row r="1162" spans="1:5" x14ac:dyDescent="0.15">
      <c r="A1162" s="21">
        <v>41911</v>
      </c>
      <c r="B1162" s="22" t="s">
        <v>40</v>
      </c>
      <c r="C1162" s="22">
        <v>292.5</v>
      </c>
      <c r="D1162" s="22" t="s">
        <v>39</v>
      </c>
      <c r="E1162" t="str">
        <f t="shared" si="20"/>
        <v>2014年</v>
      </c>
    </row>
    <row r="1163" spans="1:5" x14ac:dyDescent="0.15">
      <c r="A1163" s="21">
        <v>41912</v>
      </c>
      <c r="B1163" s="22" t="s">
        <v>42</v>
      </c>
      <c r="C1163" s="22">
        <v>540</v>
      </c>
      <c r="D1163" s="22" t="s">
        <v>39</v>
      </c>
      <c r="E1163" t="str">
        <f t="shared" si="20"/>
        <v>2014年</v>
      </c>
    </row>
    <row r="1164" spans="1:5" x14ac:dyDescent="0.15">
      <c r="A1164" s="21">
        <v>41912</v>
      </c>
      <c r="B1164" s="22" t="s">
        <v>33</v>
      </c>
      <c r="C1164" s="22">
        <v>4951.6000000000004</v>
      </c>
      <c r="D1164" s="22" t="s">
        <v>39</v>
      </c>
      <c r="E1164" t="str">
        <f t="shared" si="20"/>
        <v>2014年</v>
      </c>
    </row>
    <row r="1165" spans="1:5" x14ac:dyDescent="0.15">
      <c r="A1165" s="21">
        <v>41912</v>
      </c>
      <c r="B1165" s="22" t="s">
        <v>42</v>
      </c>
      <c r="C1165" s="22">
        <v>1840</v>
      </c>
      <c r="D1165" s="22" t="s">
        <v>39</v>
      </c>
      <c r="E1165" t="str">
        <f t="shared" si="20"/>
        <v>2014年</v>
      </c>
    </row>
    <row r="1166" spans="1:5" x14ac:dyDescent="0.15">
      <c r="A1166" s="21">
        <v>41912</v>
      </c>
      <c r="B1166" s="22" t="s">
        <v>40</v>
      </c>
      <c r="C1166" s="22">
        <v>466.8</v>
      </c>
      <c r="D1166" s="22" t="s">
        <v>39</v>
      </c>
      <c r="E1166" t="str">
        <f t="shared" si="20"/>
        <v>2014年</v>
      </c>
    </row>
    <row r="1167" spans="1:5" x14ac:dyDescent="0.15">
      <c r="A1167" s="21">
        <v>41912</v>
      </c>
      <c r="B1167" s="22" t="s">
        <v>41</v>
      </c>
      <c r="C1167" s="22">
        <v>2366.4</v>
      </c>
      <c r="D1167" s="22" t="s">
        <v>39</v>
      </c>
      <c r="E1167" t="str">
        <f t="shared" si="20"/>
        <v>2014年</v>
      </c>
    </row>
    <row r="1168" spans="1:5" x14ac:dyDescent="0.15">
      <c r="A1168" s="21">
        <v>41912</v>
      </c>
      <c r="B1168" s="22" t="s">
        <v>41</v>
      </c>
      <c r="C1168" s="22">
        <v>878</v>
      </c>
      <c r="D1168" s="22" t="s">
        <v>34</v>
      </c>
      <c r="E1168" t="str">
        <f t="shared" si="20"/>
        <v>2014年</v>
      </c>
    </row>
    <row r="1169" spans="1:5" x14ac:dyDescent="0.15">
      <c r="A1169" s="21">
        <v>41915</v>
      </c>
      <c r="B1169" s="22" t="s">
        <v>33</v>
      </c>
      <c r="C1169" s="22">
        <v>582</v>
      </c>
      <c r="D1169" s="22" t="s">
        <v>39</v>
      </c>
      <c r="E1169" t="str">
        <f t="shared" si="20"/>
        <v>2014年</v>
      </c>
    </row>
    <row r="1170" spans="1:5" x14ac:dyDescent="0.15">
      <c r="A1170" s="21">
        <v>41915</v>
      </c>
      <c r="B1170" s="22" t="s">
        <v>33</v>
      </c>
      <c r="C1170" s="22">
        <v>379.94999733567238</v>
      </c>
      <c r="D1170" s="22" t="s">
        <v>39</v>
      </c>
      <c r="E1170" t="str">
        <f t="shared" si="20"/>
        <v>2014年</v>
      </c>
    </row>
    <row r="1171" spans="1:5" x14ac:dyDescent="0.15">
      <c r="A1171" s="21">
        <v>41915</v>
      </c>
      <c r="B1171" s="22" t="s">
        <v>36</v>
      </c>
      <c r="C1171" s="22">
        <v>917.99999356269836</v>
      </c>
      <c r="D1171" s="22" t="s">
        <v>39</v>
      </c>
      <c r="E1171" t="str">
        <f t="shared" si="20"/>
        <v>2014年</v>
      </c>
    </row>
    <row r="1172" spans="1:5" x14ac:dyDescent="0.15">
      <c r="A1172" s="21">
        <v>41915</v>
      </c>
      <c r="B1172" s="22" t="s">
        <v>38</v>
      </c>
      <c r="C1172" s="22">
        <v>191.24999865889549</v>
      </c>
      <c r="D1172" s="22" t="s">
        <v>39</v>
      </c>
      <c r="E1172" t="str">
        <f t="shared" si="20"/>
        <v>2014年</v>
      </c>
    </row>
    <row r="1173" spans="1:5" x14ac:dyDescent="0.15">
      <c r="A1173" s="21">
        <v>41915</v>
      </c>
      <c r="B1173" s="22" t="s">
        <v>37</v>
      </c>
      <c r="C1173" s="22">
        <v>2700</v>
      </c>
      <c r="D1173" s="22" t="s">
        <v>39</v>
      </c>
      <c r="E1173" t="str">
        <f t="shared" si="20"/>
        <v>2014年</v>
      </c>
    </row>
    <row r="1174" spans="1:5" x14ac:dyDescent="0.15">
      <c r="A1174" s="21">
        <v>41915</v>
      </c>
      <c r="B1174" s="22" t="s">
        <v>36</v>
      </c>
      <c r="C1174" s="22">
        <v>1375</v>
      </c>
      <c r="D1174" s="22" t="s">
        <v>39</v>
      </c>
      <c r="E1174" t="str">
        <f t="shared" si="20"/>
        <v>2014年</v>
      </c>
    </row>
    <row r="1175" spans="1:5" x14ac:dyDescent="0.15">
      <c r="A1175" s="21">
        <v>41915</v>
      </c>
      <c r="B1175" s="22" t="s">
        <v>42</v>
      </c>
      <c r="C1175" s="22">
        <v>750</v>
      </c>
      <c r="D1175" s="22" t="s">
        <v>39</v>
      </c>
      <c r="E1175" t="str">
        <f t="shared" si="20"/>
        <v>2014年</v>
      </c>
    </row>
    <row r="1176" spans="1:5" x14ac:dyDescent="0.15">
      <c r="A1176" s="21">
        <v>41916</v>
      </c>
      <c r="B1176" s="22" t="s">
        <v>40</v>
      </c>
      <c r="C1176" s="22">
        <v>400</v>
      </c>
      <c r="D1176" s="22" t="s">
        <v>34</v>
      </c>
      <c r="E1176" t="str">
        <f t="shared" si="20"/>
        <v>2014年</v>
      </c>
    </row>
    <row r="1177" spans="1:5" x14ac:dyDescent="0.15">
      <c r="A1177" s="21">
        <v>41916</v>
      </c>
      <c r="B1177" s="22" t="s">
        <v>36</v>
      </c>
      <c r="C1177" s="22">
        <v>152</v>
      </c>
      <c r="D1177" s="22" t="s">
        <v>34</v>
      </c>
      <c r="E1177" t="str">
        <f t="shared" si="20"/>
        <v>2014年</v>
      </c>
    </row>
    <row r="1178" spans="1:5" x14ac:dyDescent="0.15">
      <c r="A1178" s="21">
        <v>41916</v>
      </c>
      <c r="B1178" s="22" t="s">
        <v>42</v>
      </c>
      <c r="C1178" s="22">
        <v>90</v>
      </c>
      <c r="D1178" s="22" t="s">
        <v>34</v>
      </c>
      <c r="E1178" t="str">
        <f t="shared" si="20"/>
        <v>2014年</v>
      </c>
    </row>
    <row r="1179" spans="1:5" x14ac:dyDescent="0.15">
      <c r="A1179" s="21">
        <v>41917</v>
      </c>
      <c r="B1179" s="22" t="s">
        <v>33</v>
      </c>
      <c r="C1179" s="22">
        <v>780</v>
      </c>
      <c r="D1179" s="22" t="s">
        <v>39</v>
      </c>
      <c r="E1179" t="str">
        <f t="shared" si="20"/>
        <v>2014年</v>
      </c>
    </row>
    <row r="1180" spans="1:5" x14ac:dyDescent="0.15">
      <c r="A1180" s="21">
        <v>41917</v>
      </c>
      <c r="B1180" s="22" t="s">
        <v>38</v>
      </c>
      <c r="C1180" s="22">
        <v>216</v>
      </c>
      <c r="D1180" s="22" t="s">
        <v>39</v>
      </c>
      <c r="E1180" t="str">
        <f t="shared" si="20"/>
        <v>2014年</v>
      </c>
    </row>
    <row r="1181" spans="1:5" x14ac:dyDescent="0.15">
      <c r="A1181" s="21">
        <v>41917</v>
      </c>
      <c r="B1181" s="22" t="s">
        <v>41</v>
      </c>
      <c r="C1181" s="22">
        <v>48.3</v>
      </c>
      <c r="D1181" s="22" t="s">
        <v>39</v>
      </c>
      <c r="E1181" t="str">
        <f t="shared" si="20"/>
        <v>2014年</v>
      </c>
    </row>
    <row r="1182" spans="1:5" x14ac:dyDescent="0.15">
      <c r="A1182" s="21">
        <v>41917</v>
      </c>
      <c r="B1182" s="22" t="s">
        <v>42</v>
      </c>
      <c r="C1182" s="22">
        <v>121.5</v>
      </c>
      <c r="D1182" s="22" t="s">
        <v>39</v>
      </c>
      <c r="E1182" t="str">
        <f t="shared" si="20"/>
        <v>2014年</v>
      </c>
    </row>
    <row r="1183" spans="1:5" x14ac:dyDescent="0.15">
      <c r="A1183" s="21">
        <v>41917</v>
      </c>
      <c r="B1183" s="22" t="s">
        <v>38</v>
      </c>
      <c r="C1183" s="22">
        <v>298.125</v>
      </c>
      <c r="D1183" s="22" t="s">
        <v>39</v>
      </c>
      <c r="E1183" t="str">
        <f t="shared" si="20"/>
        <v>2014年</v>
      </c>
    </row>
    <row r="1184" spans="1:5" x14ac:dyDescent="0.15">
      <c r="A1184" s="21">
        <v>41917</v>
      </c>
      <c r="B1184" s="22" t="s">
        <v>42</v>
      </c>
      <c r="C1184" s="22">
        <v>337.5</v>
      </c>
      <c r="D1184" s="22" t="s">
        <v>39</v>
      </c>
      <c r="E1184" t="str">
        <f t="shared" si="20"/>
        <v>2014年</v>
      </c>
    </row>
    <row r="1185" spans="1:5" x14ac:dyDescent="0.15">
      <c r="A1185" s="21">
        <v>41918</v>
      </c>
      <c r="B1185" s="22" t="s">
        <v>36</v>
      </c>
      <c r="C1185" s="22">
        <v>315</v>
      </c>
      <c r="D1185" s="22" t="s">
        <v>39</v>
      </c>
      <c r="E1185" t="str">
        <f t="shared" si="20"/>
        <v>2014年</v>
      </c>
    </row>
    <row r="1186" spans="1:5" x14ac:dyDescent="0.15">
      <c r="A1186" s="21">
        <v>41918</v>
      </c>
      <c r="B1186" s="22" t="s">
        <v>33</v>
      </c>
      <c r="C1186" s="22">
        <v>296.39999976754189</v>
      </c>
      <c r="D1186" s="22" t="s">
        <v>39</v>
      </c>
      <c r="E1186" t="str">
        <f t="shared" si="20"/>
        <v>2014年</v>
      </c>
    </row>
    <row r="1187" spans="1:5" x14ac:dyDescent="0.15">
      <c r="A1187" s="21">
        <v>41918</v>
      </c>
      <c r="B1187" s="22" t="s">
        <v>33</v>
      </c>
      <c r="C1187" s="22">
        <v>1411.2059988932313</v>
      </c>
      <c r="D1187" s="22" t="s">
        <v>39</v>
      </c>
      <c r="E1187" t="str">
        <f t="shared" si="20"/>
        <v>2014年</v>
      </c>
    </row>
    <row r="1188" spans="1:5" x14ac:dyDescent="0.15">
      <c r="A1188" s="21">
        <v>41918</v>
      </c>
      <c r="B1188" s="22" t="s">
        <v>40</v>
      </c>
      <c r="C1188" s="22">
        <v>1299.8374989805743</v>
      </c>
      <c r="D1188" s="22" t="s">
        <v>39</v>
      </c>
      <c r="E1188" t="str">
        <f t="shared" si="20"/>
        <v>2014年</v>
      </c>
    </row>
    <row r="1189" spans="1:5" x14ac:dyDescent="0.15">
      <c r="A1189" s="21">
        <v>41918</v>
      </c>
      <c r="B1189" s="22" t="s">
        <v>42</v>
      </c>
      <c r="C1189" s="22">
        <v>113.99999991059303</v>
      </c>
      <c r="D1189" s="22" t="s">
        <v>39</v>
      </c>
      <c r="E1189" t="str">
        <f t="shared" si="20"/>
        <v>2014年</v>
      </c>
    </row>
    <row r="1190" spans="1:5" x14ac:dyDescent="0.15">
      <c r="A1190" s="21">
        <v>41918</v>
      </c>
      <c r="B1190" s="22" t="s">
        <v>41</v>
      </c>
      <c r="C1190" s="22">
        <v>114</v>
      </c>
      <c r="D1190" s="22" t="s">
        <v>39</v>
      </c>
      <c r="E1190" t="str">
        <f t="shared" si="20"/>
        <v>2014年</v>
      </c>
    </row>
    <row r="1191" spans="1:5" x14ac:dyDescent="0.15">
      <c r="A1191" s="21">
        <v>41919</v>
      </c>
      <c r="B1191" s="22" t="s">
        <v>42</v>
      </c>
      <c r="C1191" s="22">
        <v>71.999999731779099</v>
      </c>
      <c r="D1191" s="22" t="s">
        <v>39</v>
      </c>
      <c r="E1191" t="str">
        <f t="shared" si="20"/>
        <v>2014年</v>
      </c>
    </row>
    <row r="1192" spans="1:5" x14ac:dyDescent="0.15">
      <c r="A1192" s="21">
        <v>41919</v>
      </c>
      <c r="B1192" s="22" t="s">
        <v>42</v>
      </c>
      <c r="C1192" s="22">
        <v>134.39999949932098</v>
      </c>
      <c r="D1192" s="22" t="s">
        <v>39</v>
      </c>
      <c r="E1192" t="str">
        <f t="shared" si="20"/>
        <v>2014年</v>
      </c>
    </row>
    <row r="1193" spans="1:5" x14ac:dyDescent="0.15">
      <c r="A1193" s="21">
        <v>41919</v>
      </c>
      <c r="B1193" s="22" t="s">
        <v>41</v>
      </c>
      <c r="C1193" s="22">
        <v>399.99999850988388</v>
      </c>
      <c r="D1193" s="22" t="s">
        <v>39</v>
      </c>
      <c r="E1193" t="str">
        <f t="shared" si="20"/>
        <v>2014年</v>
      </c>
    </row>
    <row r="1194" spans="1:5" x14ac:dyDescent="0.15">
      <c r="A1194" s="21">
        <v>41919</v>
      </c>
      <c r="B1194" s="22" t="s">
        <v>36</v>
      </c>
      <c r="C1194" s="22">
        <v>1031.9999961555004</v>
      </c>
      <c r="D1194" s="22" t="s">
        <v>39</v>
      </c>
      <c r="E1194" t="str">
        <f t="shared" si="20"/>
        <v>2014年</v>
      </c>
    </row>
    <row r="1195" spans="1:5" x14ac:dyDescent="0.15">
      <c r="A1195" s="21">
        <v>41922</v>
      </c>
      <c r="B1195" s="22" t="s">
        <v>36</v>
      </c>
      <c r="C1195" s="22">
        <v>1963.4999862313271</v>
      </c>
      <c r="D1195" s="22" t="s">
        <v>34</v>
      </c>
      <c r="E1195" t="str">
        <f t="shared" si="20"/>
        <v>2014年</v>
      </c>
    </row>
    <row r="1196" spans="1:5" x14ac:dyDescent="0.15">
      <c r="A1196" s="21">
        <v>41922</v>
      </c>
      <c r="B1196" s="22" t="s">
        <v>36</v>
      </c>
      <c r="C1196" s="22">
        <v>365.49999743700027</v>
      </c>
      <c r="D1196" s="22" t="s">
        <v>34</v>
      </c>
      <c r="E1196" t="str">
        <f t="shared" si="20"/>
        <v>2014年</v>
      </c>
    </row>
    <row r="1197" spans="1:5" x14ac:dyDescent="0.15">
      <c r="A1197" s="21">
        <v>41922</v>
      </c>
      <c r="B1197" s="22" t="s">
        <v>42</v>
      </c>
      <c r="C1197" s="22">
        <v>535.49999624490738</v>
      </c>
      <c r="D1197" s="22" t="s">
        <v>34</v>
      </c>
      <c r="E1197" t="str">
        <f t="shared" si="20"/>
        <v>2014年</v>
      </c>
    </row>
    <row r="1198" spans="1:5" x14ac:dyDescent="0.15">
      <c r="A1198" s="21">
        <v>41922</v>
      </c>
      <c r="B1198" s="22" t="s">
        <v>40</v>
      </c>
      <c r="C1198" s="22">
        <v>60</v>
      </c>
      <c r="D1198" s="22" t="s">
        <v>39</v>
      </c>
      <c r="E1198" t="str">
        <f t="shared" si="20"/>
        <v>2014年</v>
      </c>
    </row>
    <row r="1199" spans="1:5" x14ac:dyDescent="0.15">
      <c r="A1199" s="21">
        <v>41922</v>
      </c>
      <c r="B1199" s="22" t="s">
        <v>42</v>
      </c>
      <c r="C1199" s="22">
        <v>270</v>
      </c>
      <c r="D1199" s="22" t="s">
        <v>39</v>
      </c>
      <c r="E1199" t="str">
        <f t="shared" si="20"/>
        <v>2014年</v>
      </c>
    </row>
    <row r="1200" spans="1:5" x14ac:dyDescent="0.15">
      <c r="A1200" s="21">
        <v>41923</v>
      </c>
      <c r="B1200" s="22" t="s">
        <v>42</v>
      </c>
      <c r="C1200" s="22">
        <v>95</v>
      </c>
      <c r="D1200" s="22" t="s">
        <v>34</v>
      </c>
      <c r="E1200" t="str">
        <f t="shared" si="20"/>
        <v>2014年</v>
      </c>
    </row>
    <row r="1201" spans="1:5" x14ac:dyDescent="0.15">
      <c r="A1201" s="21">
        <v>41923</v>
      </c>
      <c r="B1201" s="22" t="s">
        <v>36</v>
      </c>
      <c r="C1201" s="22">
        <v>1925</v>
      </c>
      <c r="D1201" s="22" t="s">
        <v>34</v>
      </c>
      <c r="E1201" t="str">
        <f t="shared" si="20"/>
        <v>2014年</v>
      </c>
    </row>
    <row r="1202" spans="1:5" x14ac:dyDescent="0.15">
      <c r="A1202" s="21">
        <v>41923</v>
      </c>
      <c r="B1202" s="22" t="s">
        <v>38</v>
      </c>
      <c r="C1202" s="22">
        <v>525</v>
      </c>
      <c r="D1202" s="22" t="s">
        <v>34</v>
      </c>
      <c r="E1202" t="str">
        <f t="shared" si="20"/>
        <v>2014年</v>
      </c>
    </row>
    <row r="1203" spans="1:5" x14ac:dyDescent="0.15">
      <c r="A1203" s="21">
        <v>41923</v>
      </c>
      <c r="B1203" s="22" t="s">
        <v>40</v>
      </c>
      <c r="C1203" s="22">
        <v>132</v>
      </c>
      <c r="D1203" s="22" t="s">
        <v>34</v>
      </c>
      <c r="E1203" t="str">
        <f t="shared" si="20"/>
        <v>2014年</v>
      </c>
    </row>
    <row r="1204" spans="1:5" x14ac:dyDescent="0.15">
      <c r="A1204" s="21">
        <v>41923</v>
      </c>
      <c r="B1204" s="22" t="s">
        <v>42</v>
      </c>
      <c r="C1204" s="22">
        <v>157.5</v>
      </c>
      <c r="D1204" s="22" t="s">
        <v>34</v>
      </c>
      <c r="E1204" t="str">
        <f t="shared" si="20"/>
        <v>2014年</v>
      </c>
    </row>
    <row r="1205" spans="1:5" x14ac:dyDescent="0.15">
      <c r="A1205" s="21">
        <v>41923</v>
      </c>
      <c r="B1205" s="22" t="s">
        <v>41</v>
      </c>
      <c r="C1205" s="22">
        <v>306</v>
      </c>
      <c r="D1205" s="22" t="s">
        <v>34</v>
      </c>
      <c r="E1205" t="str">
        <f t="shared" si="20"/>
        <v>2014年</v>
      </c>
    </row>
    <row r="1206" spans="1:5" x14ac:dyDescent="0.15">
      <c r="A1206" s="21">
        <v>41924</v>
      </c>
      <c r="B1206" s="22" t="s">
        <v>36</v>
      </c>
      <c r="C1206" s="22">
        <v>250</v>
      </c>
      <c r="D1206" s="22" t="s">
        <v>34</v>
      </c>
      <c r="E1206" t="str">
        <f t="shared" si="20"/>
        <v>2014年</v>
      </c>
    </row>
    <row r="1207" spans="1:5" x14ac:dyDescent="0.15">
      <c r="A1207" s="21">
        <v>41924</v>
      </c>
      <c r="B1207" s="22" t="s">
        <v>36</v>
      </c>
      <c r="C1207" s="22">
        <v>128</v>
      </c>
      <c r="D1207" s="22" t="s">
        <v>34</v>
      </c>
      <c r="E1207" t="str">
        <f t="shared" si="20"/>
        <v>2014年</v>
      </c>
    </row>
    <row r="1208" spans="1:5" x14ac:dyDescent="0.15">
      <c r="A1208" s="21">
        <v>41925</v>
      </c>
      <c r="B1208" s="22" t="s">
        <v>41</v>
      </c>
      <c r="C1208" s="22">
        <v>349</v>
      </c>
      <c r="D1208" s="22" t="s">
        <v>39</v>
      </c>
      <c r="E1208" t="str">
        <f t="shared" si="20"/>
        <v>2014年</v>
      </c>
    </row>
    <row r="1209" spans="1:5" x14ac:dyDescent="0.15">
      <c r="A1209" s="21">
        <v>41925</v>
      </c>
      <c r="B1209" s="22" t="s">
        <v>42</v>
      </c>
      <c r="C1209" s="22">
        <v>1104</v>
      </c>
      <c r="D1209" s="22" t="s">
        <v>39</v>
      </c>
      <c r="E1209" t="str">
        <f t="shared" si="20"/>
        <v>2014年</v>
      </c>
    </row>
    <row r="1210" spans="1:5" x14ac:dyDescent="0.15">
      <c r="A1210" s="21">
        <v>41925</v>
      </c>
      <c r="B1210" s="22" t="s">
        <v>36</v>
      </c>
      <c r="C1210" s="22">
        <v>440</v>
      </c>
      <c r="D1210" s="22" t="s">
        <v>39</v>
      </c>
      <c r="E1210" t="str">
        <f t="shared" si="20"/>
        <v>2014年</v>
      </c>
    </row>
    <row r="1211" spans="1:5" x14ac:dyDescent="0.15">
      <c r="A1211" s="21">
        <v>41925</v>
      </c>
      <c r="B1211" s="22" t="s">
        <v>33</v>
      </c>
      <c r="C1211" s="22">
        <v>504</v>
      </c>
      <c r="D1211" s="22" t="s">
        <v>39</v>
      </c>
      <c r="E1211" t="str">
        <f t="shared" si="20"/>
        <v>2014年</v>
      </c>
    </row>
    <row r="1212" spans="1:5" x14ac:dyDescent="0.15">
      <c r="A1212" s="21">
        <v>41925</v>
      </c>
      <c r="B1212" s="22" t="s">
        <v>35</v>
      </c>
      <c r="C1212" s="22">
        <v>780</v>
      </c>
      <c r="D1212" s="22" t="s">
        <v>39</v>
      </c>
      <c r="E1212" t="str">
        <f t="shared" si="20"/>
        <v>2014年</v>
      </c>
    </row>
    <row r="1213" spans="1:5" x14ac:dyDescent="0.15">
      <c r="A1213" s="21">
        <v>41925</v>
      </c>
      <c r="B1213" s="22" t="s">
        <v>42</v>
      </c>
      <c r="C1213" s="22">
        <v>356.99999749660492</v>
      </c>
      <c r="D1213" s="22" t="s">
        <v>39</v>
      </c>
      <c r="E1213" t="str">
        <f t="shared" si="20"/>
        <v>2014年</v>
      </c>
    </row>
    <row r="1214" spans="1:5" x14ac:dyDescent="0.15">
      <c r="A1214" s="21">
        <v>41926</v>
      </c>
      <c r="B1214" s="22" t="s">
        <v>40</v>
      </c>
      <c r="C1214" s="22">
        <v>85.4</v>
      </c>
      <c r="D1214" s="22" t="s">
        <v>34</v>
      </c>
      <c r="E1214" t="str">
        <f t="shared" si="20"/>
        <v>2014年</v>
      </c>
    </row>
    <row r="1215" spans="1:5" x14ac:dyDescent="0.15">
      <c r="A1215" s="21">
        <v>41926</v>
      </c>
      <c r="B1215" s="22" t="s">
        <v>38</v>
      </c>
      <c r="C1215" s="22">
        <v>95</v>
      </c>
      <c r="D1215" s="22" t="s">
        <v>34</v>
      </c>
      <c r="E1215" t="str">
        <f t="shared" si="20"/>
        <v>2014年</v>
      </c>
    </row>
    <row r="1216" spans="1:5" x14ac:dyDescent="0.15">
      <c r="A1216" s="21">
        <v>41926</v>
      </c>
      <c r="B1216" s="22" t="s">
        <v>40</v>
      </c>
      <c r="C1216" s="22">
        <v>1600</v>
      </c>
      <c r="D1216" s="22" t="s">
        <v>39</v>
      </c>
      <c r="E1216" t="str">
        <f t="shared" si="20"/>
        <v>2014年</v>
      </c>
    </row>
    <row r="1217" spans="1:5" x14ac:dyDescent="0.15">
      <c r="A1217" s="21">
        <v>41926</v>
      </c>
      <c r="B1217" s="22" t="s">
        <v>37</v>
      </c>
      <c r="C1217" s="22">
        <v>1484</v>
      </c>
      <c r="D1217" s="22" t="s">
        <v>39</v>
      </c>
      <c r="E1217" t="str">
        <f t="shared" si="20"/>
        <v>2014年</v>
      </c>
    </row>
    <row r="1218" spans="1:5" x14ac:dyDescent="0.15">
      <c r="A1218" s="21">
        <v>41926</v>
      </c>
      <c r="B1218" s="22" t="s">
        <v>36</v>
      </c>
      <c r="C1218" s="22">
        <v>340</v>
      </c>
      <c r="D1218" s="22" t="s">
        <v>39</v>
      </c>
      <c r="E1218" t="str">
        <f t="shared" ref="E1218:E1281" si="21">YEAR(A1218)&amp;"年"</f>
        <v>2014年</v>
      </c>
    </row>
    <row r="1219" spans="1:5" x14ac:dyDescent="0.15">
      <c r="A1219" s="21">
        <v>41929</v>
      </c>
      <c r="B1219" s="22" t="s">
        <v>41</v>
      </c>
      <c r="C1219" s="22">
        <v>46</v>
      </c>
      <c r="D1219" s="22" t="s">
        <v>39</v>
      </c>
      <c r="E1219" t="str">
        <f t="shared" si="21"/>
        <v>2014年</v>
      </c>
    </row>
    <row r="1220" spans="1:5" x14ac:dyDescent="0.15">
      <c r="A1220" s="21">
        <v>41929</v>
      </c>
      <c r="B1220" s="22" t="s">
        <v>41</v>
      </c>
      <c r="C1220" s="22">
        <v>47.5</v>
      </c>
      <c r="D1220" s="22" t="s">
        <v>39</v>
      </c>
      <c r="E1220" t="str">
        <f t="shared" si="21"/>
        <v>2014年</v>
      </c>
    </row>
    <row r="1221" spans="1:5" x14ac:dyDescent="0.15">
      <c r="A1221" s="21">
        <v>41930</v>
      </c>
      <c r="B1221" s="22" t="s">
        <v>41</v>
      </c>
      <c r="C1221" s="22">
        <v>110.4</v>
      </c>
      <c r="D1221" s="22" t="s">
        <v>34</v>
      </c>
      <c r="E1221" t="str">
        <f t="shared" si="21"/>
        <v>2014年</v>
      </c>
    </row>
    <row r="1222" spans="1:5" x14ac:dyDescent="0.15">
      <c r="A1222" s="21">
        <v>41930</v>
      </c>
      <c r="B1222" s="22" t="s">
        <v>38</v>
      </c>
      <c r="C1222" s="22">
        <v>405.3</v>
      </c>
      <c r="D1222" s="22" t="s">
        <v>34</v>
      </c>
      <c r="E1222" t="str">
        <f t="shared" si="21"/>
        <v>2014年</v>
      </c>
    </row>
    <row r="1223" spans="1:5" x14ac:dyDescent="0.15">
      <c r="A1223" s="21">
        <v>41930</v>
      </c>
      <c r="B1223" s="22" t="s">
        <v>33</v>
      </c>
      <c r="C1223" s="22">
        <v>3936</v>
      </c>
      <c r="D1223" s="22" t="s">
        <v>34</v>
      </c>
      <c r="E1223" t="str">
        <f t="shared" si="21"/>
        <v>2014年</v>
      </c>
    </row>
    <row r="1224" spans="1:5" x14ac:dyDescent="0.15">
      <c r="A1224" s="21">
        <v>41930</v>
      </c>
      <c r="B1224" s="22" t="s">
        <v>33</v>
      </c>
      <c r="C1224" s="22">
        <v>93.47999992668629</v>
      </c>
      <c r="D1224" s="22" t="s">
        <v>39</v>
      </c>
      <c r="E1224" t="str">
        <f t="shared" si="21"/>
        <v>2014年</v>
      </c>
    </row>
    <row r="1225" spans="1:5" x14ac:dyDescent="0.15">
      <c r="A1225" s="21">
        <v>41930</v>
      </c>
      <c r="B1225" s="22" t="s">
        <v>35</v>
      </c>
      <c r="C1225" s="22">
        <v>1140</v>
      </c>
      <c r="D1225" s="22" t="s">
        <v>39</v>
      </c>
      <c r="E1225" t="str">
        <f t="shared" si="21"/>
        <v>2014年</v>
      </c>
    </row>
    <row r="1226" spans="1:5" x14ac:dyDescent="0.15">
      <c r="A1226" s="21">
        <v>41931</v>
      </c>
      <c r="B1226" s="22" t="s">
        <v>38</v>
      </c>
      <c r="C1226" s="22">
        <v>558</v>
      </c>
      <c r="D1226" s="22" t="s">
        <v>39</v>
      </c>
      <c r="E1226" t="str">
        <f t="shared" si="21"/>
        <v>2014年</v>
      </c>
    </row>
    <row r="1227" spans="1:5" x14ac:dyDescent="0.15">
      <c r="A1227" s="21">
        <v>41931</v>
      </c>
      <c r="B1227" s="22" t="s">
        <v>41</v>
      </c>
      <c r="C1227" s="22">
        <v>936.9</v>
      </c>
      <c r="D1227" s="22" t="s">
        <v>39</v>
      </c>
      <c r="E1227" t="str">
        <f t="shared" si="21"/>
        <v>2014年</v>
      </c>
    </row>
    <row r="1228" spans="1:5" x14ac:dyDescent="0.15">
      <c r="A1228" s="21">
        <v>41931</v>
      </c>
      <c r="B1228" s="22" t="s">
        <v>38</v>
      </c>
      <c r="C1228" s="22">
        <v>1045</v>
      </c>
      <c r="D1228" s="22" t="s">
        <v>39</v>
      </c>
      <c r="E1228" t="str">
        <f t="shared" si="21"/>
        <v>2014年</v>
      </c>
    </row>
    <row r="1229" spans="1:5" x14ac:dyDescent="0.15">
      <c r="A1229" s="21">
        <v>41931</v>
      </c>
      <c r="B1229" s="22" t="s">
        <v>38</v>
      </c>
      <c r="C1229" s="22">
        <v>288</v>
      </c>
      <c r="D1229" s="22" t="s">
        <v>39</v>
      </c>
      <c r="E1229" t="str">
        <f t="shared" si="21"/>
        <v>2014年</v>
      </c>
    </row>
    <row r="1230" spans="1:5" x14ac:dyDescent="0.15">
      <c r="A1230" s="21">
        <v>41931</v>
      </c>
      <c r="B1230" s="22" t="s">
        <v>42</v>
      </c>
      <c r="C1230" s="22">
        <v>427.5</v>
      </c>
      <c r="D1230" s="22" t="s">
        <v>34</v>
      </c>
      <c r="E1230" t="str">
        <f t="shared" si="21"/>
        <v>2014年</v>
      </c>
    </row>
    <row r="1231" spans="1:5" x14ac:dyDescent="0.15">
      <c r="A1231" s="21">
        <v>41931</v>
      </c>
      <c r="B1231" s="22" t="s">
        <v>33</v>
      </c>
      <c r="C1231" s="22">
        <v>789.75</v>
      </c>
      <c r="D1231" s="22" t="s">
        <v>34</v>
      </c>
      <c r="E1231" t="str">
        <f t="shared" si="21"/>
        <v>2014年</v>
      </c>
    </row>
    <row r="1232" spans="1:5" x14ac:dyDescent="0.15">
      <c r="A1232" s="21">
        <v>41931</v>
      </c>
      <c r="B1232" s="22" t="s">
        <v>41</v>
      </c>
      <c r="C1232" s="22">
        <v>356.25</v>
      </c>
      <c r="D1232" s="22" t="s">
        <v>34</v>
      </c>
      <c r="E1232" t="str">
        <f t="shared" si="21"/>
        <v>2014年</v>
      </c>
    </row>
    <row r="1233" spans="1:5" x14ac:dyDescent="0.15">
      <c r="A1233" s="21">
        <v>41931</v>
      </c>
      <c r="B1233" s="22" t="s">
        <v>35</v>
      </c>
      <c r="C1233" s="22">
        <v>513</v>
      </c>
      <c r="D1233" s="22" t="s">
        <v>34</v>
      </c>
      <c r="E1233" t="str">
        <f t="shared" si="21"/>
        <v>2014年</v>
      </c>
    </row>
    <row r="1234" spans="1:5" x14ac:dyDescent="0.15">
      <c r="A1234" s="21">
        <v>41931</v>
      </c>
      <c r="B1234" s="22" t="s">
        <v>38</v>
      </c>
      <c r="C1234" s="22">
        <v>119.25</v>
      </c>
      <c r="D1234" s="22" t="s">
        <v>34</v>
      </c>
      <c r="E1234" t="str">
        <f t="shared" si="21"/>
        <v>2014年</v>
      </c>
    </row>
    <row r="1235" spans="1:5" x14ac:dyDescent="0.15">
      <c r="A1235" s="21">
        <v>41932</v>
      </c>
      <c r="B1235" s="22" t="s">
        <v>38</v>
      </c>
      <c r="C1235" s="22">
        <v>651</v>
      </c>
      <c r="D1235" s="22" t="s">
        <v>39</v>
      </c>
      <c r="E1235" t="str">
        <f t="shared" si="21"/>
        <v>2014年</v>
      </c>
    </row>
    <row r="1236" spans="1:5" x14ac:dyDescent="0.15">
      <c r="A1236" s="21">
        <v>41932</v>
      </c>
      <c r="B1236" s="22" t="s">
        <v>36</v>
      </c>
      <c r="C1236" s="22">
        <v>645</v>
      </c>
      <c r="D1236" s="22" t="s">
        <v>39</v>
      </c>
      <c r="E1236" t="str">
        <f t="shared" si="21"/>
        <v>2014年</v>
      </c>
    </row>
    <row r="1237" spans="1:5" x14ac:dyDescent="0.15">
      <c r="A1237" s="21">
        <v>41933</v>
      </c>
      <c r="B1237" s="22" t="s">
        <v>41</v>
      </c>
      <c r="C1237" s="22">
        <v>50</v>
      </c>
      <c r="D1237" s="22" t="s">
        <v>39</v>
      </c>
      <c r="E1237" t="str">
        <f t="shared" si="21"/>
        <v>2014年</v>
      </c>
    </row>
    <row r="1238" spans="1:5" x14ac:dyDescent="0.15">
      <c r="A1238" s="21">
        <v>41933</v>
      </c>
      <c r="B1238" s="22" t="s">
        <v>37</v>
      </c>
      <c r="C1238" s="22">
        <v>371</v>
      </c>
      <c r="D1238" s="22" t="s">
        <v>39</v>
      </c>
      <c r="E1238" t="str">
        <f t="shared" si="21"/>
        <v>2014年</v>
      </c>
    </row>
    <row r="1239" spans="1:5" x14ac:dyDescent="0.15">
      <c r="A1239" s="21">
        <v>41933</v>
      </c>
      <c r="B1239" s="22" t="s">
        <v>40</v>
      </c>
      <c r="C1239" s="22">
        <v>285</v>
      </c>
      <c r="D1239" s="22" t="s">
        <v>39</v>
      </c>
      <c r="E1239" t="str">
        <f t="shared" si="21"/>
        <v>2014年</v>
      </c>
    </row>
    <row r="1240" spans="1:5" x14ac:dyDescent="0.15">
      <c r="A1240" s="21">
        <v>41933</v>
      </c>
      <c r="B1240" s="22" t="s">
        <v>41</v>
      </c>
      <c r="C1240" s="22">
        <v>303.99999976158142</v>
      </c>
      <c r="D1240" s="22" t="s">
        <v>39</v>
      </c>
      <c r="E1240" t="str">
        <f t="shared" si="21"/>
        <v>2014年</v>
      </c>
    </row>
    <row r="1241" spans="1:5" x14ac:dyDescent="0.15">
      <c r="A1241" s="21">
        <v>41933</v>
      </c>
      <c r="B1241" s="22" t="s">
        <v>33</v>
      </c>
      <c r="C1241" s="22">
        <v>111.75</v>
      </c>
      <c r="D1241" s="22" t="s">
        <v>39</v>
      </c>
      <c r="E1241" t="str">
        <f t="shared" si="21"/>
        <v>2014年</v>
      </c>
    </row>
    <row r="1242" spans="1:5" x14ac:dyDescent="0.15">
      <c r="A1242" s="21">
        <v>41933</v>
      </c>
      <c r="B1242" s="22" t="s">
        <v>36</v>
      </c>
      <c r="C1242" s="22">
        <v>854.99999932944775</v>
      </c>
      <c r="D1242" s="22" t="s">
        <v>39</v>
      </c>
      <c r="E1242" t="str">
        <f t="shared" si="21"/>
        <v>2014年</v>
      </c>
    </row>
    <row r="1243" spans="1:5" x14ac:dyDescent="0.15">
      <c r="A1243" s="21">
        <v>41936</v>
      </c>
      <c r="B1243" s="22" t="s">
        <v>36</v>
      </c>
      <c r="C1243" s="22">
        <v>1368</v>
      </c>
      <c r="D1243" s="22" t="s">
        <v>39</v>
      </c>
      <c r="E1243" t="str">
        <f t="shared" si="21"/>
        <v>2014年</v>
      </c>
    </row>
    <row r="1244" spans="1:5" x14ac:dyDescent="0.15">
      <c r="A1244" s="21">
        <v>41936</v>
      </c>
      <c r="B1244" s="22" t="s">
        <v>41</v>
      </c>
      <c r="C1244" s="22">
        <v>349</v>
      </c>
      <c r="D1244" s="22" t="s">
        <v>39</v>
      </c>
      <c r="E1244" t="str">
        <f t="shared" si="21"/>
        <v>2014年</v>
      </c>
    </row>
    <row r="1245" spans="1:5" x14ac:dyDescent="0.15">
      <c r="A1245" s="21">
        <v>41936</v>
      </c>
      <c r="B1245" s="22" t="s">
        <v>38</v>
      </c>
      <c r="C1245" s="22">
        <v>760</v>
      </c>
      <c r="D1245" s="22" t="s">
        <v>39</v>
      </c>
      <c r="E1245" t="str">
        <f t="shared" si="21"/>
        <v>2014年</v>
      </c>
    </row>
    <row r="1246" spans="1:5" x14ac:dyDescent="0.15">
      <c r="A1246" s="21">
        <v>41936</v>
      </c>
      <c r="B1246" s="22" t="s">
        <v>41</v>
      </c>
      <c r="C1246" s="22">
        <v>986</v>
      </c>
      <c r="D1246" s="22" t="s">
        <v>39</v>
      </c>
      <c r="E1246" t="str">
        <f t="shared" si="21"/>
        <v>2014年</v>
      </c>
    </row>
    <row r="1247" spans="1:5" x14ac:dyDescent="0.15">
      <c r="A1247" s="21">
        <v>41936</v>
      </c>
      <c r="B1247" s="22" t="s">
        <v>38</v>
      </c>
      <c r="C1247" s="22">
        <v>562.5</v>
      </c>
      <c r="D1247" s="22" t="s">
        <v>39</v>
      </c>
      <c r="E1247" t="str">
        <f t="shared" si="21"/>
        <v>2014年</v>
      </c>
    </row>
    <row r="1248" spans="1:5" x14ac:dyDescent="0.15">
      <c r="A1248" s="21">
        <v>41936</v>
      </c>
      <c r="B1248" s="22" t="s">
        <v>38</v>
      </c>
      <c r="C1248" s="22">
        <v>58.252499999999998</v>
      </c>
      <c r="D1248" s="22" t="s">
        <v>39</v>
      </c>
      <c r="E1248" t="str">
        <f t="shared" si="21"/>
        <v>2014年</v>
      </c>
    </row>
    <row r="1249" spans="1:5" x14ac:dyDescent="0.15">
      <c r="A1249" s="21">
        <v>41936</v>
      </c>
      <c r="B1249" s="22" t="s">
        <v>33</v>
      </c>
      <c r="C1249" s="22">
        <v>223.5</v>
      </c>
      <c r="D1249" s="22" t="s">
        <v>39</v>
      </c>
      <c r="E1249" t="str">
        <f t="shared" si="21"/>
        <v>2014年</v>
      </c>
    </row>
    <row r="1250" spans="1:5" x14ac:dyDescent="0.15">
      <c r="A1250" s="21">
        <v>41937</v>
      </c>
      <c r="B1250" s="22" t="s">
        <v>42</v>
      </c>
      <c r="C1250" s="22">
        <v>378</v>
      </c>
      <c r="D1250" s="22" t="s">
        <v>39</v>
      </c>
      <c r="E1250" t="str">
        <f t="shared" si="21"/>
        <v>2014年</v>
      </c>
    </row>
    <row r="1251" spans="1:5" x14ac:dyDescent="0.15">
      <c r="A1251" s="21">
        <v>41937</v>
      </c>
      <c r="B1251" s="22" t="s">
        <v>36</v>
      </c>
      <c r="C1251" s="22">
        <v>172</v>
      </c>
      <c r="D1251" s="22" t="s">
        <v>39</v>
      </c>
      <c r="E1251" t="str">
        <f t="shared" si="21"/>
        <v>2014年</v>
      </c>
    </row>
    <row r="1252" spans="1:5" x14ac:dyDescent="0.15">
      <c r="A1252" s="21">
        <v>41938</v>
      </c>
      <c r="B1252" s="22" t="s">
        <v>40</v>
      </c>
      <c r="C1252" s="22">
        <v>923.87499927543104</v>
      </c>
      <c r="D1252" s="22" t="s">
        <v>34</v>
      </c>
      <c r="E1252" t="str">
        <f t="shared" si="21"/>
        <v>2014年</v>
      </c>
    </row>
    <row r="1253" spans="1:5" x14ac:dyDescent="0.15">
      <c r="A1253" s="21">
        <v>41938</v>
      </c>
      <c r="B1253" s="22" t="s">
        <v>42</v>
      </c>
      <c r="C1253" s="22">
        <v>57</v>
      </c>
      <c r="D1253" s="22" t="s">
        <v>39</v>
      </c>
      <c r="E1253" t="str">
        <f t="shared" si="21"/>
        <v>2014年</v>
      </c>
    </row>
    <row r="1254" spans="1:5" x14ac:dyDescent="0.15">
      <c r="A1254" s="21">
        <v>41938</v>
      </c>
      <c r="B1254" s="22" t="s">
        <v>36</v>
      </c>
      <c r="C1254" s="22">
        <v>625</v>
      </c>
      <c r="D1254" s="22" t="s">
        <v>39</v>
      </c>
      <c r="E1254" t="str">
        <f t="shared" si="21"/>
        <v>2014年</v>
      </c>
    </row>
    <row r="1255" spans="1:5" x14ac:dyDescent="0.15">
      <c r="A1255" s="21">
        <v>41938</v>
      </c>
      <c r="B1255" s="22" t="s">
        <v>41</v>
      </c>
      <c r="C1255" s="22">
        <v>562.5</v>
      </c>
      <c r="D1255" s="22" t="s">
        <v>39</v>
      </c>
      <c r="E1255" t="str">
        <f t="shared" si="21"/>
        <v>2014年</v>
      </c>
    </row>
    <row r="1256" spans="1:5" x14ac:dyDescent="0.15">
      <c r="A1256" s="21">
        <v>41938</v>
      </c>
      <c r="B1256" s="22" t="s">
        <v>42</v>
      </c>
      <c r="C1256" s="22">
        <v>325.5</v>
      </c>
      <c r="D1256" s="22" t="s">
        <v>39</v>
      </c>
      <c r="E1256" t="str">
        <f t="shared" si="21"/>
        <v>2014年</v>
      </c>
    </row>
    <row r="1257" spans="1:5" x14ac:dyDescent="0.15">
      <c r="A1257" s="21">
        <v>41939</v>
      </c>
      <c r="B1257" s="22" t="s">
        <v>41</v>
      </c>
      <c r="C1257" s="22">
        <v>468.45</v>
      </c>
      <c r="D1257" s="22" t="s">
        <v>39</v>
      </c>
      <c r="E1257" t="str">
        <f t="shared" si="21"/>
        <v>2014年</v>
      </c>
    </row>
    <row r="1258" spans="1:5" x14ac:dyDescent="0.15">
      <c r="A1258" s="21">
        <v>41939</v>
      </c>
      <c r="B1258" s="22" t="s">
        <v>38</v>
      </c>
      <c r="C1258" s="22">
        <v>496</v>
      </c>
      <c r="D1258" s="22" t="s">
        <v>39</v>
      </c>
      <c r="E1258" t="str">
        <f t="shared" si="21"/>
        <v>2014年</v>
      </c>
    </row>
    <row r="1259" spans="1:5" x14ac:dyDescent="0.15">
      <c r="A1259" s="21">
        <v>41939</v>
      </c>
      <c r="B1259" s="22" t="s">
        <v>40</v>
      </c>
      <c r="C1259" s="22">
        <v>142.5</v>
      </c>
      <c r="D1259" s="22" t="s">
        <v>39</v>
      </c>
      <c r="E1259" t="str">
        <f t="shared" si="21"/>
        <v>2014年</v>
      </c>
    </row>
    <row r="1260" spans="1:5" x14ac:dyDescent="0.15">
      <c r="A1260" s="21">
        <v>41940</v>
      </c>
      <c r="B1260" s="22" t="s">
        <v>38</v>
      </c>
      <c r="C1260" s="22">
        <v>115.8</v>
      </c>
      <c r="D1260" s="22" t="s">
        <v>39</v>
      </c>
      <c r="E1260" t="str">
        <f t="shared" si="21"/>
        <v>2014年</v>
      </c>
    </row>
    <row r="1261" spans="1:5" x14ac:dyDescent="0.15">
      <c r="A1261" s="21">
        <v>41940</v>
      </c>
      <c r="B1261" s="22" t="s">
        <v>35</v>
      </c>
      <c r="C1261" s="22">
        <v>28</v>
      </c>
      <c r="D1261" s="22" t="s">
        <v>39</v>
      </c>
      <c r="E1261" t="str">
        <f t="shared" si="21"/>
        <v>2014年</v>
      </c>
    </row>
    <row r="1262" spans="1:5" x14ac:dyDescent="0.15">
      <c r="A1262" s="21">
        <v>41940</v>
      </c>
      <c r="B1262" s="22" t="s">
        <v>33</v>
      </c>
      <c r="C1262" s="22">
        <v>144</v>
      </c>
      <c r="D1262" s="22" t="s">
        <v>39</v>
      </c>
      <c r="E1262" t="str">
        <f t="shared" si="21"/>
        <v>2014年</v>
      </c>
    </row>
    <row r="1263" spans="1:5" x14ac:dyDescent="0.15">
      <c r="A1263" s="21">
        <v>41943</v>
      </c>
      <c r="B1263" s="22" t="s">
        <v>40</v>
      </c>
      <c r="C1263" s="22">
        <v>550</v>
      </c>
      <c r="D1263" s="22" t="s">
        <v>39</v>
      </c>
      <c r="E1263" t="str">
        <f t="shared" si="21"/>
        <v>2014年</v>
      </c>
    </row>
    <row r="1264" spans="1:5" x14ac:dyDescent="0.15">
      <c r="A1264" s="21">
        <v>41943</v>
      </c>
      <c r="B1264" s="22" t="s">
        <v>36</v>
      </c>
      <c r="C1264" s="22">
        <v>105</v>
      </c>
      <c r="D1264" s="22" t="s">
        <v>39</v>
      </c>
      <c r="E1264" t="str">
        <f t="shared" si="21"/>
        <v>2014年</v>
      </c>
    </row>
    <row r="1265" spans="1:5" x14ac:dyDescent="0.15">
      <c r="A1265" s="21">
        <v>41943</v>
      </c>
      <c r="B1265" s="22" t="s">
        <v>33</v>
      </c>
      <c r="C1265" s="22">
        <v>740.99999941885471</v>
      </c>
      <c r="D1265" s="22" t="s">
        <v>39</v>
      </c>
      <c r="E1265" t="str">
        <f t="shared" si="21"/>
        <v>2014年</v>
      </c>
    </row>
    <row r="1266" spans="1:5" x14ac:dyDescent="0.15">
      <c r="A1266" s="21">
        <v>41943</v>
      </c>
      <c r="B1266" s="22" t="s">
        <v>35</v>
      </c>
      <c r="C1266" s="22">
        <v>360.99999971687794</v>
      </c>
      <c r="D1266" s="22" t="s">
        <v>39</v>
      </c>
      <c r="E1266" t="str">
        <f t="shared" si="21"/>
        <v>2014年</v>
      </c>
    </row>
    <row r="1267" spans="1:5" x14ac:dyDescent="0.15">
      <c r="A1267" s="21">
        <v>41943</v>
      </c>
      <c r="B1267" s="22" t="s">
        <v>36</v>
      </c>
      <c r="C1267" s="22">
        <v>522.49999959021807</v>
      </c>
      <c r="D1267" s="22" t="s">
        <v>39</v>
      </c>
      <c r="E1267" t="str">
        <f t="shared" si="21"/>
        <v>2014年</v>
      </c>
    </row>
    <row r="1268" spans="1:5" x14ac:dyDescent="0.15">
      <c r="A1268" s="21">
        <v>41944</v>
      </c>
      <c r="B1268" s="22" t="s">
        <v>38</v>
      </c>
      <c r="C1268" s="22">
        <v>388.35</v>
      </c>
      <c r="D1268" s="22" t="s">
        <v>39</v>
      </c>
      <c r="E1268" t="str">
        <f t="shared" si="21"/>
        <v>2014年</v>
      </c>
    </row>
    <row r="1269" spans="1:5" x14ac:dyDescent="0.15">
      <c r="A1269" s="21">
        <v>41944</v>
      </c>
      <c r="B1269" s="22" t="s">
        <v>38</v>
      </c>
      <c r="C1269" s="22">
        <v>110.4</v>
      </c>
      <c r="D1269" s="22" t="s">
        <v>39</v>
      </c>
      <c r="E1269" t="str">
        <f t="shared" si="21"/>
        <v>2014年</v>
      </c>
    </row>
    <row r="1270" spans="1:5" x14ac:dyDescent="0.15">
      <c r="A1270" s="21">
        <v>41944</v>
      </c>
      <c r="B1270" s="22" t="s">
        <v>33</v>
      </c>
      <c r="C1270" s="22">
        <v>288</v>
      </c>
      <c r="D1270" s="22" t="s">
        <v>39</v>
      </c>
      <c r="E1270" t="str">
        <f t="shared" si="21"/>
        <v>2014年</v>
      </c>
    </row>
    <row r="1271" spans="1:5" x14ac:dyDescent="0.15">
      <c r="A1271" s="21">
        <v>41944</v>
      </c>
      <c r="B1271" s="22" t="s">
        <v>36</v>
      </c>
      <c r="C1271" s="22">
        <v>510</v>
      </c>
      <c r="D1271" s="22" t="s">
        <v>39</v>
      </c>
      <c r="E1271" t="str">
        <f t="shared" si="21"/>
        <v>2014年</v>
      </c>
    </row>
    <row r="1272" spans="1:5" x14ac:dyDescent="0.15">
      <c r="A1272" s="21">
        <v>41944</v>
      </c>
      <c r="B1272" s="22" t="s">
        <v>42</v>
      </c>
      <c r="C1272" s="22">
        <v>900</v>
      </c>
      <c r="D1272" s="22" t="s">
        <v>39</v>
      </c>
      <c r="E1272" t="str">
        <f t="shared" si="21"/>
        <v>2014年</v>
      </c>
    </row>
    <row r="1273" spans="1:5" x14ac:dyDescent="0.15">
      <c r="A1273" s="21">
        <v>41944</v>
      </c>
      <c r="B1273" s="22" t="s">
        <v>41</v>
      </c>
      <c r="C1273" s="22">
        <v>300</v>
      </c>
      <c r="D1273" s="22" t="s">
        <v>39</v>
      </c>
      <c r="E1273" t="str">
        <f t="shared" si="21"/>
        <v>2014年</v>
      </c>
    </row>
    <row r="1274" spans="1:5" x14ac:dyDescent="0.15">
      <c r="A1274" s="21">
        <v>41944</v>
      </c>
      <c r="B1274" s="22" t="s">
        <v>41</v>
      </c>
      <c r="C1274" s="22">
        <v>650</v>
      </c>
      <c r="D1274" s="22" t="s">
        <v>39</v>
      </c>
      <c r="E1274" t="str">
        <f t="shared" si="21"/>
        <v>2014年</v>
      </c>
    </row>
    <row r="1275" spans="1:5" x14ac:dyDescent="0.15">
      <c r="A1275" s="21">
        <v>41945</v>
      </c>
      <c r="B1275" s="22" t="s">
        <v>41</v>
      </c>
      <c r="C1275" s="22">
        <v>248.66249980498105</v>
      </c>
      <c r="D1275" s="22" t="s">
        <v>34</v>
      </c>
      <c r="E1275" t="str">
        <f t="shared" si="21"/>
        <v>2014年</v>
      </c>
    </row>
    <row r="1276" spans="1:5" x14ac:dyDescent="0.15">
      <c r="A1276" s="21">
        <v>41945</v>
      </c>
      <c r="B1276" s="22" t="s">
        <v>36</v>
      </c>
      <c r="C1276" s="22">
        <v>35.624999972060323</v>
      </c>
      <c r="D1276" s="22" t="s">
        <v>34</v>
      </c>
      <c r="E1276" t="str">
        <f t="shared" si="21"/>
        <v>2014年</v>
      </c>
    </row>
    <row r="1277" spans="1:5" x14ac:dyDescent="0.15">
      <c r="A1277" s="21">
        <v>41945</v>
      </c>
      <c r="B1277" s="22" t="s">
        <v>40</v>
      </c>
      <c r="C1277" s="22">
        <v>199.97499984316528</v>
      </c>
      <c r="D1277" s="22" t="s">
        <v>34</v>
      </c>
      <c r="E1277" t="str">
        <f t="shared" si="21"/>
        <v>2014年</v>
      </c>
    </row>
    <row r="1278" spans="1:5" x14ac:dyDescent="0.15">
      <c r="A1278" s="21">
        <v>41946</v>
      </c>
      <c r="B1278" s="22" t="s">
        <v>41</v>
      </c>
      <c r="C1278" s="22">
        <v>379.99999970197678</v>
      </c>
      <c r="D1278" s="22" t="s">
        <v>34</v>
      </c>
      <c r="E1278" t="str">
        <f t="shared" si="21"/>
        <v>2014年</v>
      </c>
    </row>
    <row r="1279" spans="1:5" x14ac:dyDescent="0.15">
      <c r="A1279" s="21">
        <v>41946</v>
      </c>
      <c r="B1279" s="22" t="s">
        <v>37</v>
      </c>
      <c r="C1279" s="22">
        <v>1510.4999988153577</v>
      </c>
      <c r="D1279" s="22" t="s">
        <v>34</v>
      </c>
      <c r="E1279" t="str">
        <f t="shared" si="21"/>
        <v>2014年</v>
      </c>
    </row>
    <row r="1280" spans="1:5" x14ac:dyDescent="0.15">
      <c r="A1280" s="21">
        <v>41946</v>
      </c>
      <c r="B1280" s="22" t="s">
        <v>42</v>
      </c>
      <c r="C1280" s="22">
        <v>360</v>
      </c>
      <c r="D1280" s="22" t="s">
        <v>39</v>
      </c>
      <c r="E1280" t="str">
        <f t="shared" si="21"/>
        <v>2014年</v>
      </c>
    </row>
    <row r="1281" spans="1:5" x14ac:dyDescent="0.15">
      <c r="A1281" s="21">
        <v>41947</v>
      </c>
      <c r="B1281" s="22" t="s">
        <v>37</v>
      </c>
      <c r="C1281" s="22">
        <v>372</v>
      </c>
      <c r="D1281" s="22" t="s">
        <v>39</v>
      </c>
      <c r="E1281" t="str">
        <f t="shared" si="21"/>
        <v>2014年</v>
      </c>
    </row>
    <row r="1282" spans="1:5" x14ac:dyDescent="0.15">
      <c r="A1282" s="21">
        <v>41947</v>
      </c>
      <c r="B1282" s="22" t="s">
        <v>37</v>
      </c>
      <c r="C1282" s="22">
        <v>912</v>
      </c>
      <c r="D1282" s="22" t="s">
        <v>39</v>
      </c>
      <c r="E1282" t="str">
        <f t="shared" ref="E1282:E1345" si="22">YEAR(A1282)&amp;"年"</f>
        <v>2014年</v>
      </c>
    </row>
    <row r="1283" spans="1:5" x14ac:dyDescent="0.15">
      <c r="A1283" s="21">
        <v>41947</v>
      </c>
      <c r="B1283" s="22" t="s">
        <v>35</v>
      </c>
      <c r="C1283" s="22">
        <v>175</v>
      </c>
      <c r="D1283" s="22" t="s">
        <v>39</v>
      </c>
      <c r="E1283" t="str">
        <f t="shared" si="22"/>
        <v>2014年</v>
      </c>
    </row>
    <row r="1284" spans="1:5" x14ac:dyDescent="0.15">
      <c r="A1284" s="21">
        <v>41947</v>
      </c>
      <c r="B1284" s="22" t="s">
        <v>40</v>
      </c>
      <c r="C1284" s="22">
        <v>750</v>
      </c>
      <c r="D1284" s="22" t="s">
        <v>39</v>
      </c>
      <c r="E1284" t="str">
        <f t="shared" si="22"/>
        <v>2014年</v>
      </c>
    </row>
    <row r="1285" spans="1:5" x14ac:dyDescent="0.15">
      <c r="A1285" s="21">
        <v>41947</v>
      </c>
      <c r="B1285" s="22" t="s">
        <v>38</v>
      </c>
      <c r="C1285" s="22">
        <v>388.35</v>
      </c>
      <c r="D1285" s="22" t="s">
        <v>39</v>
      </c>
      <c r="E1285" t="str">
        <f t="shared" si="22"/>
        <v>2014年</v>
      </c>
    </row>
    <row r="1286" spans="1:5" x14ac:dyDescent="0.15">
      <c r="A1286" s="21">
        <v>41947</v>
      </c>
      <c r="B1286" s="22" t="s">
        <v>42</v>
      </c>
      <c r="C1286" s="22">
        <v>360</v>
      </c>
      <c r="D1286" s="22" t="s">
        <v>39</v>
      </c>
      <c r="E1286" t="str">
        <f t="shared" si="22"/>
        <v>2014年</v>
      </c>
    </row>
    <row r="1287" spans="1:5" x14ac:dyDescent="0.15">
      <c r="A1287" s="21">
        <v>41950</v>
      </c>
      <c r="B1287" s="22" t="s">
        <v>40</v>
      </c>
      <c r="C1287" s="22">
        <v>512.99999915063381</v>
      </c>
      <c r="D1287" s="22" t="s">
        <v>34</v>
      </c>
      <c r="E1287" t="str">
        <f t="shared" si="22"/>
        <v>2014年</v>
      </c>
    </row>
    <row r="1288" spans="1:5" x14ac:dyDescent="0.15">
      <c r="A1288" s="21">
        <v>41950</v>
      </c>
      <c r="B1288" s="22" t="s">
        <v>40</v>
      </c>
      <c r="C1288" s="22">
        <v>23.399999961256981</v>
      </c>
      <c r="D1288" s="22" t="s">
        <v>34</v>
      </c>
      <c r="E1288" t="str">
        <f t="shared" si="22"/>
        <v>2014年</v>
      </c>
    </row>
    <row r="1289" spans="1:5" x14ac:dyDescent="0.15">
      <c r="A1289" s="21">
        <v>41951</v>
      </c>
      <c r="B1289" s="22" t="s">
        <v>40</v>
      </c>
      <c r="C1289" s="22">
        <v>842</v>
      </c>
      <c r="D1289" s="22" t="s">
        <v>34</v>
      </c>
      <c r="E1289" t="str">
        <f t="shared" si="22"/>
        <v>2014年</v>
      </c>
    </row>
    <row r="1290" spans="1:5" x14ac:dyDescent="0.15">
      <c r="A1290" s="21">
        <v>41951</v>
      </c>
      <c r="B1290" s="22" t="s">
        <v>42</v>
      </c>
      <c r="C1290" s="22">
        <v>155</v>
      </c>
      <c r="D1290" s="22" t="s">
        <v>34</v>
      </c>
      <c r="E1290" t="str">
        <f t="shared" si="22"/>
        <v>2014年</v>
      </c>
    </row>
    <row r="1291" spans="1:5" x14ac:dyDescent="0.15">
      <c r="A1291" s="21">
        <v>41951</v>
      </c>
      <c r="B1291" s="22" t="s">
        <v>38</v>
      </c>
      <c r="C1291" s="22">
        <v>24</v>
      </c>
      <c r="D1291" s="22" t="s">
        <v>39</v>
      </c>
      <c r="E1291" t="str">
        <f t="shared" si="22"/>
        <v>2014年</v>
      </c>
    </row>
    <row r="1292" spans="1:5" x14ac:dyDescent="0.15">
      <c r="A1292" s="21">
        <v>41951</v>
      </c>
      <c r="B1292" s="22" t="s">
        <v>38</v>
      </c>
      <c r="C1292" s="22">
        <v>115.8</v>
      </c>
      <c r="D1292" s="22" t="s">
        <v>39</v>
      </c>
      <c r="E1292" t="str">
        <f t="shared" si="22"/>
        <v>2014年</v>
      </c>
    </row>
    <row r="1293" spans="1:5" x14ac:dyDescent="0.15">
      <c r="A1293" s="21">
        <v>41952</v>
      </c>
      <c r="B1293" s="22" t="s">
        <v>41</v>
      </c>
      <c r="C1293" s="22">
        <v>52.35</v>
      </c>
      <c r="D1293" s="22" t="s">
        <v>39</v>
      </c>
      <c r="E1293" t="str">
        <f t="shared" si="22"/>
        <v>2014年</v>
      </c>
    </row>
    <row r="1294" spans="1:5" x14ac:dyDescent="0.15">
      <c r="A1294" s="21">
        <v>41952</v>
      </c>
      <c r="B1294" s="22" t="s">
        <v>38</v>
      </c>
      <c r="C1294" s="22">
        <v>114</v>
      </c>
      <c r="D1294" s="22" t="s">
        <v>39</v>
      </c>
      <c r="E1294" t="str">
        <f t="shared" si="22"/>
        <v>2014年</v>
      </c>
    </row>
    <row r="1295" spans="1:5" x14ac:dyDescent="0.15">
      <c r="A1295" s="21">
        <v>41952</v>
      </c>
      <c r="B1295" s="22" t="s">
        <v>35</v>
      </c>
      <c r="C1295" s="22">
        <v>126</v>
      </c>
      <c r="D1295" s="22" t="s">
        <v>39</v>
      </c>
      <c r="E1295" t="str">
        <f t="shared" si="22"/>
        <v>2014年</v>
      </c>
    </row>
    <row r="1296" spans="1:5" x14ac:dyDescent="0.15">
      <c r="A1296" s="21">
        <v>41953</v>
      </c>
      <c r="B1296" s="22" t="s">
        <v>37</v>
      </c>
      <c r="C1296" s="22">
        <v>182.39999932050705</v>
      </c>
      <c r="D1296" s="22" t="s">
        <v>39</v>
      </c>
      <c r="E1296" t="str">
        <f t="shared" si="22"/>
        <v>2014年</v>
      </c>
    </row>
    <row r="1297" spans="1:5" x14ac:dyDescent="0.15">
      <c r="A1297" s="21">
        <v>41953</v>
      </c>
      <c r="B1297" s="22" t="s">
        <v>42</v>
      </c>
      <c r="C1297" s="22">
        <v>503.99999812245369</v>
      </c>
      <c r="D1297" s="22" t="s">
        <v>39</v>
      </c>
      <c r="E1297" t="str">
        <f t="shared" si="22"/>
        <v>2014年</v>
      </c>
    </row>
    <row r="1298" spans="1:5" x14ac:dyDescent="0.15">
      <c r="A1298" s="21">
        <v>41953</v>
      </c>
      <c r="B1298" s="22" t="s">
        <v>38</v>
      </c>
      <c r="C1298" s="22">
        <v>303.99999886751175</v>
      </c>
      <c r="D1298" s="22" t="s">
        <v>39</v>
      </c>
      <c r="E1298" t="str">
        <f t="shared" si="22"/>
        <v>2014年</v>
      </c>
    </row>
    <row r="1299" spans="1:5" x14ac:dyDescent="0.15">
      <c r="A1299" s="21">
        <v>41953</v>
      </c>
      <c r="B1299" s="22" t="s">
        <v>35</v>
      </c>
      <c r="C1299" s="22">
        <v>425.59999841451645</v>
      </c>
      <c r="D1299" s="22" t="s">
        <v>39</v>
      </c>
      <c r="E1299" t="str">
        <f t="shared" si="22"/>
        <v>2014年</v>
      </c>
    </row>
    <row r="1300" spans="1:5" x14ac:dyDescent="0.15">
      <c r="A1300" s="21">
        <v>41954</v>
      </c>
      <c r="B1300" s="22" t="s">
        <v>42</v>
      </c>
      <c r="C1300" s="22">
        <v>227.99999915063381</v>
      </c>
      <c r="D1300" s="22" t="s">
        <v>39</v>
      </c>
      <c r="E1300" t="str">
        <f t="shared" si="22"/>
        <v>2014年</v>
      </c>
    </row>
    <row r="1301" spans="1:5" x14ac:dyDescent="0.15">
      <c r="A1301" s="21">
        <v>41954</v>
      </c>
      <c r="B1301" s="22" t="s">
        <v>40</v>
      </c>
      <c r="C1301" s="22">
        <v>200</v>
      </c>
      <c r="D1301" s="22" t="s">
        <v>39</v>
      </c>
      <c r="E1301" t="str">
        <f t="shared" si="22"/>
        <v>2014年</v>
      </c>
    </row>
    <row r="1302" spans="1:5" x14ac:dyDescent="0.15">
      <c r="A1302" s="21">
        <v>41954</v>
      </c>
      <c r="B1302" s="22" t="s">
        <v>36</v>
      </c>
      <c r="C1302" s="22">
        <v>1700</v>
      </c>
      <c r="D1302" s="22" t="s">
        <v>39</v>
      </c>
      <c r="E1302" t="str">
        <f t="shared" si="22"/>
        <v>2014年</v>
      </c>
    </row>
    <row r="1303" spans="1:5" x14ac:dyDescent="0.15">
      <c r="A1303" s="21">
        <v>41954</v>
      </c>
      <c r="B1303" s="22" t="s">
        <v>36</v>
      </c>
      <c r="C1303" s="22">
        <v>1218</v>
      </c>
      <c r="D1303" s="22" t="s">
        <v>39</v>
      </c>
      <c r="E1303" t="str">
        <f t="shared" si="22"/>
        <v>2014年</v>
      </c>
    </row>
    <row r="1304" spans="1:5" x14ac:dyDescent="0.15">
      <c r="A1304" s="21">
        <v>41957</v>
      </c>
      <c r="B1304" s="22" t="s">
        <v>38</v>
      </c>
      <c r="C1304" s="22">
        <v>319.19999974966049</v>
      </c>
      <c r="D1304" s="22" t="s">
        <v>39</v>
      </c>
      <c r="E1304" t="str">
        <f t="shared" si="22"/>
        <v>2014年</v>
      </c>
    </row>
    <row r="1305" spans="1:5" x14ac:dyDescent="0.15">
      <c r="A1305" s="21">
        <v>41957</v>
      </c>
      <c r="B1305" s="22" t="s">
        <v>38</v>
      </c>
      <c r="C1305" s="22">
        <v>735.99999725818634</v>
      </c>
      <c r="D1305" s="22" t="s">
        <v>34</v>
      </c>
      <c r="E1305" t="str">
        <f t="shared" si="22"/>
        <v>2014年</v>
      </c>
    </row>
    <row r="1306" spans="1:5" x14ac:dyDescent="0.15">
      <c r="A1306" s="21">
        <v>41958</v>
      </c>
      <c r="B1306" s="22" t="s">
        <v>38</v>
      </c>
      <c r="C1306" s="22">
        <v>1500</v>
      </c>
      <c r="D1306" s="22" t="s">
        <v>34</v>
      </c>
      <c r="E1306" t="str">
        <f t="shared" si="22"/>
        <v>2014年</v>
      </c>
    </row>
    <row r="1307" spans="1:5" x14ac:dyDescent="0.15">
      <c r="A1307" s="21">
        <v>41958</v>
      </c>
      <c r="B1307" s="22" t="s">
        <v>40</v>
      </c>
      <c r="C1307" s="22">
        <v>311.2</v>
      </c>
      <c r="D1307" s="22" t="s">
        <v>34</v>
      </c>
      <c r="E1307" t="str">
        <f t="shared" si="22"/>
        <v>2014年</v>
      </c>
    </row>
    <row r="1308" spans="1:5" x14ac:dyDescent="0.15">
      <c r="A1308" s="21">
        <v>41958</v>
      </c>
      <c r="B1308" s="22" t="s">
        <v>36</v>
      </c>
      <c r="C1308" s="22">
        <v>2475</v>
      </c>
      <c r="D1308" s="22" t="s">
        <v>34</v>
      </c>
      <c r="E1308" t="str">
        <f t="shared" si="22"/>
        <v>2014年</v>
      </c>
    </row>
    <row r="1309" spans="1:5" x14ac:dyDescent="0.15">
      <c r="A1309" s="21">
        <v>41958</v>
      </c>
      <c r="B1309" s="22" t="s">
        <v>36</v>
      </c>
      <c r="C1309" s="22">
        <v>243.6</v>
      </c>
      <c r="D1309" s="22" t="s">
        <v>34</v>
      </c>
      <c r="E1309" t="str">
        <f t="shared" si="22"/>
        <v>2014年</v>
      </c>
    </row>
    <row r="1310" spans="1:5" x14ac:dyDescent="0.15">
      <c r="A1310" s="21">
        <v>41959</v>
      </c>
      <c r="B1310" s="22" t="s">
        <v>38</v>
      </c>
      <c r="C1310" s="22">
        <v>36</v>
      </c>
      <c r="D1310" s="22" t="s">
        <v>39</v>
      </c>
      <c r="E1310" t="str">
        <f t="shared" si="22"/>
        <v>2014年</v>
      </c>
    </row>
    <row r="1311" spans="1:5" x14ac:dyDescent="0.15">
      <c r="A1311" s="21">
        <v>41959</v>
      </c>
      <c r="B1311" s="22" t="s">
        <v>35</v>
      </c>
      <c r="C1311" s="22">
        <v>392</v>
      </c>
      <c r="D1311" s="22" t="s">
        <v>39</v>
      </c>
      <c r="E1311" t="str">
        <f t="shared" si="22"/>
        <v>2014年</v>
      </c>
    </row>
    <row r="1312" spans="1:5" x14ac:dyDescent="0.15">
      <c r="A1312" s="21">
        <v>41959</v>
      </c>
      <c r="B1312" s="22" t="s">
        <v>41</v>
      </c>
      <c r="C1312" s="22">
        <v>443.7</v>
      </c>
      <c r="D1312" s="22" t="s">
        <v>39</v>
      </c>
      <c r="E1312" t="str">
        <f t="shared" si="22"/>
        <v>2014年</v>
      </c>
    </row>
    <row r="1313" spans="1:5" x14ac:dyDescent="0.15">
      <c r="A1313" s="21">
        <v>41959</v>
      </c>
      <c r="B1313" s="22" t="s">
        <v>36</v>
      </c>
      <c r="C1313" s="22">
        <v>1440</v>
      </c>
      <c r="D1313" s="22" t="s">
        <v>39</v>
      </c>
      <c r="E1313" t="str">
        <f t="shared" si="22"/>
        <v>2014年</v>
      </c>
    </row>
    <row r="1314" spans="1:5" x14ac:dyDescent="0.15">
      <c r="A1314" s="21">
        <v>41959</v>
      </c>
      <c r="B1314" s="22" t="s">
        <v>36</v>
      </c>
      <c r="C1314" s="22">
        <v>100</v>
      </c>
      <c r="D1314" s="22" t="s">
        <v>34</v>
      </c>
      <c r="E1314" t="str">
        <f t="shared" si="22"/>
        <v>2014年</v>
      </c>
    </row>
    <row r="1315" spans="1:5" x14ac:dyDescent="0.15">
      <c r="A1315" s="21">
        <v>41959</v>
      </c>
      <c r="B1315" s="22" t="s">
        <v>38</v>
      </c>
      <c r="C1315" s="22">
        <v>337.75</v>
      </c>
      <c r="D1315" s="22" t="s">
        <v>34</v>
      </c>
      <c r="E1315" t="str">
        <f t="shared" si="22"/>
        <v>2014年</v>
      </c>
    </row>
    <row r="1316" spans="1:5" x14ac:dyDescent="0.15">
      <c r="A1316" s="21">
        <v>41959</v>
      </c>
      <c r="B1316" s="22" t="s">
        <v>40</v>
      </c>
      <c r="C1316" s="22">
        <v>395.1</v>
      </c>
      <c r="D1316" s="22" t="s">
        <v>34</v>
      </c>
      <c r="E1316" t="str">
        <f t="shared" si="22"/>
        <v>2014年</v>
      </c>
    </row>
    <row r="1317" spans="1:5" x14ac:dyDescent="0.15">
      <c r="A1317" s="21">
        <v>41959</v>
      </c>
      <c r="B1317" s="22" t="s">
        <v>36</v>
      </c>
      <c r="C1317" s="22">
        <v>1080</v>
      </c>
      <c r="D1317" s="22" t="s">
        <v>34</v>
      </c>
      <c r="E1317" t="str">
        <f t="shared" si="22"/>
        <v>2014年</v>
      </c>
    </row>
    <row r="1318" spans="1:5" x14ac:dyDescent="0.15">
      <c r="A1318" s="21">
        <v>41960</v>
      </c>
      <c r="B1318" s="22" t="s">
        <v>35</v>
      </c>
      <c r="C1318" s="22">
        <v>396</v>
      </c>
      <c r="D1318" s="22" t="s">
        <v>39</v>
      </c>
      <c r="E1318" t="str">
        <f t="shared" si="22"/>
        <v>2014年</v>
      </c>
    </row>
    <row r="1319" spans="1:5" x14ac:dyDescent="0.15">
      <c r="A1319" s="21">
        <v>41960</v>
      </c>
      <c r="B1319" s="22" t="s">
        <v>38</v>
      </c>
      <c r="C1319" s="22">
        <v>736</v>
      </c>
      <c r="D1319" s="22" t="s">
        <v>39</v>
      </c>
      <c r="E1319" t="str">
        <f t="shared" si="22"/>
        <v>2014年</v>
      </c>
    </row>
    <row r="1320" spans="1:5" x14ac:dyDescent="0.15">
      <c r="A1320" s="21">
        <v>41960</v>
      </c>
      <c r="B1320" s="22" t="s">
        <v>35</v>
      </c>
      <c r="C1320" s="22">
        <v>1064</v>
      </c>
      <c r="D1320" s="22" t="s">
        <v>39</v>
      </c>
      <c r="E1320" t="str">
        <f t="shared" si="22"/>
        <v>2014年</v>
      </c>
    </row>
    <row r="1321" spans="1:5" x14ac:dyDescent="0.15">
      <c r="A1321" s="21">
        <v>41960</v>
      </c>
      <c r="B1321" s="22" t="s">
        <v>35</v>
      </c>
      <c r="C1321" s="22">
        <v>570</v>
      </c>
      <c r="D1321" s="22" t="s">
        <v>39</v>
      </c>
      <c r="E1321" t="str">
        <f t="shared" si="22"/>
        <v>2014年</v>
      </c>
    </row>
    <row r="1322" spans="1:5" x14ac:dyDescent="0.15">
      <c r="A1322" s="21">
        <v>41960</v>
      </c>
      <c r="B1322" s="22" t="s">
        <v>36</v>
      </c>
      <c r="C1322" s="22">
        <v>330</v>
      </c>
      <c r="D1322" s="22" t="s">
        <v>39</v>
      </c>
      <c r="E1322" t="str">
        <f t="shared" si="22"/>
        <v>2014年</v>
      </c>
    </row>
    <row r="1323" spans="1:5" x14ac:dyDescent="0.15">
      <c r="A1323" s="21">
        <v>41960</v>
      </c>
      <c r="B1323" s="22" t="s">
        <v>42</v>
      </c>
      <c r="C1323" s="22">
        <v>180</v>
      </c>
      <c r="D1323" s="22" t="s">
        <v>39</v>
      </c>
      <c r="E1323" t="str">
        <f t="shared" si="22"/>
        <v>2014年</v>
      </c>
    </row>
    <row r="1324" spans="1:5" x14ac:dyDescent="0.15">
      <c r="A1324" s="21">
        <v>41961</v>
      </c>
      <c r="B1324" s="22" t="s">
        <v>37</v>
      </c>
      <c r="C1324" s="22">
        <v>98.812499307096004</v>
      </c>
      <c r="D1324" s="22" t="s">
        <v>34</v>
      </c>
      <c r="E1324" t="str">
        <f t="shared" si="22"/>
        <v>2014年</v>
      </c>
    </row>
    <row r="1325" spans="1:5" x14ac:dyDescent="0.15">
      <c r="A1325" s="21">
        <v>41961</v>
      </c>
      <c r="B1325" s="22" t="s">
        <v>38</v>
      </c>
      <c r="C1325" s="22">
        <v>322.9999977350235</v>
      </c>
      <c r="D1325" s="22" t="s">
        <v>34</v>
      </c>
      <c r="E1325" t="str">
        <f t="shared" si="22"/>
        <v>2014年</v>
      </c>
    </row>
    <row r="1326" spans="1:5" x14ac:dyDescent="0.15">
      <c r="A1326" s="21">
        <v>41961</v>
      </c>
      <c r="B1326" s="22" t="s">
        <v>36</v>
      </c>
      <c r="C1326" s="22">
        <v>1168.7499918043613</v>
      </c>
      <c r="D1326" s="22" t="s">
        <v>34</v>
      </c>
      <c r="E1326" t="str">
        <f t="shared" si="22"/>
        <v>2014年</v>
      </c>
    </row>
    <row r="1327" spans="1:5" x14ac:dyDescent="0.15">
      <c r="A1327" s="21">
        <v>41964</v>
      </c>
      <c r="B1327" s="22" t="s">
        <v>41</v>
      </c>
      <c r="C1327" s="22">
        <v>337.28399944156411</v>
      </c>
      <c r="D1327" s="22" t="s">
        <v>39</v>
      </c>
      <c r="E1327" t="str">
        <f t="shared" si="22"/>
        <v>2014年</v>
      </c>
    </row>
    <row r="1328" spans="1:5" x14ac:dyDescent="0.15">
      <c r="A1328" s="21">
        <v>41964</v>
      </c>
      <c r="B1328" s="22" t="s">
        <v>38</v>
      </c>
      <c r="C1328" s="22">
        <v>776.7</v>
      </c>
      <c r="D1328" s="22" t="s">
        <v>39</v>
      </c>
      <c r="E1328" t="str">
        <f t="shared" si="22"/>
        <v>2014年</v>
      </c>
    </row>
    <row r="1329" spans="1:5" x14ac:dyDescent="0.15">
      <c r="A1329" s="21">
        <v>41964</v>
      </c>
      <c r="B1329" s="22" t="s">
        <v>41</v>
      </c>
      <c r="C1329" s="22">
        <v>292.49999951571226</v>
      </c>
      <c r="D1329" s="22" t="s">
        <v>39</v>
      </c>
      <c r="E1329" t="str">
        <f t="shared" si="22"/>
        <v>2014年</v>
      </c>
    </row>
    <row r="1330" spans="1:5" x14ac:dyDescent="0.15">
      <c r="A1330" s="21">
        <v>41964</v>
      </c>
      <c r="B1330" s="22" t="s">
        <v>38</v>
      </c>
      <c r="C1330" s="22">
        <v>225</v>
      </c>
      <c r="D1330" s="22" t="s">
        <v>39</v>
      </c>
      <c r="E1330" t="str">
        <f t="shared" si="22"/>
        <v>2014年</v>
      </c>
    </row>
    <row r="1331" spans="1:5" x14ac:dyDescent="0.15">
      <c r="A1331" s="21">
        <v>41964</v>
      </c>
      <c r="B1331" s="22" t="s">
        <v>42</v>
      </c>
      <c r="C1331" s="22">
        <v>144</v>
      </c>
      <c r="D1331" s="22" t="s">
        <v>39</v>
      </c>
      <c r="E1331" t="str">
        <f t="shared" si="22"/>
        <v>2014年</v>
      </c>
    </row>
    <row r="1332" spans="1:5" x14ac:dyDescent="0.15">
      <c r="A1332" s="21">
        <v>41964</v>
      </c>
      <c r="B1332" s="22" t="s">
        <v>36</v>
      </c>
      <c r="C1332" s="22">
        <v>108</v>
      </c>
      <c r="D1332" s="22" t="s">
        <v>39</v>
      </c>
      <c r="E1332" t="str">
        <f t="shared" si="22"/>
        <v>2014年</v>
      </c>
    </row>
    <row r="1333" spans="1:5" x14ac:dyDescent="0.15">
      <c r="A1333" s="21">
        <v>41965</v>
      </c>
      <c r="B1333" s="22" t="s">
        <v>38</v>
      </c>
      <c r="C1333" s="22">
        <v>38</v>
      </c>
      <c r="D1333" s="22" t="s">
        <v>39</v>
      </c>
      <c r="E1333" t="str">
        <f t="shared" si="22"/>
        <v>2014年</v>
      </c>
    </row>
    <row r="1334" spans="1:5" x14ac:dyDescent="0.15">
      <c r="A1334" s="21">
        <v>41965</v>
      </c>
      <c r="B1334" s="22" t="s">
        <v>37</v>
      </c>
      <c r="C1334" s="22">
        <v>50</v>
      </c>
      <c r="D1334" s="22" t="s">
        <v>39</v>
      </c>
      <c r="E1334" t="str">
        <f t="shared" si="22"/>
        <v>2014年</v>
      </c>
    </row>
    <row r="1335" spans="1:5" x14ac:dyDescent="0.15">
      <c r="A1335" s="21">
        <v>41965</v>
      </c>
      <c r="B1335" s="22" t="s">
        <v>38</v>
      </c>
      <c r="C1335" s="22">
        <v>55.2</v>
      </c>
      <c r="D1335" s="22" t="s">
        <v>34</v>
      </c>
      <c r="E1335" t="str">
        <f t="shared" si="22"/>
        <v>2014年</v>
      </c>
    </row>
    <row r="1336" spans="1:5" x14ac:dyDescent="0.15">
      <c r="A1336" s="21">
        <v>41966</v>
      </c>
      <c r="B1336" s="22" t="s">
        <v>41</v>
      </c>
      <c r="C1336" s="22">
        <v>213.75</v>
      </c>
      <c r="D1336" s="22" t="s">
        <v>39</v>
      </c>
      <c r="E1336" t="str">
        <f t="shared" si="22"/>
        <v>2014年</v>
      </c>
    </row>
    <row r="1337" spans="1:5" x14ac:dyDescent="0.15">
      <c r="A1337" s="21">
        <v>41966</v>
      </c>
      <c r="B1337" s="22" t="s">
        <v>35</v>
      </c>
      <c r="C1337" s="22">
        <v>855</v>
      </c>
      <c r="D1337" s="22" t="s">
        <v>39</v>
      </c>
      <c r="E1337" t="str">
        <f t="shared" si="22"/>
        <v>2014年</v>
      </c>
    </row>
    <row r="1338" spans="1:5" x14ac:dyDescent="0.15">
      <c r="A1338" s="21">
        <v>41966</v>
      </c>
      <c r="B1338" s="22" t="s">
        <v>35</v>
      </c>
      <c r="C1338" s="22">
        <v>204.75</v>
      </c>
      <c r="D1338" s="22" t="s">
        <v>39</v>
      </c>
      <c r="E1338" t="str">
        <f t="shared" si="22"/>
        <v>2014年</v>
      </c>
    </row>
    <row r="1339" spans="1:5" x14ac:dyDescent="0.15">
      <c r="A1339" s="21">
        <v>41966</v>
      </c>
      <c r="B1339" s="22" t="s">
        <v>36</v>
      </c>
      <c r="C1339" s="22">
        <v>675</v>
      </c>
      <c r="D1339" s="22" t="s">
        <v>39</v>
      </c>
      <c r="E1339" t="str">
        <f t="shared" si="22"/>
        <v>2014年</v>
      </c>
    </row>
    <row r="1340" spans="1:5" x14ac:dyDescent="0.15">
      <c r="A1340" s="21">
        <v>41967</v>
      </c>
      <c r="B1340" s="22" t="s">
        <v>38</v>
      </c>
      <c r="C1340" s="22">
        <v>1049.9999960884452</v>
      </c>
      <c r="D1340" s="22" t="s">
        <v>39</v>
      </c>
      <c r="E1340" t="str">
        <f t="shared" si="22"/>
        <v>2014年</v>
      </c>
    </row>
    <row r="1341" spans="1:5" x14ac:dyDescent="0.15">
      <c r="A1341" s="21">
        <v>41967</v>
      </c>
      <c r="B1341" s="22" t="s">
        <v>38</v>
      </c>
      <c r="C1341" s="22">
        <v>303.99999886751175</v>
      </c>
      <c r="D1341" s="22" t="s">
        <v>39</v>
      </c>
      <c r="E1341" t="str">
        <f t="shared" si="22"/>
        <v>2014年</v>
      </c>
    </row>
    <row r="1342" spans="1:5" x14ac:dyDescent="0.15">
      <c r="A1342" s="21">
        <v>41967</v>
      </c>
      <c r="B1342" s="22" t="s">
        <v>41</v>
      </c>
      <c r="C1342" s="22">
        <v>59.999999776482582</v>
      </c>
      <c r="D1342" s="22" t="s">
        <v>39</v>
      </c>
      <c r="E1342" t="str">
        <f t="shared" si="22"/>
        <v>2014年</v>
      </c>
    </row>
    <row r="1343" spans="1:5" x14ac:dyDescent="0.15">
      <c r="A1343" s="21">
        <v>41967</v>
      </c>
      <c r="B1343" s="22" t="s">
        <v>36</v>
      </c>
      <c r="C1343" s="22">
        <v>575.99999785423279</v>
      </c>
      <c r="D1343" s="22" t="s">
        <v>39</v>
      </c>
      <c r="E1343" t="str">
        <f t="shared" si="22"/>
        <v>2014年</v>
      </c>
    </row>
    <row r="1344" spans="1:5" x14ac:dyDescent="0.15">
      <c r="A1344" s="21">
        <v>41967</v>
      </c>
      <c r="B1344" s="22" t="s">
        <v>42</v>
      </c>
      <c r="C1344" s="22">
        <v>420</v>
      </c>
      <c r="D1344" s="22" t="s">
        <v>34</v>
      </c>
      <c r="E1344" t="str">
        <f t="shared" si="22"/>
        <v>2014年</v>
      </c>
    </row>
    <row r="1345" spans="1:5" x14ac:dyDescent="0.15">
      <c r="A1345" s="21">
        <v>41967</v>
      </c>
      <c r="B1345" s="22" t="s">
        <v>36</v>
      </c>
      <c r="C1345" s="22">
        <v>385</v>
      </c>
      <c r="D1345" s="22" t="s">
        <v>34</v>
      </c>
      <c r="E1345" t="str">
        <f t="shared" si="22"/>
        <v>2014年</v>
      </c>
    </row>
    <row r="1346" spans="1:5" x14ac:dyDescent="0.15">
      <c r="A1346" s="21">
        <v>41967</v>
      </c>
      <c r="B1346" s="22" t="s">
        <v>41</v>
      </c>
      <c r="C1346" s="22">
        <v>1479</v>
      </c>
      <c r="D1346" s="22" t="s">
        <v>34</v>
      </c>
      <c r="E1346" t="str">
        <f t="shared" ref="E1346:E1409" si="23">YEAR(A1346)&amp;"年"</f>
        <v>2014年</v>
      </c>
    </row>
    <row r="1347" spans="1:5" x14ac:dyDescent="0.15">
      <c r="A1347" s="21">
        <v>41967</v>
      </c>
      <c r="B1347" s="22" t="s">
        <v>35</v>
      </c>
      <c r="C1347" s="22">
        <v>798</v>
      </c>
      <c r="D1347" s="22" t="s">
        <v>34</v>
      </c>
      <c r="E1347" t="str">
        <f t="shared" si="23"/>
        <v>2014年</v>
      </c>
    </row>
    <row r="1348" spans="1:5" x14ac:dyDescent="0.15">
      <c r="A1348" s="21">
        <v>41968</v>
      </c>
      <c r="B1348" s="22" t="s">
        <v>41</v>
      </c>
      <c r="C1348" s="22">
        <v>624.6</v>
      </c>
      <c r="D1348" s="22" t="s">
        <v>39</v>
      </c>
      <c r="E1348" t="str">
        <f t="shared" si="23"/>
        <v>2014年</v>
      </c>
    </row>
    <row r="1349" spans="1:5" x14ac:dyDescent="0.15">
      <c r="A1349" s="21">
        <v>41968</v>
      </c>
      <c r="B1349" s="22" t="s">
        <v>35</v>
      </c>
      <c r="C1349" s="22">
        <v>420</v>
      </c>
      <c r="D1349" s="22" t="s">
        <v>39</v>
      </c>
      <c r="E1349" t="str">
        <f t="shared" si="23"/>
        <v>2014年</v>
      </c>
    </row>
    <row r="1350" spans="1:5" x14ac:dyDescent="0.15">
      <c r="A1350" s="21">
        <v>41968</v>
      </c>
      <c r="B1350" s="22" t="s">
        <v>42</v>
      </c>
      <c r="C1350" s="22">
        <v>600</v>
      </c>
      <c r="D1350" s="22" t="s">
        <v>39</v>
      </c>
      <c r="E1350" t="str">
        <f t="shared" si="23"/>
        <v>2014年</v>
      </c>
    </row>
    <row r="1351" spans="1:5" x14ac:dyDescent="0.15">
      <c r="A1351" s="21">
        <v>41968</v>
      </c>
      <c r="B1351" s="22" t="s">
        <v>36</v>
      </c>
      <c r="C1351" s="22">
        <v>320</v>
      </c>
      <c r="D1351" s="22" t="s">
        <v>39</v>
      </c>
      <c r="E1351" t="str">
        <f t="shared" si="23"/>
        <v>2014年</v>
      </c>
    </row>
    <row r="1352" spans="1:5" x14ac:dyDescent="0.15">
      <c r="A1352" s="21">
        <v>41971</v>
      </c>
      <c r="B1352" s="22" t="s">
        <v>41</v>
      </c>
      <c r="C1352" s="22">
        <v>126</v>
      </c>
      <c r="D1352" s="22" t="s">
        <v>39</v>
      </c>
      <c r="E1352" t="str">
        <f t="shared" si="23"/>
        <v>2014年</v>
      </c>
    </row>
    <row r="1353" spans="1:5" x14ac:dyDescent="0.15">
      <c r="A1353" s="21">
        <v>41971</v>
      </c>
      <c r="B1353" s="22" t="s">
        <v>41</v>
      </c>
      <c r="C1353" s="22">
        <v>1756</v>
      </c>
      <c r="D1353" s="22" t="s">
        <v>39</v>
      </c>
      <c r="E1353" t="str">
        <f t="shared" si="23"/>
        <v>2014年</v>
      </c>
    </row>
    <row r="1354" spans="1:5" x14ac:dyDescent="0.15">
      <c r="A1354" s="21">
        <v>41971</v>
      </c>
      <c r="B1354" s="22" t="s">
        <v>42</v>
      </c>
      <c r="C1354" s="22">
        <v>1035</v>
      </c>
      <c r="D1354" s="22" t="s">
        <v>39</v>
      </c>
      <c r="E1354" t="str">
        <f t="shared" si="23"/>
        <v>2014年</v>
      </c>
    </row>
    <row r="1355" spans="1:5" x14ac:dyDescent="0.15">
      <c r="A1355" s="21">
        <v>41972</v>
      </c>
      <c r="B1355" s="22" t="s">
        <v>41</v>
      </c>
      <c r="C1355" s="22">
        <v>367.5</v>
      </c>
      <c r="D1355" s="22" t="s">
        <v>34</v>
      </c>
      <c r="E1355" t="str">
        <f t="shared" si="23"/>
        <v>2014年</v>
      </c>
    </row>
    <row r="1356" spans="1:5" x14ac:dyDescent="0.15">
      <c r="A1356" s="21">
        <v>41972</v>
      </c>
      <c r="B1356" s="22" t="s">
        <v>42</v>
      </c>
      <c r="C1356" s="22">
        <v>139.5</v>
      </c>
      <c r="D1356" s="22" t="s">
        <v>34</v>
      </c>
      <c r="E1356" t="str">
        <f t="shared" si="23"/>
        <v>2014年</v>
      </c>
    </row>
    <row r="1357" spans="1:5" x14ac:dyDescent="0.15">
      <c r="A1357" s="21">
        <v>41972</v>
      </c>
      <c r="B1357" s="22" t="s">
        <v>42</v>
      </c>
      <c r="C1357" s="22">
        <v>288</v>
      </c>
      <c r="D1357" s="22" t="s">
        <v>39</v>
      </c>
      <c r="E1357" t="str">
        <f t="shared" si="23"/>
        <v>2014年</v>
      </c>
    </row>
    <row r="1358" spans="1:5" x14ac:dyDescent="0.15">
      <c r="A1358" s="21">
        <v>41972</v>
      </c>
      <c r="B1358" s="22" t="s">
        <v>41</v>
      </c>
      <c r="C1358" s="22">
        <v>285</v>
      </c>
      <c r="D1358" s="22" t="s">
        <v>39</v>
      </c>
      <c r="E1358" t="str">
        <f t="shared" si="23"/>
        <v>2014年</v>
      </c>
    </row>
    <row r="1359" spans="1:5" x14ac:dyDescent="0.15">
      <c r="A1359" s="21">
        <v>41972</v>
      </c>
      <c r="B1359" s="22" t="s">
        <v>37</v>
      </c>
      <c r="C1359" s="22">
        <v>1484</v>
      </c>
      <c r="D1359" s="22" t="s">
        <v>39</v>
      </c>
      <c r="E1359" t="str">
        <f t="shared" si="23"/>
        <v>2014年</v>
      </c>
    </row>
    <row r="1360" spans="1:5" x14ac:dyDescent="0.15">
      <c r="A1360" s="21">
        <v>41972</v>
      </c>
      <c r="B1360" s="22" t="s">
        <v>35</v>
      </c>
      <c r="C1360" s="22">
        <v>2280</v>
      </c>
      <c r="D1360" s="22" t="s">
        <v>39</v>
      </c>
      <c r="E1360" t="str">
        <f t="shared" si="23"/>
        <v>2014年</v>
      </c>
    </row>
    <row r="1361" spans="1:5" x14ac:dyDescent="0.15">
      <c r="A1361" s="21">
        <v>41973</v>
      </c>
      <c r="B1361" s="22" t="s">
        <v>41</v>
      </c>
      <c r="C1361" s="22">
        <v>400</v>
      </c>
      <c r="D1361" s="22" t="s">
        <v>39</v>
      </c>
      <c r="E1361" t="str">
        <f t="shared" si="23"/>
        <v>2014年</v>
      </c>
    </row>
    <row r="1362" spans="1:5" x14ac:dyDescent="0.15">
      <c r="A1362" s="21">
        <v>41973</v>
      </c>
      <c r="B1362" s="22" t="s">
        <v>35</v>
      </c>
      <c r="C1362" s="22">
        <v>126</v>
      </c>
      <c r="D1362" s="22" t="s">
        <v>39</v>
      </c>
      <c r="E1362" t="str">
        <f t="shared" si="23"/>
        <v>2014年</v>
      </c>
    </row>
    <row r="1363" spans="1:5" x14ac:dyDescent="0.15">
      <c r="A1363" s="21">
        <v>41973</v>
      </c>
      <c r="B1363" s="22" t="s">
        <v>42</v>
      </c>
      <c r="C1363" s="22">
        <v>90</v>
      </c>
      <c r="D1363" s="22" t="s">
        <v>39</v>
      </c>
      <c r="E1363" t="str">
        <f t="shared" si="23"/>
        <v>2014年</v>
      </c>
    </row>
    <row r="1364" spans="1:5" x14ac:dyDescent="0.15">
      <c r="A1364" s="21">
        <v>41973</v>
      </c>
      <c r="B1364" s="22" t="s">
        <v>40</v>
      </c>
      <c r="C1364" s="22">
        <v>179.99999970197678</v>
      </c>
      <c r="D1364" s="22" t="s">
        <v>34</v>
      </c>
      <c r="E1364" t="str">
        <f t="shared" si="23"/>
        <v>2014年</v>
      </c>
    </row>
    <row r="1365" spans="1:5" x14ac:dyDescent="0.15">
      <c r="A1365" s="21">
        <v>41973</v>
      </c>
      <c r="B1365" s="22" t="s">
        <v>42</v>
      </c>
      <c r="C1365" s="22">
        <v>2105.9999965131283</v>
      </c>
      <c r="D1365" s="22" t="s">
        <v>34</v>
      </c>
      <c r="E1365" t="str">
        <f t="shared" si="23"/>
        <v>2014年</v>
      </c>
    </row>
    <row r="1366" spans="1:5" x14ac:dyDescent="0.15">
      <c r="A1366" s="21">
        <v>41974</v>
      </c>
      <c r="B1366" s="22" t="s">
        <v>40</v>
      </c>
      <c r="C1366" s="22">
        <v>1515.5999974906445</v>
      </c>
      <c r="D1366" s="22" t="s">
        <v>39</v>
      </c>
      <c r="E1366" t="str">
        <f t="shared" si="23"/>
        <v>2014年</v>
      </c>
    </row>
    <row r="1367" spans="1:5" x14ac:dyDescent="0.15">
      <c r="A1367" s="21">
        <v>41975</v>
      </c>
      <c r="B1367" s="22" t="s">
        <v>42</v>
      </c>
      <c r="C1367" s="22">
        <v>760</v>
      </c>
      <c r="D1367" s="22" t="s">
        <v>39</v>
      </c>
      <c r="E1367" t="str">
        <f t="shared" si="23"/>
        <v>2014年</v>
      </c>
    </row>
    <row r="1368" spans="1:5" x14ac:dyDescent="0.15">
      <c r="A1368" s="21">
        <v>41975</v>
      </c>
      <c r="B1368" s="22" t="s">
        <v>37</v>
      </c>
      <c r="C1368" s="22">
        <v>1050</v>
      </c>
      <c r="D1368" s="22" t="s">
        <v>39</v>
      </c>
      <c r="E1368" t="str">
        <f t="shared" si="23"/>
        <v>2014年</v>
      </c>
    </row>
    <row r="1369" spans="1:5" x14ac:dyDescent="0.15">
      <c r="A1369" s="21">
        <v>41975</v>
      </c>
      <c r="B1369" s="22" t="s">
        <v>41</v>
      </c>
      <c r="C1369" s="22">
        <v>500</v>
      </c>
      <c r="D1369" s="22" t="s">
        <v>39</v>
      </c>
      <c r="E1369" t="str">
        <f t="shared" si="23"/>
        <v>2014年</v>
      </c>
    </row>
    <row r="1370" spans="1:5" x14ac:dyDescent="0.15">
      <c r="A1370" s="21">
        <v>41975</v>
      </c>
      <c r="B1370" s="22" t="s">
        <v>35</v>
      </c>
      <c r="C1370" s="22">
        <v>28</v>
      </c>
      <c r="D1370" s="22" t="s">
        <v>39</v>
      </c>
      <c r="E1370" t="str">
        <f t="shared" si="23"/>
        <v>2014年</v>
      </c>
    </row>
    <row r="1371" spans="1:5" x14ac:dyDescent="0.15">
      <c r="A1371" s="21">
        <v>41978</v>
      </c>
      <c r="B1371" s="22" t="s">
        <v>35</v>
      </c>
      <c r="C1371" s="22">
        <v>84</v>
      </c>
      <c r="D1371" s="22" t="s">
        <v>39</v>
      </c>
      <c r="E1371" t="str">
        <f t="shared" si="23"/>
        <v>2014年</v>
      </c>
    </row>
    <row r="1372" spans="1:5" x14ac:dyDescent="0.15">
      <c r="A1372" s="21">
        <v>41978</v>
      </c>
      <c r="B1372" s="22" t="s">
        <v>36</v>
      </c>
      <c r="C1372" s="22">
        <v>625</v>
      </c>
      <c r="D1372" s="22" t="s">
        <v>39</v>
      </c>
      <c r="E1372" t="str">
        <f t="shared" si="23"/>
        <v>2014年</v>
      </c>
    </row>
    <row r="1373" spans="1:5" x14ac:dyDescent="0.15">
      <c r="A1373" s="21">
        <v>41978</v>
      </c>
      <c r="B1373" s="22" t="s">
        <v>36</v>
      </c>
      <c r="C1373" s="22">
        <v>510</v>
      </c>
      <c r="D1373" s="22" t="s">
        <v>39</v>
      </c>
      <c r="E1373" t="str">
        <f t="shared" si="23"/>
        <v>2014年</v>
      </c>
    </row>
    <row r="1374" spans="1:5" x14ac:dyDescent="0.15">
      <c r="A1374" s="21">
        <v>41978</v>
      </c>
      <c r="B1374" s="22" t="s">
        <v>36</v>
      </c>
      <c r="C1374" s="22">
        <v>258</v>
      </c>
      <c r="D1374" s="22" t="s">
        <v>39</v>
      </c>
      <c r="E1374" t="str">
        <f t="shared" si="23"/>
        <v>2014年</v>
      </c>
    </row>
    <row r="1375" spans="1:5" x14ac:dyDescent="0.15">
      <c r="A1375" s="21">
        <v>41978</v>
      </c>
      <c r="B1375" s="22" t="s">
        <v>38</v>
      </c>
      <c r="C1375" s="22">
        <v>275.02499978430569</v>
      </c>
      <c r="D1375" s="22" t="s">
        <v>39</v>
      </c>
      <c r="E1375" t="str">
        <f t="shared" si="23"/>
        <v>2014年</v>
      </c>
    </row>
    <row r="1376" spans="1:5" x14ac:dyDescent="0.15">
      <c r="A1376" s="21">
        <v>41978</v>
      </c>
      <c r="B1376" s="22" t="s">
        <v>35</v>
      </c>
      <c r="C1376" s="22">
        <v>99.749999921768904</v>
      </c>
      <c r="D1376" s="22" t="s">
        <v>39</v>
      </c>
      <c r="E1376" t="str">
        <f t="shared" si="23"/>
        <v>2014年</v>
      </c>
    </row>
    <row r="1377" spans="1:5" x14ac:dyDescent="0.15">
      <c r="A1377" s="21">
        <v>41978</v>
      </c>
      <c r="B1377" s="22" t="s">
        <v>40</v>
      </c>
      <c r="C1377" s="22">
        <v>570</v>
      </c>
      <c r="D1377" s="22" t="s">
        <v>39</v>
      </c>
      <c r="E1377" t="str">
        <f t="shared" si="23"/>
        <v>2014年</v>
      </c>
    </row>
    <row r="1378" spans="1:5" x14ac:dyDescent="0.15">
      <c r="A1378" s="21">
        <v>41978</v>
      </c>
      <c r="B1378" s="22" t="s">
        <v>41</v>
      </c>
      <c r="C1378" s="22">
        <v>739.5</v>
      </c>
      <c r="D1378" s="22" t="s">
        <v>39</v>
      </c>
      <c r="E1378" t="str">
        <f t="shared" si="23"/>
        <v>2014年</v>
      </c>
    </row>
    <row r="1379" spans="1:5" x14ac:dyDescent="0.15">
      <c r="A1379" s="21">
        <v>41979</v>
      </c>
      <c r="B1379" s="22" t="s">
        <v>36</v>
      </c>
      <c r="C1379" s="22">
        <v>236.25</v>
      </c>
      <c r="D1379" s="22" t="s">
        <v>39</v>
      </c>
      <c r="E1379" t="str">
        <f t="shared" si="23"/>
        <v>2014年</v>
      </c>
    </row>
    <row r="1380" spans="1:5" x14ac:dyDescent="0.15">
      <c r="A1380" s="21">
        <v>41980</v>
      </c>
      <c r="B1380" s="22" t="s">
        <v>36</v>
      </c>
      <c r="C1380" s="22">
        <v>344</v>
      </c>
      <c r="D1380" s="22" t="s">
        <v>34</v>
      </c>
      <c r="E1380" t="str">
        <f t="shared" si="23"/>
        <v>2014年</v>
      </c>
    </row>
    <row r="1381" spans="1:5" x14ac:dyDescent="0.15">
      <c r="A1381" s="21">
        <v>41980</v>
      </c>
      <c r="B1381" s="22" t="s">
        <v>33</v>
      </c>
      <c r="C1381" s="22">
        <v>2228.2199999999998</v>
      </c>
      <c r="D1381" s="22" t="s">
        <v>39</v>
      </c>
      <c r="E1381" t="str">
        <f t="shared" si="23"/>
        <v>2014年</v>
      </c>
    </row>
    <row r="1382" spans="1:5" x14ac:dyDescent="0.15">
      <c r="A1382" s="21">
        <v>41980</v>
      </c>
      <c r="B1382" s="22" t="s">
        <v>36</v>
      </c>
      <c r="C1382" s="22">
        <v>1375</v>
      </c>
      <c r="D1382" s="22" t="s">
        <v>39</v>
      </c>
      <c r="E1382" t="str">
        <f t="shared" si="23"/>
        <v>2014年</v>
      </c>
    </row>
    <row r="1383" spans="1:5" x14ac:dyDescent="0.15">
      <c r="A1383" s="21">
        <v>41981</v>
      </c>
      <c r="B1383" s="22" t="s">
        <v>33</v>
      </c>
      <c r="C1383" s="22">
        <v>1287</v>
      </c>
      <c r="D1383" s="22" t="s">
        <v>39</v>
      </c>
      <c r="E1383" t="str">
        <f t="shared" si="23"/>
        <v>2014年</v>
      </c>
    </row>
    <row r="1384" spans="1:5" x14ac:dyDescent="0.15">
      <c r="A1384" s="21">
        <v>41981</v>
      </c>
      <c r="B1384" s="22" t="s">
        <v>36</v>
      </c>
      <c r="C1384" s="22">
        <v>699.99999739229679</v>
      </c>
      <c r="D1384" s="22" t="s">
        <v>39</v>
      </c>
      <c r="E1384" t="str">
        <f t="shared" si="23"/>
        <v>2014年</v>
      </c>
    </row>
    <row r="1385" spans="1:5" x14ac:dyDescent="0.15">
      <c r="A1385" s="21">
        <v>41981</v>
      </c>
      <c r="B1385" s="22" t="s">
        <v>42</v>
      </c>
      <c r="C1385" s="22">
        <v>43.399999838322401</v>
      </c>
      <c r="D1385" s="22" t="s">
        <v>39</v>
      </c>
      <c r="E1385" t="str">
        <f t="shared" si="23"/>
        <v>2014年</v>
      </c>
    </row>
    <row r="1386" spans="1:5" x14ac:dyDescent="0.15">
      <c r="A1386" s="21">
        <v>41981</v>
      </c>
      <c r="B1386" s="22" t="s">
        <v>36</v>
      </c>
      <c r="C1386" s="22">
        <v>18.75</v>
      </c>
      <c r="D1386" s="22" t="s">
        <v>39</v>
      </c>
      <c r="E1386" t="str">
        <f t="shared" si="23"/>
        <v>2014年</v>
      </c>
    </row>
    <row r="1387" spans="1:5" x14ac:dyDescent="0.15">
      <c r="A1387" s="21">
        <v>41981</v>
      </c>
      <c r="B1387" s="22" t="s">
        <v>40</v>
      </c>
      <c r="C1387" s="22">
        <v>850</v>
      </c>
      <c r="D1387" s="22" t="s">
        <v>39</v>
      </c>
      <c r="E1387" t="str">
        <f t="shared" si="23"/>
        <v>2014年</v>
      </c>
    </row>
    <row r="1388" spans="1:5" x14ac:dyDescent="0.15">
      <c r="A1388" s="21">
        <v>41982</v>
      </c>
      <c r="B1388" s="22" t="s">
        <v>38</v>
      </c>
      <c r="C1388" s="22">
        <v>186</v>
      </c>
      <c r="D1388" s="22" t="s">
        <v>34</v>
      </c>
      <c r="E1388" t="str">
        <f t="shared" si="23"/>
        <v>2014年</v>
      </c>
    </row>
    <row r="1389" spans="1:5" x14ac:dyDescent="0.15">
      <c r="A1389" s="21">
        <v>41982</v>
      </c>
      <c r="B1389" s="22" t="s">
        <v>42</v>
      </c>
      <c r="C1389" s="22">
        <v>42</v>
      </c>
      <c r="D1389" s="22" t="s">
        <v>34</v>
      </c>
      <c r="E1389" t="str">
        <f t="shared" si="23"/>
        <v>2014年</v>
      </c>
    </row>
    <row r="1390" spans="1:5" x14ac:dyDescent="0.15">
      <c r="A1390" s="21">
        <v>41985</v>
      </c>
      <c r="B1390" s="22" t="s">
        <v>36</v>
      </c>
      <c r="C1390" s="22">
        <v>189.99999985098839</v>
      </c>
      <c r="D1390" s="22" t="s">
        <v>39</v>
      </c>
      <c r="E1390" t="str">
        <f t="shared" si="23"/>
        <v>2014年</v>
      </c>
    </row>
    <row r="1391" spans="1:5" x14ac:dyDescent="0.15">
      <c r="A1391" s="21">
        <v>41985</v>
      </c>
      <c r="B1391" s="22" t="s">
        <v>35</v>
      </c>
      <c r="C1391" s="22">
        <v>159.59999987483025</v>
      </c>
      <c r="D1391" s="22" t="s">
        <v>39</v>
      </c>
      <c r="E1391" t="str">
        <f t="shared" si="23"/>
        <v>2014年</v>
      </c>
    </row>
    <row r="1392" spans="1:5" x14ac:dyDescent="0.15">
      <c r="A1392" s="21">
        <v>41985</v>
      </c>
      <c r="B1392" s="22" t="s">
        <v>38</v>
      </c>
      <c r="C1392" s="22">
        <v>243.67499980889261</v>
      </c>
      <c r="D1392" s="22" t="s">
        <v>39</v>
      </c>
      <c r="E1392" t="str">
        <f t="shared" si="23"/>
        <v>2014年</v>
      </c>
    </row>
    <row r="1393" spans="1:5" x14ac:dyDescent="0.15">
      <c r="A1393" s="21">
        <v>41985</v>
      </c>
      <c r="B1393" s="22" t="s">
        <v>37</v>
      </c>
      <c r="C1393" s="22">
        <v>6041.9999952614307</v>
      </c>
      <c r="D1393" s="22" t="s">
        <v>39</v>
      </c>
      <c r="E1393" t="str">
        <f t="shared" si="23"/>
        <v>2014年</v>
      </c>
    </row>
    <row r="1394" spans="1:5" x14ac:dyDescent="0.15">
      <c r="A1394" s="21">
        <v>41985</v>
      </c>
      <c r="B1394" s="22" t="s">
        <v>35</v>
      </c>
      <c r="C1394" s="22">
        <v>223.99999916553497</v>
      </c>
      <c r="D1394" s="22" t="s">
        <v>34</v>
      </c>
      <c r="E1394" t="str">
        <f t="shared" si="23"/>
        <v>2014年</v>
      </c>
    </row>
    <row r="1395" spans="1:5" x14ac:dyDescent="0.15">
      <c r="A1395" s="21">
        <v>41986</v>
      </c>
      <c r="B1395" s="22" t="s">
        <v>38</v>
      </c>
      <c r="C1395" s="22">
        <v>96.5</v>
      </c>
      <c r="D1395" s="22" t="s">
        <v>39</v>
      </c>
      <c r="E1395" t="str">
        <f t="shared" si="23"/>
        <v>2014年</v>
      </c>
    </row>
    <row r="1396" spans="1:5" x14ac:dyDescent="0.15">
      <c r="A1396" s="21">
        <v>41986</v>
      </c>
      <c r="B1396" s="22" t="s">
        <v>41</v>
      </c>
      <c r="C1396" s="22">
        <v>349</v>
      </c>
      <c r="D1396" s="22" t="s">
        <v>39</v>
      </c>
      <c r="E1396" t="str">
        <f t="shared" si="23"/>
        <v>2014年</v>
      </c>
    </row>
    <row r="1397" spans="1:5" x14ac:dyDescent="0.15">
      <c r="A1397" s="21">
        <v>41986</v>
      </c>
      <c r="B1397" s="22" t="s">
        <v>41</v>
      </c>
      <c r="C1397" s="22">
        <v>986</v>
      </c>
      <c r="D1397" s="22" t="s">
        <v>39</v>
      </c>
      <c r="E1397" t="str">
        <f t="shared" si="23"/>
        <v>2014年</v>
      </c>
    </row>
    <row r="1398" spans="1:5" x14ac:dyDescent="0.15">
      <c r="A1398" s="21">
        <v>41986</v>
      </c>
      <c r="B1398" s="22" t="s">
        <v>42</v>
      </c>
      <c r="C1398" s="22">
        <v>525</v>
      </c>
      <c r="D1398" s="22" t="s">
        <v>39</v>
      </c>
      <c r="E1398" t="str">
        <f t="shared" si="23"/>
        <v>2014年</v>
      </c>
    </row>
    <row r="1399" spans="1:5" x14ac:dyDescent="0.15">
      <c r="A1399" s="21">
        <v>41986</v>
      </c>
      <c r="B1399" s="22" t="s">
        <v>40</v>
      </c>
      <c r="C1399" s="22">
        <v>195</v>
      </c>
      <c r="D1399" s="22" t="s">
        <v>39</v>
      </c>
      <c r="E1399" t="str">
        <f t="shared" si="23"/>
        <v>2014年</v>
      </c>
    </row>
    <row r="1400" spans="1:5" x14ac:dyDescent="0.15">
      <c r="A1400" s="21">
        <v>41987</v>
      </c>
      <c r="B1400" s="22" t="s">
        <v>33</v>
      </c>
      <c r="C1400" s="22">
        <v>17.879999933391808</v>
      </c>
      <c r="D1400" s="22" t="s">
        <v>39</v>
      </c>
      <c r="E1400" t="str">
        <f t="shared" si="23"/>
        <v>2014年</v>
      </c>
    </row>
    <row r="1401" spans="1:5" x14ac:dyDescent="0.15">
      <c r="A1401" s="21">
        <v>41987</v>
      </c>
      <c r="B1401" s="22" t="s">
        <v>35</v>
      </c>
      <c r="C1401" s="22">
        <v>607.9999977350235</v>
      </c>
      <c r="D1401" s="22" t="s">
        <v>39</v>
      </c>
      <c r="E1401" t="str">
        <f t="shared" si="23"/>
        <v>2014年</v>
      </c>
    </row>
    <row r="1402" spans="1:5" x14ac:dyDescent="0.15">
      <c r="A1402" s="21">
        <v>41987</v>
      </c>
      <c r="B1402" s="22" t="s">
        <v>37</v>
      </c>
      <c r="C1402" s="22">
        <v>350</v>
      </c>
      <c r="D1402" s="22" t="s">
        <v>39</v>
      </c>
      <c r="E1402" t="str">
        <f t="shared" si="23"/>
        <v>2014年</v>
      </c>
    </row>
    <row r="1403" spans="1:5" x14ac:dyDescent="0.15">
      <c r="A1403" s="21">
        <v>41987</v>
      </c>
      <c r="B1403" s="22" t="s">
        <v>36</v>
      </c>
      <c r="C1403" s="22">
        <v>12.5</v>
      </c>
      <c r="D1403" s="22" t="s">
        <v>34</v>
      </c>
      <c r="E1403" t="str">
        <f t="shared" si="23"/>
        <v>2014年</v>
      </c>
    </row>
    <row r="1404" spans="1:5" x14ac:dyDescent="0.15">
      <c r="A1404" s="21">
        <v>41988</v>
      </c>
      <c r="B1404" s="22" t="s">
        <v>36</v>
      </c>
      <c r="C1404" s="22">
        <v>125</v>
      </c>
      <c r="D1404" s="22" t="s">
        <v>39</v>
      </c>
      <c r="E1404" t="str">
        <f t="shared" si="23"/>
        <v>2014年</v>
      </c>
    </row>
    <row r="1405" spans="1:5" x14ac:dyDescent="0.15">
      <c r="A1405" s="21">
        <v>41988</v>
      </c>
      <c r="B1405" s="22" t="s">
        <v>42</v>
      </c>
      <c r="C1405" s="22">
        <v>1317.5</v>
      </c>
      <c r="D1405" s="22" t="s">
        <v>39</v>
      </c>
      <c r="E1405" t="str">
        <f t="shared" si="23"/>
        <v>2014年</v>
      </c>
    </row>
    <row r="1406" spans="1:5" x14ac:dyDescent="0.15">
      <c r="A1406" s="21">
        <v>41988</v>
      </c>
      <c r="B1406" s="22" t="s">
        <v>38</v>
      </c>
      <c r="C1406" s="22">
        <v>570</v>
      </c>
      <c r="D1406" s="22" t="s">
        <v>39</v>
      </c>
      <c r="E1406" t="str">
        <f t="shared" si="23"/>
        <v>2014年</v>
      </c>
    </row>
    <row r="1407" spans="1:5" x14ac:dyDescent="0.15">
      <c r="A1407" s="21">
        <v>41988</v>
      </c>
      <c r="B1407" s="22" t="s">
        <v>42</v>
      </c>
      <c r="C1407" s="22">
        <v>30.599999785423279</v>
      </c>
      <c r="D1407" s="22" t="s">
        <v>39</v>
      </c>
      <c r="E1407" t="str">
        <f t="shared" si="23"/>
        <v>2014年</v>
      </c>
    </row>
    <row r="1408" spans="1:5" x14ac:dyDescent="0.15">
      <c r="A1408" s="21">
        <v>41988</v>
      </c>
      <c r="B1408" s="22" t="s">
        <v>36</v>
      </c>
      <c r="C1408" s="22">
        <v>887.39999377727509</v>
      </c>
      <c r="D1408" s="22" t="s">
        <v>39</v>
      </c>
      <c r="E1408" t="str">
        <f t="shared" si="23"/>
        <v>2014年</v>
      </c>
    </row>
    <row r="1409" spans="1:5" x14ac:dyDescent="0.15">
      <c r="A1409" s="21">
        <v>41988</v>
      </c>
      <c r="B1409" s="22" t="s">
        <v>38</v>
      </c>
      <c r="C1409" s="22">
        <v>310</v>
      </c>
      <c r="D1409" s="22" t="s">
        <v>39</v>
      </c>
      <c r="E1409" t="str">
        <f t="shared" si="23"/>
        <v>2014年</v>
      </c>
    </row>
    <row r="1410" spans="1:5" x14ac:dyDescent="0.15">
      <c r="A1410" s="21">
        <v>41988</v>
      </c>
      <c r="B1410" s="22" t="s">
        <v>42</v>
      </c>
      <c r="C1410" s="22">
        <v>77.5</v>
      </c>
      <c r="D1410" s="22" t="s">
        <v>39</v>
      </c>
      <c r="E1410" t="str">
        <f t="shared" ref="E1410:E1473" si="24">YEAR(A1410)&amp;"年"</f>
        <v>2014年</v>
      </c>
    </row>
    <row r="1411" spans="1:5" x14ac:dyDescent="0.15">
      <c r="A1411" s="21">
        <v>41989</v>
      </c>
      <c r="B1411" s="22" t="s">
        <v>40</v>
      </c>
      <c r="C1411" s="22">
        <v>959.99999642372131</v>
      </c>
      <c r="D1411" s="22" t="s">
        <v>39</v>
      </c>
      <c r="E1411" t="str">
        <f t="shared" si="24"/>
        <v>2014年</v>
      </c>
    </row>
    <row r="1412" spans="1:5" x14ac:dyDescent="0.15">
      <c r="A1412" s="21">
        <v>41989</v>
      </c>
      <c r="B1412" s="22" t="s">
        <v>38</v>
      </c>
      <c r="C1412" s="22">
        <v>310.67999884262679</v>
      </c>
      <c r="D1412" s="22" t="s">
        <v>39</v>
      </c>
      <c r="E1412" t="str">
        <f t="shared" si="24"/>
        <v>2014年</v>
      </c>
    </row>
    <row r="1413" spans="1:5" x14ac:dyDescent="0.15">
      <c r="A1413" s="21">
        <v>41989</v>
      </c>
      <c r="B1413" s="22" t="s">
        <v>42</v>
      </c>
      <c r="C1413" s="22">
        <v>260.39999902993441</v>
      </c>
      <c r="D1413" s="22" t="s">
        <v>39</v>
      </c>
      <c r="E1413" t="str">
        <f t="shared" si="24"/>
        <v>2014年</v>
      </c>
    </row>
    <row r="1414" spans="1:5" x14ac:dyDescent="0.15">
      <c r="A1414" s="21">
        <v>41989</v>
      </c>
      <c r="B1414" s="22" t="s">
        <v>42</v>
      </c>
      <c r="C1414" s="22">
        <v>270.74999978765845</v>
      </c>
      <c r="D1414" s="22" t="s">
        <v>39</v>
      </c>
      <c r="E1414" t="str">
        <f t="shared" si="24"/>
        <v>2014年</v>
      </c>
    </row>
    <row r="1415" spans="1:5" x14ac:dyDescent="0.15">
      <c r="A1415" s="21">
        <v>41989</v>
      </c>
      <c r="B1415" s="22" t="s">
        <v>33</v>
      </c>
      <c r="C1415" s="22">
        <v>2352.0099981553853</v>
      </c>
      <c r="D1415" s="22" t="s">
        <v>39</v>
      </c>
      <c r="E1415" t="str">
        <f t="shared" si="24"/>
        <v>2014年</v>
      </c>
    </row>
    <row r="1416" spans="1:5" x14ac:dyDescent="0.15">
      <c r="A1416" s="21">
        <v>41992</v>
      </c>
      <c r="B1416" s="22" t="s">
        <v>41</v>
      </c>
      <c r="C1416" s="22">
        <v>436.99999965727329</v>
      </c>
      <c r="D1416" s="22" t="s">
        <v>39</v>
      </c>
      <c r="E1416" t="str">
        <f t="shared" si="24"/>
        <v>2014年</v>
      </c>
    </row>
    <row r="1417" spans="1:5" x14ac:dyDescent="0.15">
      <c r="A1417" s="21">
        <v>41992</v>
      </c>
      <c r="B1417" s="22" t="s">
        <v>42</v>
      </c>
      <c r="C1417" s="22">
        <v>294.499999769032</v>
      </c>
      <c r="D1417" s="22" t="s">
        <v>39</v>
      </c>
      <c r="E1417" t="str">
        <f t="shared" si="24"/>
        <v>2014年</v>
      </c>
    </row>
    <row r="1418" spans="1:5" x14ac:dyDescent="0.15">
      <c r="A1418" s="21">
        <v>41992</v>
      </c>
      <c r="B1418" s="22" t="s">
        <v>38</v>
      </c>
      <c r="C1418" s="22">
        <v>1875</v>
      </c>
      <c r="D1418" s="22" t="s">
        <v>39</v>
      </c>
      <c r="E1418" t="str">
        <f t="shared" si="24"/>
        <v>2014年</v>
      </c>
    </row>
    <row r="1419" spans="1:5" x14ac:dyDescent="0.15">
      <c r="A1419" s="21">
        <v>41992</v>
      </c>
      <c r="B1419" s="22" t="s">
        <v>42</v>
      </c>
      <c r="C1419" s="22">
        <v>270</v>
      </c>
      <c r="D1419" s="22" t="s">
        <v>39</v>
      </c>
      <c r="E1419" t="str">
        <f t="shared" si="24"/>
        <v>2014年</v>
      </c>
    </row>
    <row r="1420" spans="1:5" x14ac:dyDescent="0.15">
      <c r="A1420" s="21">
        <v>41992</v>
      </c>
      <c r="B1420" s="22" t="s">
        <v>40</v>
      </c>
      <c r="C1420" s="22">
        <v>1317</v>
      </c>
      <c r="D1420" s="22" t="s">
        <v>39</v>
      </c>
      <c r="E1420" t="str">
        <f t="shared" si="24"/>
        <v>2014年</v>
      </c>
    </row>
    <row r="1421" spans="1:5" x14ac:dyDescent="0.15">
      <c r="A1421" s="21">
        <v>41992</v>
      </c>
      <c r="B1421" s="22" t="s">
        <v>41</v>
      </c>
      <c r="C1421" s="22">
        <v>225</v>
      </c>
      <c r="D1421" s="22" t="s">
        <v>39</v>
      </c>
      <c r="E1421" t="str">
        <f t="shared" si="24"/>
        <v>2014年</v>
      </c>
    </row>
    <row r="1422" spans="1:5" x14ac:dyDescent="0.15">
      <c r="A1422" s="21">
        <v>41992</v>
      </c>
      <c r="B1422" s="22" t="s">
        <v>37</v>
      </c>
      <c r="C1422" s="22">
        <v>76.499999463558197</v>
      </c>
      <c r="D1422" s="22" t="s">
        <v>34</v>
      </c>
      <c r="E1422" t="str">
        <f t="shared" si="24"/>
        <v>2014年</v>
      </c>
    </row>
    <row r="1423" spans="1:5" x14ac:dyDescent="0.15">
      <c r="A1423" s="21">
        <v>41992</v>
      </c>
      <c r="B1423" s="22" t="s">
        <v>35</v>
      </c>
      <c r="C1423" s="22">
        <v>645.999995470047</v>
      </c>
      <c r="D1423" s="22" t="s">
        <v>34</v>
      </c>
      <c r="E1423" t="str">
        <f t="shared" si="24"/>
        <v>2014年</v>
      </c>
    </row>
    <row r="1424" spans="1:5" x14ac:dyDescent="0.15">
      <c r="A1424" s="21">
        <v>41993</v>
      </c>
      <c r="B1424" s="22" t="s">
        <v>33</v>
      </c>
      <c r="C1424" s="22">
        <v>1646.4069987087696</v>
      </c>
      <c r="D1424" s="22" t="s">
        <v>34</v>
      </c>
      <c r="E1424" t="str">
        <f t="shared" si="24"/>
        <v>2014年</v>
      </c>
    </row>
    <row r="1425" spans="1:5" x14ac:dyDescent="0.15">
      <c r="A1425" s="21">
        <v>41993</v>
      </c>
      <c r="B1425" s="22" t="s">
        <v>38</v>
      </c>
      <c r="C1425" s="22">
        <v>183.34999985620379</v>
      </c>
      <c r="D1425" s="22" t="s">
        <v>34</v>
      </c>
      <c r="E1425" t="str">
        <f t="shared" si="24"/>
        <v>2014年</v>
      </c>
    </row>
    <row r="1426" spans="1:5" x14ac:dyDescent="0.15">
      <c r="A1426" s="21">
        <v>41993</v>
      </c>
      <c r="B1426" s="22" t="s">
        <v>42</v>
      </c>
      <c r="C1426" s="22">
        <v>190</v>
      </c>
      <c r="D1426" s="22" t="s">
        <v>39</v>
      </c>
      <c r="E1426" t="str">
        <f t="shared" si="24"/>
        <v>2014年</v>
      </c>
    </row>
    <row r="1427" spans="1:5" x14ac:dyDescent="0.15">
      <c r="A1427" s="21">
        <v>41993</v>
      </c>
      <c r="B1427" s="22" t="s">
        <v>33</v>
      </c>
      <c r="C1427" s="22">
        <v>22.35</v>
      </c>
      <c r="D1427" s="22" t="s">
        <v>39</v>
      </c>
      <c r="E1427" t="str">
        <f t="shared" si="24"/>
        <v>2014年</v>
      </c>
    </row>
    <row r="1428" spans="1:5" x14ac:dyDescent="0.15">
      <c r="A1428" s="21">
        <v>41993</v>
      </c>
      <c r="B1428" s="22" t="s">
        <v>41</v>
      </c>
      <c r="C1428" s="22">
        <v>187.5</v>
      </c>
      <c r="D1428" s="22" t="s">
        <v>39</v>
      </c>
      <c r="E1428" t="str">
        <f t="shared" si="24"/>
        <v>2014年</v>
      </c>
    </row>
    <row r="1429" spans="1:5" x14ac:dyDescent="0.15">
      <c r="A1429" s="21">
        <v>41994</v>
      </c>
      <c r="B1429" s="22" t="s">
        <v>38</v>
      </c>
      <c r="C1429" s="22">
        <v>135.1</v>
      </c>
      <c r="D1429" s="22" t="s">
        <v>39</v>
      </c>
      <c r="E1429" t="str">
        <f t="shared" si="24"/>
        <v>2014年</v>
      </c>
    </row>
    <row r="1430" spans="1:5" x14ac:dyDescent="0.15">
      <c r="A1430" s="21">
        <v>41994</v>
      </c>
      <c r="B1430" s="22" t="s">
        <v>35</v>
      </c>
      <c r="C1430" s="22">
        <v>56</v>
      </c>
      <c r="D1430" s="22" t="s">
        <v>39</v>
      </c>
      <c r="E1430" t="str">
        <f t="shared" si="24"/>
        <v>2014年</v>
      </c>
    </row>
    <row r="1431" spans="1:5" x14ac:dyDescent="0.15">
      <c r="A1431" s="21">
        <v>41994</v>
      </c>
      <c r="B1431" s="22" t="s">
        <v>37</v>
      </c>
      <c r="C1431" s="22">
        <v>278.99999896064401</v>
      </c>
      <c r="D1431" s="22" t="s">
        <v>34</v>
      </c>
      <c r="E1431" t="str">
        <f t="shared" si="24"/>
        <v>2014年</v>
      </c>
    </row>
    <row r="1432" spans="1:5" x14ac:dyDescent="0.15">
      <c r="A1432" s="21">
        <v>41994</v>
      </c>
      <c r="B1432" s="22" t="s">
        <v>33</v>
      </c>
      <c r="C1432" s="22">
        <v>35.759999866783616</v>
      </c>
      <c r="D1432" s="22" t="s">
        <v>34</v>
      </c>
      <c r="E1432" t="str">
        <f t="shared" si="24"/>
        <v>2014年</v>
      </c>
    </row>
    <row r="1433" spans="1:5" x14ac:dyDescent="0.15">
      <c r="A1433" s="21">
        <v>41994</v>
      </c>
      <c r="B1433" s="22" t="s">
        <v>41</v>
      </c>
      <c r="C1433" s="22">
        <v>1134.25</v>
      </c>
      <c r="D1433" s="22" t="s">
        <v>39</v>
      </c>
      <c r="E1433" t="str">
        <f t="shared" si="24"/>
        <v>2014年</v>
      </c>
    </row>
    <row r="1434" spans="1:5" x14ac:dyDescent="0.15">
      <c r="A1434" s="21">
        <v>41994</v>
      </c>
      <c r="B1434" s="22" t="s">
        <v>33</v>
      </c>
      <c r="C1434" s="22">
        <v>1023.75</v>
      </c>
      <c r="D1434" s="22" t="s">
        <v>39</v>
      </c>
      <c r="E1434" t="str">
        <f t="shared" si="24"/>
        <v>2014年</v>
      </c>
    </row>
    <row r="1435" spans="1:5" x14ac:dyDescent="0.15">
      <c r="A1435" s="21">
        <v>41995</v>
      </c>
      <c r="B1435" s="22" t="s">
        <v>41</v>
      </c>
      <c r="C1435" s="22">
        <v>524.66399804547427</v>
      </c>
      <c r="D1435" s="22" t="s">
        <v>39</v>
      </c>
      <c r="E1435" t="str">
        <f t="shared" si="24"/>
        <v>2014年</v>
      </c>
    </row>
    <row r="1436" spans="1:5" x14ac:dyDescent="0.15">
      <c r="A1436" s="21">
        <v>41995</v>
      </c>
      <c r="B1436" s="22" t="s">
        <v>40</v>
      </c>
      <c r="C1436" s="22">
        <v>194.5</v>
      </c>
      <c r="D1436" s="22" t="s">
        <v>39</v>
      </c>
      <c r="E1436" t="str">
        <f t="shared" si="24"/>
        <v>2014年</v>
      </c>
    </row>
    <row r="1437" spans="1:5" x14ac:dyDescent="0.15">
      <c r="A1437" s="21">
        <v>41995</v>
      </c>
      <c r="B1437" s="22" t="s">
        <v>35</v>
      </c>
      <c r="C1437" s="22">
        <v>930.99999653175473</v>
      </c>
      <c r="D1437" s="22" t="s">
        <v>39</v>
      </c>
      <c r="E1437" t="str">
        <f t="shared" si="24"/>
        <v>2014年</v>
      </c>
    </row>
    <row r="1438" spans="1:5" x14ac:dyDescent="0.15">
      <c r="A1438" s="21">
        <v>41995</v>
      </c>
      <c r="B1438" s="22" t="s">
        <v>36</v>
      </c>
      <c r="C1438" s="22">
        <v>691.19999742507935</v>
      </c>
      <c r="D1438" s="22" t="s">
        <v>39</v>
      </c>
      <c r="E1438" t="str">
        <f t="shared" si="24"/>
        <v>2014年</v>
      </c>
    </row>
    <row r="1439" spans="1:5" x14ac:dyDescent="0.15">
      <c r="A1439" s="21">
        <v>41995</v>
      </c>
      <c r="B1439" s="22" t="s">
        <v>36</v>
      </c>
      <c r="C1439" s="22">
        <v>420</v>
      </c>
      <c r="D1439" s="22" t="s">
        <v>34</v>
      </c>
      <c r="E1439" t="str">
        <f t="shared" si="24"/>
        <v>2014年</v>
      </c>
    </row>
    <row r="1440" spans="1:5" x14ac:dyDescent="0.15">
      <c r="A1440" s="21">
        <v>41996</v>
      </c>
      <c r="B1440" s="22" t="s">
        <v>41</v>
      </c>
      <c r="C1440" s="22">
        <v>98.6</v>
      </c>
      <c r="D1440" s="22" t="s">
        <v>39</v>
      </c>
      <c r="E1440" t="str">
        <f t="shared" si="24"/>
        <v>2014年</v>
      </c>
    </row>
    <row r="1441" spans="1:5" x14ac:dyDescent="0.15">
      <c r="A1441" s="21">
        <v>41996</v>
      </c>
      <c r="B1441" s="22" t="s">
        <v>36</v>
      </c>
      <c r="C1441" s="22">
        <v>348</v>
      </c>
      <c r="D1441" s="22" t="s">
        <v>39</v>
      </c>
      <c r="E1441" t="str">
        <f t="shared" si="24"/>
        <v>2014年</v>
      </c>
    </row>
    <row r="1442" spans="1:5" x14ac:dyDescent="0.15">
      <c r="A1442" s="21">
        <v>41996</v>
      </c>
      <c r="B1442" s="22" t="s">
        <v>38</v>
      </c>
      <c r="C1442" s="22">
        <v>101.99999928474426</v>
      </c>
      <c r="D1442" s="22" t="s">
        <v>34</v>
      </c>
      <c r="E1442" t="str">
        <f t="shared" si="24"/>
        <v>2014年</v>
      </c>
    </row>
    <row r="1443" spans="1:5" x14ac:dyDescent="0.15">
      <c r="A1443" s="21">
        <v>41996</v>
      </c>
      <c r="B1443" s="22" t="s">
        <v>42</v>
      </c>
      <c r="C1443" s="22">
        <v>76.499999463558197</v>
      </c>
      <c r="D1443" s="22" t="s">
        <v>34</v>
      </c>
      <c r="E1443" t="str">
        <f t="shared" si="24"/>
        <v>2014年</v>
      </c>
    </row>
    <row r="1444" spans="1:5" x14ac:dyDescent="0.15">
      <c r="A1444" s="21">
        <v>41996</v>
      </c>
      <c r="B1444" s="22" t="s">
        <v>36</v>
      </c>
      <c r="C1444" s="22">
        <v>1375</v>
      </c>
      <c r="D1444" s="22" t="s">
        <v>34</v>
      </c>
      <c r="E1444" t="str">
        <f t="shared" si="24"/>
        <v>2014年</v>
      </c>
    </row>
    <row r="1445" spans="1:5" x14ac:dyDescent="0.15">
      <c r="A1445" s="21">
        <v>41996</v>
      </c>
      <c r="B1445" s="22" t="s">
        <v>36</v>
      </c>
      <c r="C1445" s="22">
        <v>944.99999843537807</v>
      </c>
      <c r="D1445" s="22" t="s">
        <v>39</v>
      </c>
      <c r="E1445" t="str">
        <f t="shared" si="24"/>
        <v>2014年</v>
      </c>
    </row>
    <row r="1446" spans="1:5" x14ac:dyDescent="0.15">
      <c r="A1446" s="21">
        <v>41996</v>
      </c>
      <c r="B1446" s="22" t="s">
        <v>37</v>
      </c>
      <c r="C1446" s="22">
        <v>476.99999921023846</v>
      </c>
      <c r="D1446" s="22" t="s">
        <v>39</v>
      </c>
      <c r="E1446" t="str">
        <f t="shared" si="24"/>
        <v>2014年</v>
      </c>
    </row>
    <row r="1447" spans="1:5" x14ac:dyDescent="0.15">
      <c r="A1447" s="21">
        <v>41996</v>
      </c>
      <c r="B1447" s="22" t="s">
        <v>33</v>
      </c>
      <c r="C1447" s="22">
        <v>46.934999922290444</v>
      </c>
      <c r="D1447" s="22" t="s">
        <v>39</v>
      </c>
      <c r="E1447" t="str">
        <f t="shared" si="24"/>
        <v>2014年</v>
      </c>
    </row>
    <row r="1448" spans="1:5" x14ac:dyDescent="0.15">
      <c r="A1448" s="21">
        <v>41999</v>
      </c>
      <c r="B1448" s="22" t="s">
        <v>33</v>
      </c>
      <c r="C1448" s="22">
        <v>1170</v>
      </c>
      <c r="D1448" s="22" t="s">
        <v>39</v>
      </c>
      <c r="E1448" t="str">
        <f t="shared" si="24"/>
        <v>2014年</v>
      </c>
    </row>
    <row r="1449" spans="1:5" x14ac:dyDescent="0.15">
      <c r="A1449" s="21">
        <v>41999</v>
      </c>
      <c r="B1449" s="22" t="s">
        <v>33</v>
      </c>
      <c r="C1449" s="22">
        <v>1856.85</v>
      </c>
      <c r="D1449" s="22" t="s">
        <v>39</v>
      </c>
      <c r="E1449" t="str">
        <f t="shared" si="24"/>
        <v>2014年</v>
      </c>
    </row>
    <row r="1450" spans="1:5" x14ac:dyDescent="0.15">
      <c r="A1450" s="21">
        <v>41999</v>
      </c>
      <c r="B1450" s="22" t="s">
        <v>38</v>
      </c>
      <c r="C1450" s="22">
        <v>485.4375</v>
      </c>
      <c r="D1450" s="22" t="s">
        <v>39</v>
      </c>
      <c r="E1450" t="str">
        <f t="shared" si="24"/>
        <v>2014年</v>
      </c>
    </row>
    <row r="1451" spans="1:5" x14ac:dyDescent="0.15">
      <c r="A1451" s="21">
        <v>41999</v>
      </c>
      <c r="B1451" s="22" t="s">
        <v>37</v>
      </c>
      <c r="C1451" s="22">
        <v>1192.5</v>
      </c>
      <c r="D1451" s="22" t="s">
        <v>39</v>
      </c>
      <c r="E1451" t="str">
        <f t="shared" si="24"/>
        <v>2014年</v>
      </c>
    </row>
    <row r="1452" spans="1:5" x14ac:dyDescent="0.15">
      <c r="A1452" s="21">
        <v>41999</v>
      </c>
      <c r="B1452" s="22" t="s">
        <v>33</v>
      </c>
      <c r="C1452" s="22">
        <v>1080</v>
      </c>
      <c r="D1452" s="22" t="s">
        <v>39</v>
      </c>
      <c r="E1452" t="str">
        <f t="shared" si="24"/>
        <v>2014年</v>
      </c>
    </row>
    <row r="1453" spans="1:5" x14ac:dyDescent="0.15">
      <c r="A1453" s="21">
        <v>41999</v>
      </c>
      <c r="B1453" s="22" t="s">
        <v>41</v>
      </c>
      <c r="C1453" s="22">
        <v>184.875</v>
      </c>
      <c r="D1453" s="22" t="s">
        <v>39</v>
      </c>
      <c r="E1453" t="str">
        <f t="shared" si="24"/>
        <v>2014年</v>
      </c>
    </row>
    <row r="1454" spans="1:5" x14ac:dyDescent="0.15">
      <c r="A1454" s="21">
        <v>42000</v>
      </c>
      <c r="B1454" s="22" t="s">
        <v>41</v>
      </c>
      <c r="C1454" s="22">
        <v>209.75999983549119</v>
      </c>
      <c r="D1454" s="22" t="s">
        <v>39</v>
      </c>
      <c r="E1454" t="str">
        <f t="shared" si="24"/>
        <v>2014年</v>
      </c>
    </row>
    <row r="1455" spans="1:5" x14ac:dyDescent="0.15">
      <c r="A1455" s="21">
        <v>42000</v>
      </c>
      <c r="B1455" s="22" t="s">
        <v>41</v>
      </c>
      <c r="C1455" s="22">
        <v>199.49999984353781</v>
      </c>
      <c r="D1455" s="22" t="s">
        <v>39</v>
      </c>
      <c r="E1455" t="str">
        <f t="shared" si="24"/>
        <v>2014年</v>
      </c>
    </row>
    <row r="1456" spans="1:5" x14ac:dyDescent="0.15">
      <c r="A1456" s="21">
        <v>42000</v>
      </c>
      <c r="B1456" s="22" t="s">
        <v>36</v>
      </c>
      <c r="C1456" s="22">
        <v>783.7499993853271</v>
      </c>
      <c r="D1456" s="22" t="s">
        <v>39</v>
      </c>
      <c r="E1456" t="str">
        <f t="shared" si="24"/>
        <v>2014年</v>
      </c>
    </row>
    <row r="1457" spans="1:5" x14ac:dyDescent="0.15">
      <c r="A1457" s="21">
        <v>42000</v>
      </c>
      <c r="B1457" s="22" t="s">
        <v>38</v>
      </c>
      <c r="C1457" s="22">
        <v>1116</v>
      </c>
      <c r="D1457" s="22" t="s">
        <v>34</v>
      </c>
      <c r="E1457" t="str">
        <f t="shared" si="24"/>
        <v>2014年</v>
      </c>
    </row>
    <row r="1458" spans="1:5" x14ac:dyDescent="0.15">
      <c r="A1458" s="21">
        <v>42000</v>
      </c>
      <c r="B1458" s="22" t="s">
        <v>37</v>
      </c>
      <c r="C1458" s="22">
        <v>1094.4000000000001</v>
      </c>
      <c r="D1458" s="22" t="s">
        <v>34</v>
      </c>
      <c r="E1458" t="str">
        <f t="shared" si="24"/>
        <v>2014年</v>
      </c>
    </row>
    <row r="1459" spans="1:5" x14ac:dyDescent="0.15">
      <c r="A1459" s="21">
        <v>42000</v>
      </c>
      <c r="B1459" s="22" t="s">
        <v>41</v>
      </c>
      <c r="C1459" s="22">
        <v>67.999999523162842</v>
      </c>
      <c r="D1459" s="22" t="s">
        <v>34</v>
      </c>
      <c r="E1459" t="str">
        <f t="shared" si="24"/>
        <v>2014年</v>
      </c>
    </row>
    <row r="1460" spans="1:5" x14ac:dyDescent="0.15">
      <c r="A1460" s="21">
        <v>42000</v>
      </c>
      <c r="B1460" s="22" t="s">
        <v>42</v>
      </c>
      <c r="C1460" s="22">
        <v>140</v>
      </c>
      <c r="D1460" s="22" t="s">
        <v>39</v>
      </c>
      <c r="E1460" t="str">
        <f t="shared" si="24"/>
        <v>2014年</v>
      </c>
    </row>
    <row r="1461" spans="1:5" x14ac:dyDescent="0.15">
      <c r="A1461" s="21">
        <v>42000</v>
      </c>
      <c r="B1461" s="22" t="s">
        <v>42</v>
      </c>
      <c r="C1461" s="22">
        <v>2635</v>
      </c>
      <c r="D1461" s="22" t="s">
        <v>39</v>
      </c>
      <c r="E1461" t="str">
        <f t="shared" si="24"/>
        <v>2014年</v>
      </c>
    </row>
    <row r="1462" spans="1:5" x14ac:dyDescent="0.15">
      <c r="A1462" s="21">
        <v>42001</v>
      </c>
      <c r="B1462" s="22" t="s">
        <v>42</v>
      </c>
      <c r="C1462" s="22">
        <v>285</v>
      </c>
      <c r="D1462" s="22" t="s">
        <v>39</v>
      </c>
      <c r="E1462" t="str">
        <f t="shared" si="24"/>
        <v>2014年</v>
      </c>
    </row>
    <row r="1463" spans="1:5" x14ac:dyDescent="0.15">
      <c r="A1463" s="21">
        <v>42001</v>
      </c>
      <c r="B1463" s="22" t="s">
        <v>40</v>
      </c>
      <c r="C1463" s="22">
        <v>42.1</v>
      </c>
      <c r="D1463" s="22" t="s">
        <v>39</v>
      </c>
      <c r="E1463" t="str">
        <f t="shared" si="24"/>
        <v>2014年</v>
      </c>
    </row>
    <row r="1464" spans="1:5" x14ac:dyDescent="0.15">
      <c r="A1464" s="21">
        <v>42001</v>
      </c>
      <c r="B1464" s="22" t="s">
        <v>37</v>
      </c>
      <c r="C1464" s="22">
        <v>112.5</v>
      </c>
      <c r="D1464" s="22" t="s">
        <v>39</v>
      </c>
      <c r="E1464" t="str">
        <f t="shared" si="24"/>
        <v>2014年</v>
      </c>
    </row>
    <row r="1465" spans="1:5" x14ac:dyDescent="0.15">
      <c r="A1465" s="21">
        <v>42001</v>
      </c>
      <c r="B1465" s="22" t="s">
        <v>38</v>
      </c>
      <c r="C1465" s="22">
        <v>18.399999999999999</v>
      </c>
      <c r="D1465" s="22" t="s">
        <v>39</v>
      </c>
      <c r="E1465" t="str">
        <f t="shared" si="24"/>
        <v>2014年</v>
      </c>
    </row>
    <row r="1466" spans="1:5" x14ac:dyDescent="0.15">
      <c r="A1466" s="21">
        <v>42002</v>
      </c>
      <c r="B1466" s="22" t="s">
        <v>35</v>
      </c>
      <c r="C1466" s="22">
        <v>645.999995470047</v>
      </c>
      <c r="D1466" s="22" t="s">
        <v>39</v>
      </c>
      <c r="E1466" t="str">
        <f t="shared" si="24"/>
        <v>2014年</v>
      </c>
    </row>
    <row r="1467" spans="1:5" x14ac:dyDescent="0.15">
      <c r="A1467" s="21">
        <v>42002</v>
      </c>
      <c r="B1467" s="22" t="s">
        <v>42</v>
      </c>
      <c r="C1467" s="22">
        <v>764.99999463558197</v>
      </c>
      <c r="D1467" s="22" t="s">
        <v>39</v>
      </c>
      <c r="E1467" t="str">
        <f t="shared" si="24"/>
        <v>2014年</v>
      </c>
    </row>
    <row r="1468" spans="1:5" x14ac:dyDescent="0.15">
      <c r="A1468" s="21">
        <v>42002</v>
      </c>
      <c r="B1468" s="22" t="s">
        <v>35</v>
      </c>
      <c r="C1468" s="22">
        <v>140</v>
      </c>
      <c r="D1468" s="22" t="s">
        <v>34</v>
      </c>
      <c r="E1468" t="str">
        <f t="shared" si="24"/>
        <v>2014年</v>
      </c>
    </row>
    <row r="1469" spans="1:5" x14ac:dyDescent="0.15">
      <c r="A1469" s="21">
        <v>42002</v>
      </c>
      <c r="B1469" s="22" t="s">
        <v>38</v>
      </c>
      <c r="C1469" s="22">
        <v>42</v>
      </c>
      <c r="D1469" s="22" t="s">
        <v>39</v>
      </c>
      <c r="E1469" t="str">
        <f t="shared" si="24"/>
        <v>2014年</v>
      </c>
    </row>
    <row r="1470" spans="1:5" x14ac:dyDescent="0.15">
      <c r="A1470" s="21">
        <v>42002</v>
      </c>
      <c r="B1470" s="22" t="s">
        <v>41</v>
      </c>
      <c r="C1470" s="22">
        <v>70</v>
      </c>
      <c r="D1470" s="22" t="s">
        <v>39</v>
      </c>
      <c r="E1470" t="str">
        <f t="shared" si="24"/>
        <v>2014年</v>
      </c>
    </row>
    <row r="1471" spans="1:5" x14ac:dyDescent="0.15">
      <c r="A1471" s="21">
        <v>42002</v>
      </c>
      <c r="B1471" s="22" t="s">
        <v>42</v>
      </c>
      <c r="C1471" s="22">
        <v>75</v>
      </c>
      <c r="D1471" s="22" t="s">
        <v>39</v>
      </c>
      <c r="E1471" t="str">
        <f t="shared" si="24"/>
        <v>2014年</v>
      </c>
    </row>
    <row r="1472" spans="1:5" x14ac:dyDescent="0.15">
      <c r="A1472" s="21">
        <v>42003</v>
      </c>
      <c r="B1472" s="22" t="s">
        <v>41</v>
      </c>
      <c r="C1472" s="22">
        <v>138</v>
      </c>
      <c r="D1472" s="22" t="s">
        <v>39</v>
      </c>
      <c r="E1472" t="str">
        <f t="shared" si="24"/>
        <v>2014年</v>
      </c>
    </row>
    <row r="1473" spans="1:5" x14ac:dyDescent="0.15">
      <c r="A1473" s="21">
        <v>42003</v>
      </c>
      <c r="B1473" s="22" t="s">
        <v>35</v>
      </c>
      <c r="C1473" s="22">
        <v>162</v>
      </c>
      <c r="D1473" s="22" t="s">
        <v>39</v>
      </c>
      <c r="E1473" t="str">
        <f t="shared" si="24"/>
        <v>2014年</v>
      </c>
    </row>
    <row r="1474" spans="1:5" x14ac:dyDescent="0.15">
      <c r="A1474" s="21">
        <v>42003</v>
      </c>
      <c r="B1474" s="22" t="s">
        <v>38</v>
      </c>
      <c r="C1474" s="22">
        <v>552</v>
      </c>
      <c r="D1474" s="22" t="s">
        <v>39</v>
      </c>
      <c r="E1474" t="str">
        <f t="shared" ref="E1474:E1537" si="25">YEAR(A1474)&amp;"年"</f>
        <v>2014年</v>
      </c>
    </row>
    <row r="1475" spans="1:5" x14ac:dyDescent="0.15">
      <c r="A1475" s="21">
        <v>42003</v>
      </c>
      <c r="B1475" s="22" t="s">
        <v>36</v>
      </c>
      <c r="C1475" s="22">
        <v>179.99999970197678</v>
      </c>
      <c r="D1475" s="22" t="s">
        <v>34</v>
      </c>
      <c r="E1475" t="str">
        <f t="shared" si="25"/>
        <v>2014年</v>
      </c>
    </row>
    <row r="1476" spans="1:5" x14ac:dyDescent="0.15">
      <c r="A1476" s="21">
        <v>42003</v>
      </c>
      <c r="B1476" s="22" t="s">
        <v>36</v>
      </c>
      <c r="C1476" s="22">
        <v>1252.7999979257584</v>
      </c>
      <c r="D1476" s="22" t="s">
        <v>34</v>
      </c>
      <c r="E1476" t="str">
        <f t="shared" si="25"/>
        <v>2014年</v>
      </c>
    </row>
    <row r="1477" spans="1:5" x14ac:dyDescent="0.15">
      <c r="A1477" s="21">
        <v>42003</v>
      </c>
      <c r="B1477" s="22" t="s">
        <v>40</v>
      </c>
      <c r="C1477" s="22">
        <v>260</v>
      </c>
      <c r="D1477" s="22" t="s">
        <v>34</v>
      </c>
      <c r="E1477" t="str">
        <f t="shared" si="25"/>
        <v>2014年</v>
      </c>
    </row>
    <row r="1478" spans="1:5" x14ac:dyDescent="0.15">
      <c r="A1478" s="21">
        <v>42006</v>
      </c>
      <c r="B1478" s="22" t="s">
        <v>42</v>
      </c>
      <c r="C1478" s="22">
        <v>182.39999932050705</v>
      </c>
      <c r="D1478" s="22" t="s">
        <v>39</v>
      </c>
      <c r="E1478" t="str">
        <f t="shared" si="25"/>
        <v>2015年</v>
      </c>
    </row>
    <row r="1479" spans="1:5" x14ac:dyDescent="0.15">
      <c r="A1479" s="21">
        <v>42006</v>
      </c>
      <c r="B1479" s="22" t="s">
        <v>38</v>
      </c>
      <c r="C1479" s="22">
        <v>420</v>
      </c>
      <c r="D1479" s="22" t="s">
        <v>39</v>
      </c>
      <c r="E1479" t="str">
        <f t="shared" si="25"/>
        <v>2015年</v>
      </c>
    </row>
    <row r="1480" spans="1:5" x14ac:dyDescent="0.15">
      <c r="A1480" s="21">
        <v>42006</v>
      </c>
      <c r="B1480" s="22" t="s">
        <v>38</v>
      </c>
      <c r="C1480" s="22">
        <v>193</v>
      </c>
      <c r="D1480" s="22" t="s">
        <v>39</v>
      </c>
      <c r="E1480" t="str">
        <f t="shared" si="25"/>
        <v>2015年</v>
      </c>
    </row>
    <row r="1481" spans="1:5" x14ac:dyDescent="0.15">
      <c r="A1481" s="21">
        <v>42006</v>
      </c>
      <c r="B1481" s="22" t="s">
        <v>42</v>
      </c>
      <c r="C1481" s="22">
        <v>781.99999451637268</v>
      </c>
      <c r="D1481" s="22" t="s">
        <v>39</v>
      </c>
      <c r="E1481" t="str">
        <f t="shared" si="25"/>
        <v>2015年</v>
      </c>
    </row>
    <row r="1482" spans="1:5" x14ac:dyDescent="0.15">
      <c r="A1482" s="21">
        <v>42006</v>
      </c>
      <c r="B1482" s="22" t="s">
        <v>41</v>
      </c>
      <c r="C1482" s="22">
        <v>86.699999392032623</v>
      </c>
      <c r="D1482" s="22" t="s">
        <v>39</v>
      </c>
      <c r="E1482" t="str">
        <f t="shared" si="25"/>
        <v>2015年</v>
      </c>
    </row>
    <row r="1483" spans="1:5" x14ac:dyDescent="0.15">
      <c r="A1483" s="21">
        <v>42006</v>
      </c>
      <c r="B1483" s="22" t="s">
        <v>40</v>
      </c>
      <c r="C1483" s="22">
        <v>726.74999490380287</v>
      </c>
      <c r="D1483" s="22" t="s">
        <v>39</v>
      </c>
      <c r="E1483" t="str">
        <f t="shared" si="25"/>
        <v>2015年</v>
      </c>
    </row>
    <row r="1484" spans="1:5" x14ac:dyDescent="0.15">
      <c r="A1484" s="21">
        <v>42006</v>
      </c>
      <c r="B1484" s="22" t="s">
        <v>36</v>
      </c>
      <c r="C1484" s="22">
        <v>40</v>
      </c>
      <c r="D1484" s="22" t="s">
        <v>39</v>
      </c>
      <c r="E1484" t="str">
        <f t="shared" si="25"/>
        <v>2015年</v>
      </c>
    </row>
    <row r="1485" spans="1:5" x14ac:dyDescent="0.15">
      <c r="A1485" s="21">
        <v>42007</v>
      </c>
      <c r="B1485" s="22" t="s">
        <v>42</v>
      </c>
      <c r="C1485" s="22">
        <v>7509.749994110316</v>
      </c>
      <c r="D1485" s="22" t="s">
        <v>39</v>
      </c>
      <c r="E1485" t="str">
        <f t="shared" si="25"/>
        <v>2015年</v>
      </c>
    </row>
    <row r="1486" spans="1:5" x14ac:dyDescent="0.15">
      <c r="A1486" s="21">
        <v>42007</v>
      </c>
      <c r="B1486" s="22" t="s">
        <v>41</v>
      </c>
      <c r="C1486" s="22">
        <v>936.69999926537275</v>
      </c>
      <c r="D1486" s="22" t="s">
        <v>39</v>
      </c>
      <c r="E1486" t="str">
        <f t="shared" si="25"/>
        <v>2015年</v>
      </c>
    </row>
    <row r="1487" spans="1:5" x14ac:dyDescent="0.15">
      <c r="A1487" s="21">
        <v>42007</v>
      </c>
      <c r="B1487" s="22" t="s">
        <v>41</v>
      </c>
      <c r="C1487" s="22">
        <v>1061.8199925541878</v>
      </c>
      <c r="D1487" s="22" t="s">
        <v>39</v>
      </c>
      <c r="E1487" t="str">
        <f t="shared" si="25"/>
        <v>2015年</v>
      </c>
    </row>
    <row r="1488" spans="1:5" x14ac:dyDescent="0.15">
      <c r="A1488" s="21">
        <v>42007</v>
      </c>
      <c r="B1488" s="22" t="s">
        <v>42</v>
      </c>
      <c r="C1488" s="22">
        <v>7905</v>
      </c>
      <c r="D1488" s="22" t="s">
        <v>39</v>
      </c>
      <c r="E1488" t="str">
        <f t="shared" si="25"/>
        <v>2015年</v>
      </c>
    </row>
    <row r="1489" spans="1:5" x14ac:dyDescent="0.15">
      <c r="A1489" s="21">
        <v>42007</v>
      </c>
      <c r="B1489" s="22" t="s">
        <v>38</v>
      </c>
      <c r="C1489" s="22">
        <v>938.39999341964722</v>
      </c>
      <c r="D1489" s="22" t="s">
        <v>39</v>
      </c>
      <c r="E1489" t="str">
        <f t="shared" si="25"/>
        <v>2015年</v>
      </c>
    </row>
    <row r="1490" spans="1:5" x14ac:dyDescent="0.15">
      <c r="A1490" s="21">
        <v>42007</v>
      </c>
      <c r="B1490" s="22" t="s">
        <v>41</v>
      </c>
      <c r="C1490" s="22">
        <v>1047.6249926537275</v>
      </c>
      <c r="D1490" s="22" t="s">
        <v>39</v>
      </c>
      <c r="E1490" t="str">
        <f t="shared" si="25"/>
        <v>2015年</v>
      </c>
    </row>
    <row r="1491" spans="1:5" x14ac:dyDescent="0.15">
      <c r="A1491" s="21">
        <v>42008</v>
      </c>
      <c r="B1491" s="22" t="s">
        <v>36</v>
      </c>
      <c r="C1491" s="22">
        <v>640</v>
      </c>
      <c r="D1491" s="22" t="s">
        <v>34</v>
      </c>
      <c r="E1491" t="str">
        <f t="shared" si="25"/>
        <v>2015年</v>
      </c>
    </row>
    <row r="1492" spans="1:5" x14ac:dyDescent="0.15">
      <c r="A1492" s="21">
        <v>42008</v>
      </c>
      <c r="B1492" s="22" t="s">
        <v>38</v>
      </c>
      <c r="C1492" s="22">
        <v>193</v>
      </c>
      <c r="D1492" s="22" t="s">
        <v>34</v>
      </c>
      <c r="E1492" t="str">
        <f t="shared" si="25"/>
        <v>2015年</v>
      </c>
    </row>
    <row r="1493" spans="1:5" x14ac:dyDescent="0.15">
      <c r="A1493" s="21">
        <v>42008</v>
      </c>
      <c r="B1493" s="22" t="s">
        <v>42</v>
      </c>
      <c r="C1493" s="22">
        <v>322</v>
      </c>
      <c r="D1493" s="22" t="s">
        <v>39</v>
      </c>
      <c r="E1493" t="str">
        <f t="shared" si="25"/>
        <v>2015年</v>
      </c>
    </row>
    <row r="1494" spans="1:5" x14ac:dyDescent="0.15">
      <c r="A1494" s="21">
        <v>42008</v>
      </c>
      <c r="B1494" s="22" t="s">
        <v>42</v>
      </c>
      <c r="C1494" s="22">
        <v>155</v>
      </c>
      <c r="D1494" s="22" t="s">
        <v>39</v>
      </c>
      <c r="E1494" t="str">
        <f t="shared" si="25"/>
        <v>2015年</v>
      </c>
    </row>
    <row r="1495" spans="1:5" x14ac:dyDescent="0.15">
      <c r="A1495" s="21">
        <v>42008</v>
      </c>
      <c r="B1495" s="22" t="s">
        <v>35</v>
      </c>
      <c r="C1495" s="22">
        <v>1140</v>
      </c>
      <c r="D1495" s="22" t="s">
        <v>39</v>
      </c>
      <c r="E1495" t="str">
        <f t="shared" si="25"/>
        <v>2015年</v>
      </c>
    </row>
    <row r="1496" spans="1:5" x14ac:dyDescent="0.15">
      <c r="A1496" s="21">
        <v>42009</v>
      </c>
      <c r="B1496" s="22" t="s">
        <v>42</v>
      </c>
      <c r="C1496" s="22">
        <v>360</v>
      </c>
      <c r="D1496" s="22" t="s">
        <v>39</v>
      </c>
      <c r="E1496" t="str">
        <f t="shared" si="25"/>
        <v>2015年</v>
      </c>
    </row>
    <row r="1497" spans="1:5" x14ac:dyDescent="0.15">
      <c r="A1497" s="21">
        <v>42009</v>
      </c>
      <c r="B1497" s="22" t="s">
        <v>37</v>
      </c>
      <c r="C1497" s="22">
        <v>318</v>
      </c>
      <c r="D1497" s="22" t="s">
        <v>39</v>
      </c>
      <c r="E1497" t="str">
        <f t="shared" si="25"/>
        <v>2015年</v>
      </c>
    </row>
    <row r="1498" spans="1:5" x14ac:dyDescent="0.15">
      <c r="A1498" s="21">
        <v>42009</v>
      </c>
      <c r="B1498" s="22" t="s">
        <v>41</v>
      </c>
      <c r="C1498" s="22">
        <v>147.9</v>
      </c>
      <c r="D1498" s="22" t="s">
        <v>34</v>
      </c>
      <c r="E1498" t="str">
        <f t="shared" si="25"/>
        <v>2015年</v>
      </c>
    </row>
    <row r="1499" spans="1:5" x14ac:dyDescent="0.15">
      <c r="A1499" s="21">
        <v>42009</v>
      </c>
      <c r="B1499" s="22" t="s">
        <v>42</v>
      </c>
      <c r="C1499" s="22">
        <v>90</v>
      </c>
      <c r="D1499" s="22" t="s">
        <v>34</v>
      </c>
      <c r="E1499" t="str">
        <f t="shared" si="25"/>
        <v>2015年</v>
      </c>
    </row>
    <row r="1500" spans="1:5" x14ac:dyDescent="0.15">
      <c r="A1500" s="21">
        <v>42010</v>
      </c>
      <c r="B1500" s="22" t="s">
        <v>36</v>
      </c>
      <c r="C1500" s="22">
        <v>377.99999937415123</v>
      </c>
      <c r="D1500" s="22" t="s">
        <v>34</v>
      </c>
      <c r="E1500" t="str">
        <f t="shared" si="25"/>
        <v>2015年</v>
      </c>
    </row>
    <row r="1501" spans="1:5" x14ac:dyDescent="0.15">
      <c r="A1501" s="21">
        <v>42010</v>
      </c>
      <c r="B1501" s="22" t="s">
        <v>35</v>
      </c>
      <c r="C1501" s="22">
        <v>292.5</v>
      </c>
      <c r="D1501" s="22" t="s">
        <v>34</v>
      </c>
      <c r="E1501" t="str">
        <f t="shared" si="25"/>
        <v>2015年</v>
      </c>
    </row>
    <row r="1502" spans="1:5" x14ac:dyDescent="0.15">
      <c r="A1502" s="21">
        <v>42010</v>
      </c>
      <c r="B1502" s="22" t="s">
        <v>36</v>
      </c>
      <c r="C1502" s="22">
        <v>1979.9999967217445</v>
      </c>
      <c r="D1502" s="22" t="s">
        <v>34</v>
      </c>
      <c r="E1502" t="str">
        <f t="shared" si="25"/>
        <v>2015年</v>
      </c>
    </row>
    <row r="1503" spans="1:5" x14ac:dyDescent="0.15">
      <c r="A1503" s="21">
        <v>42010</v>
      </c>
      <c r="B1503" s="22" t="s">
        <v>40</v>
      </c>
      <c r="C1503" s="22">
        <v>175.49999970942736</v>
      </c>
      <c r="D1503" s="22" t="s">
        <v>34</v>
      </c>
      <c r="E1503" t="str">
        <f t="shared" si="25"/>
        <v>2015年</v>
      </c>
    </row>
    <row r="1504" spans="1:5" x14ac:dyDescent="0.15">
      <c r="A1504" s="21">
        <v>42010</v>
      </c>
      <c r="B1504" s="22" t="s">
        <v>38</v>
      </c>
      <c r="C1504" s="22">
        <v>115.8</v>
      </c>
      <c r="D1504" s="22" t="s">
        <v>39</v>
      </c>
      <c r="E1504" t="str">
        <f t="shared" si="25"/>
        <v>2015年</v>
      </c>
    </row>
    <row r="1505" spans="1:5" x14ac:dyDescent="0.15">
      <c r="A1505" s="21">
        <v>42010</v>
      </c>
      <c r="B1505" s="22" t="s">
        <v>42</v>
      </c>
      <c r="C1505" s="22">
        <v>135</v>
      </c>
      <c r="D1505" s="22" t="s">
        <v>39</v>
      </c>
      <c r="E1505" t="str">
        <f t="shared" si="25"/>
        <v>2015年</v>
      </c>
    </row>
    <row r="1506" spans="1:5" x14ac:dyDescent="0.15">
      <c r="A1506" s="21">
        <v>42010</v>
      </c>
      <c r="B1506" s="22" t="s">
        <v>41</v>
      </c>
      <c r="C1506" s="22">
        <v>374.76</v>
      </c>
      <c r="D1506" s="22" t="s">
        <v>39</v>
      </c>
      <c r="E1506" t="str">
        <f t="shared" si="25"/>
        <v>2015年</v>
      </c>
    </row>
    <row r="1507" spans="1:5" x14ac:dyDescent="0.15">
      <c r="A1507" s="21">
        <v>42010</v>
      </c>
      <c r="B1507" s="22" t="s">
        <v>33</v>
      </c>
      <c r="C1507" s="22">
        <v>656</v>
      </c>
      <c r="D1507" s="22" t="s">
        <v>39</v>
      </c>
      <c r="E1507" t="str">
        <f t="shared" si="25"/>
        <v>2015年</v>
      </c>
    </row>
    <row r="1508" spans="1:5" x14ac:dyDescent="0.15">
      <c r="A1508" s="21">
        <v>42013</v>
      </c>
      <c r="B1508" s="22" t="s">
        <v>36</v>
      </c>
      <c r="C1508" s="22">
        <v>437.5</v>
      </c>
      <c r="D1508" s="22" t="s">
        <v>34</v>
      </c>
      <c r="E1508" t="str">
        <f t="shared" si="25"/>
        <v>2015年</v>
      </c>
    </row>
    <row r="1509" spans="1:5" x14ac:dyDescent="0.15">
      <c r="A1509" s="21">
        <v>42013</v>
      </c>
      <c r="B1509" s="22" t="s">
        <v>35</v>
      </c>
      <c r="C1509" s="22">
        <v>292.5</v>
      </c>
      <c r="D1509" s="22" t="s">
        <v>34</v>
      </c>
      <c r="E1509" t="str">
        <f t="shared" si="25"/>
        <v>2015年</v>
      </c>
    </row>
    <row r="1510" spans="1:5" x14ac:dyDescent="0.15">
      <c r="A1510" s="21">
        <v>42013</v>
      </c>
      <c r="B1510" s="22" t="s">
        <v>38</v>
      </c>
      <c r="C1510" s="22">
        <v>465</v>
      </c>
      <c r="D1510" s="22" t="s">
        <v>39</v>
      </c>
      <c r="E1510" t="str">
        <f t="shared" si="25"/>
        <v>2015年</v>
      </c>
    </row>
    <row r="1511" spans="1:5" x14ac:dyDescent="0.15">
      <c r="A1511" s="21">
        <v>42013</v>
      </c>
      <c r="B1511" s="22" t="s">
        <v>42</v>
      </c>
      <c r="C1511" s="22">
        <v>378</v>
      </c>
      <c r="D1511" s="22" t="s">
        <v>39</v>
      </c>
      <c r="E1511" t="str">
        <f t="shared" si="25"/>
        <v>2015年</v>
      </c>
    </row>
    <row r="1512" spans="1:5" x14ac:dyDescent="0.15">
      <c r="A1512" s="21">
        <v>42014</v>
      </c>
      <c r="B1512" s="22" t="s">
        <v>41</v>
      </c>
      <c r="C1512" s="22">
        <v>405</v>
      </c>
      <c r="D1512" s="22" t="s">
        <v>34</v>
      </c>
      <c r="E1512" t="str">
        <f t="shared" si="25"/>
        <v>2015年</v>
      </c>
    </row>
    <row r="1513" spans="1:5" x14ac:dyDescent="0.15">
      <c r="A1513" s="21">
        <v>42014</v>
      </c>
      <c r="B1513" s="22" t="s">
        <v>42</v>
      </c>
      <c r="C1513" s="22">
        <v>527</v>
      </c>
      <c r="D1513" s="22" t="s">
        <v>34</v>
      </c>
      <c r="E1513" t="str">
        <f t="shared" si="25"/>
        <v>2015年</v>
      </c>
    </row>
    <row r="1514" spans="1:5" x14ac:dyDescent="0.15">
      <c r="A1514" s="21">
        <v>42014</v>
      </c>
      <c r="B1514" s="22" t="s">
        <v>42</v>
      </c>
      <c r="C1514" s="22">
        <v>190</v>
      </c>
      <c r="D1514" s="22" t="s">
        <v>34</v>
      </c>
      <c r="E1514" t="str">
        <f t="shared" si="25"/>
        <v>2015年</v>
      </c>
    </row>
    <row r="1515" spans="1:5" x14ac:dyDescent="0.15">
      <c r="A1515" s="21">
        <v>42014</v>
      </c>
      <c r="B1515" s="22" t="s">
        <v>40</v>
      </c>
      <c r="C1515" s="22">
        <v>800</v>
      </c>
      <c r="D1515" s="22" t="s">
        <v>34</v>
      </c>
      <c r="E1515" t="str">
        <f t="shared" si="25"/>
        <v>2015年</v>
      </c>
    </row>
    <row r="1516" spans="1:5" x14ac:dyDescent="0.15">
      <c r="A1516" s="21">
        <v>42014</v>
      </c>
      <c r="B1516" s="22" t="s">
        <v>38</v>
      </c>
      <c r="C1516" s="22">
        <v>60</v>
      </c>
      <c r="D1516" s="22" t="s">
        <v>34</v>
      </c>
      <c r="E1516" t="str">
        <f t="shared" si="25"/>
        <v>2015年</v>
      </c>
    </row>
    <row r="1517" spans="1:5" x14ac:dyDescent="0.15">
      <c r="A1517" s="21">
        <v>42014</v>
      </c>
      <c r="B1517" s="22" t="s">
        <v>36</v>
      </c>
      <c r="C1517" s="22">
        <v>714</v>
      </c>
      <c r="D1517" s="22" t="s">
        <v>34</v>
      </c>
      <c r="E1517" t="str">
        <f t="shared" si="25"/>
        <v>2015年</v>
      </c>
    </row>
    <row r="1518" spans="1:5" x14ac:dyDescent="0.15">
      <c r="A1518" s="21">
        <v>42014</v>
      </c>
      <c r="B1518" s="22" t="s">
        <v>40</v>
      </c>
      <c r="C1518" s="22">
        <v>150</v>
      </c>
      <c r="D1518" s="22" t="s">
        <v>39</v>
      </c>
      <c r="E1518" t="str">
        <f t="shared" si="25"/>
        <v>2015年</v>
      </c>
    </row>
    <row r="1519" spans="1:5" x14ac:dyDescent="0.15">
      <c r="A1519" s="21">
        <v>42014</v>
      </c>
      <c r="B1519" s="22" t="s">
        <v>42</v>
      </c>
      <c r="C1519" s="22">
        <v>504</v>
      </c>
      <c r="D1519" s="22" t="s">
        <v>39</v>
      </c>
      <c r="E1519" t="str">
        <f t="shared" si="25"/>
        <v>2015年</v>
      </c>
    </row>
    <row r="1520" spans="1:5" x14ac:dyDescent="0.15">
      <c r="A1520" s="21">
        <v>42014</v>
      </c>
      <c r="B1520" s="22" t="s">
        <v>36</v>
      </c>
      <c r="C1520" s="22">
        <v>1020</v>
      </c>
      <c r="D1520" s="22" t="s">
        <v>39</v>
      </c>
      <c r="E1520" t="str">
        <f t="shared" si="25"/>
        <v>2015年</v>
      </c>
    </row>
    <row r="1521" spans="1:5" x14ac:dyDescent="0.15">
      <c r="A1521" s="21">
        <v>42014</v>
      </c>
      <c r="B1521" s="22" t="s">
        <v>41</v>
      </c>
      <c r="C1521" s="22">
        <v>300</v>
      </c>
      <c r="D1521" s="22" t="s">
        <v>39</v>
      </c>
      <c r="E1521" t="str">
        <f t="shared" si="25"/>
        <v>2015年</v>
      </c>
    </row>
    <row r="1522" spans="1:5" x14ac:dyDescent="0.15">
      <c r="A1522" s="21">
        <v>42015</v>
      </c>
      <c r="B1522" s="22" t="s">
        <v>41</v>
      </c>
      <c r="C1522" s="22">
        <v>18.399999999999999</v>
      </c>
      <c r="D1522" s="22" t="s">
        <v>39</v>
      </c>
      <c r="E1522" t="str">
        <f t="shared" si="25"/>
        <v>2015年</v>
      </c>
    </row>
    <row r="1523" spans="1:5" x14ac:dyDescent="0.15">
      <c r="A1523" s="21">
        <v>42015</v>
      </c>
      <c r="B1523" s="22" t="s">
        <v>42</v>
      </c>
      <c r="C1523" s="22">
        <v>144</v>
      </c>
      <c r="D1523" s="22" t="s">
        <v>39</v>
      </c>
      <c r="E1523" t="str">
        <f t="shared" si="25"/>
        <v>2015年</v>
      </c>
    </row>
    <row r="1524" spans="1:5" x14ac:dyDescent="0.15">
      <c r="A1524" s="21">
        <v>42015</v>
      </c>
      <c r="B1524" s="22" t="s">
        <v>42</v>
      </c>
      <c r="C1524" s="22">
        <v>2108</v>
      </c>
      <c r="D1524" s="22" t="s">
        <v>39</v>
      </c>
      <c r="E1524" t="str">
        <f t="shared" si="25"/>
        <v>2015年</v>
      </c>
    </row>
    <row r="1525" spans="1:5" x14ac:dyDescent="0.15">
      <c r="A1525" s="21">
        <v>42015</v>
      </c>
      <c r="B1525" s="22" t="s">
        <v>42</v>
      </c>
      <c r="C1525" s="22">
        <v>414</v>
      </c>
      <c r="D1525" s="22" t="s">
        <v>39</v>
      </c>
      <c r="E1525" t="str">
        <f t="shared" si="25"/>
        <v>2015年</v>
      </c>
    </row>
    <row r="1526" spans="1:5" x14ac:dyDescent="0.15">
      <c r="A1526" s="21">
        <v>42015</v>
      </c>
      <c r="B1526" s="22" t="s">
        <v>38</v>
      </c>
      <c r="C1526" s="22">
        <v>14.39999994635582</v>
      </c>
      <c r="D1526" s="22" t="s">
        <v>39</v>
      </c>
      <c r="E1526" t="str">
        <f t="shared" si="25"/>
        <v>2015年</v>
      </c>
    </row>
    <row r="1527" spans="1:5" x14ac:dyDescent="0.15">
      <c r="A1527" s="21">
        <v>42015</v>
      </c>
      <c r="B1527" s="22" t="s">
        <v>41</v>
      </c>
      <c r="C1527" s="22">
        <v>111.99999958276749</v>
      </c>
      <c r="D1527" s="22" t="s">
        <v>39</v>
      </c>
      <c r="E1527" t="str">
        <f t="shared" si="25"/>
        <v>2015年</v>
      </c>
    </row>
    <row r="1528" spans="1:5" x14ac:dyDescent="0.15">
      <c r="A1528" s="21">
        <v>42015</v>
      </c>
      <c r="B1528" s="22" t="s">
        <v>40</v>
      </c>
      <c r="C1528" s="22">
        <v>248.95999907255174</v>
      </c>
      <c r="D1528" s="22" t="s">
        <v>39</v>
      </c>
      <c r="E1528" t="str">
        <f t="shared" si="25"/>
        <v>2015年</v>
      </c>
    </row>
    <row r="1529" spans="1:5" x14ac:dyDescent="0.15">
      <c r="A1529" s="21">
        <v>42015</v>
      </c>
      <c r="B1529" s="22" t="s">
        <v>35</v>
      </c>
      <c r="C1529" s="22">
        <v>99.75</v>
      </c>
      <c r="D1529" s="22" t="s">
        <v>39</v>
      </c>
      <c r="E1529" t="str">
        <f t="shared" si="25"/>
        <v>2015年</v>
      </c>
    </row>
    <row r="1530" spans="1:5" x14ac:dyDescent="0.15">
      <c r="A1530" s="21">
        <v>42016</v>
      </c>
      <c r="B1530" s="22" t="s">
        <v>37</v>
      </c>
      <c r="C1530" s="22">
        <v>539.99999910593033</v>
      </c>
      <c r="D1530" s="22" t="s">
        <v>34</v>
      </c>
      <c r="E1530" t="str">
        <f t="shared" si="25"/>
        <v>2015年</v>
      </c>
    </row>
    <row r="1531" spans="1:5" x14ac:dyDescent="0.15">
      <c r="A1531" s="21">
        <v>42016</v>
      </c>
      <c r="B1531" s="22" t="s">
        <v>36</v>
      </c>
      <c r="C1531" s="22">
        <v>101.24999983236194</v>
      </c>
      <c r="D1531" s="22" t="s">
        <v>34</v>
      </c>
      <c r="E1531" t="str">
        <f t="shared" si="25"/>
        <v>2015年</v>
      </c>
    </row>
    <row r="1532" spans="1:5" x14ac:dyDescent="0.15">
      <c r="A1532" s="21">
        <v>42016</v>
      </c>
      <c r="B1532" s="22" t="s">
        <v>33</v>
      </c>
      <c r="C1532" s="22">
        <v>265.67999956011772</v>
      </c>
      <c r="D1532" s="22" t="s">
        <v>34</v>
      </c>
      <c r="E1532" t="str">
        <f t="shared" si="25"/>
        <v>2015年</v>
      </c>
    </row>
    <row r="1533" spans="1:5" x14ac:dyDescent="0.15">
      <c r="A1533" s="21">
        <v>42016</v>
      </c>
      <c r="B1533" s="22" t="s">
        <v>33</v>
      </c>
      <c r="C1533" s="22">
        <v>940.80399926215409</v>
      </c>
      <c r="D1533" s="22" t="s">
        <v>39</v>
      </c>
      <c r="E1533" t="str">
        <f t="shared" si="25"/>
        <v>2015年</v>
      </c>
    </row>
    <row r="1534" spans="1:5" x14ac:dyDescent="0.15">
      <c r="A1534" s="21">
        <v>42016</v>
      </c>
      <c r="B1534" s="22" t="s">
        <v>38</v>
      </c>
      <c r="C1534" s="22">
        <v>491.90999961420891</v>
      </c>
      <c r="D1534" s="22" t="s">
        <v>39</v>
      </c>
      <c r="E1534" t="str">
        <f t="shared" si="25"/>
        <v>2015年</v>
      </c>
    </row>
    <row r="1535" spans="1:5" x14ac:dyDescent="0.15">
      <c r="A1535" s="21">
        <v>42016</v>
      </c>
      <c r="B1535" s="22" t="s">
        <v>36</v>
      </c>
      <c r="C1535" s="22">
        <v>825</v>
      </c>
      <c r="D1535" s="22" t="s">
        <v>39</v>
      </c>
      <c r="E1535" t="str">
        <f t="shared" si="25"/>
        <v>2015年</v>
      </c>
    </row>
    <row r="1536" spans="1:5" x14ac:dyDescent="0.15">
      <c r="A1536" s="21">
        <v>42016</v>
      </c>
      <c r="B1536" s="22" t="s">
        <v>42</v>
      </c>
      <c r="C1536" s="22">
        <v>23.999999910593033</v>
      </c>
      <c r="D1536" s="22" t="s">
        <v>39</v>
      </c>
      <c r="E1536" t="str">
        <f t="shared" si="25"/>
        <v>2015年</v>
      </c>
    </row>
    <row r="1537" spans="1:5" x14ac:dyDescent="0.15">
      <c r="A1537" s="21">
        <v>42017</v>
      </c>
      <c r="B1537" s="22" t="s">
        <v>35</v>
      </c>
      <c r="C1537" s="22">
        <v>1092</v>
      </c>
      <c r="D1537" s="22" t="s">
        <v>34</v>
      </c>
      <c r="E1537" t="str">
        <f t="shared" si="25"/>
        <v>2015年</v>
      </c>
    </row>
    <row r="1538" spans="1:5" x14ac:dyDescent="0.15">
      <c r="A1538" s="21">
        <v>42017</v>
      </c>
      <c r="B1538" s="22" t="s">
        <v>42</v>
      </c>
      <c r="C1538" s="22">
        <v>108</v>
      </c>
      <c r="D1538" s="22" t="s">
        <v>34</v>
      </c>
      <c r="E1538" t="str">
        <f t="shared" ref="E1538:E1601" si="26">YEAR(A1538)&amp;"年"</f>
        <v>2015年</v>
      </c>
    </row>
    <row r="1539" spans="1:5" x14ac:dyDescent="0.15">
      <c r="A1539" s="21">
        <v>42017</v>
      </c>
      <c r="B1539" s="22" t="s">
        <v>35</v>
      </c>
      <c r="C1539" s="22">
        <v>468</v>
      </c>
      <c r="D1539" s="22" t="s">
        <v>34</v>
      </c>
      <c r="E1539" t="str">
        <f t="shared" si="26"/>
        <v>2015年</v>
      </c>
    </row>
    <row r="1540" spans="1:5" x14ac:dyDescent="0.15">
      <c r="A1540" s="21">
        <v>42017</v>
      </c>
      <c r="B1540" s="22" t="s">
        <v>36</v>
      </c>
      <c r="C1540" s="22">
        <v>2040</v>
      </c>
      <c r="D1540" s="22" t="s">
        <v>34</v>
      </c>
      <c r="E1540" t="str">
        <f t="shared" si="26"/>
        <v>2015年</v>
      </c>
    </row>
    <row r="1541" spans="1:5" x14ac:dyDescent="0.15">
      <c r="A1541" s="21">
        <v>42017</v>
      </c>
      <c r="B1541" s="22" t="s">
        <v>35</v>
      </c>
      <c r="C1541" s="22">
        <v>997.5</v>
      </c>
      <c r="D1541" s="22" t="s">
        <v>34</v>
      </c>
      <c r="E1541" t="str">
        <f t="shared" si="26"/>
        <v>2015年</v>
      </c>
    </row>
    <row r="1542" spans="1:5" x14ac:dyDescent="0.15">
      <c r="A1542" s="21">
        <v>42017</v>
      </c>
      <c r="B1542" s="22" t="s">
        <v>38</v>
      </c>
      <c r="C1542" s="22">
        <v>36</v>
      </c>
      <c r="D1542" s="22" t="s">
        <v>34</v>
      </c>
      <c r="E1542" t="str">
        <f t="shared" si="26"/>
        <v>2015年</v>
      </c>
    </row>
    <row r="1543" spans="1:5" x14ac:dyDescent="0.15">
      <c r="A1543" s="21">
        <v>42017</v>
      </c>
      <c r="B1543" s="22" t="s">
        <v>38</v>
      </c>
      <c r="C1543" s="22">
        <v>460</v>
      </c>
      <c r="D1543" s="22" t="s">
        <v>34</v>
      </c>
      <c r="E1543" t="str">
        <f t="shared" si="26"/>
        <v>2015年</v>
      </c>
    </row>
    <row r="1544" spans="1:5" x14ac:dyDescent="0.15">
      <c r="A1544" s="21">
        <v>42017</v>
      </c>
      <c r="B1544" s="22" t="s">
        <v>41</v>
      </c>
      <c r="C1544" s="22">
        <v>285</v>
      </c>
      <c r="D1544" s="22" t="s">
        <v>34</v>
      </c>
      <c r="E1544" t="str">
        <f t="shared" si="26"/>
        <v>2015年</v>
      </c>
    </row>
    <row r="1545" spans="1:5" x14ac:dyDescent="0.15">
      <c r="A1545" s="21">
        <v>42017</v>
      </c>
      <c r="B1545" s="22" t="s">
        <v>42</v>
      </c>
      <c r="C1545" s="22">
        <v>283.5</v>
      </c>
      <c r="D1545" s="22" t="s">
        <v>34</v>
      </c>
      <c r="E1545" t="str">
        <f t="shared" si="26"/>
        <v>2015年</v>
      </c>
    </row>
    <row r="1546" spans="1:5" x14ac:dyDescent="0.15">
      <c r="A1546" s="21">
        <v>42020</v>
      </c>
      <c r="B1546" s="22" t="s">
        <v>42</v>
      </c>
      <c r="C1546" s="22">
        <v>54</v>
      </c>
      <c r="D1546" s="22" t="s">
        <v>39</v>
      </c>
      <c r="E1546" t="str">
        <f t="shared" si="26"/>
        <v>2015年</v>
      </c>
    </row>
    <row r="1547" spans="1:5" x14ac:dyDescent="0.15">
      <c r="A1547" s="21">
        <v>42020</v>
      </c>
      <c r="B1547" s="22" t="s">
        <v>38</v>
      </c>
      <c r="C1547" s="22">
        <v>1171.875</v>
      </c>
      <c r="D1547" s="22" t="s">
        <v>39</v>
      </c>
      <c r="E1547" t="str">
        <f t="shared" si="26"/>
        <v>2015年</v>
      </c>
    </row>
    <row r="1548" spans="1:5" x14ac:dyDescent="0.15">
      <c r="A1548" s="21">
        <v>42020</v>
      </c>
      <c r="B1548" s="22" t="s">
        <v>38</v>
      </c>
      <c r="C1548" s="22">
        <v>712.5</v>
      </c>
      <c r="D1548" s="22" t="s">
        <v>39</v>
      </c>
      <c r="E1548" t="str">
        <f t="shared" si="26"/>
        <v>2015年</v>
      </c>
    </row>
    <row r="1549" spans="1:5" x14ac:dyDescent="0.15">
      <c r="A1549" s="21">
        <v>42020</v>
      </c>
      <c r="B1549" s="22" t="s">
        <v>38</v>
      </c>
      <c r="C1549" s="22">
        <v>357.74999940767884</v>
      </c>
      <c r="D1549" s="22" t="s">
        <v>39</v>
      </c>
      <c r="E1549" t="str">
        <f t="shared" si="26"/>
        <v>2015年</v>
      </c>
    </row>
    <row r="1550" spans="1:5" x14ac:dyDescent="0.15">
      <c r="A1550" s="21">
        <v>42020</v>
      </c>
      <c r="B1550" s="22" t="s">
        <v>36</v>
      </c>
      <c r="C1550" s="22">
        <v>469.79999922215939</v>
      </c>
      <c r="D1550" s="22" t="s">
        <v>39</v>
      </c>
      <c r="E1550" t="str">
        <f t="shared" si="26"/>
        <v>2015年</v>
      </c>
    </row>
    <row r="1551" spans="1:5" x14ac:dyDescent="0.15">
      <c r="A1551" s="21">
        <v>42020</v>
      </c>
      <c r="B1551" s="22" t="s">
        <v>41</v>
      </c>
      <c r="C1551" s="22">
        <v>67.199999749660492</v>
      </c>
      <c r="D1551" s="22" t="s">
        <v>39</v>
      </c>
      <c r="E1551" t="str">
        <f t="shared" si="26"/>
        <v>2015年</v>
      </c>
    </row>
    <row r="1552" spans="1:5" x14ac:dyDescent="0.15">
      <c r="A1552" s="21">
        <v>42020</v>
      </c>
      <c r="B1552" s="22" t="s">
        <v>42</v>
      </c>
      <c r="C1552" s="22">
        <v>143.9999994635582</v>
      </c>
      <c r="D1552" s="22" t="s">
        <v>39</v>
      </c>
      <c r="E1552" t="str">
        <f t="shared" si="26"/>
        <v>2015年</v>
      </c>
    </row>
    <row r="1553" spans="1:5" x14ac:dyDescent="0.15">
      <c r="A1553" s="21">
        <v>42021</v>
      </c>
      <c r="B1553" s="22" t="s">
        <v>38</v>
      </c>
      <c r="C1553" s="22">
        <v>496</v>
      </c>
      <c r="D1553" s="22" t="s">
        <v>34</v>
      </c>
      <c r="E1553" t="str">
        <f t="shared" si="26"/>
        <v>2015年</v>
      </c>
    </row>
    <row r="1554" spans="1:5" x14ac:dyDescent="0.15">
      <c r="A1554" s="21">
        <v>42021</v>
      </c>
      <c r="B1554" s="22" t="s">
        <v>35</v>
      </c>
      <c r="C1554" s="22">
        <v>1140</v>
      </c>
      <c r="D1554" s="22" t="s">
        <v>34</v>
      </c>
      <c r="E1554" t="str">
        <f t="shared" si="26"/>
        <v>2015年</v>
      </c>
    </row>
    <row r="1555" spans="1:5" x14ac:dyDescent="0.15">
      <c r="A1555" s="21">
        <v>42021</v>
      </c>
      <c r="B1555" s="22" t="s">
        <v>36</v>
      </c>
      <c r="C1555" s="22">
        <v>2750</v>
      </c>
      <c r="D1555" s="22" t="s">
        <v>34</v>
      </c>
      <c r="E1555" t="str">
        <f t="shared" si="26"/>
        <v>2015年</v>
      </c>
    </row>
    <row r="1556" spans="1:5" x14ac:dyDescent="0.15">
      <c r="A1556" s="21">
        <v>42021</v>
      </c>
      <c r="B1556" s="22" t="s">
        <v>40</v>
      </c>
      <c r="C1556" s="22">
        <v>195</v>
      </c>
      <c r="D1556" s="22" t="s">
        <v>34</v>
      </c>
      <c r="E1556" t="str">
        <f t="shared" si="26"/>
        <v>2015年</v>
      </c>
    </row>
    <row r="1557" spans="1:5" x14ac:dyDescent="0.15">
      <c r="A1557" s="21">
        <v>42021</v>
      </c>
      <c r="B1557" s="22" t="s">
        <v>36</v>
      </c>
      <c r="C1557" s="22">
        <v>315</v>
      </c>
      <c r="D1557" s="22" t="s">
        <v>39</v>
      </c>
      <c r="E1557" t="str">
        <f t="shared" si="26"/>
        <v>2015年</v>
      </c>
    </row>
    <row r="1558" spans="1:5" x14ac:dyDescent="0.15">
      <c r="A1558" s="21">
        <v>42021</v>
      </c>
      <c r="B1558" s="22" t="s">
        <v>42</v>
      </c>
      <c r="C1558" s="22">
        <v>230</v>
      </c>
      <c r="D1558" s="22" t="s">
        <v>39</v>
      </c>
      <c r="E1558" t="str">
        <f t="shared" si="26"/>
        <v>2015年</v>
      </c>
    </row>
    <row r="1559" spans="1:5" x14ac:dyDescent="0.15">
      <c r="A1559" s="21">
        <v>42021</v>
      </c>
      <c r="B1559" s="22" t="s">
        <v>41</v>
      </c>
      <c r="C1559" s="22">
        <v>250</v>
      </c>
      <c r="D1559" s="22" t="s">
        <v>39</v>
      </c>
      <c r="E1559" t="str">
        <f t="shared" si="26"/>
        <v>2015年</v>
      </c>
    </row>
    <row r="1560" spans="1:5" x14ac:dyDescent="0.15">
      <c r="A1560" s="21">
        <v>42021</v>
      </c>
      <c r="B1560" s="22" t="s">
        <v>42</v>
      </c>
      <c r="C1560" s="22">
        <v>180</v>
      </c>
      <c r="D1560" s="22" t="s">
        <v>39</v>
      </c>
      <c r="E1560" t="str">
        <f t="shared" si="26"/>
        <v>2015年</v>
      </c>
    </row>
    <row r="1561" spans="1:5" x14ac:dyDescent="0.15">
      <c r="A1561" s="21">
        <v>42022</v>
      </c>
      <c r="B1561" s="22" t="s">
        <v>37</v>
      </c>
      <c r="C1561" s="22">
        <v>159</v>
      </c>
      <c r="D1561" s="22" t="s">
        <v>39</v>
      </c>
      <c r="E1561" t="str">
        <f t="shared" si="26"/>
        <v>2015年</v>
      </c>
    </row>
    <row r="1562" spans="1:5" x14ac:dyDescent="0.15">
      <c r="A1562" s="21">
        <v>42022</v>
      </c>
      <c r="B1562" s="22" t="s">
        <v>35</v>
      </c>
      <c r="C1562" s="22">
        <v>735</v>
      </c>
      <c r="D1562" s="22" t="s">
        <v>39</v>
      </c>
      <c r="E1562" t="str">
        <f t="shared" si="26"/>
        <v>2015年</v>
      </c>
    </row>
    <row r="1563" spans="1:5" x14ac:dyDescent="0.15">
      <c r="A1563" s="21">
        <v>42022</v>
      </c>
      <c r="B1563" s="22" t="s">
        <v>35</v>
      </c>
      <c r="C1563" s="22">
        <v>566.99999906122684</v>
      </c>
      <c r="D1563" s="22" t="s">
        <v>39</v>
      </c>
      <c r="E1563" t="str">
        <f t="shared" si="26"/>
        <v>2015年</v>
      </c>
    </row>
    <row r="1564" spans="1:5" x14ac:dyDescent="0.15">
      <c r="A1564" s="21">
        <v>42022</v>
      </c>
      <c r="B1564" s="22" t="s">
        <v>42</v>
      </c>
      <c r="C1564" s="22">
        <v>404.99999932944775</v>
      </c>
      <c r="D1564" s="22" t="s">
        <v>39</v>
      </c>
      <c r="E1564" t="str">
        <f t="shared" si="26"/>
        <v>2015年</v>
      </c>
    </row>
    <row r="1565" spans="1:5" x14ac:dyDescent="0.15">
      <c r="A1565" s="21">
        <v>42022</v>
      </c>
      <c r="B1565" s="22" t="s">
        <v>35</v>
      </c>
      <c r="C1565" s="22">
        <v>529.19999912381172</v>
      </c>
      <c r="D1565" s="22" t="s">
        <v>39</v>
      </c>
      <c r="E1565" t="str">
        <f t="shared" si="26"/>
        <v>2015年</v>
      </c>
    </row>
    <row r="1566" spans="1:5" x14ac:dyDescent="0.15">
      <c r="A1566" s="21">
        <v>42022</v>
      </c>
      <c r="B1566" s="22" t="s">
        <v>38</v>
      </c>
      <c r="C1566" s="22">
        <v>715.49999881535769</v>
      </c>
      <c r="D1566" s="22" t="s">
        <v>39</v>
      </c>
      <c r="E1566" t="str">
        <f t="shared" si="26"/>
        <v>2015年</v>
      </c>
    </row>
    <row r="1567" spans="1:5" x14ac:dyDescent="0.15">
      <c r="A1567" s="21">
        <v>42022</v>
      </c>
      <c r="B1567" s="22" t="s">
        <v>35</v>
      </c>
      <c r="C1567" s="22">
        <v>1596</v>
      </c>
      <c r="D1567" s="22" t="s">
        <v>39</v>
      </c>
      <c r="E1567" t="str">
        <f t="shared" si="26"/>
        <v>2015年</v>
      </c>
    </row>
    <row r="1568" spans="1:5" x14ac:dyDescent="0.15">
      <c r="A1568" s="21">
        <v>42023</v>
      </c>
      <c r="B1568" s="22" t="s">
        <v>40</v>
      </c>
      <c r="C1568" s="22">
        <v>462</v>
      </c>
      <c r="D1568" s="22" t="s">
        <v>39</v>
      </c>
      <c r="E1568" t="str">
        <f t="shared" si="26"/>
        <v>2015年</v>
      </c>
    </row>
    <row r="1569" spans="1:5" x14ac:dyDescent="0.15">
      <c r="A1569" s="21">
        <v>42023</v>
      </c>
      <c r="B1569" s="22" t="s">
        <v>42</v>
      </c>
      <c r="C1569" s="22">
        <v>450</v>
      </c>
      <c r="D1569" s="22" t="s">
        <v>39</v>
      </c>
      <c r="E1569" t="str">
        <f t="shared" si="26"/>
        <v>2015年</v>
      </c>
    </row>
    <row r="1570" spans="1:5" x14ac:dyDescent="0.15">
      <c r="A1570" s="21">
        <v>42023</v>
      </c>
      <c r="B1570" s="22" t="s">
        <v>37</v>
      </c>
      <c r="C1570" s="22">
        <v>200</v>
      </c>
      <c r="D1570" s="22" t="s">
        <v>39</v>
      </c>
      <c r="E1570" t="str">
        <f t="shared" si="26"/>
        <v>2015年</v>
      </c>
    </row>
    <row r="1571" spans="1:5" x14ac:dyDescent="0.15">
      <c r="A1571" s="21">
        <v>42023</v>
      </c>
      <c r="B1571" s="22" t="s">
        <v>42</v>
      </c>
      <c r="C1571" s="22">
        <v>1151.9999957084656</v>
      </c>
      <c r="D1571" s="22" t="s">
        <v>39</v>
      </c>
      <c r="E1571" t="str">
        <f t="shared" si="26"/>
        <v>2015年</v>
      </c>
    </row>
    <row r="1572" spans="1:5" x14ac:dyDescent="0.15">
      <c r="A1572" s="21">
        <v>42023</v>
      </c>
      <c r="B1572" s="22" t="s">
        <v>41</v>
      </c>
      <c r="C1572" s="22">
        <v>88.319999670982355</v>
      </c>
      <c r="D1572" s="22" t="s">
        <v>39</v>
      </c>
      <c r="E1572" t="str">
        <f t="shared" si="26"/>
        <v>2015年</v>
      </c>
    </row>
    <row r="1573" spans="1:5" x14ac:dyDescent="0.15">
      <c r="A1573" s="21">
        <v>42023</v>
      </c>
      <c r="B1573" s="22" t="s">
        <v>38</v>
      </c>
      <c r="C1573" s="22">
        <v>1247.9999953508377</v>
      </c>
      <c r="D1573" s="22" t="s">
        <v>39</v>
      </c>
      <c r="E1573" t="str">
        <f t="shared" si="26"/>
        <v>2015年</v>
      </c>
    </row>
    <row r="1574" spans="1:5" x14ac:dyDescent="0.15">
      <c r="A1574" s="21">
        <v>42023</v>
      </c>
      <c r="B1574" s="22" t="s">
        <v>38</v>
      </c>
      <c r="C1574" s="22">
        <v>273.59999898076057</v>
      </c>
      <c r="D1574" s="22" t="s">
        <v>39</v>
      </c>
      <c r="E1574" t="str">
        <f t="shared" si="26"/>
        <v>2015年</v>
      </c>
    </row>
    <row r="1575" spans="1:5" x14ac:dyDescent="0.15">
      <c r="A1575" s="21">
        <v>42023</v>
      </c>
      <c r="B1575" s="22" t="s">
        <v>36</v>
      </c>
      <c r="C1575" s="22">
        <v>1223.9999954402447</v>
      </c>
      <c r="D1575" s="22" t="s">
        <v>39</v>
      </c>
      <c r="E1575" t="str">
        <f t="shared" si="26"/>
        <v>2015年</v>
      </c>
    </row>
    <row r="1576" spans="1:5" x14ac:dyDescent="0.15">
      <c r="A1576" s="21">
        <v>42023</v>
      </c>
      <c r="B1576" s="22" t="s">
        <v>36</v>
      </c>
      <c r="C1576" s="22">
        <v>945.99999647587538</v>
      </c>
      <c r="D1576" s="22" t="s">
        <v>39</v>
      </c>
      <c r="E1576" t="str">
        <f t="shared" si="26"/>
        <v>2015年</v>
      </c>
    </row>
    <row r="1577" spans="1:5" x14ac:dyDescent="0.15">
      <c r="A1577" s="21">
        <v>42024</v>
      </c>
      <c r="B1577" s="22" t="s">
        <v>40</v>
      </c>
      <c r="C1577" s="22">
        <v>640.5</v>
      </c>
      <c r="D1577" s="22" t="s">
        <v>34</v>
      </c>
      <c r="E1577" t="str">
        <f t="shared" si="26"/>
        <v>2015年</v>
      </c>
    </row>
    <row r="1578" spans="1:5" x14ac:dyDescent="0.15">
      <c r="A1578" s="21">
        <v>42024</v>
      </c>
      <c r="B1578" s="22" t="s">
        <v>33</v>
      </c>
      <c r="C1578" s="22">
        <v>291</v>
      </c>
      <c r="D1578" s="22" t="s">
        <v>34</v>
      </c>
      <c r="E1578" t="str">
        <f t="shared" si="26"/>
        <v>2015年</v>
      </c>
    </row>
    <row r="1579" spans="1:5" x14ac:dyDescent="0.15">
      <c r="A1579" s="21">
        <v>42024</v>
      </c>
      <c r="B1579" s="22" t="s">
        <v>40</v>
      </c>
      <c r="C1579" s="22">
        <v>490</v>
      </c>
      <c r="D1579" s="22" t="s">
        <v>34</v>
      </c>
      <c r="E1579" t="str">
        <f t="shared" si="26"/>
        <v>2015年</v>
      </c>
    </row>
    <row r="1580" spans="1:5" x14ac:dyDescent="0.15">
      <c r="A1580" s="21">
        <v>42024</v>
      </c>
      <c r="B1580" s="22" t="s">
        <v>41</v>
      </c>
      <c r="C1580" s="22">
        <v>477.81899664938447</v>
      </c>
      <c r="D1580" s="22" t="s">
        <v>34</v>
      </c>
      <c r="E1580" t="str">
        <f t="shared" si="26"/>
        <v>2015年</v>
      </c>
    </row>
    <row r="1581" spans="1:5" x14ac:dyDescent="0.15">
      <c r="A1581" s="21">
        <v>42024</v>
      </c>
      <c r="B1581" s="22" t="s">
        <v>41</v>
      </c>
      <c r="C1581" s="22">
        <v>237.99999833106995</v>
      </c>
      <c r="D1581" s="22" t="s">
        <v>39</v>
      </c>
      <c r="E1581" t="str">
        <f t="shared" si="26"/>
        <v>2015年</v>
      </c>
    </row>
    <row r="1582" spans="1:5" x14ac:dyDescent="0.15">
      <c r="A1582" s="21">
        <v>42024</v>
      </c>
      <c r="B1582" s="22" t="s">
        <v>36</v>
      </c>
      <c r="C1582" s="22">
        <v>8.4999999403953552</v>
      </c>
      <c r="D1582" s="22" t="s">
        <v>39</v>
      </c>
      <c r="E1582" t="str">
        <f t="shared" si="26"/>
        <v>2015年</v>
      </c>
    </row>
    <row r="1583" spans="1:5" x14ac:dyDescent="0.15">
      <c r="A1583" s="21">
        <v>42024</v>
      </c>
      <c r="B1583" s="22" t="s">
        <v>42</v>
      </c>
      <c r="C1583" s="22">
        <v>382.49999731779099</v>
      </c>
      <c r="D1583" s="22" t="s">
        <v>39</v>
      </c>
      <c r="E1583" t="str">
        <f t="shared" si="26"/>
        <v>2015年</v>
      </c>
    </row>
    <row r="1584" spans="1:5" x14ac:dyDescent="0.15">
      <c r="A1584" s="21">
        <v>42027</v>
      </c>
      <c r="B1584" s="22" t="s">
        <v>42</v>
      </c>
      <c r="C1584" s="22">
        <v>90.249999929219484</v>
      </c>
      <c r="D1584" s="22" t="s">
        <v>34</v>
      </c>
      <c r="E1584" t="str">
        <f t="shared" si="26"/>
        <v>2015年</v>
      </c>
    </row>
    <row r="1585" spans="1:5" x14ac:dyDescent="0.15">
      <c r="A1585" s="21">
        <v>42027</v>
      </c>
      <c r="B1585" s="22" t="s">
        <v>41</v>
      </c>
      <c r="C1585" s="22">
        <v>132.99999989569187</v>
      </c>
      <c r="D1585" s="22" t="s">
        <v>34</v>
      </c>
      <c r="E1585" t="str">
        <f t="shared" si="26"/>
        <v>2015年</v>
      </c>
    </row>
    <row r="1586" spans="1:5" x14ac:dyDescent="0.15">
      <c r="A1586" s="21">
        <v>42027</v>
      </c>
      <c r="B1586" s="22" t="s">
        <v>35</v>
      </c>
      <c r="C1586" s="22">
        <v>185.24999985471368</v>
      </c>
      <c r="D1586" s="22" t="s">
        <v>34</v>
      </c>
      <c r="E1586" t="str">
        <f t="shared" si="26"/>
        <v>2015年</v>
      </c>
    </row>
    <row r="1587" spans="1:5" x14ac:dyDescent="0.15">
      <c r="A1587" s="21">
        <v>42027</v>
      </c>
      <c r="B1587" s="22" t="s">
        <v>36</v>
      </c>
      <c r="C1587" s="22">
        <v>2194.4999982789159</v>
      </c>
      <c r="D1587" s="22" t="s">
        <v>34</v>
      </c>
      <c r="E1587" t="str">
        <f t="shared" si="26"/>
        <v>2015年</v>
      </c>
    </row>
    <row r="1588" spans="1:5" x14ac:dyDescent="0.15">
      <c r="A1588" s="21">
        <v>42027</v>
      </c>
      <c r="B1588" s="22" t="s">
        <v>42</v>
      </c>
      <c r="C1588" s="22">
        <v>285</v>
      </c>
      <c r="D1588" s="22" t="s">
        <v>39</v>
      </c>
      <c r="E1588" t="str">
        <f t="shared" si="26"/>
        <v>2015年</v>
      </c>
    </row>
    <row r="1589" spans="1:5" x14ac:dyDescent="0.15">
      <c r="A1589" s="21">
        <v>42027</v>
      </c>
      <c r="B1589" s="22" t="s">
        <v>33</v>
      </c>
      <c r="C1589" s="22">
        <v>234</v>
      </c>
      <c r="D1589" s="22" t="s">
        <v>39</v>
      </c>
      <c r="E1589" t="str">
        <f t="shared" si="26"/>
        <v>2015年</v>
      </c>
    </row>
    <row r="1590" spans="1:5" x14ac:dyDescent="0.15">
      <c r="A1590" s="21">
        <v>42027</v>
      </c>
      <c r="B1590" s="22" t="s">
        <v>41</v>
      </c>
      <c r="C1590" s="22">
        <v>2465</v>
      </c>
      <c r="D1590" s="22" t="s">
        <v>39</v>
      </c>
      <c r="E1590" t="str">
        <f t="shared" si="26"/>
        <v>2015年</v>
      </c>
    </row>
    <row r="1591" spans="1:5" x14ac:dyDescent="0.15">
      <c r="A1591" s="21">
        <v>42028</v>
      </c>
      <c r="B1591" s="22" t="s">
        <v>38</v>
      </c>
      <c r="C1591" s="22">
        <v>625</v>
      </c>
      <c r="D1591" s="22" t="s">
        <v>34</v>
      </c>
      <c r="E1591" t="str">
        <f t="shared" si="26"/>
        <v>2015年</v>
      </c>
    </row>
    <row r="1592" spans="1:5" x14ac:dyDescent="0.15">
      <c r="A1592" s="21">
        <v>42028</v>
      </c>
      <c r="B1592" s="22" t="s">
        <v>38</v>
      </c>
      <c r="C1592" s="22">
        <v>2634.9999815225601</v>
      </c>
      <c r="D1592" s="22" t="s">
        <v>39</v>
      </c>
      <c r="E1592" t="str">
        <f t="shared" si="26"/>
        <v>2015年</v>
      </c>
    </row>
    <row r="1593" spans="1:5" x14ac:dyDescent="0.15">
      <c r="A1593" s="21">
        <v>42028</v>
      </c>
      <c r="B1593" s="22" t="s">
        <v>38</v>
      </c>
      <c r="C1593" s="22">
        <v>331.49999767541885</v>
      </c>
      <c r="D1593" s="22" t="s">
        <v>39</v>
      </c>
      <c r="E1593" t="str">
        <f t="shared" si="26"/>
        <v>2015年</v>
      </c>
    </row>
    <row r="1594" spans="1:5" x14ac:dyDescent="0.15">
      <c r="A1594" s="21">
        <v>42028</v>
      </c>
      <c r="B1594" s="22" t="s">
        <v>41</v>
      </c>
      <c r="C1594" s="22">
        <v>872.5</v>
      </c>
      <c r="D1594" s="22" t="s">
        <v>39</v>
      </c>
      <c r="E1594" t="str">
        <f t="shared" si="26"/>
        <v>2015年</v>
      </c>
    </row>
    <row r="1595" spans="1:5" x14ac:dyDescent="0.15">
      <c r="A1595" s="21">
        <v>42028</v>
      </c>
      <c r="B1595" s="22" t="s">
        <v>36</v>
      </c>
      <c r="C1595" s="22">
        <v>175</v>
      </c>
      <c r="D1595" s="22" t="s">
        <v>39</v>
      </c>
      <c r="E1595" t="str">
        <f t="shared" si="26"/>
        <v>2015年</v>
      </c>
    </row>
    <row r="1596" spans="1:5" x14ac:dyDescent="0.15">
      <c r="A1596" s="21">
        <v>42028</v>
      </c>
      <c r="B1596" s="22" t="s">
        <v>35</v>
      </c>
      <c r="C1596" s="22">
        <v>912</v>
      </c>
      <c r="D1596" s="22" t="s">
        <v>39</v>
      </c>
      <c r="E1596" t="str">
        <f t="shared" si="26"/>
        <v>2015年</v>
      </c>
    </row>
    <row r="1597" spans="1:5" x14ac:dyDescent="0.15">
      <c r="A1597" s="21">
        <v>42028</v>
      </c>
      <c r="B1597" s="22" t="s">
        <v>40</v>
      </c>
      <c r="C1597" s="22">
        <v>268.38749811798334</v>
      </c>
      <c r="D1597" s="22" t="s">
        <v>39</v>
      </c>
      <c r="E1597" t="str">
        <f t="shared" si="26"/>
        <v>2015年</v>
      </c>
    </row>
    <row r="1598" spans="1:5" x14ac:dyDescent="0.15">
      <c r="A1598" s="21">
        <v>42029</v>
      </c>
      <c r="B1598" s="22" t="s">
        <v>42</v>
      </c>
      <c r="C1598" s="22">
        <v>380</v>
      </c>
      <c r="D1598" s="22" t="s">
        <v>39</v>
      </c>
      <c r="E1598" t="str">
        <f t="shared" si="26"/>
        <v>2015年</v>
      </c>
    </row>
    <row r="1599" spans="1:5" x14ac:dyDescent="0.15">
      <c r="A1599" s="21">
        <v>42029</v>
      </c>
      <c r="B1599" s="22" t="s">
        <v>35</v>
      </c>
      <c r="C1599" s="22">
        <v>280</v>
      </c>
      <c r="D1599" s="22" t="s">
        <v>39</v>
      </c>
      <c r="E1599" t="str">
        <f t="shared" si="26"/>
        <v>2015年</v>
      </c>
    </row>
    <row r="1600" spans="1:5" x14ac:dyDescent="0.15">
      <c r="A1600" s="21">
        <v>42029</v>
      </c>
      <c r="B1600" s="22" t="s">
        <v>40</v>
      </c>
      <c r="C1600" s="22">
        <v>300</v>
      </c>
      <c r="D1600" s="22" t="s">
        <v>39</v>
      </c>
      <c r="E1600" t="str">
        <f t="shared" si="26"/>
        <v>2015年</v>
      </c>
    </row>
    <row r="1601" spans="1:5" x14ac:dyDescent="0.15">
      <c r="A1601" s="21">
        <v>42029</v>
      </c>
      <c r="B1601" s="22" t="s">
        <v>41</v>
      </c>
      <c r="C1601" s="22">
        <v>819.78750000000002</v>
      </c>
      <c r="D1601" s="22" t="s">
        <v>39</v>
      </c>
      <c r="E1601" t="str">
        <f t="shared" si="26"/>
        <v>2015年</v>
      </c>
    </row>
    <row r="1602" spans="1:5" x14ac:dyDescent="0.15">
      <c r="A1602" s="21">
        <v>42029</v>
      </c>
      <c r="B1602" s="22" t="s">
        <v>33</v>
      </c>
      <c r="C1602" s="22">
        <v>928.42499999999995</v>
      </c>
      <c r="D1602" s="22" t="s">
        <v>39</v>
      </c>
      <c r="E1602" t="str">
        <f t="shared" ref="E1602:E1665" si="27">YEAR(A1602)&amp;"年"</f>
        <v>2015年</v>
      </c>
    </row>
    <row r="1603" spans="1:5" x14ac:dyDescent="0.15">
      <c r="A1603" s="21">
        <v>42030</v>
      </c>
      <c r="B1603" s="22" t="s">
        <v>37</v>
      </c>
      <c r="C1603" s="22">
        <v>150</v>
      </c>
      <c r="D1603" s="22" t="s">
        <v>39</v>
      </c>
      <c r="E1603" t="str">
        <f t="shared" si="27"/>
        <v>2015年</v>
      </c>
    </row>
    <row r="1604" spans="1:5" x14ac:dyDescent="0.15">
      <c r="A1604" s="21">
        <v>42030</v>
      </c>
      <c r="B1604" s="22" t="s">
        <v>41</v>
      </c>
      <c r="C1604" s="22">
        <v>439</v>
      </c>
      <c r="D1604" s="22" t="s">
        <v>39</v>
      </c>
      <c r="E1604" t="str">
        <f t="shared" si="27"/>
        <v>2015年</v>
      </c>
    </row>
    <row r="1605" spans="1:5" x14ac:dyDescent="0.15">
      <c r="A1605" s="21">
        <v>42030</v>
      </c>
      <c r="B1605" s="22" t="s">
        <v>42</v>
      </c>
      <c r="C1605" s="22">
        <v>60</v>
      </c>
      <c r="D1605" s="22" t="s">
        <v>39</v>
      </c>
      <c r="E1605" t="str">
        <f t="shared" si="27"/>
        <v>2015年</v>
      </c>
    </row>
    <row r="1606" spans="1:5" x14ac:dyDescent="0.15">
      <c r="A1606" s="21">
        <v>42030</v>
      </c>
      <c r="B1606" s="22" t="s">
        <v>42</v>
      </c>
      <c r="C1606" s="22">
        <v>135</v>
      </c>
      <c r="D1606" s="22" t="s">
        <v>39</v>
      </c>
      <c r="E1606" t="str">
        <f t="shared" si="27"/>
        <v>2015年</v>
      </c>
    </row>
    <row r="1607" spans="1:5" x14ac:dyDescent="0.15">
      <c r="A1607" s="21">
        <v>42030</v>
      </c>
      <c r="B1607" s="22" t="s">
        <v>33</v>
      </c>
      <c r="C1607" s="22">
        <v>195.5625</v>
      </c>
      <c r="D1607" s="22" t="s">
        <v>39</v>
      </c>
      <c r="E1607" t="str">
        <f t="shared" si="27"/>
        <v>2015年</v>
      </c>
    </row>
    <row r="1608" spans="1:5" x14ac:dyDescent="0.15">
      <c r="A1608" s="21">
        <v>42030</v>
      </c>
      <c r="B1608" s="22" t="s">
        <v>35</v>
      </c>
      <c r="C1608" s="22">
        <v>748.125</v>
      </c>
      <c r="D1608" s="22" t="s">
        <v>39</v>
      </c>
      <c r="E1608" t="str">
        <f t="shared" si="27"/>
        <v>2015年</v>
      </c>
    </row>
    <row r="1609" spans="1:5" x14ac:dyDescent="0.15">
      <c r="A1609" s="21">
        <v>42030</v>
      </c>
      <c r="B1609" s="22" t="s">
        <v>37</v>
      </c>
      <c r="C1609" s="22">
        <v>159</v>
      </c>
      <c r="D1609" s="22" t="s">
        <v>39</v>
      </c>
      <c r="E1609" t="str">
        <f t="shared" si="27"/>
        <v>2015年</v>
      </c>
    </row>
    <row r="1610" spans="1:5" x14ac:dyDescent="0.15">
      <c r="A1610" s="21">
        <v>42030</v>
      </c>
      <c r="B1610" s="22" t="s">
        <v>42</v>
      </c>
      <c r="C1610" s="22">
        <v>360</v>
      </c>
      <c r="D1610" s="22" t="s">
        <v>39</v>
      </c>
      <c r="E1610" t="str">
        <f t="shared" si="27"/>
        <v>2015年</v>
      </c>
    </row>
    <row r="1611" spans="1:5" x14ac:dyDescent="0.15">
      <c r="A1611" s="21">
        <v>42031</v>
      </c>
      <c r="B1611" s="22" t="s">
        <v>33</v>
      </c>
      <c r="C1611" s="22">
        <v>1638</v>
      </c>
      <c r="D1611" s="22" t="s">
        <v>39</v>
      </c>
      <c r="E1611" t="str">
        <f t="shared" si="27"/>
        <v>2015年</v>
      </c>
    </row>
    <row r="1612" spans="1:5" x14ac:dyDescent="0.15">
      <c r="A1612" s="21">
        <v>42031</v>
      </c>
      <c r="B1612" s="22" t="s">
        <v>38</v>
      </c>
      <c r="C1612" s="22">
        <v>1250</v>
      </c>
      <c r="D1612" s="22" t="s">
        <v>39</v>
      </c>
      <c r="E1612" t="str">
        <f t="shared" si="27"/>
        <v>2015年</v>
      </c>
    </row>
    <row r="1613" spans="1:5" x14ac:dyDescent="0.15">
      <c r="A1613" s="21">
        <v>42031</v>
      </c>
      <c r="B1613" s="22" t="s">
        <v>41</v>
      </c>
      <c r="C1613" s="22">
        <v>400</v>
      </c>
      <c r="D1613" s="22" t="s">
        <v>39</v>
      </c>
      <c r="E1613" t="str">
        <f t="shared" si="27"/>
        <v>2015年</v>
      </c>
    </row>
    <row r="1614" spans="1:5" x14ac:dyDescent="0.15">
      <c r="A1614" s="21">
        <v>42031</v>
      </c>
      <c r="B1614" s="22" t="s">
        <v>36</v>
      </c>
      <c r="C1614" s="22">
        <v>87.5</v>
      </c>
      <c r="D1614" s="22" t="s">
        <v>39</v>
      </c>
      <c r="E1614" t="str">
        <f t="shared" si="27"/>
        <v>2015年</v>
      </c>
    </row>
    <row r="1615" spans="1:5" x14ac:dyDescent="0.15">
      <c r="A1615" s="21">
        <v>42031</v>
      </c>
      <c r="B1615" s="22" t="s">
        <v>41</v>
      </c>
      <c r="C1615" s="22">
        <v>147.9</v>
      </c>
      <c r="D1615" s="22" t="s">
        <v>39</v>
      </c>
      <c r="E1615" t="str">
        <f t="shared" si="27"/>
        <v>2015年</v>
      </c>
    </row>
    <row r="1616" spans="1:5" x14ac:dyDescent="0.15">
      <c r="A1616" s="21">
        <v>42031</v>
      </c>
      <c r="B1616" s="22" t="s">
        <v>36</v>
      </c>
      <c r="C1616" s="22">
        <v>525</v>
      </c>
      <c r="D1616" s="22" t="s">
        <v>39</v>
      </c>
      <c r="E1616" t="str">
        <f t="shared" si="27"/>
        <v>2015年</v>
      </c>
    </row>
    <row r="1617" spans="1:5" x14ac:dyDescent="0.15">
      <c r="A1617" s="21">
        <v>42031</v>
      </c>
      <c r="B1617" s="22" t="s">
        <v>35</v>
      </c>
      <c r="C1617" s="22">
        <v>56</v>
      </c>
      <c r="D1617" s="22" t="s">
        <v>39</v>
      </c>
      <c r="E1617" t="str">
        <f t="shared" si="27"/>
        <v>2015年</v>
      </c>
    </row>
    <row r="1618" spans="1:5" x14ac:dyDescent="0.15">
      <c r="A1618" s="21">
        <v>42034</v>
      </c>
      <c r="B1618" s="22" t="s">
        <v>42</v>
      </c>
      <c r="C1618" s="22">
        <v>305.99999785423279</v>
      </c>
      <c r="D1618" s="22" t="s">
        <v>39</v>
      </c>
      <c r="E1618" t="str">
        <f t="shared" si="27"/>
        <v>2015年</v>
      </c>
    </row>
    <row r="1619" spans="1:5" x14ac:dyDescent="0.15">
      <c r="A1619" s="21">
        <v>42034</v>
      </c>
      <c r="B1619" s="22" t="s">
        <v>38</v>
      </c>
      <c r="C1619" s="22">
        <v>135.14999905228615</v>
      </c>
      <c r="D1619" s="22" t="s">
        <v>39</v>
      </c>
      <c r="E1619" t="str">
        <f t="shared" si="27"/>
        <v>2015年</v>
      </c>
    </row>
    <row r="1620" spans="1:5" x14ac:dyDescent="0.15">
      <c r="A1620" s="21">
        <v>42034</v>
      </c>
      <c r="B1620" s="22" t="s">
        <v>42</v>
      </c>
      <c r="C1620" s="22">
        <v>72</v>
      </c>
      <c r="D1620" s="22" t="s">
        <v>39</v>
      </c>
      <c r="E1620" t="str">
        <f t="shared" si="27"/>
        <v>2015年</v>
      </c>
    </row>
    <row r="1621" spans="1:5" x14ac:dyDescent="0.15">
      <c r="A1621" s="21">
        <v>42034</v>
      </c>
      <c r="B1621" s="22" t="s">
        <v>42</v>
      </c>
      <c r="C1621" s="22">
        <v>210</v>
      </c>
      <c r="D1621" s="22" t="s">
        <v>39</v>
      </c>
      <c r="E1621" t="str">
        <f t="shared" si="27"/>
        <v>2015年</v>
      </c>
    </row>
    <row r="1622" spans="1:5" x14ac:dyDescent="0.15">
      <c r="A1622" s="21">
        <v>42034</v>
      </c>
      <c r="B1622" s="22" t="s">
        <v>42</v>
      </c>
      <c r="C1622" s="22">
        <v>15019.499988220632</v>
      </c>
      <c r="D1622" s="22" t="s">
        <v>39</v>
      </c>
      <c r="E1622" t="str">
        <f t="shared" si="27"/>
        <v>2015年</v>
      </c>
    </row>
    <row r="1623" spans="1:5" x14ac:dyDescent="0.15">
      <c r="A1623" s="21">
        <v>42034</v>
      </c>
      <c r="B1623" s="22" t="s">
        <v>42</v>
      </c>
      <c r="C1623" s="22">
        <v>1367.9999989271164</v>
      </c>
      <c r="D1623" s="22" t="s">
        <v>39</v>
      </c>
      <c r="E1623" t="str">
        <f t="shared" si="27"/>
        <v>2015年</v>
      </c>
    </row>
    <row r="1624" spans="1:5" x14ac:dyDescent="0.15">
      <c r="A1624" s="21">
        <v>42035</v>
      </c>
      <c r="B1624" s="22" t="s">
        <v>42</v>
      </c>
      <c r="C1624" s="22">
        <v>299.25</v>
      </c>
      <c r="D1624" s="22" t="s">
        <v>34</v>
      </c>
      <c r="E1624" t="str">
        <f t="shared" si="27"/>
        <v>2015年</v>
      </c>
    </row>
    <row r="1625" spans="1:5" x14ac:dyDescent="0.15">
      <c r="A1625" s="21">
        <v>42035</v>
      </c>
      <c r="B1625" s="22" t="s">
        <v>42</v>
      </c>
      <c r="C1625" s="22">
        <v>20.25</v>
      </c>
      <c r="D1625" s="22" t="s">
        <v>34</v>
      </c>
      <c r="E1625" t="str">
        <f t="shared" si="27"/>
        <v>2015年</v>
      </c>
    </row>
    <row r="1626" spans="1:5" x14ac:dyDescent="0.15">
      <c r="A1626" s="21">
        <v>42035</v>
      </c>
      <c r="B1626" s="22" t="s">
        <v>38</v>
      </c>
      <c r="C1626" s="22">
        <v>776.7</v>
      </c>
      <c r="D1626" s="22" t="s">
        <v>34</v>
      </c>
      <c r="E1626" t="str">
        <f t="shared" si="27"/>
        <v>2015年</v>
      </c>
    </row>
    <row r="1627" spans="1:5" x14ac:dyDescent="0.15">
      <c r="A1627" s="21">
        <v>42035</v>
      </c>
      <c r="B1627" s="22" t="s">
        <v>33</v>
      </c>
      <c r="C1627" s="22">
        <v>98.4</v>
      </c>
      <c r="D1627" s="22" t="s">
        <v>34</v>
      </c>
      <c r="E1627" t="str">
        <f t="shared" si="27"/>
        <v>2015年</v>
      </c>
    </row>
    <row r="1628" spans="1:5" x14ac:dyDescent="0.15">
      <c r="A1628" s="21">
        <v>42036</v>
      </c>
      <c r="B1628" s="22" t="s">
        <v>41</v>
      </c>
      <c r="C1628" s="22">
        <v>624.6</v>
      </c>
      <c r="D1628" s="22" t="s">
        <v>34</v>
      </c>
      <c r="E1628" t="str">
        <f t="shared" si="27"/>
        <v>2015年</v>
      </c>
    </row>
    <row r="1629" spans="1:5" x14ac:dyDescent="0.15">
      <c r="A1629" s="21">
        <v>42036</v>
      </c>
      <c r="B1629" s="22" t="s">
        <v>42</v>
      </c>
      <c r="C1629" s="22">
        <v>540</v>
      </c>
      <c r="D1629" s="22" t="s">
        <v>34</v>
      </c>
      <c r="E1629" t="str">
        <f t="shared" si="27"/>
        <v>2015年</v>
      </c>
    </row>
    <row r="1630" spans="1:5" x14ac:dyDescent="0.15">
      <c r="A1630" s="21">
        <v>42036</v>
      </c>
      <c r="B1630" s="22" t="s">
        <v>41</v>
      </c>
      <c r="C1630" s="22">
        <v>755.99999874830246</v>
      </c>
      <c r="D1630" s="22" t="s">
        <v>34</v>
      </c>
      <c r="E1630" t="str">
        <f t="shared" si="27"/>
        <v>2015年</v>
      </c>
    </row>
    <row r="1631" spans="1:5" x14ac:dyDescent="0.15">
      <c r="A1631" s="21">
        <v>42036</v>
      </c>
      <c r="B1631" s="22" t="s">
        <v>42</v>
      </c>
      <c r="C1631" s="22">
        <v>720</v>
      </c>
      <c r="D1631" s="22" t="s">
        <v>34</v>
      </c>
      <c r="E1631" t="str">
        <f t="shared" si="27"/>
        <v>2015年</v>
      </c>
    </row>
    <row r="1632" spans="1:5" x14ac:dyDescent="0.15">
      <c r="A1632" s="21">
        <v>42036</v>
      </c>
      <c r="B1632" s="22" t="s">
        <v>36</v>
      </c>
      <c r="C1632" s="22">
        <v>210</v>
      </c>
      <c r="D1632" s="22" t="s">
        <v>34</v>
      </c>
      <c r="E1632" t="str">
        <f t="shared" si="27"/>
        <v>2015年</v>
      </c>
    </row>
    <row r="1633" spans="1:5" x14ac:dyDescent="0.15">
      <c r="A1633" s="21">
        <v>42036</v>
      </c>
      <c r="B1633" s="22" t="s">
        <v>35</v>
      </c>
      <c r="C1633" s="22">
        <v>450</v>
      </c>
      <c r="D1633" s="22" t="s">
        <v>34</v>
      </c>
      <c r="E1633" t="str">
        <f t="shared" si="27"/>
        <v>2015年</v>
      </c>
    </row>
    <row r="1634" spans="1:5" x14ac:dyDescent="0.15">
      <c r="A1634" s="21">
        <v>42036</v>
      </c>
      <c r="B1634" s="22" t="s">
        <v>41</v>
      </c>
      <c r="C1634" s="22">
        <v>250</v>
      </c>
      <c r="D1634" s="22" t="s">
        <v>34</v>
      </c>
      <c r="E1634" t="str">
        <f t="shared" si="27"/>
        <v>2015年</v>
      </c>
    </row>
    <row r="1635" spans="1:5" x14ac:dyDescent="0.15">
      <c r="A1635" s="21">
        <v>42036</v>
      </c>
      <c r="B1635" s="22" t="s">
        <v>42</v>
      </c>
      <c r="C1635" s="22">
        <v>54</v>
      </c>
      <c r="D1635" s="22" t="s">
        <v>34</v>
      </c>
      <c r="E1635" t="str">
        <f t="shared" si="27"/>
        <v>2015年</v>
      </c>
    </row>
    <row r="1636" spans="1:5" x14ac:dyDescent="0.15">
      <c r="A1636" s="21">
        <v>42036</v>
      </c>
      <c r="B1636" s="22" t="s">
        <v>37</v>
      </c>
      <c r="C1636" s="22">
        <v>106</v>
      </c>
      <c r="D1636" s="22" t="s">
        <v>34</v>
      </c>
      <c r="E1636" t="str">
        <f t="shared" si="27"/>
        <v>2015年</v>
      </c>
    </row>
    <row r="1637" spans="1:5" x14ac:dyDescent="0.15">
      <c r="A1637" s="21">
        <v>42037</v>
      </c>
      <c r="B1637" s="22" t="s">
        <v>40</v>
      </c>
      <c r="C1637" s="22">
        <v>1187.4999990686774</v>
      </c>
      <c r="D1637" s="22" t="s">
        <v>34</v>
      </c>
      <c r="E1637" t="str">
        <f t="shared" si="27"/>
        <v>2015年</v>
      </c>
    </row>
    <row r="1638" spans="1:5" x14ac:dyDescent="0.15">
      <c r="A1638" s="21">
        <v>42037</v>
      </c>
      <c r="B1638" s="22" t="s">
        <v>41</v>
      </c>
      <c r="C1638" s="22">
        <v>198.92999984398483</v>
      </c>
      <c r="D1638" s="22" t="s">
        <v>34</v>
      </c>
      <c r="E1638" t="str">
        <f t="shared" si="27"/>
        <v>2015年</v>
      </c>
    </row>
    <row r="1639" spans="1:5" x14ac:dyDescent="0.15">
      <c r="A1639" s="21">
        <v>42037</v>
      </c>
      <c r="B1639" s="22" t="s">
        <v>33</v>
      </c>
      <c r="C1639" s="22">
        <v>592.79999953508377</v>
      </c>
      <c r="D1639" s="22" t="s">
        <v>34</v>
      </c>
      <c r="E1639" t="str">
        <f t="shared" si="27"/>
        <v>2015年</v>
      </c>
    </row>
    <row r="1640" spans="1:5" x14ac:dyDescent="0.15">
      <c r="A1640" s="21">
        <v>42037</v>
      </c>
      <c r="B1640" s="22" t="s">
        <v>33</v>
      </c>
      <c r="C1640" s="22">
        <v>227.99999982118607</v>
      </c>
      <c r="D1640" s="22" t="s">
        <v>34</v>
      </c>
      <c r="E1640" t="str">
        <f t="shared" si="27"/>
        <v>2015年</v>
      </c>
    </row>
    <row r="1641" spans="1:5" x14ac:dyDescent="0.15">
      <c r="A1641" s="21">
        <v>42037</v>
      </c>
      <c r="B1641" s="22" t="s">
        <v>41</v>
      </c>
      <c r="C1641" s="22">
        <v>936.69999926537275</v>
      </c>
      <c r="D1641" s="22" t="s">
        <v>34</v>
      </c>
      <c r="E1641" t="str">
        <f t="shared" si="27"/>
        <v>2015年</v>
      </c>
    </row>
    <row r="1642" spans="1:5" x14ac:dyDescent="0.15">
      <c r="A1642" s="21">
        <v>42037</v>
      </c>
      <c r="B1642" s="22" t="s">
        <v>35</v>
      </c>
      <c r="C1642" s="22">
        <v>473.81249962840229</v>
      </c>
      <c r="D1642" s="22" t="s">
        <v>34</v>
      </c>
      <c r="E1642" t="str">
        <f t="shared" si="27"/>
        <v>2015年</v>
      </c>
    </row>
    <row r="1643" spans="1:5" x14ac:dyDescent="0.15">
      <c r="A1643" s="21">
        <v>42037</v>
      </c>
      <c r="B1643" s="22" t="s">
        <v>40</v>
      </c>
      <c r="C1643" s="22">
        <v>419.94749967064706</v>
      </c>
      <c r="D1643" s="22" t="s">
        <v>34</v>
      </c>
      <c r="E1643" t="str">
        <f t="shared" si="27"/>
        <v>2015年</v>
      </c>
    </row>
    <row r="1644" spans="1:5" x14ac:dyDescent="0.15">
      <c r="A1644" s="21">
        <v>42038</v>
      </c>
      <c r="B1644" s="22" t="s">
        <v>41</v>
      </c>
      <c r="C1644" s="22">
        <v>200</v>
      </c>
      <c r="D1644" s="22" t="s">
        <v>39</v>
      </c>
      <c r="E1644" t="str">
        <f t="shared" si="27"/>
        <v>2015年</v>
      </c>
    </row>
    <row r="1645" spans="1:5" x14ac:dyDescent="0.15">
      <c r="A1645" s="21">
        <v>42038</v>
      </c>
      <c r="B1645" s="22" t="s">
        <v>37</v>
      </c>
      <c r="C1645" s="22">
        <v>136.80000000000001</v>
      </c>
      <c r="D1645" s="22" t="s">
        <v>39</v>
      </c>
      <c r="E1645" t="str">
        <f t="shared" si="27"/>
        <v>2015年</v>
      </c>
    </row>
    <row r="1646" spans="1:5" x14ac:dyDescent="0.15">
      <c r="A1646" s="21">
        <v>42038</v>
      </c>
      <c r="B1646" s="22" t="s">
        <v>38</v>
      </c>
      <c r="C1646" s="22">
        <v>310</v>
      </c>
      <c r="D1646" s="22" t="s">
        <v>34</v>
      </c>
      <c r="E1646" t="str">
        <f t="shared" si="27"/>
        <v>2015年</v>
      </c>
    </row>
    <row r="1647" spans="1:5" x14ac:dyDescent="0.15">
      <c r="A1647" s="21">
        <v>42038</v>
      </c>
      <c r="B1647" s="22" t="s">
        <v>41</v>
      </c>
      <c r="C1647" s="22">
        <v>230</v>
      </c>
      <c r="D1647" s="22" t="s">
        <v>39</v>
      </c>
      <c r="E1647" t="str">
        <f t="shared" si="27"/>
        <v>2015年</v>
      </c>
    </row>
    <row r="1648" spans="1:5" x14ac:dyDescent="0.15">
      <c r="A1648" s="21">
        <v>42038</v>
      </c>
      <c r="B1648" s="22" t="s">
        <v>41</v>
      </c>
      <c r="C1648" s="22">
        <v>179.54999970272183</v>
      </c>
      <c r="D1648" s="22" t="s">
        <v>39</v>
      </c>
      <c r="E1648" t="str">
        <f t="shared" si="27"/>
        <v>2015年</v>
      </c>
    </row>
    <row r="1649" spans="1:5" x14ac:dyDescent="0.15">
      <c r="A1649" s="21">
        <v>42038</v>
      </c>
      <c r="B1649" s="22" t="s">
        <v>41</v>
      </c>
      <c r="C1649" s="22">
        <v>300</v>
      </c>
      <c r="D1649" s="22" t="s">
        <v>39</v>
      </c>
      <c r="E1649" t="str">
        <f t="shared" si="27"/>
        <v>2015年</v>
      </c>
    </row>
    <row r="1650" spans="1:5" x14ac:dyDescent="0.15">
      <c r="A1650" s="21">
        <v>42041</v>
      </c>
      <c r="B1650" s="22" t="s">
        <v>38</v>
      </c>
      <c r="C1650" s="22">
        <v>252</v>
      </c>
      <c r="D1650" s="22" t="s">
        <v>34</v>
      </c>
      <c r="E1650" t="str">
        <f t="shared" si="27"/>
        <v>2015年</v>
      </c>
    </row>
    <row r="1651" spans="1:5" x14ac:dyDescent="0.15">
      <c r="A1651" s="21">
        <v>42041</v>
      </c>
      <c r="B1651" s="22" t="s">
        <v>35</v>
      </c>
      <c r="C1651" s="22">
        <v>665</v>
      </c>
      <c r="D1651" s="22" t="s">
        <v>34</v>
      </c>
      <c r="E1651" t="str">
        <f t="shared" si="27"/>
        <v>2015年</v>
      </c>
    </row>
    <row r="1652" spans="1:5" x14ac:dyDescent="0.15">
      <c r="A1652" s="21">
        <v>42041</v>
      </c>
      <c r="B1652" s="22" t="s">
        <v>41</v>
      </c>
      <c r="C1652" s="22">
        <v>392.625</v>
      </c>
      <c r="D1652" s="22" t="s">
        <v>39</v>
      </c>
      <c r="E1652" t="str">
        <f t="shared" si="27"/>
        <v>2015年</v>
      </c>
    </row>
    <row r="1653" spans="1:5" x14ac:dyDescent="0.15">
      <c r="A1653" s="21">
        <v>42041</v>
      </c>
      <c r="B1653" s="22" t="s">
        <v>38</v>
      </c>
      <c r="C1653" s="22">
        <v>1562.5</v>
      </c>
      <c r="D1653" s="22" t="s">
        <v>39</v>
      </c>
      <c r="E1653" t="str">
        <f t="shared" si="27"/>
        <v>2015年</v>
      </c>
    </row>
    <row r="1654" spans="1:5" x14ac:dyDescent="0.15">
      <c r="A1654" s="21">
        <v>42042</v>
      </c>
      <c r="B1654" s="22" t="s">
        <v>41</v>
      </c>
      <c r="C1654" s="22">
        <v>1538.9999987930059</v>
      </c>
      <c r="D1654" s="22" t="s">
        <v>39</v>
      </c>
      <c r="E1654" t="str">
        <f t="shared" si="27"/>
        <v>2015年</v>
      </c>
    </row>
    <row r="1655" spans="1:5" x14ac:dyDescent="0.15">
      <c r="A1655" s="21">
        <v>42042</v>
      </c>
      <c r="B1655" s="22" t="s">
        <v>38</v>
      </c>
      <c r="C1655" s="22">
        <v>220.8</v>
      </c>
      <c r="D1655" s="22" t="s">
        <v>39</v>
      </c>
      <c r="E1655" t="str">
        <f t="shared" si="27"/>
        <v>2015年</v>
      </c>
    </row>
    <row r="1656" spans="1:5" x14ac:dyDescent="0.15">
      <c r="A1656" s="21">
        <v>42042</v>
      </c>
      <c r="B1656" s="22" t="s">
        <v>40</v>
      </c>
      <c r="C1656" s="22">
        <v>210.5</v>
      </c>
      <c r="D1656" s="22" t="s">
        <v>39</v>
      </c>
      <c r="E1656" t="str">
        <f t="shared" si="27"/>
        <v>2015年</v>
      </c>
    </row>
    <row r="1657" spans="1:5" x14ac:dyDescent="0.15">
      <c r="A1657" s="21">
        <v>42042</v>
      </c>
      <c r="B1657" s="22" t="s">
        <v>42</v>
      </c>
      <c r="C1657" s="22">
        <v>180</v>
      </c>
      <c r="D1657" s="22" t="s">
        <v>39</v>
      </c>
      <c r="E1657" t="str">
        <f t="shared" si="27"/>
        <v>2015年</v>
      </c>
    </row>
    <row r="1658" spans="1:5" x14ac:dyDescent="0.15">
      <c r="A1658" s="21">
        <v>42042</v>
      </c>
      <c r="B1658" s="22" t="s">
        <v>35</v>
      </c>
      <c r="C1658" s="22">
        <v>215.9999991953373</v>
      </c>
      <c r="D1658" s="22" t="s">
        <v>34</v>
      </c>
      <c r="E1658" t="str">
        <f t="shared" si="27"/>
        <v>2015年</v>
      </c>
    </row>
    <row r="1659" spans="1:5" x14ac:dyDescent="0.15">
      <c r="A1659" s="21">
        <v>42042</v>
      </c>
      <c r="B1659" s="22" t="s">
        <v>40</v>
      </c>
      <c r="C1659" s="22">
        <v>683.99999745190144</v>
      </c>
      <c r="D1659" s="22" t="s">
        <v>34</v>
      </c>
      <c r="E1659" t="str">
        <f t="shared" si="27"/>
        <v>2015年</v>
      </c>
    </row>
    <row r="1660" spans="1:5" x14ac:dyDescent="0.15">
      <c r="A1660" s="21">
        <v>42042</v>
      </c>
      <c r="B1660" s="22" t="s">
        <v>42</v>
      </c>
      <c r="C1660" s="22">
        <v>599.99999776482582</v>
      </c>
      <c r="D1660" s="22" t="s">
        <v>34</v>
      </c>
      <c r="E1660" t="str">
        <f t="shared" si="27"/>
        <v>2015年</v>
      </c>
    </row>
    <row r="1661" spans="1:5" x14ac:dyDescent="0.15">
      <c r="A1661" s="21">
        <v>42043</v>
      </c>
      <c r="B1661" s="22" t="s">
        <v>38</v>
      </c>
      <c r="C1661" s="22">
        <v>150</v>
      </c>
      <c r="D1661" s="22" t="s">
        <v>39</v>
      </c>
      <c r="E1661" t="str">
        <f t="shared" si="27"/>
        <v>2015年</v>
      </c>
    </row>
    <row r="1662" spans="1:5" x14ac:dyDescent="0.15">
      <c r="A1662" s="21">
        <v>42043</v>
      </c>
      <c r="B1662" s="22" t="s">
        <v>35</v>
      </c>
      <c r="C1662" s="22">
        <v>350</v>
      </c>
      <c r="D1662" s="22" t="s">
        <v>39</v>
      </c>
      <c r="E1662" t="str">
        <f t="shared" si="27"/>
        <v>2015年</v>
      </c>
    </row>
    <row r="1663" spans="1:5" x14ac:dyDescent="0.15">
      <c r="A1663" s="21">
        <v>42043</v>
      </c>
      <c r="B1663" s="22" t="s">
        <v>41</v>
      </c>
      <c r="C1663" s="22">
        <v>339.99999761581421</v>
      </c>
      <c r="D1663" s="22" t="s">
        <v>39</v>
      </c>
      <c r="E1663" t="str">
        <f t="shared" si="27"/>
        <v>2015年</v>
      </c>
    </row>
    <row r="1664" spans="1:5" x14ac:dyDescent="0.15">
      <c r="A1664" s="21">
        <v>42043</v>
      </c>
      <c r="B1664" s="22" t="s">
        <v>33</v>
      </c>
      <c r="C1664" s="22">
        <v>202.63999857902527</v>
      </c>
      <c r="D1664" s="22" t="s">
        <v>39</v>
      </c>
      <c r="E1664" t="str">
        <f t="shared" si="27"/>
        <v>2015年</v>
      </c>
    </row>
    <row r="1665" spans="1:5" x14ac:dyDescent="0.15">
      <c r="A1665" s="21">
        <v>42044</v>
      </c>
      <c r="B1665" s="22" t="s">
        <v>42</v>
      </c>
      <c r="C1665" s="22">
        <v>36</v>
      </c>
      <c r="D1665" s="22" t="s">
        <v>39</v>
      </c>
      <c r="E1665" t="str">
        <f t="shared" si="27"/>
        <v>2015年</v>
      </c>
    </row>
    <row r="1666" spans="1:5" x14ac:dyDescent="0.15">
      <c r="A1666" s="21">
        <v>42044</v>
      </c>
      <c r="B1666" s="22" t="s">
        <v>41</v>
      </c>
      <c r="C1666" s="22">
        <v>379.99999970197678</v>
      </c>
      <c r="D1666" s="22" t="s">
        <v>39</v>
      </c>
      <c r="E1666" t="str">
        <f t="shared" ref="E1666:E1729" si="28">YEAR(A1666)&amp;"年"</f>
        <v>2015年</v>
      </c>
    </row>
    <row r="1667" spans="1:5" x14ac:dyDescent="0.15">
      <c r="A1667" s="21">
        <v>42044</v>
      </c>
      <c r="B1667" s="22" t="s">
        <v>35</v>
      </c>
      <c r="C1667" s="22">
        <v>758.09999940544367</v>
      </c>
      <c r="D1667" s="22" t="s">
        <v>39</v>
      </c>
      <c r="E1667" t="str">
        <f t="shared" si="28"/>
        <v>2015年</v>
      </c>
    </row>
    <row r="1668" spans="1:5" x14ac:dyDescent="0.15">
      <c r="A1668" s="21">
        <v>42044</v>
      </c>
      <c r="B1668" s="22" t="s">
        <v>40</v>
      </c>
      <c r="C1668" s="22">
        <v>239.96999981179835</v>
      </c>
      <c r="D1668" s="22" t="s">
        <v>39</v>
      </c>
      <c r="E1668" t="str">
        <f t="shared" si="28"/>
        <v>2015年</v>
      </c>
    </row>
    <row r="1669" spans="1:5" x14ac:dyDescent="0.15">
      <c r="A1669" s="21">
        <v>42044</v>
      </c>
      <c r="B1669" s="22" t="s">
        <v>42</v>
      </c>
      <c r="C1669" s="22">
        <v>380</v>
      </c>
      <c r="D1669" s="22" t="s">
        <v>34</v>
      </c>
      <c r="E1669" t="str">
        <f t="shared" si="28"/>
        <v>2015年</v>
      </c>
    </row>
    <row r="1670" spans="1:5" x14ac:dyDescent="0.15">
      <c r="A1670" s="21">
        <v>42044</v>
      </c>
      <c r="B1670" s="22" t="s">
        <v>42</v>
      </c>
      <c r="C1670" s="22">
        <v>54</v>
      </c>
      <c r="D1670" s="22" t="s">
        <v>34</v>
      </c>
      <c r="E1670" t="str">
        <f t="shared" si="28"/>
        <v>2015年</v>
      </c>
    </row>
    <row r="1671" spans="1:5" x14ac:dyDescent="0.15">
      <c r="A1671" s="21">
        <v>42044</v>
      </c>
      <c r="B1671" s="22" t="s">
        <v>42</v>
      </c>
      <c r="C1671" s="22">
        <v>450</v>
      </c>
      <c r="D1671" s="22" t="s">
        <v>34</v>
      </c>
      <c r="E1671" t="str">
        <f t="shared" si="28"/>
        <v>2015年</v>
      </c>
    </row>
    <row r="1672" spans="1:5" x14ac:dyDescent="0.15">
      <c r="A1672" s="21">
        <v>42044</v>
      </c>
      <c r="B1672" s="22" t="s">
        <v>40</v>
      </c>
      <c r="C1672" s="22">
        <v>325</v>
      </c>
      <c r="D1672" s="22" t="s">
        <v>34</v>
      </c>
      <c r="E1672" t="str">
        <f t="shared" si="28"/>
        <v>2015年</v>
      </c>
    </row>
    <row r="1673" spans="1:5" x14ac:dyDescent="0.15">
      <c r="A1673" s="21">
        <v>42045</v>
      </c>
      <c r="B1673" s="22" t="s">
        <v>38</v>
      </c>
      <c r="C1673" s="22">
        <v>2170</v>
      </c>
      <c r="D1673" s="22" t="s">
        <v>39</v>
      </c>
      <c r="E1673" t="str">
        <f t="shared" si="28"/>
        <v>2015年</v>
      </c>
    </row>
    <row r="1674" spans="1:5" x14ac:dyDescent="0.15">
      <c r="A1674" s="21">
        <v>42045</v>
      </c>
      <c r="B1674" s="22" t="s">
        <v>36</v>
      </c>
      <c r="C1674" s="22">
        <v>437.5</v>
      </c>
      <c r="D1674" s="22" t="s">
        <v>39</v>
      </c>
      <c r="E1674" t="str">
        <f t="shared" si="28"/>
        <v>2015年</v>
      </c>
    </row>
    <row r="1675" spans="1:5" x14ac:dyDescent="0.15">
      <c r="A1675" s="21">
        <v>42045</v>
      </c>
      <c r="B1675" s="22" t="s">
        <v>40</v>
      </c>
      <c r="C1675" s="22">
        <v>520</v>
      </c>
      <c r="D1675" s="22" t="s">
        <v>39</v>
      </c>
      <c r="E1675" t="str">
        <f t="shared" si="28"/>
        <v>2015年</v>
      </c>
    </row>
    <row r="1676" spans="1:5" x14ac:dyDescent="0.15">
      <c r="A1676" s="21">
        <v>42045</v>
      </c>
      <c r="B1676" s="22" t="s">
        <v>41</v>
      </c>
      <c r="C1676" s="22">
        <v>70</v>
      </c>
      <c r="D1676" s="22" t="s">
        <v>39</v>
      </c>
      <c r="E1676" t="str">
        <f t="shared" si="28"/>
        <v>2015年</v>
      </c>
    </row>
    <row r="1677" spans="1:5" x14ac:dyDescent="0.15">
      <c r="A1677" s="21">
        <v>42048</v>
      </c>
      <c r="B1677" s="22" t="s">
        <v>42</v>
      </c>
      <c r="C1677" s="22">
        <v>380</v>
      </c>
      <c r="D1677" s="22" t="s">
        <v>39</v>
      </c>
      <c r="E1677" t="str">
        <f t="shared" si="28"/>
        <v>2015年</v>
      </c>
    </row>
    <row r="1678" spans="1:5" x14ac:dyDescent="0.15">
      <c r="A1678" s="21">
        <v>42048</v>
      </c>
      <c r="B1678" s="22" t="s">
        <v>41</v>
      </c>
      <c r="C1678" s="22">
        <v>225</v>
      </c>
      <c r="D1678" s="22" t="s">
        <v>39</v>
      </c>
      <c r="E1678" t="str">
        <f t="shared" si="28"/>
        <v>2015年</v>
      </c>
    </row>
    <row r="1679" spans="1:5" x14ac:dyDescent="0.15">
      <c r="A1679" s="21">
        <v>42048</v>
      </c>
      <c r="B1679" s="22" t="s">
        <v>36</v>
      </c>
      <c r="C1679" s="22">
        <v>840</v>
      </c>
      <c r="D1679" s="22" t="s">
        <v>34</v>
      </c>
      <c r="E1679" t="str">
        <f t="shared" si="28"/>
        <v>2015年</v>
      </c>
    </row>
    <row r="1680" spans="1:5" x14ac:dyDescent="0.15">
      <c r="A1680" s="21">
        <v>42048</v>
      </c>
      <c r="B1680" s="22" t="s">
        <v>42</v>
      </c>
      <c r="C1680" s="22">
        <v>10540</v>
      </c>
      <c r="D1680" s="22" t="s">
        <v>34</v>
      </c>
      <c r="E1680" t="str">
        <f t="shared" si="28"/>
        <v>2015年</v>
      </c>
    </row>
    <row r="1681" spans="1:5" x14ac:dyDescent="0.15">
      <c r="A1681" s="21">
        <v>42048</v>
      </c>
      <c r="B1681" s="22" t="s">
        <v>33</v>
      </c>
      <c r="C1681" s="22">
        <v>585</v>
      </c>
      <c r="D1681" s="22" t="s">
        <v>34</v>
      </c>
      <c r="E1681" t="str">
        <f t="shared" si="28"/>
        <v>2015年</v>
      </c>
    </row>
    <row r="1682" spans="1:5" x14ac:dyDescent="0.15">
      <c r="A1682" s="21">
        <v>42048</v>
      </c>
      <c r="B1682" s="22" t="s">
        <v>42</v>
      </c>
      <c r="C1682" s="22">
        <v>140</v>
      </c>
      <c r="D1682" s="22" t="s">
        <v>34</v>
      </c>
      <c r="E1682" t="str">
        <f t="shared" si="28"/>
        <v>2015年</v>
      </c>
    </row>
    <row r="1683" spans="1:5" x14ac:dyDescent="0.15">
      <c r="A1683" s="21">
        <v>42048</v>
      </c>
      <c r="B1683" s="22" t="s">
        <v>38</v>
      </c>
      <c r="C1683" s="22">
        <v>135.1</v>
      </c>
      <c r="D1683" s="22" t="s">
        <v>34</v>
      </c>
      <c r="E1683" t="str">
        <f t="shared" si="28"/>
        <v>2015年</v>
      </c>
    </row>
    <row r="1684" spans="1:5" x14ac:dyDescent="0.15">
      <c r="A1684" s="21">
        <v>42049</v>
      </c>
      <c r="B1684" s="22" t="s">
        <v>38</v>
      </c>
      <c r="C1684" s="22">
        <v>368.93249971065671</v>
      </c>
      <c r="D1684" s="22" t="s">
        <v>34</v>
      </c>
      <c r="E1684" t="str">
        <f t="shared" si="28"/>
        <v>2015年</v>
      </c>
    </row>
    <row r="1685" spans="1:5" x14ac:dyDescent="0.15">
      <c r="A1685" s="21">
        <v>42049</v>
      </c>
      <c r="B1685" s="22" t="s">
        <v>36</v>
      </c>
      <c r="C1685" s="22">
        <v>2089.9999983608723</v>
      </c>
      <c r="D1685" s="22" t="s">
        <v>39</v>
      </c>
      <c r="E1685" t="str">
        <f t="shared" si="28"/>
        <v>2015年</v>
      </c>
    </row>
    <row r="1686" spans="1:5" x14ac:dyDescent="0.15">
      <c r="A1686" s="21">
        <v>42050</v>
      </c>
      <c r="B1686" s="22" t="s">
        <v>40</v>
      </c>
      <c r="C1686" s="22">
        <v>1200</v>
      </c>
      <c r="D1686" s="22" t="s">
        <v>34</v>
      </c>
      <c r="E1686" t="str">
        <f t="shared" si="28"/>
        <v>2015年</v>
      </c>
    </row>
    <row r="1687" spans="1:5" x14ac:dyDescent="0.15">
      <c r="A1687" s="21">
        <v>42050</v>
      </c>
      <c r="B1687" s="22" t="s">
        <v>42</v>
      </c>
      <c r="C1687" s="22">
        <v>45</v>
      </c>
      <c r="D1687" s="22" t="s">
        <v>34</v>
      </c>
      <c r="E1687" t="str">
        <f t="shared" si="28"/>
        <v>2015年</v>
      </c>
    </row>
    <row r="1688" spans="1:5" x14ac:dyDescent="0.15">
      <c r="A1688" s="21">
        <v>42050</v>
      </c>
      <c r="B1688" s="22" t="s">
        <v>33</v>
      </c>
      <c r="C1688" s="22">
        <v>2970.96</v>
      </c>
      <c r="D1688" s="22" t="s">
        <v>34</v>
      </c>
      <c r="E1688" t="str">
        <f t="shared" si="28"/>
        <v>2015年</v>
      </c>
    </row>
    <row r="1689" spans="1:5" x14ac:dyDescent="0.15">
      <c r="A1689" s="21">
        <v>42050</v>
      </c>
      <c r="B1689" s="22" t="s">
        <v>38</v>
      </c>
      <c r="C1689" s="22">
        <v>906.15</v>
      </c>
      <c r="D1689" s="22" t="s">
        <v>34</v>
      </c>
      <c r="E1689" t="str">
        <f t="shared" si="28"/>
        <v>2015年</v>
      </c>
    </row>
    <row r="1690" spans="1:5" x14ac:dyDescent="0.15">
      <c r="A1690" s="21">
        <v>42050</v>
      </c>
      <c r="B1690" s="22" t="s">
        <v>38</v>
      </c>
      <c r="C1690" s="22">
        <v>380</v>
      </c>
      <c r="D1690" s="22" t="s">
        <v>34</v>
      </c>
      <c r="E1690" t="str">
        <f t="shared" si="28"/>
        <v>2015年</v>
      </c>
    </row>
    <row r="1691" spans="1:5" x14ac:dyDescent="0.15">
      <c r="A1691" s="21">
        <v>42050</v>
      </c>
      <c r="B1691" s="22" t="s">
        <v>38</v>
      </c>
      <c r="C1691" s="22">
        <v>159.59999987483025</v>
      </c>
      <c r="D1691" s="22" t="s">
        <v>39</v>
      </c>
      <c r="E1691" t="str">
        <f t="shared" si="28"/>
        <v>2015年</v>
      </c>
    </row>
    <row r="1692" spans="1:5" x14ac:dyDescent="0.15">
      <c r="A1692" s="21">
        <v>42050</v>
      </c>
      <c r="B1692" s="22" t="s">
        <v>36</v>
      </c>
      <c r="C1692" s="22">
        <v>1709.9999986588955</v>
      </c>
      <c r="D1692" s="22" t="s">
        <v>39</v>
      </c>
      <c r="E1692" t="str">
        <f t="shared" si="28"/>
        <v>2015年</v>
      </c>
    </row>
    <row r="1693" spans="1:5" x14ac:dyDescent="0.15">
      <c r="A1693" s="21">
        <v>42050</v>
      </c>
      <c r="B1693" s="22" t="s">
        <v>42</v>
      </c>
      <c r="C1693" s="22">
        <v>883.499999307096</v>
      </c>
      <c r="D1693" s="22" t="s">
        <v>39</v>
      </c>
      <c r="E1693" t="str">
        <f t="shared" si="28"/>
        <v>2015年</v>
      </c>
    </row>
    <row r="1694" spans="1:5" x14ac:dyDescent="0.15">
      <c r="A1694" s="21">
        <v>42050</v>
      </c>
      <c r="B1694" s="22" t="s">
        <v>42</v>
      </c>
      <c r="C1694" s="22">
        <v>495</v>
      </c>
      <c r="D1694" s="22" t="s">
        <v>39</v>
      </c>
      <c r="E1694" t="str">
        <f t="shared" si="28"/>
        <v>2015年</v>
      </c>
    </row>
    <row r="1695" spans="1:5" x14ac:dyDescent="0.15">
      <c r="A1695" s="21">
        <v>42050</v>
      </c>
      <c r="B1695" s="22" t="s">
        <v>42</v>
      </c>
      <c r="C1695" s="22">
        <v>810</v>
      </c>
      <c r="D1695" s="22" t="s">
        <v>39</v>
      </c>
      <c r="E1695" t="str">
        <f t="shared" si="28"/>
        <v>2015年</v>
      </c>
    </row>
    <row r="1696" spans="1:5" x14ac:dyDescent="0.15">
      <c r="A1696" s="21">
        <v>42050</v>
      </c>
      <c r="B1696" s="22" t="s">
        <v>38</v>
      </c>
      <c r="C1696" s="22">
        <v>1674.4</v>
      </c>
      <c r="D1696" s="22" t="s">
        <v>39</v>
      </c>
      <c r="E1696" t="str">
        <f t="shared" si="28"/>
        <v>2015年</v>
      </c>
    </row>
    <row r="1697" spans="1:5" x14ac:dyDescent="0.15">
      <c r="A1697" s="21">
        <v>42050</v>
      </c>
      <c r="B1697" s="22" t="s">
        <v>36</v>
      </c>
      <c r="C1697" s="22">
        <v>3400</v>
      </c>
      <c r="D1697" s="22" t="s">
        <v>39</v>
      </c>
      <c r="E1697" t="str">
        <f t="shared" si="28"/>
        <v>2015年</v>
      </c>
    </row>
    <row r="1698" spans="1:5" x14ac:dyDescent="0.15">
      <c r="A1698" s="21">
        <v>42051</v>
      </c>
      <c r="B1698" s="22" t="s">
        <v>38</v>
      </c>
      <c r="C1698" s="22">
        <v>142.5</v>
      </c>
      <c r="D1698" s="22" t="s">
        <v>34</v>
      </c>
      <c r="E1698" t="str">
        <f t="shared" si="28"/>
        <v>2015年</v>
      </c>
    </row>
    <row r="1699" spans="1:5" x14ac:dyDescent="0.15">
      <c r="A1699" s="21">
        <v>42051</v>
      </c>
      <c r="B1699" s="22" t="s">
        <v>35</v>
      </c>
      <c r="C1699" s="22">
        <v>608</v>
      </c>
      <c r="D1699" s="22" t="s">
        <v>34</v>
      </c>
      <c r="E1699" t="str">
        <f t="shared" si="28"/>
        <v>2015年</v>
      </c>
    </row>
    <row r="1700" spans="1:5" x14ac:dyDescent="0.15">
      <c r="A1700" s="21">
        <v>42051</v>
      </c>
      <c r="B1700" s="22" t="s">
        <v>33</v>
      </c>
      <c r="C1700" s="22">
        <v>9903.2000000000007</v>
      </c>
      <c r="D1700" s="22" t="s">
        <v>39</v>
      </c>
      <c r="E1700" t="str">
        <f t="shared" si="28"/>
        <v>2015年</v>
      </c>
    </row>
    <row r="1701" spans="1:5" x14ac:dyDescent="0.15">
      <c r="A1701" s="21">
        <v>42051</v>
      </c>
      <c r="B1701" s="22" t="s">
        <v>38</v>
      </c>
      <c r="C1701" s="22">
        <v>932.04</v>
      </c>
      <c r="D1701" s="22" t="s">
        <v>39</v>
      </c>
      <c r="E1701" t="str">
        <f t="shared" si="28"/>
        <v>2015年</v>
      </c>
    </row>
    <row r="1702" spans="1:5" x14ac:dyDescent="0.15">
      <c r="A1702" s="21">
        <v>42052</v>
      </c>
      <c r="B1702" s="22" t="s">
        <v>38</v>
      </c>
      <c r="C1702" s="22">
        <v>30</v>
      </c>
      <c r="D1702" s="22" t="s">
        <v>39</v>
      </c>
      <c r="E1702" t="str">
        <f t="shared" si="28"/>
        <v>2015年</v>
      </c>
    </row>
    <row r="1703" spans="1:5" x14ac:dyDescent="0.15">
      <c r="A1703" s="21">
        <v>42052</v>
      </c>
      <c r="B1703" s="22" t="s">
        <v>42</v>
      </c>
      <c r="C1703" s="22">
        <v>122.39999914169312</v>
      </c>
      <c r="D1703" s="22" t="s">
        <v>34</v>
      </c>
      <c r="E1703" t="str">
        <f t="shared" si="28"/>
        <v>2015年</v>
      </c>
    </row>
    <row r="1704" spans="1:5" x14ac:dyDescent="0.15">
      <c r="A1704" s="21">
        <v>42052</v>
      </c>
      <c r="B1704" s="22" t="s">
        <v>42</v>
      </c>
      <c r="C1704" s="22">
        <v>33.75</v>
      </c>
      <c r="D1704" s="22" t="s">
        <v>39</v>
      </c>
      <c r="E1704" t="str">
        <f t="shared" si="28"/>
        <v>2015年</v>
      </c>
    </row>
    <row r="1705" spans="1:5" x14ac:dyDescent="0.15">
      <c r="A1705" s="21">
        <v>42055</v>
      </c>
      <c r="B1705" s="22" t="s">
        <v>38</v>
      </c>
      <c r="C1705" s="22">
        <v>289.5</v>
      </c>
      <c r="D1705" s="22" t="s">
        <v>39</v>
      </c>
      <c r="E1705" t="str">
        <f t="shared" si="28"/>
        <v>2015年</v>
      </c>
    </row>
    <row r="1706" spans="1:5" x14ac:dyDescent="0.15">
      <c r="A1706" s="21">
        <v>42055</v>
      </c>
      <c r="B1706" s="22" t="s">
        <v>36</v>
      </c>
      <c r="C1706" s="22">
        <v>645</v>
      </c>
      <c r="D1706" s="22" t="s">
        <v>39</v>
      </c>
      <c r="E1706" t="str">
        <f t="shared" si="28"/>
        <v>2015年</v>
      </c>
    </row>
    <row r="1707" spans="1:5" x14ac:dyDescent="0.15">
      <c r="A1707" s="21">
        <v>42055</v>
      </c>
      <c r="B1707" s="22" t="s">
        <v>33</v>
      </c>
      <c r="C1707" s="22">
        <v>611.99999570846558</v>
      </c>
      <c r="D1707" s="22" t="s">
        <v>39</v>
      </c>
      <c r="E1707" t="str">
        <f t="shared" si="28"/>
        <v>2015年</v>
      </c>
    </row>
    <row r="1708" spans="1:5" x14ac:dyDescent="0.15">
      <c r="A1708" s="21">
        <v>42055</v>
      </c>
      <c r="B1708" s="22" t="s">
        <v>41</v>
      </c>
      <c r="C1708" s="22">
        <v>251.42999823689462</v>
      </c>
      <c r="D1708" s="22" t="s">
        <v>39</v>
      </c>
      <c r="E1708" t="str">
        <f t="shared" si="28"/>
        <v>2015年</v>
      </c>
    </row>
    <row r="1709" spans="1:5" x14ac:dyDescent="0.15">
      <c r="A1709" s="21">
        <v>42056</v>
      </c>
      <c r="B1709" s="22" t="s">
        <v>38</v>
      </c>
      <c r="C1709" s="22">
        <v>240</v>
      </c>
      <c r="D1709" s="22" t="s">
        <v>39</v>
      </c>
      <c r="E1709" t="str">
        <f t="shared" si="28"/>
        <v>2015年</v>
      </c>
    </row>
    <row r="1710" spans="1:5" x14ac:dyDescent="0.15">
      <c r="A1710" s="21">
        <v>42056</v>
      </c>
      <c r="B1710" s="22" t="s">
        <v>40</v>
      </c>
      <c r="C1710" s="22">
        <v>442.05</v>
      </c>
      <c r="D1710" s="22" t="s">
        <v>39</v>
      </c>
      <c r="E1710" t="str">
        <f t="shared" si="28"/>
        <v>2015年</v>
      </c>
    </row>
    <row r="1711" spans="1:5" x14ac:dyDescent="0.15">
      <c r="A1711" s="21">
        <v>42056</v>
      </c>
      <c r="B1711" s="22" t="s">
        <v>41</v>
      </c>
      <c r="C1711" s="22">
        <v>250</v>
      </c>
      <c r="D1711" s="22" t="s">
        <v>39</v>
      </c>
      <c r="E1711" t="str">
        <f t="shared" si="28"/>
        <v>2015年</v>
      </c>
    </row>
    <row r="1712" spans="1:5" x14ac:dyDescent="0.15">
      <c r="A1712" s="21">
        <v>42056</v>
      </c>
      <c r="B1712" s="22" t="s">
        <v>38</v>
      </c>
      <c r="C1712" s="22">
        <v>198.75</v>
      </c>
      <c r="D1712" s="22" t="s">
        <v>39</v>
      </c>
      <c r="E1712" t="str">
        <f t="shared" si="28"/>
        <v>2015年</v>
      </c>
    </row>
    <row r="1713" spans="1:5" x14ac:dyDescent="0.15">
      <c r="A1713" s="21">
        <v>42056</v>
      </c>
      <c r="B1713" s="22" t="s">
        <v>41</v>
      </c>
      <c r="C1713" s="22">
        <v>1725.5</v>
      </c>
      <c r="D1713" s="22" t="s">
        <v>39</v>
      </c>
      <c r="E1713" t="str">
        <f t="shared" si="28"/>
        <v>2015年</v>
      </c>
    </row>
    <row r="1714" spans="1:5" x14ac:dyDescent="0.15">
      <c r="A1714" s="21">
        <v>42056</v>
      </c>
      <c r="B1714" s="22" t="s">
        <v>42</v>
      </c>
      <c r="C1714" s="22">
        <v>341.9999997317791</v>
      </c>
      <c r="D1714" s="22" t="s">
        <v>34</v>
      </c>
      <c r="E1714" t="str">
        <f t="shared" si="28"/>
        <v>2015年</v>
      </c>
    </row>
    <row r="1715" spans="1:5" x14ac:dyDescent="0.15">
      <c r="A1715" s="21">
        <v>42057</v>
      </c>
      <c r="B1715" s="22" t="s">
        <v>40</v>
      </c>
      <c r="C1715" s="22">
        <v>427.5</v>
      </c>
      <c r="D1715" s="22" t="s">
        <v>39</v>
      </c>
      <c r="E1715" t="str">
        <f t="shared" si="28"/>
        <v>2015年</v>
      </c>
    </row>
    <row r="1716" spans="1:5" x14ac:dyDescent="0.15">
      <c r="A1716" s="21">
        <v>42057</v>
      </c>
      <c r="B1716" s="22" t="s">
        <v>42</v>
      </c>
      <c r="C1716" s="22">
        <v>108.5</v>
      </c>
      <c r="D1716" s="22" t="s">
        <v>34</v>
      </c>
      <c r="E1716" t="str">
        <f t="shared" si="28"/>
        <v>2015年</v>
      </c>
    </row>
    <row r="1717" spans="1:5" x14ac:dyDescent="0.15">
      <c r="A1717" s="21">
        <v>42058</v>
      </c>
      <c r="B1717" s="22" t="s">
        <v>37</v>
      </c>
      <c r="C1717" s="22">
        <v>569.99999955296516</v>
      </c>
      <c r="D1717" s="22" t="s">
        <v>39</v>
      </c>
      <c r="E1717" t="str">
        <f t="shared" si="28"/>
        <v>2015年</v>
      </c>
    </row>
    <row r="1718" spans="1:5" x14ac:dyDescent="0.15">
      <c r="A1718" s="21">
        <v>42058</v>
      </c>
      <c r="B1718" s="22" t="s">
        <v>35</v>
      </c>
      <c r="C1718" s="22">
        <v>93.09999992698431</v>
      </c>
      <c r="D1718" s="22" t="s">
        <v>39</v>
      </c>
      <c r="E1718" t="str">
        <f t="shared" si="28"/>
        <v>2015年</v>
      </c>
    </row>
    <row r="1719" spans="1:5" x14ac:dyDescent="0.15">
      <c r="A1719" s="21">
        <v>42058</v>
      </c>
      <c r="B1719" s="22" t="s">
        <v>37</v>
      </c>
      <c r="C1719" s="22">
        <v>360</v>
      </c>
      <c r="D1719" s="22" t="s">
        <v>39</v>
      </c>
      <c r="E1719" t="str">
        <f t="shared" si="28"/>
        <v>2015年</v>
      </c>
    </row>
    <row r="1720" spans="1:5" x14ac:dyDescent="0.15">
      <c r="A1720" s="21">
        <v>42058</v>
      </c>
      <c r="B1720" s="22" t="s">
        <v>41</v>
      </c>
      <c r="C1720" s="22">
        <v>261.75</v>
      </c>
      <c r="D1720" s="22" t="s">
        <v>39</v>
      </c>
      <c r="E1720" t="str">
        <f t="shared" si="28"/>
        <v>2015年</v>
      </c>
    </row>
    <row r="1721" spans="1:5" x14ac:dyDescent="0.15">
      <c r="A1721" s="21">
        <v>42058</v>
      </c>
      <c r="B1721" s="22" t="s">
        <v>38</v>
      </c>
      <c r="C1721" s="22">
        <v>48.25</v>
      </c>
      <c r="D1721" s="22" t="s">
        <v>39</v>
      </c>
      <c r="E1721" t="str">
        <f t="shared" si="28"/>
        <v>2015年</v>
      </c>
    </row>
    <row r="1722" spans="1:5" x14ac:dyDescent="0.15">
      <c r="A1722" s="21">
        <v>42058</v>
      </c>
      <c r="B1722" s="22" t="s">
        <v>41</v>
      </c>
      <c r="C1722" s="22">
        <v>110.4</v>
      </c>
      <c r="D1722" s="22" t="s">
        <v>39</v>
      </c>
      <c r="E1722" t="str">
        <f t="shared" si="28"/>
        <v>2015年</v>
      </c>
    </row>
    <row r="1723" spans="1:5" x14ac:dyDescent="0.15">
      <c r="A1723" s="21">
        <v>42058</v>
      </c>
      <c r="B1723" s="22" t="s">
        <v>41</v>
      </c>
      <c r="C1723" s="22">
        <v>200</v>
      </c>
      <c r="D1723" s="22" t="s">
        <v>39</v>
      </c>
      <c r="E1723" t="str">
        <f t="shared" si="28"/>
        <v>2015年</v>
      </c>
    </row>
    <row r="1724" spans="1:5" x14ac:dyDescent="0.15">
      <c r="A1724" s="21">
        <v>42058</v>
      </c>
      <c r="B1724" s="22" t="s">
        <v>40</v>
      </c>
      <c r="C1724" s="22">
        <v>142.5</v>
      </c>
      <c r="D1724" s="22" t="s">
        <v>39</v>
      </c>
      <c r="E1724" t="str">
        <f t="shared" si="28"/>
        <v>2015年</v>
      </c>
    </row>
    <row r="1725" spans="1:5" x14ac:dyDescent="0.15">
      <c r="A1725" s="21">
        <v>42058</v>
      </c>
      <c r="B1725" s="22" t="s">
        <v>42</v>
      </c>
      <c r="C1725" s="22">
        <v>180</v>
      </c>
      <c r="D1725" s="22" t="s">
        <v>39</v>
      </c>
      <c r="E1725" t="str">
        <f t="shared" si="28"/>
        <v>2015年</v>
      </c>
    </row>
    <row r="1726" spans="1:5" x14ac:dyDescent="0.15">
      <c r="A1726" s="21">
        <v>42058</v>
      </c>
      <c r="B1726" s="22" t="s">
        <v>33</v>
      </c>
      <c r="C1726" s="22">
        <v>468</v>
      </c>
      <c r="D1726" s="22" t="s">
        <v>39</v>
      </c>
      <c r="E1726" t="str">
        <f t="shared" si="28"/>
        <v>2015年</v>
      </c>
    </row>
    <row r="1727" spans="1:5" x14ac:dyDescent="0.15">
      <c r="A1727" s="21">
        <v>42058</v>
      </c>
      <c r="B1727" s="22" t="s">
        <v>42</v>
      </c>
      <c r="C1727" s="22">
        <v>210</v>
      </c>
      <c r="D1727" s="22" t="s">
        <v>39</v>
      </c>
      <c r="E1727" t="str">
        <f t="shared" si="28"/>
        <v>2015年</v>
      </c>
    </row>
    <row r="1728" spans="1:5" x14ac:dyDescent="0.15">
      <c r="A1728" s="21">
        <v>42058</v>
      </c>
      <c r="B1728" s="22" t="s">
        <v>36</v>
      </c>
      <c r="C1728" s="22">
        <v>630</v>
      </c>
      <c r="D1728" s="22" t="s">
        <v>39</v>
      </c>
      <c r="E1728" t="str">
        <f t="shared" si="28"/>
        <v>2015年</v>
      </c>
    </row>
    <row r="1729" spans="1:5" x14ac:dyDescent="0.15">
      <c r="A1729" s="21">
        <v>42058</v>
      </c>
      <c r="B1729" s="22" t="s">
        <v>33</v>
      </c>
      <c r="C1729" s="22">
        <v>5570.55</v>
      </c>
      <c r="D1729" s="22" t="s">
        <v>39</v>
      </c>
      <c r="E1729" t="str">
        <f t="shared" si="28"/>
        <v>2015年</v>
      </c>
    </row>
    <row r="1730" spans="1:5" x14ac:dyDescent="0.15">
      <c r="A1730" s="21">
        <v>42058</v>
      </c>
      <c r="B1730" s="22" t="s">
        <v>40</v>
      </c>
      <c r="C1730" s="22">
        <v>495</v>
      </c>
      <c r="D1730" s="22" t="s">
        <v>39</v>
      </c>
      <c r="E1730" t="str">
        <f t="shared" ref="E1730:E1793" si="29">YEAR(A1730)&amp;"年"</f>
        <v>2015年</v>
      </c>
    </row>
    <row r="1731" spans="1:5" x14ac:dyDescent="0.15">
      <c r="A1731" s="21">
        <v>42058</v>
      </c>
      <c r="B1731" s="22" t="s">
        <v>36</v>
      </c>
      <c r="C1731" s="22">
        <v>75</v>
      </c>
      <c r="D1731" s="22" t="s">
        <v>39</v>
      </c>
      <c r="E1731" t="str">
        <f t="shared" si="29"/>
        <v>2015年</v>
      </c>
    </row>
    <row r="1732" spans="1:5" x14ac:dyDescent="0.15">
      <c r="A1732" s="21">
        <v>42058</v>
      </c>
      <c r="B1732" s="22" t="s">
        <v>38</v>
      </c>
      <c r="C1732" s="22">
        <v>198.75</v>
      </c>
      <c r="D1732" s="22" t="s">
        <v>39</v>
      </c>
      <c r="E1732" t="str">
        <f t="shared" si="29"/>
        <v>2015年</v>
      </c>
    </row>
    <row r="1733" spans="1:5" x14ac:dyDescent="0.15">
      <c r="A1733" s="21">
        <v>42059</v>
      </c>
      <c r="B1733" s="22" t="s">
        <v>36</v>
      </c>
      <c r="C1733" s="22">
        <v>537.5</v>
      </c>
      <c r="D1733" s="22" t="s">
        <v>34</v>
      </c>
      <c r="E1733" t="str">
        <f t="shared" si="29"/>
        <v>2015年</v>
      </c>
    </row>
    <row r="1734" spans="1:5" x14ac:dyDescent="0.15">
      <c r="A1734" s="21">
        <v>42059</v>
      </c>
      <c r="B1734" s="22" t="s">
        <v>33</v>
      </c>
      <c r="C1734" s="22">
        <v>390</v>
      </c>
      <c r="D1734" s="22" t="s">
        <v>39</v>
      </c>
      <c r="E1734" t="str">
        <f t="shared" si="29"/>
        <v>2015年</v>
      </c>
    </row>
    <row r="1735" spans="1:5" x14ac:dyDescent="0.15">
      <c r="A1735" s="21">
        <v>42059</v>
      </c>
      <c r="B1735" s="22" t="s">
        <v>36</v>
      </c>
      <c r="C1735" s="22">
        <v>75</v>
      </c>
      <c r="D1735" s="22" t="s">
        <v>39</v>
      </c>
      <c r="E1735" t="str">
        <f t="shared" si="29"/>
        <v>2015年</v>
      </c>
    </row>
    <row r="1736" spans="1:5" x14ac:dyDescent="0.15">
      <c r="A1736" s="21">
        <v>42059</v>
      </c>
      <c r="B1736" s="22" t="s">
        <v>33</v>
      </c>
      <c r="C1736" s="22">
        <v>74.5</v>
      </c>
      <c r="D1736" s="22" t="s">
        <v>39</v>
      </c>
      <c r="E1736" t="str">
        <f t="shared" si="29"/>
        <v>2015年</v>
      </c>
    </row>
    <row r="1737" spans="1:5" x14ac:dyDescent="0.15">
      <c r="A1737" s="21">
        <v>42059</v>
      </c>
      <c r="B1737" s="22" t="s">
        <v>41</v>
      </c>
      <c r="C1737" s="22">
        <v>104.7</v>
      </c>
      <c r="D1737" s="22" t="s">
        <v>39</v>
      </c>
      <c r="E1737" t="str">
        <f t="shared" si="29"/>
        <v>2015年</v>
      </c>
    </row>
    <row r="1738" spans="1:5" x14ac:dyDescent="0.15">
      <c r="A1738" s="21">
        <v>42059</v>
      </c>
      <c r="B1738" s="22" t="s">
        <v>36</v>
      </c>
      <c r="C1738" s="22">
        <v>192</v>
      </c>
      <c r="D1738" s="22" t="s">
        <v>39</v>
      </c>
      <c r="E1738" t="str">
        <f t="shared" si="29"/>
        <v>2015年</v>
      </c>
    </row>
    <row r="1739" spans="1:5" x14ac:dyDescent="0.15">
      <c r="A1739" s="21">
        <v>42059</v>
      </c>
      <c r="B1739" s="22" t="s">
        <v>35</v>
      </c>
      <c r="C1739" s="22">
        <v>390</v>
      </c>
      <c r="D1739" s="22" t="s">
        <v>39</v>
      </c>
      <c r="E1739" t="str">
        <f t="shared" si="29"/>
        <v>2015年</v>
      </c>
    </row>
    <row r="1740" spans="1:5" x14ac:dyDescent="0.15">
      <c r="A1740" s="21">
        <v>42062</v>
      </c>
      <c r="B1740" s="22" t="s">
        <v>38</v>
      </c>
      <c r="C1740" s="22">
        <v>25.89</v>
      </c>
      <c r="D1740" s="22" t="s">
        <v>39</v>
      </c>
      <c r="E1740" t="str">
        <f t="shared" si="29"/>
        <v>2015年</v>
      </c>
    </row>
    <row r="1741" spans="1:5" x14ac:dyDescent="0.15">
      <c r="A1741" s="21">
        <v>42062</v>
      </c>
      <c r="B1741" s="22" t="s">
        <v>36</v>
      </c>
      <c r="C1741" s="22">
        <v>340</v>
      </c>
      <c r="D1741" s="22" t="s">
        <v>39</v>
      </c>
      <c r="E1741" t="str">
        <f t="shared" si="29"/>
        <v>2015年</v>
      </c>
    </row>
    <row r="1742" spans="1:5" x14ac:dyDescent="0.15">
      <c r="A1742" s="21">
        <v>42062</v>
      </c>
      <c r="B1742" s="22" t="s">
        <v>42</v>
      </c>
      <c r="C1742" s="22">
        <v>810</v>
      </c>
      <c r="D1742" s="22" t="s">
        <v>39</v>
      </c>
      <c r="E1742" t="str">
        <f t="shared" si="29"/>
        <v>2015年</v>
      </c>
    </row>
    <row r="1743" spans="1:5" x14ac:dyDescent="0.15">
      <c r="A1743" s="21">
        <v>42062</v>
      </c>
      <c r="B1743" s="22" t="s">
        <v>36</v>
      </c>
      <c r="C1743" s="22">
        <v>637.5</v>
      </c>
      <c r="D1743" s="22" t="s">
        <v>39</v>
      </c>
      <c r="E1743" t="str">
        <f t="shared" si="29"/>
        <v>2015年</v>
      </c>
    </row>
    <row r="1744" spans="1:5" x14ac:dyDescent="0.15">
      <c r="A1744" s="21">
        <v>42062</v>
      </c>
      <c r="B1744" s="22" t="s">
        <v>41</v>
      </c>
      <c r="C1744" s="22">
        <v>418.8</v>
      </c>
      <c r="D1744" s="22" t="s">
        <v>39</v>
      </c>
      <c r="E1744" t="str">
        <f t="shared" si="29"/>
        <v>2015年</v>
      </c>
    </row>
    <row r="1745" spans="1:5" x14ac:dyDescent="0.15">
      <c r="A1745" s="21">
        <v>42062</v>
      </c>
      <c r="B1745" s="22" t="s">
        <v>41</v>
      </c>
      <c r="C1745" s="22">
        <v>336</v>
      </c>
      <c r="D1745" s="22" t="s">
        <v>39</v>
      </c>
      <c r="E1745" t="str">
        <f t="shared" si="29"/>
        <v>2015年</v>
      </c>
    </row>
    <row r="1746" spans="1:5" x14ac:dyDescent="0.15">
      <c r="A1746" s="21">
        <v>42062</v>
      </c>
      <c r="B1746" s="22" t="s">
        <v>38</v>
      </c>
      <c r="C1746" s="22">
        <v>368</v>
      </c>
      <c r="D1746" s="22" t="s">
        <v>39</v>
      </c>
      <c r="E1746" t="str">
        <f t="shared" si="29"/>
        <v>2015年</v>
      </c>
    </row>
    <row r="1747" spans="1:5" x14ac:dyDescent="0.15">
      <c r="A1747" s="21">
        <v>42063</v>
      </c>
      <c r="B1747" s="22" t="s">
        <v>41</v>
      </c>
      <c r="C1747" s="22">
        <v>390</v>
      </c>
      <c r="D1747" s="22" t="s">
        <v>39</v>
      </c>
      <c r="E1747" t="str">
        <f t="shared" si="29"/>
        <v>2015年</v>
      </c>
    </row>
    <row r="1748" spans="1:5" x14ac:dyDescent="0.15">
      <c r="A1748" s="21">
        <v>42063</v>
      </c>
      <c r="B1748" s="22" t="s">
        <v>42</v>
      </c>
      <c r="C1748" s="22">
        <v>180</v>
      </c>
      <c r="D1748" s="22" t="s">
        <v>39</v>
      </c>
      <c r="E1748" t="str">
        <f t="shared" si="29"/>
        <v>2015年</v>
      </c>
    </row>
    <row r="1749" spans="1:5" x14ac:dyDescent="0.15">
      <c r="A1749" s="21">
        <v>42063</v>
      </c>
      <c r="B1749" s="22" t="s">
        <v>40</v>
      </c>
      <c r="C1749" s="22">
        <v>1756</v>
      </c>
      <c r="D1749" s="22" t="s">
        <v>39</v>
      </c>
      <c r="E1749" t="str">
        <f t="shared" si="29"/>
        <v>2015年</v>
      </c>
    </row>
    <row r="1750" spans="1:5" x14ac:dyDescent="0.15">
      <c r="A1750" s="21">
        <v>42063</v>
      </c>
      <c r="B1750" s="22" t="s">
        <v>33</v>
      </c>
      <c r="C1750" s="22">
        <v>585</v>
      </c>
      <c r="D1750" s="22" t="s">
        <v>34</v>
      </c>
      <c r="E1750" t="str">
        <f t="shared" si="29"/>
        <v>2015年</v>
      </c>
    </row>
    <row r="1751" spans="1:5" x14ac:dyDescent="0.15">
      <c r="A1751" s="21">
        <v>42063</v>
      </c>
      <c r="B1751" s="22" t="s">
        <v>42</v>
      </c>
      <c r="C1751" s="22">
        <v>157.5</v>
      </c>
      <c r="D1751" s="22" t="s">
        <v>34</v>
      </c>
      <c r="E1751" t="str">
        <f t="shared" si="29"/>
        <v>2015年</v>
      </c>
    </row>
    <row r="1752" spans="1:5" x14ac:dyDescent="0.15">
      <c r="A1752" s="21">
        <v>42063</v>
      </c>
      <c r="B1752" s="22" t="s">
        <v>35</v>
      </c>
      <c r="C1752" s="22">
        <v>111.99999958276749</v>
      </c>
      <c r="D1752" s="22" t="s">
        <v>34</v>
      </c>
      <c r="E1752" t="str">
        <f t="shared" si="29"/>
        <v>2015年</v>
      </c>
    </row>
    <row r="1753" spans="1:5" x14ac:dyDescent="0.15">
      <c r="A1753" s="21">
        <v>42063</v>
      </c>
      <c r="B1753" s="22" t="s">
        <v>42</v>
      </c>
      <c r="C1753" s="22">
        <v>367.99999862909317</v>
      </c>
      <c r="D1753" s="22" t="s">
        <v>34</v>
      </c>
      <c r="E1753" t="str">
        <f t="shared" si="29"/>
        <v>2015年</v>
      </c>
    </row>
    <row r="1754" spans="1:5" x14ac:dyDescent="0.15">
      <c r="A1754" s="21">
        <v>42063</v>
      </c>
      <c r="B1754" s="22" t="s">
        <v>42</v>
      </c>
      <c r="C1754" s="22">
        <v>268.79999899864197</v>
      </c>
      <c r="D1754" s="22" t="s">
        <v>34</v>
      </c>
      <c r="E1754" t="str">
        <f t="shared" si="29"/>
        <v>2015年</v>
      </c>
    </row>
    <row r="1755" spans="1:5" x14ac:dyDescent="0.15">
      <c r="A1755" s="21">
        <v>42064</v>
      </c>
      <c r="B1755" s="22" t="s">
        <v>38</v>
      </c>
      <c r="C1755" s="22">
        <v>557.99999907612801</v>
      </c>
      <c r="D1755" s="22" t="s">
        <v>39</v>
      </c>
      <c r="E1755" t="str">
        <f t="shared" si="29"/>
        <v>2015年</v>
      </c>
    </row>
    <row r="1756" spans="1:5" x14ac:dyDescent="0.15">
      <c r="A1756" s="21">
        <v>42064</v>
      </c>
      <c r="B1756" s="22" t="s">
        <v>37</v>
      </c>
      <c r="C1756" s="22">
        <v>1231.1999979615211</v>
      </c>
      <c r="D1756" s="22" t="s">
        <v>39</v>
      </c>
      <c r="E1756" t="str">
        <f t="shared" si="29"/>
        <v>2015年</v>
      </c>
    </row>
    <row r="1757" spans="1:5" x14ac:dyDescent="0.15">
      <c r="A1757" s="21">
        <v>42064</v>
      </c>
      <c r="B1757" s="22" t="s">
        <v>42</v>
      </c>
      <c r="C1757" s="22">
        <v>46.5</v>
      </c>
      <c r="D1757" s="22" t="s">
        <v>39</v>
      </c>
      <c r="E1757" t="str">
        <f t="shared" si="29"/>
        <v>2015年</v>
      </c>
    </row>
    <row r="1758" spans="1:5" x14ac:dyDescent="0.15">
      <c r="A1758" s="21">
        <v>42064</v>
      </c>
      <c r="B1758" s="22" t="s">
        <v>38</v>
      </c>
      <c r="C1758" s="22">
        <v>403.74999716877937</v>
      </c>
      <c r="D1758" s="22" t="s">
        <v>39</v>
      </c>
      <c r="E1758" t="str">
        <f t="shared" si="29"/>
        <v>2015年</v>
      </c>
    </row>
    <row r="1759" spans="1:5" x14ac:dyDescent="0.15">
      <c r="A1759" s="21">
        <v>42064</v>
      </c>
      <c r="B1759" s="22" t="s">
        <v>35</v>
      </c>
      <c r="C1759" s="22">
        <v>71.399999499320984</v>
      </c>
      <c r="D1759" s="22" t="s">
        <v>39</v>
      </c>
      <c r="E1759" t="str">
        <f t="shared" si="29"/>
        <v>2015年</v>
      </c>
    </row>
    <row r="1760" spans="1:5" x14ac:dyDescent="0.15">
      <c r="A1760" s="21">
        <v>42064</v>
      </c>
      <c r="B1760" s="22" t="s">
        <v>36</v>
      </c>
      <c r="C1760" s="22">
        <v>42</v>
      </c>
      <c r="D1760" s="22" t="s">
        <v>39</v>
      </c>
      <c r="E1760" t="str">
        <f t="shared" si="29"/>
        <v>2015年</v>
      </c>
    </row>
    <row r="1761" spans="1:5" x14ac:dyDescent="0.15">
      <c r="A1761" s="21">
        <v>42064</v>
      </c>
      <c r="B1761" s="22" t="s">
        <v>38</v>
      </c>
      <c r="C1761" s="22">
        <v>60</v>
      </c>
      <c r="D1761" s="22" t="s">
        <v>39</v>
      </c>
      <c r="E1761" t="str">
        <f t="shared" si="29"/>
        <v>2015年</v>
      </c>
    </row>
    <row r="1762" spans="1:5" x14ac:dyDescent="0.15">
      <c r="A1762" s="21">
        <v>42064</v>
      </c>
      <c r="B1762" s="22" t="s">
        <v>41</v>
      </c>
      <c r="C1762" s="22">
        <v>64.400000000000006</v>
      </c>
      <c r="D1762" s="22" t="s">
        <v>39</v>
      </c>
      <c r="E1762" t="str">
        <f t="shared" si="29"/>
        <v>2015年</v>
      </c>
    </row>
    <row r="1763" spans="1:5" x14ac:dyDescent="0.15">
      <c r="A1763" s="21">
        <v>42064</v>
      </c>
      <c r="B1763" s="22" t="s">
        <v>36</v>
      </c>
      <c r="C1763" s="22">
        <v>348</v>
      </c>
      <c r="D1763" s="22" t="s">
        <v>39</v>
      </c>
      <c r="E1763" t="str">
        <f t="shared" si="29"/>
        <v>2015年</v>
      </c>
    </row>
    <row r="1764" spans="1:5" x14ac:dyDescent="0.15">
      <c r="A1764" s="21">
        <v>42065</v>
      </c>
      <c r="B1764" s="22" t="s">
        <v>41</v>
      </c>
      <c r="C1764" s="22">
        <v>405</v>
      </c>
      <c r="D1764" s="22" t="s">
        <v>39</v>
      </c>
      <c r="E1764" t="str">
        <f t="shared" si="29"/>
        <v>2015年</v>
      </c>
    </row>
    <row r="1765" spans="1:5" x14ac:dyDescent="0.15">
      <c r="A1765" s="21">
        <v>42065</v>
      </c>
      <c r="B1765" s="22" t="s">
        <v>35</v>
      </c>
      <c r="C1765" s="22">
        <v>35</v>
      </c>
      <c r="D1765" s="22" t="s">
        <v>39</v>
      </c>
      <c r="E1765" t="str">
        <f t="shared" si="29"/>
        <v>2015年</v>
      </c>
    </row>
    <row r="1766" spans="1:5" x14ac:dyDescent="0.15">
      <c r="A1766" s="21">
        <v>42065</v>
      </c>
      <c r="B1766" s="22" t="s">
        <v>42</v>
      </c>
      <c r="C1766" s="22">
        <v>360</v>
      </c>
      <c r="D1766" s="22" t="s">
        <v>39</v>
      </c>
      <c r="E1766" t="str">
        <f t="shared" si="29"/>
        <v>2015年</v>
      </c>
    </row>
    <row r="1767" spans="1:5" x14ac:dyDescent="0.15">
      <c r="A1767" s="21">
        <v>42065</v>
      </c>
      <c r="B1767" s="22" t="s">
        <v>41</v>
      </c>
      <c r="C1767" s="22">
        <v>47.5</v>
      </c>
      <c r="D1767" s="22" t="s">
        <v>39</v>
      </c>
      <c r="E1767" t="str">
        <f t="shared" si="29"/>
        <v>2015年</v>
      </c>
    </row>
    <row r="1768" spans="1:5" x14ac:dyDescent="0.15">
      <c r="A1768" s="21">
        <v>42065</v>
      </c>
      <c r="B1768" s="22" t="s">
        <v>42</v>
      </c>
      <c r="C1768" s="22">
        <v>90</v>
      </c>
      <c r="D1768" s="22" t="s">
        <v>39</v>
      </c>
      <c r="E1768" t="str">
        <f t="shared" si="29"/>
        <v>2015年</v>
      </c>
    </row>
    <row r="1769" spans="1:5" x14ac:dyDescent="0.15">
      <c r="A1769" s="21">
        <v>42065</v>
      </c>
      <c r="B1769" s="22" t="s">
        <v>41</v>
      </c>
      <c r="C1769" s="22">
        <v>600</v>
      </c>
      <c r="D1769" s="22" t="s">
        <v>34</v>
      </c>
      <c r="E1769" t="str">
        <f t="shared" si="29"/>
        <v>2015年</v>
      </c>
    </row>
    <row r="1770" spans="1:5" x14ac:dyDescent="0.15">
      <c r="A1770" s="21">
        <v>42065</v>
      </c>
      <c r="B1770" s="22" t="s">
        <v>42</v>
      </c>
      <c r="C1770" s="22">
        <v>379.75</v>
      </c>
      <c r="D1770" s="22" t="s">
        <v>34</v>
      </c>
      <c r="E1770" t="str">
        <f t="shared" si="29"/>
        <v>2015年</v>
      </c>
    </row>
    <row r="1771" spans="1:5" x14ac:dyDescent="0.15">
      <c r="A1771" s="21">
        <v>42065</v>
      </c>
      <c r="B1771" s="22" t="s">
        <v>40</v>
      </c>
      <c r="C1771" s="22">
        <v>195</v>
      </c>
      <c r="D1771" s="22" t="s">
        <v>34</v>
      </c>
      <c r="E1771" t="str">
        <f t="shared" si="29"/>
        <v>2015年</v>
      </c>
    </row>
    <row r="1772" spans="1:5" x14ac:dyDescent="0.15">
      <c r="A1772" s="21">
        <v>42066</v>
      </c>
      <c r="B1772" s="22" t="s">
        <v>41</v>
      </c>
      <c r="C1772" s="22">
        <v>360</v>
      </c>
      <c r="D1772" s="22" t="s">
        <v>39</v>
      </c>
      <c r="E1772" t="str">
        <f t="shared" si="29"/>
        <v>2015年</v>
      </c>
    </row>
    <row r="1773" spans="1:5" x14ac:dyDescent="0.15">
      <c r="A1773" s="21">
        <v>42066</v>
      </c>
      <c r="B1773" s="22" t="s">
        <v>41</v>
      </c>
      <c r="C1773" s="22">
        <v>1097.5</v>
      </c>
      <c r="D1773" s="22" t="s">
        <v>39</v>
      </c>
      <c r="E1773" t="str">
        <f t="shared" si="29"/>
        <v>2015年</v>
      </c>
    </row>
    <row r="1774" spans="1:5" x14ac:dyDescent="0.15">
      <c r="A1774" s="21">
        <v>42066</v>
      </c>
      <c r="B1774" s="22" t="s">
        <v>33</v>
      </c>
      <c r="C1774" s="22">
        <v>479.99999821186066</v>
      </c>
      <c r="D1774" s="22" t="s">
        <v>39</v>
      </c>
      <c r="E1774" t="str">
        <f t="shared" si="29"/>
        <v>2015年</v>
      </c>
    </row>
    <row r="1775" spans="1:5" x14ac:dyDescent="0.15">
      <c r="A1775" s="21">
        <v>42066</v>
      </c>
      <c r="B1775" s="22" t="s">
        <v>38</v>
      </c>
      <c r="C1775" s="22">
        <v>317.99999881535769</v>
      </c>
      <c r="D1775" s="22" t="s">
        <v>39</v>
      </c>
      <c r="E1775" t="str">
        <f t="shared" si="29"/>
        <v>2015年</v>
      </c>
    </row>
    <row r="1776" spans="1:5" x14ac:dyDescent="0.15">
      <c r="A1776" s="21">
        <v>42066</v>
      </c>
      <c r="B1776" s="22" t="s">
        <v>38</v>
      </c>
      <c r="C1776" s="22">
        <v>214.19999849796295</v>
      </c>
      <c r="D1776" s="22" t="s">
        <v>39</v>
      </c>
      <c r="E1776" t="str">
        <f t="shared" si="29"/>
        <v>2015年</v>
      </c>
    </row>
    <row r="1777" spans="1:5" x14ac:dyDescent="0.15">
      <c r="A1777" s="21">
        <v>42066</v>
      </c>
      <c r="B1777" s="22" t="s">
        <v>35</v>
      </c>
      <c r="C1777" s="22">
        <v>585</v>
      </c>
      <c r="D1777" s="22" t="s">
        <v>39</v>
      </c>
      <c r="E1777" t="str">
        <f t="shared" si="29"/>
        <v>2015年</v>
      </c>
    </row>
    <row r="1778" spans="1:5" x14ac:dyDescent="0.15">
      <c r="A1778" s="21">
        <v>42066</v>
      </c>
      <c r="B1778" s="22" t="s">
        <v>41</v>
      </c>
      <c r="C1778" s="22">
        <v>471.14999921992421</v>
      </c>
      <c r="D1778" s="22" t="s">
        <v>39</v>
      </c>
      <c r="E1778" t="str">
        <f t="shared" si="29"/>
        <v>2015年</v>
      </c>
    </row>
    <row r="1779" spans="1:5" x14ac:dyDescent="0.15">
      <c r="A1779" s="21">
        <v>42066</v>
      </c>
      <c r="B1779" s="22" t="s">
        <v>41</v>
      </c>
      <c r="C1779" s="22">
        <v>621.17999897152185</v>
      </c>
      <c r="D1779" s="22" t="s">
        <v>39</v>
      </c>
      <c r="E1779" t="str">
        <f t="shared" si="29"/>
        <v>2015年</v>
      </c>
    </row>
    <row r="1780" spans="1:5" x14ac:dyDescent="0.15">
      <c r="A1780" s="21">
        <v>42066</v>
      </c>
      <c r="B1780" s="22" t="s">
        <v>36</v>
      </c>
      <c r="C1780" s="22">
        <v>556.79999999999995</v>
      </c>
      <c r="D1780" s="22" t="s">
        <v>39</v>
      </c>
      <c r="E1780" t="str">
        <f t="shared" si="29"/>
        <v>2015年</v>
      </c>
    </row>
    <row r="1781" spans="1:5" x14ac:dyDescent="0.15">
      <c r="A1781" s="21">
        <v>42066</v>
      </c>
      <c r="B1781" s="22" t="s">
        <v>42</v>
      </c>
      <c r="C1781" s="22">
        <v>139.499999769032</v>
      </c>
      <c r="D1781" s="22" t="s">
        <v>39</v>
      </c>
      <c r="E1781" t="str">
        <f t="shared" si="29"/>
        <v>2015年</v>
      </c>
    </row>
    <row r="1782" spans="1:5" x14ac:dyDescent="0.15">
      <c r="A1782" s="21">
        <v>42066</v>
      </c>
      <c r="B1782" s="22" t="s">
        <v>33</v>
      </c>
      <c r="C1782" s="22">
        <v>65.599999999999994</v>
      </c>
      <c r="D1782" s="22" t="s">
        <v>34</v>
      </c>
      <c r="E1782" t="str">
        <f t="shared" si="29"/>
        <v>2015年</v>
      </c>
    </row>
    <row r="1783" spans="1:5" x14ac:dyDescent="0.15">
      <c r="A1783" s="21">
        <v>42066</v>
      </c>
      <c r="B1783" s="22" t="s">
        <v>40</v>
      </c>
      <c r="C1783" s="22">
        <v>855</v>
      </c>
      <c r="D1783" s="22" t="s">
        <v>34</v>
      </c>
      <c r="E1783" t="str">
        <f t="shared" si="29"/>
        <v>2015年</v>
      </c>
    </row>
    <row r="1784" spans="1:5" x14ac:dyDescent="0.15">
      <c r="A1784" s="21">
        <v>42069</v>
      </c>
      <c r="B1784" s="22" t="s">
        <v>40</v>
      </c>
      <c r="C1784" s="22">
        <v>500</v>
      </c>
      <c r="D1784" s="22" t="s">
        <v>39</v>
      </c>
      <c r="E1784" t="str">
        <f t="shared" si="29"/>
        <v>2015年</v>
      </c>
    </row>
    <row r="1785" spans="1:5" x14ac:dyDescent="0.15">
      <c r="A1785" s="21">
        <v>42069</v>
      </c>
      <c r="B1785" s="22" t="s">
        <v>42</v>
      </c>
      <c r="C1785" s="22">
        <v>378</v>
      </c>
      <c r="D1785" s="22" t="s">
        <v>39</v>
      </c>
      <c r="E1785" t="str">
        <f t="shared" si="29"/>
        <v>2015年</v>
      </c>
    </row>
    <row r="1786" spans="1:5" x14ac:dyDescent="0.15">
      <c r="A1786" s="21">
        <v>42069</v>
      </c>
      <c r="B1786" s="22" t="s">
        <v>38</v>
      </c>
      <c r="C1786" s="22">
        <v>187.5</v>
      </c>
      <c r="D1786" s="22" t="s">
        <v>39</v>
      </c>
      <c r="E1786" t="str">
        <f t="shared" si="29"/>
        <v>2015年</v>
      </c>
    </row>
    <row r="1787" spans="1:5" x14ac:dyDescent="0.15">
      <c r="A1787" s="21">
        <v>42069</v>
      </c>
      <c r="B1787" s="22" t="s">
        <v>35</v>
      </c>
      <c r="C1787" s="22">
        <v>54</v>
      </c>
      <c r="D1787" s="22" t="s">
        <v>39</v>
      </c>
      <c r="E1787" t="str">
        <f t="shared" si="29"/>
        <v>2015年</v>
      </c>
    </row>
    <row r="1788" spans="1:5" x14ac:dyDescent="0.15">
      <c r="A1788" s="21">
        <v>42069</v>
      </c>
      <c r="B1788" s="22" t="s">
        <v>38</v>
      </c>
      <c r="C1788" s="22">
        <v>455.99999830126762</v>
      </c>
      <c r="D1788" s="22" t="s">
        <v>39</v>
      </c>
      <c r="E1788" t="str">
        <f t="shared" si="29"/>
        <v>2015年</v>
      </c>
    </row>
    <row r="1789" spans="1:5" x14ac:dyDescent="0.15">
      <c r="A1789" s="21">
        <v>42070</v>
      </c>
      <c r="B1789" s="22" t="s">
        <v>37</v>
      </c>
      <c r="C1789" s="22">
        <v>364.8</v>
      </c>
      <c r="D1789" s="22" t="s">
        <v>34</v>
      </c>
      <c r="E1789" t="str">
        <f t="shared" si="29"/>
        <v>2015年</v>
      </c>
    </row>
    <row r="1790" spans="1:5" x14ac:dyDescent="0.15">
      <c r="A1790" s="21">
        <v>42070</v>
      </c>
      <c r="B1790" s="22" t="s">
        <v>42</v>
      </c>
      <c r="C1790" s="22">
        <v>280</v>
      </c>
      <c r="D1790" s="22" t="s">
        <v>34</v>
      </c>
      <c r="E1790" t="str">
        <f t="shared" si="29"/>
        <v>2015年</v>
      </c>
    </row>
    <row r="1791" spans="1:5" x14ac:dyDescent="0.15">
      <c r="A1791" s="21">
        <v>42070</v>
      </c>
      <c r="B1791" s="22" t="s">
        <v>38</v>
      </c>
      <c r="C1791" s="22">
        <v>90</v>
      </c>
      <c r="D1791" s="22" t="s">
        <v>39</v>
      </c>
      <c r="E1791" t="str">
        <f t="shared" si="29"/>
        <v>2015年</v>
      </c>
    </row>
    <row r="1792" spans="1:5" x14ac:dyDescent="0.15">
      <c r="A1792" s="21">
        <v>42070</v>
      </c>
      <c r="B1792" s="22" t="s">
        <v>42</v>
      </c>
      <c r="C1792" s="22">
        <v>828</v>
      </c>
      <c r="D1792" s="22" t="s">
        <v>39</v>
      </c>
      <c r="E1792" t="str">
        <f t="shared" si="29"/>
        <v>2015年</v>
      </c>
    </row>
    <row r="1793" spans="1:5" x14ac:dyDescent="0.15">
      <c r="A1793" s="21">
        <v>42070</v>
      </c>
      <c r="B1793" s="22" t="s">
        <v>36</v>
      </c>
      <c r="C1793" s="22">
        <v>1249.5</v>
      </c>
      <c r="D1793" s="22" t="s">
        <v>39</v>
      </c>
      <c r="E1793" t="str">
        <f t="shared" si="29"/>
        <v>2015年</v>
      </c>
    </row>
    <row r="1794" spans="1:5" x14ac:dyDescent="0.15">
      <c r="A1794" s="21">
        <v>42070</v>
      </c>
      <c r="B1794" s="22" t="s">
        <v>36</v>
      </c>
      <c r="C1794" s="22">
        <v>564.375</v>
      </c>
      <c r="D1794" s="22" t="s">
        <v>39</v>
      </c>
      <c r="E1794" t="str">
        <f t="shared" ref="E1794:E1857" si="30">YEAR(A1794)&amp;"年"</f>
        <v>2015年</v>
      </c>
    </row>
    <row r="1795" spans="1:5" x14ac:dyDescent="0.15">
      <c r="A1795" s="21">
        <v>42070</v>
      </c>
      <c r="B1795" s="22" t="s">
        <v>42</v>
      </c>
      <c r="C1795" s="22">
        <v>161.49999886751175</v>
      </c>
      <c r="D1795" s="22" t="s">
        <v>39</v>
      </c>
      <c r="E1795" t="str">
        <f t="shared" si="30"/>
        <v>2015年</v>
      </c>
    </row>
    <row r="1796" spans="1:5" x14ac:dyDescent="0.15">
      <c r="A1796" s="21">
        <v>42070</v>
      </c>
      <c r="B1796" s="22" t="s">
        <v>42</v>
      </c>
      <c r="C1796" s="22">
        <v>475.99999666213989</v>
      </c>
      <c r="D1796" s="22" t="s">
        <v>39</v>
      </c>
      <c r="E1796" t="str">
        <f t="shared" si="30"/>
        <v>2015年</v>
      </c>
    </row>
    <row r="1797" spans="1:5" x14ac:dyDescent="0.15">
      <c r="A1797" s="21">
        <v>42071</v>
      </c>
      <c r="B1797" s="22" t="s">
        <v>37</v>
      </c>
      <c r="C1797" s="22">
        <v>240</v>
      </c>
      <c r="D1797" s="22" t="s">
        <v>39</v>
      </c>
      <c r="E1797" t="str">
        <f t="shared" si="30"/>
        <v>2015年</v>
      </c>
    </row>
    <row r="1798" spans="1:5" x14ac:dyDescent="0.15">
      <c r="A1798" s="21">
        <v>42071</v>
      </c>
      <c r="B1798" s="22" t="s">
        <v>38</v>
      </c>
      <c r="C1798" s="22">
        <v>120</v>
      </c>
      <c r="D1798" s="22" t="s">
        <v>39</v>
      </c>
      <c r="E1798" t="str">
        <f t="shared" si="30"/>
        <v>2015年</v>
      </c>
    </row>
    <row r="1799" spans="1:5" x14ac:dyDescent="0.15">
      <c r="A1799" s="21">
        <v>42071</v>
      </c>
      <c r="B1799" s="22" t="s">
        <v>36</v>
      </c>
      <c r="C1799" s="22">
        <v>412.5</v>
      </c>
      <c r="D1799" s="22" t="s">
        <v>34</v>
      </c>
      <c r="E1799" t="str">
        <f t="shared" si="30"/>
        <v>2015年</v>
      </c>
    </row>
    <row r="1800" spans="1:5" x14ac:dyDescent="0.15">
      <c r="A1800" s="21">
        <v>42071</v>
      </c>
      <c r="B1800" s="22" t="s">
        <v>41</v>
      </c>
      <c r="C1800" s="22">
        <v>1109.25</v>
      </c>
      <c r="D1800" s="22" t="s">
        <v>34</v>
      </c>
      <c r="E1800" t="str">
        <f t="shared" si="30"/>
        <v>2015年</v>
      </c>
    </row>
    <row r="1801" spans="1:5" x14ac:dyDescent="0.15">
      <c r="A1801" s="21">
        <v>42071</v>
      </c>
      <c r="B1801" s="22" t="s">
        <v>41</v>
      </c>
      <c r="C1801" s="22">
        <v>750</v>
      </c>
      <c r="D1801" s="22" t="s">
        <v>34</v>
      </c>
      <c r="E1801" t="str">
        <f t="shared" si="30"/>
        <v>2015年</v>
      </c>
    </row>
    <row r="1802" spans="1:5" x14ac:dyDescent="0.15">
      <c r="A1802" s="21">
        <v>42071</v>
      </c>
      <c r="B1802" s="22" t="s">
        <v>36</v>
      </c>
      <c r="C1802" s="22">
        <v>1740</v>
      </c>
      <c r="D1802" s="22" t="s">
        <v>34</v>
      </c>
      <c r="E1802" t="str">
        <f t="shared" si="30"/>
        <v>2015年</v>
      </c>
    </row>
    <row r="1803" spans="1:5" x14ac:dyDescent="0.15">
      <c r="A1803" s="21">
        <v>42071</v>
      </c>
      <c r="B1803" s="22" t="s">
        <v>41</v>
      </c>
      <c r="C1803" s="22">
        <v>560</v>
      </c>
      <c r="D1803" s="22" t="s">
        <v>34</v>
      </c>
      <c r="E1803" t="str">
        <f t="shared" si="30"/>
        <v>2015年</v>
      </c>
    </row>
    <row r="1804" spans="1:5" x14ac:dyDescent="0.15">
      <c r="A1804" s="21">
        <v>42071</v>
      </c>
      <c r="B1804" s="22" t="s">
        <v>38</v>
      </c>
      <c r="C1804" s="22">
        <v>90</v>
      </c>
      <c r="D1804" s="22" t="s">
        <v>39</v>
      </c>
      <c r="E1804" t="str">
        <f t="shared" si="30"/>
        <v>2015年</v>
      </c>
    </row>
    <row r="1805" spans="1:5" x14ac:dyDescent="0.15">
      <c r="A1805" s="21">
        <v>42071</v>
      </c>
      <c r="B1805" s="22" t="s">
        <v>35</v>
      </c>
      <c r="C1805" s="22">
        <v>441</v>
      </c>
      <c r="D1805" s="22" t="s">
        <v>39</v>
      </c>
      <c r="E1805" t="str">
        <f t="shared" si="30"/>
        <v>2015年</v>
      </c>
    </row>
    <row r="1806" spans="1:5" x14ac:dyDescent="0.15">
      <c r="A1806" s="21">
        <v>42071</v>
      </c>
      <c r="B1806" s="22" t="s">
        <v>38</v>
      </c>
      <c r="C1806" s="22">
        <v>180</v>
      </c>
      <c r="D1806" s="22" t="s">
        <v>39</v>
      </c>
      <c r="E1806" t="str">
        <f t="shared" si="30"/>
        <v>2015年</v>
      </c>
    </row>
    <row r="1807" spans="1:5" x14ac:dyDescent="0.15">
      <c r="A1807" s="21">
        <v>42072</v>
      </c>
      <c r="B1807" s="22" t="s">
        <v>36</v>
      </c>
      <c r="C1807" s="22">
        <v>78.75</v>
      </c>
      <c r="D1807" s="22" t="s">
        <v>34</v>
      </c>
      <c r="E1807" t="str">
        <f t="shared" si="30"/>
        <v>2015年</v>
      </c>
    </row>
    <row r="1808" spans="1:5" x14ac:dyDescent="0.15">
      <c r="A1808" s="21">
        <v>42072</v>
      </c>
      <c r="B1808" s="22" t="s">
        <v>40</v>
      </c>
      <c r="C1808" s="22">
        <v>262.57499999999999</v>
      </c>
      <c r="D1808" s="22" t="s">
        <v>34</v>
      </c>
      <c r="E1808" t="str">
        <f t="shared" si="30"/>
        <v>2015年</v>
      </c>
    </row>
    <row r="1809" spans="1:5" x14ac:dyDescent="0.15">
      <c r="A1809" s="21">
        <v>42072</v>
      </c>
      <c r="B1809" s="22" t="s">
        <v>35</v>
      </c>
      <c r="C1809" s="22">
        <v>684</v>
      </c>
      <c r="D1809" s="22" t="s">
        <v>34</v>
      </c>
      <c r="E1809" t="str">
        <f t="shared" si="30"/>
        <v>2015年</v>
      </c>
    </row>
    <row r="1810" spans="1:5" x14ac:dyDescent="0.15">
      <c r="A1810" s="21">
        <v>42072</v>
      </c>
      <c r="B1810" s="22" t="s">
        <v>38</v>
      </c>
      <c r="C1810" s="22">
        <v>120</v>
      </c>
      <c r="D1810" s="22" t="s">
        <v>39</v>
      </c>
      <c r="E1810" t="str">
        <f t="shared" si="30"/>
        <v>2015年</v>
      </c>
    </row>
    <row r="1811" spans="1:5" x14ac:dyDescent="0.15">
      <c r="A1811" s="21">
        <v>42072</v>
      </c>
      <c r="B1811" s="22" t="s">
        <v>36</v>
      </c>
      <c r="C1811" s="22">
        <v>125</v>
      </c>
      <c r="D1811" s="22" t="s">
        <v>39</v>
      </c>
      <c r="E1811" t="str">
        <f t="shared" si="30"/>
        <v>2015年</v>
      </c>
    </row>
    <row r="1812" spans="1:5" x14ac:dyDescent="0.15">
      <c r="A1812" s="21">
        <v>42072</v>
      </c>
      <c r="B1812" s="22" t="s">
        <v>38</v>
      </c>
      <c r="C1812" s="22">
        <v>775</v>
      </c>
      <c r="D1812" s="22" t="s">
        <v>39</v>
      </c>
      <c r="E1812" t="str">
        <f t="shared" si="30"/>
        <v>2015年</v>
      </c>
    </row>
    <row r="1813" spans="1:5" x14ac:dyDescent="0.15">
      <c r="A1813" s="21">
        <v>42072</v>
      </c>
      <c r="B1813" s="22" t="s">
        <v>42</v>
      </c>
      <c r="C1813" s="22">
        <v>112.5</v>
      </c>
      <c r="D1813" s="22" t="s">
        <v>39</v>
      </c>
      <c r="E1813" t="str">
        <f t="shared" si="30"/>
        <v>2015年</v>
      </c>
    </row>
    <row r="1814" spans="1:5" x14ac:dyDescent="0.15">
      <c r="A1814" s="21">
        <v>42072</v>
      </c>
      <c r="B1814" s="22" t="s">
        <v>40</v>
      </c>
      <c r="C1814" s="22">
        <v>520</v>
      </c>
      <c r="D1814" s="22" t="s">
        <v>39</v>
      </c>
      <c r="E1814" t="str">
        <f t="shared" si="30"/>
        <v>2015年</v>
      </c>
    </row>
    <row r="1815" spans="1:5" x14ac:dyDescent="0.15">
      <c r="A1815" s="21">
        <v>42073</v>
      </c>
      <c r="B1815" s="22" t="s">
        <v>36</v>
      </c>
      <c r="C1815" s="22">
        <v>220</v>
      </c>
      <c r="D1815" s="22" t="s">
        <v>39</v>
      </c>
      <c r="E1815" t="str">
        <f t="shared" si="30"/>
        <v>2015年</v>
      </c>
    </row>
    <row r="1816" spans="1:5" x14ac:dyDescent="0.15">
      <c r="A1816" s="21">
        <v>42073</v>
      </c>
      <c r="B1816" s="22" t="s">
        <v>41</v>
      </c>
      <c r="C1816" s="22">
        <v>146.25</v>
      </c>
      <c r="D1816" s="22" t="s">
        <v>39</v>
      </c>
      <c r="E1816" t="str">
        <f t="shared" si="30"/>
        <v>2015年</v>
      </c>
    </row>
    <row r="1817" spans="1:5" x14ac:dyDescent="0.15">
      <c r="A1817" s="21">
        <v>42073</v>
      </c>
      <c r="B1817" s="22" t="s">
        <v>37</v>
      </c>
      <c r="C1817" s="22">
        <v>2120</v>
      </c>
      <c r="D1817" s="22" t="s">
        <v>39</v>
      </c>
      <c r="E1817" t="str">
        <f t="shared" si="30"/>
        <v>2015年</v>
      </c>
    </row>
    <row r="1818" spans="1:5" x14ac:dyDescent="0.15">
      <c r="A1818" s="21">
        <v>42073</v>
      </c>
      <c r="B1818" s="22" t="s">
        <v>33</v>
      </c>
      <c r="C1818" s="22">
        <v>96</v>
      </c>
      <c r="D1818" s="22" t="s">
        <v>39</v>
      </c>
      <c r="E1818" t="str">
        <f t="shared" si="30"/>
        <v>2015年</v>
      </c>
    </row>
    <row r="1819" spans="1:5" x14ac:dyDescent="0.15">
      <c r="A1819" s="21">
        <v>42073</v>
      </c>
      <c r="B1819" s="22" t="s">
        <v>40</v>
      </c>
      <c r="C1819" s="22">
        <v>300</v>
      </c>
      <c r="D1819" s="22" t="s">
        <v>39</v>
      </c>
      <c r="E1819" t="str">
        <f t="shared" si="30"/>
        <v>2015年</v>
      </c>
    </row>
    <row r="1820" spans="1:5" x14ac:dyDescent="0.15">
      <c r="A1820" s="21">
        <v>42073</v>
      </c>
      <c r="B1820" s="22" t="s">
        <v>38</v>
      </c>
      <c r="C1820" s="22">
        <v>930</v>
      </c>
      <c r="D1820" s="22" t="s">
        <v>39</v>
      </c>
      <c r="E1820" t="str">
        <f t="shared" si="30"/>
        <v>2015年</v>
      </c>
    </row>
    <row r="1821" spans="1:5" x14ac:dyDescent="0.15">
      <c r="A1821" s="21">
        <v>42073</v>
      </c>
      <c r="B1821" s="22" t="s">
        <v>33</v>
      </c>
      <c r="C1821" s="22">
        <v>234</v>
      </c>
      <c r="D1821" s="22" t="s">
        <v>39</v>
      </c>
      <c r="E1821" t="str">
        <f t="shared" si="30"/>
        <v>2015年</v>
      </c>
    </row>
    <row r="1822" spans="1:5" x14ac:dyDescent="0.15">
      <c r="A1822" s="21">
        <v>42073</v>
      </c>
      <c r="B1822" s="22" t="s">
        <v>41</v>
      </c>
      <c r="C1822" s="22">
        <v>2958</v>
      </c>
      <c r="D1822" s="22" t="s">
        <v>39</v>
      </c>
      <c r="E1822" t="str">
        <f t="shared" si="30"/>
        <v>2015年</v>
      </c>
    </row>
    <row r="1823" spans="1:5" x14ac:dyDescent="0.15">
      <c r="A1823" s="21">
        <v>42076</v>
      </c>
      <c r="B1823" s="22" t="s">
        <v>40</v>
      </c>
      <c r="C1823" s="22">
        <v>110</v>
      </c>
      <c r="D1823" s="22" t="s">
        <v>39</v>
      </c>
      <c r="E1823" t="str">
        <f t="shared" si="30"/>
        <v>2015年</v>
      </c>
    </row>
    <row r="1824" spans="1:5" x14ac:dyDescent="0.15">
      <c r="A1824" s="21">
        <v>42076</v>
      </c>
      <c r="B1824" s="22" t="s">
        <v>36</v>
      </c>
      <c r="C1824" s="22">
        <v>35.624999972060323</v>
      </c>
      <c r="D1824" s="22" t="s">
        <v>34</v>
      </c>
      <c r="E1824" t="str">
        <f t="shared" si="30"/>
        <v>2015年</v>
      </c>
    </row>
    <row r="1825" spans="1:5" x14ac:dyDescent="0.15">
      <c r="A1825" s="21">
        <v>42076</v>
      </c>
      <c r="B1825" s="22" t="s">
        <v>38</v>
      </c>
      <c r="C1825" s="22">
        <v>55.004999956861141</v>
      </c>
      <c r="D1825" s="22" t="s">
        <v>34</v>
      </c>
      <c r="E1825" t="str">
        <f t="shared" si="30"/>
        <v>2015年</v>
      </c>
    </row>
    <row r="1826" spans="1:5" x14ac:dyDescent="0.15">
      <c r="A1826" s="21">
        <v>42076</v>
      </c>
      <c r="B1826" s="22" t="s">
        <v>42</v>
      </c>
      <c r="C1826" s="22">
        <v>368.12499971129</v>
      </c>
      <c r="D1826" s="22" t="s">
        <v>34</v>
      </c>
      <c r="E1826" t="str">
        <f t="shared" si="30"/>
        <v>2015年</v>
      </c>
    </row>
    <row r="1827" spans="1:5" x14ac:dyDescent="0.15">
      <c r="A1827" s="21">
        <v>42076</v>
      </c>
      <c r="B1827" s="22" t="s">
        <v>40</v>
      </c>
      <c r="C1827" s="22">
        <v>379.99999970197678</v>
      </c>
      <c r="D1827" s="22" t="s">
        <v>39</v>
      </c>
      <c r="E1827" t="str">
        <f t="shared" si="30"/>
        <v>2015年</v>
      </c>
    </row>
    <row r="1828" spans="1:5" x14ac:dyDescent="0.15">
      <c r="A1828" s="21">
        <v>42076</v>
      </c>
      <c r="B1828" s="22" t="s">
        <v>37</v>
      </c>
      <c r="C1828" s="22">
        <v>91.2</v>
      </c>
      <c r="D1828" s="22" t="s">
        <v>39</v>
      </c>
      <c r="E1828" t="str">
        <f t="shared" si="30"/>
        <v>2015年</v>
      </c>
    </row>
    <row r="1829" spans="1:5" x14ac:dyDescent="0.15">
      <c r="A1829" s="21">
        <v>42076</v>
      </c>
      <c r="B1829" s="22" t="s">
        <v>41</v>
      </c>
      <c r="C1829" s="22">
        <v>3847.4999969825149</v>
      </c>
      <c r="D1829" s="22" t="s">
        <v>34</v>
      </c>
      <c r="E1829" t="str">
        <f t="shared" si="30"/>
        <v>2015年</v>
      </c>
    </row>
    <row r="1830" spans="1:5" x14ac:dyDescent="0.15">
      <c r="A1830" s="21">
        <v>42076</v>
      </c>
      <c r="B1830" s="22" t="s">
        <v>36</v>
      </c>
      <c r="C1830" s="22">
        <v>593.74999953433871</v>
      </c>
      <c r="D1830" s="22" t="s">
        <v>34</v>
      </c>
      <c r="E1830" t="str">
        <f t="shared" si="30"/>
        <v>2015年</v>
      </c>
    </row>
    <row r="1831" spans="1:5" x14ac:dyDescent="0.15">
      <c r="A1831" s="21">
        <v>42077</v>
      </c>
      <c r="B1831" s="22" t="s">
        <v>41</v>
      </c>
      <c r="C1831" s="22">
        <v>415.30999708771708</v>
      </c>
      <c r="D1831" s="22" t="s">
        <v>34</v>
      </c>
      <c r="E1831" t="str">
        <f t="shared" si="30"/>
        <v>2015年</v>
      </c>
    </row>
    <row r="1832" spans="1:5" x14ac:dyDescent="0.15">
      <c r="A1832" s="21">
        <v>42077</v>
      </c>
      <c r="B1832" s="22" t="s">
        <v>36</v>
      </c>
      <c r="C1832" s="22">
        <v>265.62499813735485</v>
      </c>
      <c r="D1832" s="22" t="s">
        <v>34</v>
      </c>
      <c r="E1832" t="str">
        <f t="shared" si="30"/>
        <v>2015年</v>
      </c>
    </row>
    <row r="1833" spans="1:5" x14ac:dyDescent="0.15">
      <c r="A1833" s="21">
        <v>42077</v>
      </c>
      <c r="B1833" s="22" t="s">
        <v>38</v>
      </c>
      <c r="C1833" s="22">
        <v>285</v>
      </c>
      <c r="D1833" s="22" t="s">
        <v>34</v>
      </c>
      <c r="E1833" t="str">
        <f t="shared" si="30"/>
        <v>2015年</v>
      </c>
    </row>
    <row r="1834" spans="1:5" x14ac:dyDescent="0.15">
      <c r="A1834" s="21">
        <v>42077</v>
      </c>
      <c r="B1834" s="22" t="s">
        <v>36</v>
      </c>
      <c r="C1834" s="22">
        <v>693.59999513626099</v>
      </c>
      <c r="D1834" s="22" t="s">
        <v>34</v>
      </c>
      <c r="E1834" t="str">
        <f t="shared" si="30"/>
        <v>2015年</v>
      </c>
    </row>
    <row r="1835" spans="1:5" x14ac:dyDescent="0.15">
      <c r="A1835" s="21">
        <v>42077</v>
      </c>
      <c r="B1835" s="22" t="s">
        <v>42</v>
      </c>
      <c r="C1835" s="22">
        <v>74.399999722838402</v>
      </c>
      <c r="D1835" s="22" t="s">
        <v>39</v>
      </c>
      <c r="E1835" t="str">
        <f t="shared" si="30"/>
        <v>2015年</v>
      </c>
    </row>
    <row r="1836" spans="1:5" x14ac:dyDescent="0.15">
      <c r="A1836" s="21">
        <v>42077</v>
      </c>
      <c r="B1836" s="22" t="s">
        <v>41</v>
      </c>
      <c r="C1836" s="22">
        <v>120</v>
      </c>
      <c r="D1836" s="22" t="s">
        <v>34</v>
      </c>
      <c r="E1836" t="str">
        <f t="shared" si="30"/>
        <v>2015年</v>
      </c>
    </row>
    <row r="1837" spans="1:5" x14ac:dyDescent="0.15">
      <c r="A1837" s="21">
        <v>42077</v>
      </c>
      <c r="B1837" s="22" t="s">
        <v>41</v>
      </c>
      <c r="C1837" s="22">
        <v>133</v>
      </c>
      <c r="D1837" s="22" t="s">
        <v>34</v>
      </c>
      <c r="E1837" t="str">
        <f t="shared" si="30"/>
        <v>2015年</v>
      </c>
    </row>
    <row r="1838" spans="1:5" x14ac:dyDescent="0.15">
      <c r="A1838" s="21">
        <v>42077</v>
      </c>
      <c r="B1838" s="22" t="s">
        <v>37</v>
      </c>
      <c r="C1838" s="22">
        <v>424</v>
      </c>
      <c r="D1838" s="22" t="s">
        <v>34</v>
      </c>
      <c r="E1838" t="str">
        <f t="shared" si="30"/>
        <v>2015年</v>
      </c>
    </row>
    <row r="1839" spans="1:5" x14ac:dyDescent="0.15">
      <c r="A1839" s="21">
        <v>42078</v>
      </c>
      <c r="B1839" s="22" t="s">
        <v>38</v>
      </c>
      <c r="C1839" s="22">
        <v>776.7</v>
      </c>
      <c r="D1839" s="22" t="s">
        <v>39</v>
      </c>
      <c r="E1839" t="str">
        <f t="shared" si="30"/>
        <v>2015年</v>
      </c>
    </row>
    <row r="1840" spans="1:5" x14ac:dyDescent="0.15">
      <c r="A1840" s="21">
        <v>42078</v>
      </c>
      <c r="B1840" s="22" t="s">
        <v>42</v>
      </c>
      <c r="C1840" s="22">
        <v>720</v>
      </c>
      <c r="D1840" s="22" t="s">
        <v>39</v>
      </c>
      <c r="E1840" t="str">
        <f t="shared" si="30"/>
        <v>2015年</v>
      </c>
    </row>
    <row r="1841" spans="1:5" x14ac:dyDescent="0.15">
      <c r="A1841" s="21">
        <v>42078</v>
      </c>
      <c r="B1841" s="22" t="s">
        <v>35</v>
      </c>
      <c r="C1841" s="22">
        <v>266</v>
      </c>
      <c r="D1841" s="22" t="s">
        <v>39</v>
      </c>
      <c r="E1841" t="str">
        <f t="shared" si="30"/>
        <v>2015年</v>
      </c>
    </row>
    <row r="1842" spans="1:5" x14ac:dyDescent="0.15">
      <c r="A1842" s="21">
        <v>42078</v>
      </c>
      <c r="B1842" s="22" t="s">
        <v>40</v>
      </c>
      <c r="C1842" s="22">
        <v>427</v>
      </c>
      <c r="D1842" s="22" t="s">
        <v>34</v>
      </c>
      <c r="E1842" t="str">
        <f t="shared" si="30"/>
        <v>2015年</v>
      </c>
    </row>
    <row r="1843" spans="1:5" x14ac:dyDescent="0.15">
      <c r="A1843" s="21">
        <v>42078</v>
      </c>
      <c r="B1843" s="22" t="s">
        <v>37</v>
      </c>
      <c r="C1843" s="22">
        <v>180</v>
      </c>
      <c r="D1843" s="22" t="s">
        <v>34</v>
      </c>
      <c r="E1843" t="str">
        <f t="shared" si="30"/>
        <v>2015年</v>
      </c>
    </row>
    <row r="1844" spans="1:5" x14ac:dyDescent="0.15">
      <c r="A1844" s="21">
        <v>42078</v>
      </c>
      <c r="B1844" s="22" t="s">
        <v>36</v>
      </c>
      <c r="C1844" s="22">
        <v>174</v>
      </c>
      <c r="D1844" s="22" t="s">
        <v>34</v>
      </c>
      <c r="E1844" t="str">
        <f t="shared" si="30"/>
        <v>2015年</v>
      </c>
    </row>
    <row r="1845" spans="1:5" x14ac:dyDescent="0.15">
      <c r="A1845" s="21">
        <v>42078</v>
      </c>
      <c r="B1845" s="22" t="s">
        <v>42</v>
      </c>
      <c r="C1845" s="22">
        <v>131.74999907612801</v>
      </c>
      <c r="D1845" s="22" t="s">
        <v>34</v>
      </c>
      <c r="E1845" t="str">
        <f t="shared" si="30"/>
        <v>2015年</v>
      </c>
    </row>
    <row r="1846" spans="1:5" x14ac:dyDescent="0.15">
      <c r="A1846" s="21">
        <v>42079</v>
      </c>
      <c r="B1846" s="22" t="s">
        <v>42</v>
      </c>
      <c r="C1846" s="22">
        <v>33.75</v>
      </c>
      <c r="D1846" s="22" t="s">
        <v>39</v>
      </c>
      <c r="E1846" t="str">
        <f t="shared" si="30"/>
        <v>2015年</v>
      </c>
    </row>
    <row r="1847" spans="1:5" x14ac:dyDescent="0.15">
      <c r="A1847" s="21">
        <v>42079</v>
      </c>
      <c r="B1847" s="22" t="s">
        <v>38</v>
      </c>
      <c r="C1847" s="22">
        <v>231.6</v>
      </c>
      <c r="D1847" s="22" t="s">
        <v>39</v>
      </c>
      <c r="E1847" t="str">
        <f t="shared" si="30"/>
        <v>2015年</v>
      </c>
    </row>
    <row r="1848" spans="1:5" x14ac:dyDescent="0.15">
      <c r="A1848" s="21">
        <v>42079</v>
      </c>
      <c r="B1848" s="22" t="s">
        <v>35</v>
      </c>
      <c r="C1848" s="22">
        <v>39.899999968707561</v>
      </c>
      <c r="D1848" s="22" t="s">
        <v>39</v>
      </c>
      <c r="E1848" t="str">
        <f t="shared" si="30"/>
        <v>2015年</v>
      </c>
    </row>
    <row r="1849" spans="1:5" x14ac:dyDescent="0.15">
      <c r="A1849" s="21">
        <v>42079</v>
      </c>
      <c r="B1849" s="22" t="s">
        <v>42</v>
      </c>
      <c r="C1849" s="22">
        <v>1080</v>
      </c>
      <c r="D1849" s="22" t="s">
        <v>39</v>
      </c>
      <c r="E1849" t="str">
        <f t="shared" si="30"/>
        <v>2015年</v>
      </c>
    </row>
    <row r="1850" spans="1:5" x14ac:dyDescent="0.15">
      <c r="A1850" s="21">
        <v>42079</v>
      </c>
      <c r="B1850" s="22" t="s">
        <v>37</v>
      </c>
      <c r="C1850" s="22">
        <v>1350</v>
      </c>
      <c r="D1850" s="22" t="s">
        <v>39</v>
      </c>
      <c r="E1850" t="str">
        <f t="shared" si="30"/>
        <v>2015年</v>
      </c>
    </row>
    <row r="1851" spans="1:5" x14ac:dyDescent="0.15">
      <c r="A1851" s="21">
        <v>42079</v>
      </c>
      <c r="B1851" s="22" t="s">
        <v>38</v>
      </c>
      <c r="C1851" s="22">
        <v>462</v>
      </c>
      <c r="D1851" s="22" t="s">
        <v>39</v>
      </c>
      <c r="E1851" t="str">
        <f t="shared" si="30"/>
        <v>2015年</v>
      </c>
    </row>
    <row r="1852" spans="1:5" x14ac:dyDescent="0.15">
      <c r="A1852" s="21">
        <v>42079</v>
      </c>
      <c r="B1852" s="22" t="s">
        <v>33</v>
      </c>
      <c r="C1852" s="22">
        <v>656</v>
      </c>
      <c r="D1852" s="22" t="s">
        <v>39</v>
      </c>
      <c r="E1852" t="str">
        <f t="shared" si="30"/>
        <v>2015年</v>
      </c>
    </row>
    <row r="1853" spans="1:5" x14ac:dyDescent="0.15">
      <c r="A1853" s="21">
        <v>42079</v>
      </c>
      <c r="B1853" s="22" t="s">
        <v>36</v>
      </c>
      <c r="C1853" s="22">
        <v>324</v>
      </c>
      <c r="D1853" s="22" t="s">
        <v>39</v>
      </c>
      <c r="E1853" t="str">
        <f t="shared" si="30"/>
        <v>2015年</v>
      </c>
    </row>
    <row r="1854" spans="1:5" x14ac:dyDescent="0.15">
      <c r="A1854" s="21">
        <v>42079</v>
      </c>
      <c r="B1854" s="22" t="s">
        <v>42</v>
      </c>
      <c r="C1854" s="22">
        <v>792</v>
      </c>
      <c r="D1854" s="22" t="s">
        <v>39</v>
      </c>
      <c r="E1854" t="str">
        <f t="shared" si="30"/>
        <v>2015年</v>
      </c>
    </row>
    <row r="1855" spans="1:5" x14ac:dyDescent="0.15">
      <c r="A1855" s="21">
        <v>42079</v>
      </c>
      <c r="B1855" s="22" t="s">
        <v>36</v>
      </c>
      <c r="C1855" s="22">
        <v>57.799999594688416</v>
      </c>
      <c r="D1855" s="22" t="s">
        <v>34</v>
      </c>
      <c r="E1855" t="str">
        <f t="shared" si="30"/>
        <v>2015年</v>
      </c>
    </row>
    <row r="1856" spans="1:5" x14ac:dyDescent="0.15">
      <c r="A1856" s="21">
        <v>42080</v>
      </c>
      <c r="B1856" s="22" t="s">
        <v>38</v>
      </c>
      <c r="C1856" s="22">
        <v>375</v>
      </c>
      <c r="D1856" s="22" t="s">
        <v>39</v>
      </c>
      <c r="E1856" t="str">
        <f t="shared" si="30"/>
        <v>2015年</v>
      </c>
    </row>
    <row r="1857" spans="1:5" x14ac:dyDescent="0.15">
      <c r="A1857" s="21">
        <v>42080</v>
      </c>
      <c r="B1857" s="22" t="s">
        <v>42</v>
      </c>
      <c r="C1857" s="22">
        <v>1317.5</v>
      </c>
      <c r="D1857" s="22" t="s">
        <v>39</v>
      </c>
      <c r="E1857" t="str">
        <f t="shared" si="30"/>
        <v>2015年</v>
      </c>
    </row>
    <row r="1858" spans="1:5" x14ac:dyDescent="0.15">
      <c r="A1858" s="21">
        <v>42080</v>
      </c>
      <c r="B1858" s="22" t="s">
        <v>36</v>
      </c>
      <c r="C1858" s="22">
        <v>360</v>
      </c>
      <c r="D1858" s="22" t="s">
        <v>39</v>
      </c>
      <c r="E1858" t="str">
        <f t="shared" ref="E1858:E1921" si="31">YEAR(A1858)&amp;"年"</f>
        <v>2015年</v>
      </c>
    </row>
    <row r="1859" spans="1:5" x14ac:dyDescent="0.15">
      <c r="A1859" s="21">
        <v>42080</v>
      </c>
      <c r="B1859" s="22" t="s">
        <v>37</v>
      </c>
      <c r="C1859" s="22">
        <v>848</v>
      </c>
      <c r="D1859" s="22" t="s">
        <v>34</v>
      </c>
      <c r="E1859" t="str">
        <f t="shared" si="31"/>
        <v>2015年</v>
      </c>
    </row>
    <row r="1860" spans="1:5" x14ac:dyDescent="0.15">
      <c r="A1860" s="21">
        <v>42080</v>
      </c>
      <c r="B1860" s="22" t="s">
        <v>38</v>
      </c>
      <c r="C1860" s="22">
        <v>208</v>
      </c>
      <c r="D1860" s="22" t="s">
        <v>39</v>
      </c>
      <c r="E1860" t="str">
        <f t="shared" si="31"/>
        <v>2015年</v>
      </c>
    </row>
    <row r="1861" spans="1:5" x14ac:dyDescent="0.15">
      <c r="A1861" s="21">
        <v>42080</v>
      </c>
      <c r="B1861" s="22" t="s">
        <v>35</v>
      </c>
      <c r="C1861" s="22">
        <v>387.5999972820282</v>
      </c>
      <c r="D1861" s="22" t="s">
        <v>39</v>
      </c>
      <c r="E1861" t="str">
        <f t="shared" si="31"/>
        <v>2015年</v>
      </c>
    </row>
    <row r="1862" spans="1:5" x14ac:dyDescent="0.15">
      <c r="A1862" s="21">
        <v>42080</v>
      </c>
      <c r="B1862" s="22" t="s">
        <v>41</v>
      </c>
      <c r="C1862" s="22">
        <v>502.85999647378924</v>
      </c>
      <c r="D1862" s="22" t="s">
        <v>39</v>
      </c>
      <c r="E1862" t="str">
        <f t="shared" si="31"/>
        <v>2015年</v>
      </c>
    </row>
    <row r="1863" spans="1:5" x14ac:dyDescent="0.15">
      <c r="A1863" s="21">
        <v>42083</v>
      </c>
      <c r="B1863" s="22" t="s">
        <v>41</v>
      </c>
      <c r="C1863" s="22">
        <v>110.4</v>
      </c>
      <c r="D1863" s="22" t="s">
        <v>39</v>
      </c>
      <c r="E1863" t="str">
        <f t="shared" si="31"/>
        <v>2015年</v>
      </c>
    </row>
    <row r="1864" spans="1:5" x14ac:dyDescent="0.15">
      <c r="A1864" s="21">
        <v>42083</v>
      </c>
      <c r="B1864" s="22" t="s">
        <v>41</v>
      </c>
      <c r="C1864" s="22">
        <v>800</v>
      </c>
      <c r="D1864" s="22" t="s">
        <v>39</v>
      </c>
      <c r="E1864" t="str">
        <f t="shared" si="31"/>
        <v>2015年</v>
      </c>
    </row>
    <row r="1865" spans="1:5" x14ac:dyDescent="0.15">
      <c r="A1865" s="21">
        <v>42083</v>
      </c>
      <c r="B1865" s="22" t="s">
        <v>36</v>
      </c>
      <c r="C1865" s="22">
        <v>1140</v>
      </c>
      <c r="D1865" s="22" t="s">
        <v>39</v>
      </c>
      <c r="E1865" t="str">
        <f t="shared" si="31"/>
        <v>2015年</v>
      </c>
    </row>
    <row r="1866" spans="1:5" x14ac:dyDescent="0.15">
      <c r="A1866" s="21">
        <v>42083</v>
      </c>
      <c r="B1866" s="22" t="s">
        <v>42</v>
      </c>
      <c r="C1866" s="22">
        <v>135</v>
      </c>
      <c r="D1866" s="22" t="s">
        <v>39</v>
      </c>
      <c r="E1866" t="str">
        <f t="shared" si="31"/>
        <v>2015年</v>
      </c>
    </row>
    <row r="1867" spans="1:5" x14ac:dyDescent="0.15">
      <c r="A1867" s="21">
        <v>42083</v>
      </c>
      <c r="B1867" s="22" t="s">
        <v>35</v>
      </c>
      <c r="C1867" s="22">
        <v>133</v>
      </c>
      <c r="D1867" s="22" t="s">
        <v>39</v>
      </c>
      <c r="E1867" t="str">
        <f t="shared" si="31"/>
        <v>2015年</v>
      </c>
    </row>
    <row r="1868" spans="1:5" x14ac:dyDescent="0.15">
      <c r="A1868" s="21">
        <v>42083</v>
      </c>
      <c r="B1868" s="22" t="s">
        <v>38</v>
      </c>
      <c r="C1868" s="22">
        <v>108</v>
      </c>
      <c r="D1868" s="22" t="s">
        <v>39</v>
      </c>
      <c r="E1868" t="str">
        <f t="shared" si="31"/>
        <v>2015年</v>
      </c>
    </row>
    <row r="1869" spans="1:5" x14ac:dyDescent="0.15">
      <c r="A1869" s="21">
        <v>42084</v>
      </c>
      <c r="B1869" s="22" t="s">
        <v>35</v>
      </c>
      <c r="C1869" s="22">
        <v>223.99999916553497</v>
      </c>
      <c r="D1869" s="22" t="s">
        <v>34</v>
      </c>
      <c r="E1869" t="str">
        <f t="shared" si="31"/>
        <v>2015年</v>
      </c>
    </row>
    <row r="1870" spans="1:5" x14ac:dyDescent="0.15">
      <c r="A1870" s="21">
        <v>42084</v>
      </c>
      <c r="B1870" s="22" t="s">
        <v>33</v>
      </c>
      <c r="C1870" s="22">
        <v>1733.06</v>
      </c>
      <c r="D1870" s="22" t="s">
        <v>39</v>
      </c>
      <c r="E1870" t="str">
        <f t="shared" si="31"/>
        <v>2015年</v>
      </c>
    </row>
    <row r="1871" spans="1:5" x14ac:dyDescent="0.15">
      <c r="A1871" s="21">
        <v>42084</v>
      </c>
      <c r="B1871" s="22" t="s">
        <v>33</v>
      </c>
      <c r="C1871" s="22">
        <v>234</v>
      </c>
      <c r="D1871" s="22" t="s">
        <v>39</v>
      </c>
      <c r="E1871" t="str">
        <f t="shared" si="31"/>
        <v>2015年</v>
      </c>
    </row>
    <row r="1872" spans="1:5" x14ac:dyDescent="0.15">
      <c r="A1872" s="21">
        <v>42084</v>
      </c>
      <c r="B1872" s="22" t="s">
        <v>36</v>
      </c>
      <c r="C1872" s="22">
        <v>17.5</v>
      </c>
      <c r="D1872" s="22" t="s">
        <v>39</v>
      </c>
      <c r="E1872" t="str">
        <f t="shared" si="31"/>
        <v>2015年</v>
      </c>
    </row>
    <row r="1873" spans="1:5" x14ac:dyDescent="0.15">
      <c r="A1873" s="21">
        <v>42084</v>
      </c>
      <c r="B1873" s="22" t="s">
        <v>41</v>
      </c>
      <c r="C1873" s="22">
        <v>156.15</v>
      </c>
      <c r="D1873" s="22" t="s">
        <v>34</v>
      </c>
      <c r="E1873" t="str">
        <f t="shared" si="31"/>
        <v>2015年</v>
      </c>
    </row>
    <row r="1874" spans="1:5" x14ac:dyDescent="0.15">
      <c r="A1874" s="21">
        <v>42084</v>
      </c>
      <c r="B1874" s="22" t="s">
        <v>38</v>
      </c>
      <c r="C1874" s="22">
        <v>57.9</v>
      </c>
      <c r="D1874" s="22" t="s">
        <v>34</v>
      </c>
      <c r="E1874" t="str">
        <f t="shared" si="31"/>
        <v>2015年</v>
      </c>
    </row>
    <row r="1875" spans="1:5" x14ac:dyDescent="0.15">
      <c r="A1875" s="21">
        <v>42084</v>
      </c>
      <c r="B1875" s="22" t="s">
        <v>42</v>
      </c>
      <c r="C1875" s="22">
        <v>77.5</v>
      </c>
      <c r="D1875" s="22" t="s">
        <v>34</v>
      </c>
      <c r="E1875" t="str">
        <f t="shared" si="31"/>
        <v>2015年</v>
      </c>
    </row>
    <row r="1876" spans="1:5" x14ac:dyDescent="0.15">
      <c r="A1876" s="21">
        <v>42085</v>
      </c>
      <c r="B1876" s="22" t="s">
        <v>40</v>
      </c>
      <c r="C1876" s="22">
        <v>439</v>
      </c>
      <c r="D1876" s="22" t="s">
        <v>39</v>
      </c>
      <c r="E1876" t="str">
        <f t="shared" si="31"/>
        <v>2015年</v>
      </c>
    </row>
    <row r="1877" spans="1:5" x14ac:dyDescent="0.15">
      <c r="A1877" s="21">
        <v>42085</v>
      </c>
      <c r="B1877" s="22" t="s">
        <v>40</v>
      </c>
      <c r="C1877" s="22">
        <v>640</v>
      </c>
      <c r="D1877" s="22" t="s">
        <v>39</v>
      </c>
      <c r="E1877" t="str">
        <f t="shared" si="31"/>
        <v>2015年</v>
      </c>
    </row>
    <row r="1878" spans="1:5" x14ac:dyDescent="0.15">
      <c r="A1878" s="21">
        <v>42085</v>
      </c>
      <c r="B1878" s="22" t="s">
        <v>42</v>
      </c>
      <c r="C1878" s="22">
        <v>77.5</v>
      </c>
      <c r="D1878" s="22" t="s">
        <v>39</v>
      </c>
      <c r="E1878" t="str">
        <f t="shared" si="31"/>
        <v>2015年</v>
      </c>
    </row>
    <row r="1879" spans="1:5" x14ac:dyDescent="0.15">
      <c r="A1879" s="21">
        <v>42085</v>
      </c>
      <c r="B1879" s="22" t="s">
        <v>37</v>
      </c>
      <c r="C1879" s="22">
        <v>912</v>
      </c>
      <c r="D1879" s="22" t="s">
        <v>39</v>
      </c>
      <c r="E1879" t="str">
        <f t="shared" si="31"/>
        <v>2015年</v>
      </c>
    </row>
    <row r="1880" spans="1:5" x14ac:dyDescent="0.15">
      <c r="A1880" s="21">
        <v>42086</v>
      </c>
      <c r="B1880" s="22" t="s">
        <v>42</v>
      </c>
      <c r="C1880" s="22">
        <v>540</v>
      </c>
      <c r="D1880" s="22" t="s">
        <v>39</v>
      </c>
      <c r="E1880" t="str">
        <f t="shared" si="31"/>
        <v>2015年</v>
      </c>
    </row>
    <row r="1881" spans="1:5" x14ac:dyDescent="0.15">
      <c r="A1881" s="21">
        <v>42086</v>
      </c>
      <c r="B1881" s="22" t="s">
        <v>41</v>
      </c>
      <c r="C1881" s="22">
        <v>285</v>
      </c>
      <c r="D1881" s="22" t="s">
        <v>39</v>
      </c>
      <c r="E1881" t="str">
        <f t="shared" si="31"/>
        <v>2015年</v>
      </c>
    </row>
    <row r="1882" spans="1:5" x14ac:dyDescent="0.15">
      <c r="A1882" s="21">
        <v>42086</v>
      </c>
      <c r="B1882" s="22" t="s">
        <v>37</v>
      </c>
      <c r="C1882" s="22">
        <v>530</v>
      </c>
      <c r="D1882" s="22" t="s">
        <v>39</v>
      </c>
      <c r="E1882" t="str">
        <f t="shared" si="31"/>
        <v>2015年</v>
      </c>
    </row>
    <row r="1883" spans="1:5" x14ac:dyDescent="0.15">
      <c r="A1883" s="21">
        <v>42086</v>
      </c>
      <c r="B1883" s="22" t="s">
        <v>40</v>
      </c>
      <c r="C1883" s="22">
        <v>878</v>
      </c>
      <c r="D1883" s="22" t="s">
        <v>39</v>
      </c>
      <c r="E1883" t="str">
        <f t="shared" si="31"/>
        <v>2015年</v>
      </c>
    </row>
    <row r="1884" spans="1:5" x14ac:dyDescent="0.15">
      <c r="A1884" s="21">
        <v>42086</v>
      </c>
      <c r="B1884" s="22" t="s">
        <v>40</v>
      </c>
      <c r="C1884" s="22">
        <v>679.99999523162842</v>
      </c>
      <c r="D1884" s="22" t="s">
        <v>34</v>
      </c>
      <c r="E1884" t="str">
        <f t="shared" si="31"/>
        <v>2015年</v>
      </c>
    </row>
    <row r="1885" spans="1:5" x14ac:dyDescent="0.15">
      <c r="A1885" s="21">
        <v>42086</v>
      </c>
      <c r="B1885" s="22" t="s">
        <v>41</v>
      </c>
      <c r="C1885" s="22">
        <v>339.99999761581421</v>
      </c>
      <c r="D1885" s="22" t="s">
        <v>34</v>
      </c>
      <c r="E1885" t="str">
        <f t="shared" si="31"/>
        <v>2015年</v>
      </c>
    </row>
    <row r="1886" spans="1:5" x14ac:dyDescent="0.15">
      <c r="A1886" s="21">
        <v>42086</v>
      </c>
      <c r="B1886" s="22" t="s">
        <v>38</v>
      </c>
      <c r="C1886" s="22">
        <v>184</v>
      </c>
      <c r="D1886" s="22" t="s">
        <v>34</v>
      </c>
      <c r="E1886" t="str">
        <f t="shared" si="31"/>
        <v>2015年</v>
      </c>
    </row>
    <row r="1887" spans="1:5" x14ac:dyDescent="0.15">
      <c r="A1887" s="21">
        <v>42086</v>
      </c>
      <c r="B1887" s="22" t="s">
        <v>40</v>
      </c>
      <c r="C1887" s="22">
        <v>99.194999304413798</v>
      </c>
      <c r="D1887" s="22" t="s">
        <v>34</v>
      </c>
      <c r="E1887" t="str">
        <f t="shared" si="31"/>
        <v>2015年</v>
      </c>
    </row>
    <row r="1888" spans="1:5" x14ac:dyDescent="0.15">
      <c r="A1888" s="21">
        <v>42086</v>
      </c>
      <c r="B1888" s="22" t="s">
        <v>37</v>
      </c>
      <c r="C1888" s="22">
        <v>540</v>
      </c>
      <c r="D1888" s="22" t="s">
        <v>39</v>
      </c>
      <c r="E1888" t="str">
        <f t="shared" si="31"/>
        <v>2015年</v>
      </c>
    </row>
    <row r="1889" spans="1:5" x14ac:dyDescent="0.15">
      <c r="A1889" s="21">
        <v>42086</v>
      </c>
      <c r="B1889" s="22" t="s">
        <v>36</v>
      </c>
      <c r="C1889" s="22">
        <v>760</v>
      </c>
      <c r="D1889" s="22" t="s">
        <v>39</v>
      </c>
      <c r="E1889" t="str">
        <f t="shared" si="31"/>
        <v>2015年</v>
      </c>
    </row>
    <row r="1890" spans="1:5" x14ac:dyDescent="0.15">
      <c r="A1890" s="21">
        <v>42086</v>
      </c>
      <c r="B1890" s="22" t="s">
        <v>42</v>
      </c>
      <c r="C1890" s="22">
        <v>360</v>
      </c>
      <c r="D1890" s="22" t="s">
        <v>39</v>
      </c>
      <c r="E1890" t="str">
        <f t="shared" si="31"/>
        <v>2015年</v>
      </c>
    </row>
    <row r="1891" spans="1:5" x14ac:dyDescent="0.15">
      <c r="A1891" s="21">
        <v>42086</v>
      </c>
      <c r="B1891" s="22" t="s">
        <v>41</v>
      </c>
      <c r="C1891" s="22">
        <v>1317</v>
      </c>
      <c r="D1891" s="22" t="s">
        <v>39</v>
      </c>
      <c r="E1891" t="str">
        <f t="shared" si="31"/>
        <v>2015年</v>
      </c>
    </row>
    <row r="1892" spans="1:5" x14ac:dyDescent="0.15">
      <c r="A1892" s="21">
        <v>42086</v>
      </c>
      <c r="B1892" s="22" t="s">
        <v>36</v>
      </c>
      <c r="C1892" s="22">
        <v>300</v>
      </c>
      <c r="D1892" s="22" t="s">
        <v>39</v>
      </c>
      <c r="E1892" t="str">
        <f t="shared" si="31"/>
        <v>2015年</v>
      </c>
    </row>
    <row r="1893" spans="1:5" x14ac:dyDescent="0.15">
      <c r="A1893" s="21">
        <v>42086</v>
      </c>
      <c r="B1893" s="22" t="s">
        <v>40</v>
      </c>
      <c r="C1893" s="22">
        <v>1536.5</v>
      </c>
      <c r="D1893" s="22" t="s">
        <v>39</v>
      </c>
      <c r="E1893" t="str">
        <f t="shared" si="31"/>
        <v>2015年</v>
      </c>
    </row>
    <row r="1894" spans="1:5" x14ac:dyDescent="0.15">
      <c r="A1894" s="21">
        <v>42087</v>
      </c>
      <c r="B1894" s="22" t="s">
        <v>42</v>
      </c>
      <c r="C1894" s="22">
        <v>247.99999907612801</v>
      </c>
      <c r="D1894" s="22" t="s">
        <v>39</v>
      </c>
      <c r="E1894" t="str">
        <f t="shared" si="31"/>
        <v>2015年</v>
      </c>
    </row>
    <row r="1895" spans="1:5" x14ac:dyDescent="0.15">
      <c r="A1895" s="21">
        <v>42087</v>
      </c>
      <c r="B1895" s="22" t="s">
        <v>42</v>
      </c>
      <c r="C1895" s="22">
        <v>15810</v>
      </c>
      <c r="D1895" s="22" t="s">
        <v>39</v>
      </c>
      <c r="E1895" t="str">
        <f t="shared" si="31"/>
        <v>2015年</v>
      </c>
    </row>
    <row r="1896" spans="1:5" x14ac:dyDescent="0.15">
      <c r="A1896" s="21">
        <v>42087</v>
      </c>
      <c r="B1896" s="22" t="s">
        <v>37</v>
      </c>
      <c r="C1896" s="22">
        <v>600</v>
      </c>
      <c r="D1896" s="22" t="s">
        <v>39</v>
      </c>
      <c r="E1896" t="str">
        <f t="shared" si="31"/>
        <v>2015年</v>
      </c>
    </row>
    <row r="1897" spans="1:5" x14ac:dyDescent="0.15">
      <c r="A1897" s="21">
        <v>42087</v>
      </c>
      <c r="B1897" s="22" t="s">
        <v>42</v>
      </c>
      <c r="C1897" s="22">
        <v>414</v>
      </c>
      <c r="D1897" s="22" t="s">
        <v>39</v>
      </c>
      <c r="E1897" t="str">
        <f t="shared" si="31"/>
        <v>2015年</v>
      </c>
    </row>
    <row r="1898" spans="1:5" x14ac:dyDescent="0.15">
      <c r="A1898" s="21">
        <v>42087</v>
      </c>
      <c r="B1898" s="22" t="s">
        <v>38</v>
      </c>
      <c r="C1898" s="22">
        <v>428.3999969959259</v>
      </c>
      <c r="D1898" s="22" t="s">
        <v>39</v>
      </c>
      <c r="E1898" t="str">
        <f t="shared" si="31"/>
        <v>2015年</v>
      </c>
    </row>
    <row r="1899" spans="1:5" x14ac:dyDescent="0.15">
      <c r="A1899" s="21">
        <v>42087</v>
      </c>
      <c r="B1899" s="22" t="s">
        <v>35</v>
      </c>
      <c r="C1899" s="22">
        <v>292.5</v>
      </c>
      <c r="D1899" s="22" t="s">
        <v>39</v>
      </c>
      <c r="E1899" t="str">
        <f t="shared" si="31"/>
        <v>2015年</v>
      </c>
    </row>
    <row r="1900" spans="1:5" x14ac:dyDescent="0.15">
      <c r="A1900" s="21">
        <v>42090</v>
      </c>
      <c r="B1900" s="22" t="s">
        <v>41</v>
      </c>
      <c r="C1900" s="22">
        <v>959.75</v>
      </c>
      <c r="D1900" s="22" t="s">
        <v>39</v>
      </c>
      <c r="E1900" t="str">
        <f t="shared" si="31"/>
        <v>2015年</v>
      </c>
    </row>
    <row r="1901" spans="1:5" x14ac:dyDescent="0.15">
      <c r="A1901" s="21">
        <v>42090</v>
      </c>
      <c r="B1901" s="22" t="s">
        <v>42</v>
      </c>
      <c r="C1901" s="22">
        <v>90</v>
      </c>
      <c r="D1901" s="22" t="s">
        <v>39</v>
      </c>
      <c r="E1901" t="str">
        <f t="shared" si="31"/>
        <v>2015年</v>
      </c>
    </row>
    <row r="1902" spans="1:5" x14ac:dyDescent="0.15">
      <c r="A1902" s="21">
        <v>42090</v>
      </c>
      <c r="B1902" s="22" t="s">
        <v>38</v>
      </c>
      <c r="C1902" s="22">
        <v>760</v>
      </c>
      <c r="D1902" s="22" t="s">
        <v>39</v>
      </c>
      <c r="E1902" t="str">
        <f t="shared" si="31"/>
        <v>2015年</v>
      </c>
    </row>
    <row r="1903" spans="1:5" x14ac:dyDescent="0.15">
      <c r="A1903" s="21">
        <v>42090</v>
      </c>
      <c r="B1903" s="22" t="s">
        <v>41</v>
      </c>
      <c r="C1903" s="22">
        <v>565.37999906390905</v>
      </c>
      <c r="D1903" s="22" t="s">
        <v>39</v>
      </c>
      <c r="E1903" t="str">
        <f t="shared" si="31"/>
        <v>2015年</v>
      </c>
    </row>
    <row r="1904" spans="1:5" x14ac:dyDescent="0.15">
      <c r="A1904" s="21">
        <v>42090</v>
      </c>
      <c r="B1904" s="22" t="s">
        <v>38</v>
      </c>
      <c r="C1904" s="22">
        <v>449.99999925494194</v>
      </c>
      <c r="D1904" s="22" t="s">
        <v>39</v>
      </c>
      <c r="E1904" t="str">
        <f t="shared" si="31"/>
        <v>2015年</v>
      </c>
    </row>
    <row r="1905" spans="1:5" x14ac:dyDescent="0.15">
      <c r="A1905" s="21">
        <v>42090</v>
      </c>
      <c r="B1905" s="22" t="s">
        <v>36</v>
      </c>
      <c r="C1905" s="22">
        <v>1007.9999983310699</v>
      </c>
      <c r="D1905" s="22" t="s">
        <v>39</v>
      </c>
      <c r="E1905" t="str">
        <f t="shared" si="31"/>
        <v>2015年</v>
      </c>
    </row>
    <row r="1906" spans="1:5" x14ac:dyDescent="0.15">
      <c r="A1906" s="21">
        <v>42090</v>
      </c>
      <c r="B1906" s="22" t="s">
        <v>36</v>
      </c>
      <c r="C1906" s="22">
        <v>630</v>
      </c>
      <c r="D1906" s="22" t="s">
        <v>39</v>
      </c>
      <c r="E1906" t="str">
        <f t="shared" si="31"/>
        <v>2015年</v>
      </c>
    </row>
    <row r="1907" spans="1:5" x14ac:dyDescent="0.15">
      <c r="A1907" s="21">
        <v>42090</v>
      </c>
      <c r="B1907" s="22" t="s">
        <v>41</v>
      </c>
      <c r="C1907" s="22">
        <v>1215</v>
      </c>
      <c r="D1907" s="22" t="s">
        <v>39</v>
      </c>
      <c r="E1907" t="str">
        <f t="shared" si="31"/>
        <v>2015年</v>
      </c>
    </row>
    <row r="1908" spans="1:5" x14ac:dyDescent="0.15">
      <c r="A1908" s="21">
        <v>42090</v>
      </c>
      <c r="B1908" s="22" t="s">
        <v>42</v>
      </c>
      <c r="C1908" s="22">
        <v>180</v>
      </c>
      <c r="D1908" s="22" t="s">
        <v>39</v>
      </c>
      <c r="E1908" t="str">
        <f t="shared" si="31"/>
        <v>2015年</v>
      </c>
    </row>
    <row r="1909" spans="1:5" x14ac:dyDescent="0.15">
      <c r="A1909" s="21">
        <v>42090</v>
      </c>
      <c r="B1909" s="22" t="s">
        <v>40</v>
      </c>
      <c r="C1909" s="22">
        <v>195</v>
      </c>
      <c r="D1909" s="22" t="s">
        <v>39</v>
      </c>
      <c r="E1909" t="str">
        <f t="shared" si="31"/>
        <v>2015年</v>
      </c>
    </row>
    <row r="1910" spans="1:5" x14ac:dyDescent="0.15">
      <c r="A1910" s="21">
        <v>42091</v>
      </c>
      <c r="B1910" s="22" t="s">
        <v>37</v>
      </c>
      <c r="C1910" s="22">
        <v>1800</v>
      </c>
      <c r="D1910" s="22" t="s">
        <v>39</v>
      </c>
      <c r="E1910" t="str">
        <f t="shared" si="31"/>
        <v>2015年</v>
      </c>
    </row>
    <row r="1911" spans="1:5" x14ac:dyDescent="0.15">
      <c r="A1911" s="21">
        <v>42091</v>
      </c>
      <c r="B1911" s="22" t="s">
        <v>42</v>
      </c>
      <c r="C1911" s="22">
        <v>276</v>
      </c>
      <c r="D1911" s="22" t="s">
        <v>39</v>
      </c>
      <c r="E1911" t="str">
        <f t="shared" si="31"/>
        <v>2015年</v>
      </c>
    </row>
    <row r="1912" spans="1:5" x14ac:dyDescent="0.15">
      <c r="A1912" s="21">
        <v>42091</v>
      </c>
      <c r="B1912" s="22" t="s">
        <v>36</v>
      </c>
      <c r="C1912" s="22">
        <v>696</v>
      </c>
      <c r="D1912" s="22" t="s">
        <v>39</v>
      </c>
      <c r="E1912" t="str">
        <f t="shared" si="31"/>
        <v>2015年</v>
      </c>
    </row>
    <row r="1913" spans="1:5" x14ac:dyDescent="0.15">
      <c r="A1913" s="21">
        <v>42091</v>
      </c>
      <c r="B1913" s="22" t="s">
        <v>37</v>
      </c>
      <c r="C1913" s="22">
        <v>1800</v>
      </c>
      <c r="D1913" s="22" t="s">
        <v>39</v>
      </c>
      <c r="E1913" t="str">
        <f t="shared" si="31"/>
        <v>2015年</v>
      </c>
    </row>
    <row r="1914" spans="1:5" x14ac:dyDescent="0.15">
      <c r="A1914" s="21">
        <v>42091</v>
      </c>
      <c r="B1914" s="22" t="s">
        <v>41</v>
      </c>
      <c r="C1914" s="22">
        <v>1774.799997061491</v>
      </c>
      <c r="D1914" s="22" t="s">
        <v>39</v>
      </c>
      <c r="E1914" t="str">
        <f t="shared" si="31"/>
        <v>2015年</v>
      </c>
    </row>
    <row r="1915" spans="1:5" x14ac:dyDescent="0.15">
      <c r="A1915" s="21">
        <v>42091</v>
      </c>
      <c r="B1915" s="22" t="s">
        <v>40</v>
      </c>
      <c r="C1915" s="22">
        <v>1000</v>
      </c>
      <c r="D1915" s="22" t="s">
        <v>39</v>
      </c>
      <c r="E1915" t="str">
        <f t="shared" si="31"/>
        <v>2015年</v>
      </c>
    </row>
    <row r="1916" spans="1:5" x14ac:dyDescent="0.15">
      <c r="A1916" s="21">
        <v>42091</v>
      </c>
      <c r="B1916" s="22" t="s">
        <v>36</v>
      </c>
      <c r="C1916" s="22">
        <v>315</v>
      </c>
      <c r="D1916" s="22" t="s">
        <v>39</v>
      </c>
      <c r="E1916" t="str">
        <f t="shared" si="31"/>
        <v>2015年</v>
      </c>
    </row>
    <row r="1917" spans="1:5" x14ac:dyDescent="0.15">
      <c r="A1917" s="21">
        <v>42091</v>
      </c>
      <c r="B1917" s="22" t="s">
        <v>38</v>
      </c>
      <c r="C1917" s="22">
        <v>38.6</v>
      </c>
      <c r="D1917" s="22" t="s">
        <v>39</v>
      </c>
      <c r="E1917" t="str">
        <f t="shared" si="31"/>
        <v>2015年</v>
      </c>
    </row>
    <row r="1918" spans="1:5" x14ac:dyDescent="0.15">
      <c r="A1918" s="21">
        <v>42092</v>
      </c>
      <c r="B1918" s="22" t="s">
        <v>41</v>
      </c>
      <c r="C1918" s="22">
        <v>650</v>
      </c>
      <c r="D1918" s="22" t="s">
        <v>39</v>
      </c>
      <c r="E1918" t="str">
        <f t="shared" si="31"/>
        <v>2015年</v>
      </c>
    </row>
    <row r="1919" spans="1:5" x14ac:dyDescent="0.15">
      <c r="A1919" s="21">
        <v>42092</v>
      </c>
      <c r="B1919" s="22" t="s">
        <v>42</v>
      </c>
      <c r="C1919" s="22">
        <v>713.99999499320984</v>
      </c>
      <c r="D1919" s="22" t="s">
        <v>39</v>
      </c>
      <c r="E1919" t="str">
        <f t="shared" si="31"/>
        <v>2015年</v>
      </c>
    </row>
    <row r="1920" spans="1:5" x14ac:dyDescent="0.15">
      <c r="A1920" s="21">
        <v>42092</v>
      </c>
      <c r="B1920" s="22" t="s">
        <v>33</v>
      </c>
      <c r="C1920" s="22">
        <v>1325.9999907016754</v>
      </c>
      <c r="D1920" s="22" t="s">
        <v>39</v>
      </c>
      <c r="E1920" t="str">
        <f t="shared" si="31"/>
        <v>2015年</v>
      </c>
    </row>
    <row r="1921" spans="1:5" x14ac:dyDescent="0.15">
      <c r="A1921" s="21">
        <v>42092</v>
      </c>
      <c r="B1921" s="22" t="s">
        <v>40</v>
      </c>
      <c r="C1921" s="22">
        <v>1598.8499887883663</v>
      </c>
      <c r="D1921" s="22" t="s">
        <v>39</v>
      </c>
      <c r="E1921" t="str">
        <f t="shared" si="31"/>
        <v>2015年</v>
      </c>
    </row>
    <row r="1922" spans="1:5" x14ac:dyDescent="0.15">
      <c r="A1922" s="21">
        <v>42092</v>
      </c>
      <c r="B1922" s="22" t="s">
        <v>42</v>
      </c>
      <c r="C1922" s="22">
        <v>759.99999716877937</v>
      </c>
      <c r="D1922" s="22" t="s">
        <v>39</v>
      </c>
      <c r="E1922" t="str">
        <f t="shared" ref="E1922:E1985" si="32">YEAR(A1922)&amp;"年"</f>
        <v>2015年</v>
      </c>
    </row>
    <row r="1923" spans="1:5" x14ac:dyDescent="0.15">
      <c r="A1923" s="21">
        <v>42092</v>
      </c>
      <c r="B1923" s="22" t="s">
        <v>42</v>
      </c>
      <c r="C1923" s="22">
        <v>239.99999910593033</v>
      </c>
      <c r="D1923" s="22" t="s">
        <v>39</v>
      </c>
      <c r="E1923" t="str">
        <f t="shared" si="32"/>
        <v>2015年</v>
      </c>
    </row>
    <row r="1924" spans="1:5" x14ac:dyDescent="0.15">
      <c r="A1924" s="21">
        <v>42092</v>
      </c>
      <c r="B1924" s="22" t="s">
        <v>42</v>
      </c>
      <c r="C1924" s="22">
        <v>1295.9999951720238</v>
      </c>
      <c r="D1924" s="22" t="s">
        <v>39</v>
      </c>
      <c r="E1924" t="str">
        <f t="shared" si="32"/>
        <v>2015年</v>
      </c>
    </row>
    <row r="1925" spans="1:5" x14ac:dyDescent="0.15">
      <c r="A1925" s="21">
        <v>42092</v>
      </c>
      <c r="B1925" s="22" t="s">
        <v>36</v>
      </c>
      <c r="C1925" s="22">
        <v>69.599999999999994</v>
      </c>
      <c r="D1925" s="22" t="s">
        <v>39</v>
      </c>
      <c r="E1925" t="str">
        <f t="shared" si="32"/>
        <v>2015年</v>
      </c>
    </row>
    <row r="1926" spans="1:5" x14ac:dyDescent="0.15">
      <c r="A1926" s="21">
        <v>42092</v>
      </c>
      <c r="B1926" s="22" t="s">
        <v>33</v>
      </c>
      <c r="C1926" s="22">
        <v>4642.125</v>
      </c>
      <c r="D1926" s="22" t="s">
        <v>34</v>
      </c>
      <c r="E1926" t="str">
        <f t="shared" si="32"/>
        <v>2015年</v>
      </c>
    </row>
    <row r="1927" spans="1:5" x14ac:dyDescent="0.15">
      <c r="A1927" s="21">
        <v>42092</v>
      </c>
      <c r="B1927" s="22" t="s">
        <v>38</v>
      </c>
      <c r="C1927" s="22">
        <v>253.3125</v>
      </c>
      <c r="D1927" s="22" t="s">
        <v>34</v>
      </c>
      <c r="E1927" t="str">
        <f t="shared" si="32"/>
        <v>2015年</v>
      </c>
    </row>
    <row r="1928" spans="1:5" x14ac:dyDescent="0.15">
      <c r="A1928" s="21">
        <v>42093</v>
      </c>
      <c r="B1928" s="22" t="s">
        <v>36</v>
      </c>
      <c r="C1928" s="22">
        <v>940.49999926239252</v>
      </c>
      <c r="D1928" s="22" t="s">
        <v>39</v>
      </c>
      <c r="E1928" t="str">
        <f t="shared" si="32"/>
        <v>2015年</v>
      </c>
    </row>
    <row r="1929" spans="1:5" x14ac:dyDescent="0.15">
      <c r="A1929" s="21">
        <v>42093</v>
      </c>
      <c r="B1929" s="22" t="s">
        <v>37</v>
      </c>
      <c r="C1929" s="22">
        <v>1060</v>
      </c>
      <c r="D1929" s="22" t="s">
        <v>39</v>
      </c>
      <c r="E1929" t="str">
        <f t="shared" si="32"/>
        <v>2015年</v>
      </c>
    </row>
    <row r="1930" spans="1:5" x14ac:dyDescent="0.15">
      <c r="A1930" s="21">
        <v>42093</v>
      </c>
      <c r="B1930" s="22" t="s">
        <v>36</v>
      </c>
      <c r="C1930" s="22">
        <v>136</v>
      </c>
      <c r="D1930" s="22" t="s">
        <v>39</v>
      </c>
      <c r="E1930" t="str">
        <f t="shared" si="32"/>
        <v>2015年</v>
      </c>
    </row>
    <row r="1931" spans="1:5" x14ac:dyDescent="0.15">
      <c r="A1931" s="21">
        <v>42093</v>
      </c>
      <c r="B1931" s="22" t="s">
        <v>35</v>
      </c>
      <c r="C1931" s="22">
        <v>560</v>
      </c>
      <c r="D1931" s="22" t="s">
        <v>39</v>
      </c>
      <c r="E1931" t="str">
        <f t="shared" si="32"/>
        <v>2015年</v>
      </c>
    </row>
    <row r="1932" spans="1:5" x14ac:dyDescent="0.15">
      <c r="A1932" s="21">
        <v>42094</v>
      </c>
      <c r="B1932" s="22" t="s">
        <v>36</v>
      </c>
      <c r="C1932" s="22">
        <v>1600</v>
      </c>
      <c r="D1932" s="22" t="s">
        <v>39</v>
      </c>
      <c r="E1932" t="str">
        <f t="shared" si="32"/>
        <v>2015年</v>
      </c>
    </row>
    <row r="1933" spans="1:5" x14ac:dyDescent="0.15">
      <c r="A1933" s="21">
        <v>42094</v>
      </c>
      <c r="B1933" s="22" t="s">
        <v>38</v>
      </c>
      <c r="C1933" s="22">
        <v>180</v>
      </c>
      <c r="D1933" s="22" t="s">
        <v>39</v>
      </c>
      <c r="E1933" t="str">
        <f t="shared" si="32"/>
        <v>2015年</v>
      </c>
    </row>
    <row r="1934" spans="1:5" x14ac:dyDescent="0.15">
      <c r="A1934" s="21">
        <v>42094</v>
      </c>
      <c r="B1934" s="22" t="s">
        <v>35</v>
      </c>
      <c r="C1934" s="22">
        <v>105</v>
      </c>
      <c r="D1934" s="22" t="s">
        <v>39</v>
      </c>
      <c r="E1934" t="str">
        <f t="shared" si="32"/>
        <v>2015年</v>
      </c>
    </row>
    <row r="1935" spans="1:5" x14ac:dyDescent="0.15">
      <c r="A1935" s="21">
        <v>42094</v>
      </c>
      <c r="B1935" s="22" t="s">
        <v>42</v>
      </c>
      <c r="C1935" s="22">
        <v>54</v>
      </c>
      <c r="D1935" s="22" t="s">
        <v>39</v>
      </c>
      <c r="E1935" t="str">
        <f t="shared" si="32"/>
        <v>2015年</v>
      </c>
    </row>
    <row r="1936" spans="1:5" x14ac:dyDescent="0.15">
      <c r="A1936" s="21">
        <v>42094</v>
      </c>
      <c r="B1936" s="22" t="s">
        <v>40</v>
      </c>
      <c r="C1936" s="22">
        <v>199.5</v>
      </c>
      <c r="D1936" s="22" t="s">
        <v>39</v>
      </c>
      <c r="E1936" t="str">
        <f t="shared" si="32"/>
        <v>2015年</v>
      </c>
    </row>
    <row r="1937" spans="1:5" x14ac:dyDescent="0.15">
      <c r="A1937" s="21">
        <v>42094</v>
      </c>
      <c r="B1937" s="22" t="s">
        <v>37</v>
      </c>
      <c r="C1937" s="22">
        <v>200</v>
      </c>
      <c r="D1937" s="22" t="s">
        <v>39</v>
      </c>
      <c r="E1937" t="str">
        <f t="shared" si="32"/>
        <v>2015年</v>
      </c>
    </row>
    <row r="1938" spans="1:5" x14ac:dyDescent="0.15">
      <c r="A1938" s="21">
        <v>42094</v>
      </c>
      <c r="B1938" s="22" t="s">
        <v>42</v>
      </c>
      <c r="C1938" s="22">
        <v>232.5</v>
      </c>
      <c r="D1938" s="22" t="s">
        <v>39</v>
      </c>
      <c r="E1938" t="str">
        <f t="shared" si="32"/>
        <v>2015年</v>
      </c>
    </row>
    <row r="1939" spans="1:5" x14ac:dyDescent="0.15">
      <c r="A1939" s="21">
        <v>42094</v>
      </c>
      <c r="B1939" s="22" t="s">
        <v>38</v>
      </c>
      <c r="C1939" s="22">
        <v>183.34999985620379</v>
      </c>
      <c r="D1939" s="22" t="s">
        <v>34</v>
      </c>
      <c r="E1939" t="str">
        <f t="shared" si="32"/>
        <v>2015年</v>
      </c>
    </row>
    <row r="1940" spans="1:5" x14ac:dyDescent="0.15">
      <c r="A1940" s="21">
        <v>42094</v>
      </c>
      <c r="B1940" s="22" t="s">
        <v>37</v>
      </c>
      <c r="C1940" s="22">
        <v>755.24999940767884</v>
      </c>
      <c r="D1940" s="22" t="s">
        <v>34</v>
      </c>
      <c r="E1940" t="str">
        <f t="shared" si="32"/>
        <v>2015年</v>
      </c>
    </row>
    <row r="1941" spans="1:5" x14ac:dyDescent="0.15">
      <c r="A1941" s="21">
        <v>42094</v>
      </c>
      <c r="B1941" s="22" t="s">
        <v>40</v>
      </c>
      <c r="C1941" s="22">
        <v>259.34999979659915</v>
      </c>
      <c r="D1941" s="22" t="s">
        <v>34</v>
      </c>
      <c r="E1941" t="str">
        <f t="shared" si="32"/>
        <v>2015年</v>
      </c>
    </row>
    <row r="1942" spans="1:5" x14ac:dyDescent="0.15">
      <c r="A1942" s="21">
        <v>42097</v>
      </c>
      <c r="B1942" s="22" t="s">
        <v>40</v>
      </c>
      <c r="C1942" s="22">
        <v>412.5</v>
      </c>
      <c r="D1942" s="22" t="s">
        <v>39</v>
      </c>
      <c r="E1942" t="str">
        <f t="shared" si="32"/>
        <v>2015年</v>
      </c>
    </row>
    <row r="1943" spans="1:5" x14ac:dyDescent="0.15">
      <c r="A1943" s="21">
        <v>42097</v>
      </c>
      <c r="B1943" s="22" t="s">
        <v>42</v>
      </c>
      <c r="C1943" s="22">
        <v>101.25</v>
      </c>
      <c r="D1943" s="22" t="s">
        <v>39</v>
      </c>
      <c r="E1943" t="str">
        <f t="shared" si="32"/>
        <v>2015年</v>
      </c>
    </row>
    <row r="1944" spans="1:5" x14ac:dyDescent="0.15">
      <c r="A1944" s="21">
        <v>42097</v>
      </c>
      <c r="B1944" s="22" t="s">
        <v>40</v>
      </c>
      <c r="C1944" s="22">
        <v>390</v>
      </c>
      <c r="D1944" s="22" t="s">
        <v>39</v>
      </c>
      <c r="E1944" t="str">
        <f t="shared" si="32"/>
        <v>2015年</v>
      </c>
    </row>
    <row r="1945" spans="1:5" x14ac:dyDescent="0.15">
      <c r="A1945" s="21">
        <v>42097</v>
      </c>
      <c r="B1945" s="22" t="s">
        <v>37</v>
      </c>
      <c r="C1945" s="22">
        <v>1800</v>
      </c>
      <c r="D1945" s="22" t="s">
        <v>39</v>
      </c>
      <c r="E1945" t="str">
        <f t="shared" si="32"/>
        <v>2015年</v>
      </c>
    </row>
    <row r="1946" spans="1:5" x14ac:dyDescent="0.15">
      <c r="A1946" s="21">
        <v>42097</v>
      </c>
      <c r="B1946" s="22" t="s">
        <v>35</v>
      </c>
      <c r="C1946" s="22">
        <v>525</v>
      </c>
      <c r="D1946" s="22" t="s">
        <v>39</v>
      </c>
      <c r="E1946" t="str">
        <f t="shared" si="32"/>
        <v>2015年</v>
      </c>
    </row>
    <row r="1947" spans="1:5" x14ac:dyDescent="0.15">
      <c r="A1947" s="21">
        <v>42097</v>
      </c>
      <c r="B1947" s="22" t="s">
        <v>38</v>
      </c>
      <c r="C1947" s="22">
        <v>300</v>
      </c>
      <c r="D1947" s="22" t="s">
        <v>39</v>
      </c>
      <c r="E1947" t="str">
        <f t="shared" si="32"/>
        <v>2015年</v>
      </c>
    </row>
    <row r="1948" spans="1:5" x14ac:dyDescent="0.15">
      <c r="A1948" s="21">
        <v>42097</v>
      </c>
      <c r="B1948" s="22" t="s">
        <v>33</v>
      </c>
      <c r="C1948" s="22">
        <v>144</v>
      </c>
      <c r="D1948" s="22" t="s">
        <v>39</v>
      </c>
      <c r="E1948" t="str">
        <f t="shared" si="32"/>
        <v>2015年</v>
      </c>
    </row>
    <row r="1949" spans="1:5" x14ac:dyDescent="0.15">
      <c r="A1949" s="21">
        <v>42097</v>
      </c>
      <c r="B1949" s="22" t="s">
        <v>38</v>
      </c>
      <c r="C1949" s="22">
        <v>336</v>
      </c>
      <c r="D1949" s="22" t="s">
        <v>39</v>
      </c>
      <c r="E1949" t="str">
        <f t="shared" si="32"/>
        <v>2015年</v>
      </c>
    </row>
    <row r="1950" spans="1:5" x14ac:dyDescent="0.15">
      <c r="A1950" s="21">
        <v>42097</v>
      </c>
      <c r="B1950" s="22" t="s">
        <v>42</v>
      </c>
      <c r="C1950" s="22">
        <v>229.49999839067459</v>
      </c>
      <c r="D1950" s="22" t="s">
        <v>39</v>
      </c>
      <c r="E1950" t="str">
        <f t="shared" si="32"/>
        <v>2015年</v>
      </c>
    </row>
    <row r="1951" spans="1:5" x14ac:dyDescent="0.15">
      <c r="A1951" s="21">
        <v>42097</v>
      </c>
      <c r="B1951" s="22" t="s">
        <v>35</v>
      </c>
      <c r="C1951" s="22">
        <v>285.59999799728394</v>
      </c>
      <c r="D1951" s="22" t="s">
        <v>39</v>
      </c>
      <c r="E1951" t="str">
        <f t="shared" si="32"/>
        <v>2015年</v>
      </c>
    </row>
    <row r="1952" spans="1:5" x14ac:dyDescent="0.15">
      <c r="A1952" s="21">
        <v>42097</v>
      </c>
      <c r="B1952" s="22" t="s">
        <v>33</v>
      </c>
      <c r="C1952" s="22">
        <v>960</v>
      </c>
      <c r="D1952" s="22" t="s">
        <v>39</v>
      </c>
      <c r="E1952" t="str">
        <f t="shared" si="32"/>
        <v>2015年</v>
      </c>
    </row>
    <row r="1953" spans="1:5" x14ac:dyDescent="0.15">
      <c r="A1953" s="21">
        <v>42097</v>
      </c>
      <c r="B1953" s="22" t="s">
        <v>42</v>
      </c>
      <c r="C1953" s="22">
        <v>72</v>
      </c>
      <c r="D1953" s="22" t="s">
        <v>39</v>
      </c>
      <c r="E1953" t="str">
        <f t="shared" si="32"/>
        <v>2015年</v>
      </c>
    </row>
    <row r="1954" spans="1:5" x14ac:dyDescent="0.15">
      <c r="A1954" s="21">
        <v>42097</v>
      </c>
      <c r="B1954" s="22" t="s">
        <v>38</v>
      </c>
      <c r="C1954" s="22">
        <v>184</v>
      </c>
      <c r="D1954" s="22" t="s">
        <v>39</v>
      </c>
      <c r="E1954" t="str">
        <f t="shared" si="32"/>
        <v>2015年</v>
      </c>
    </row>
    <row r="1955" spans="1:5" x14ac:dyDescent="0.15">
      <c r="A1955" s="21">
        <v>42097</v>
      </c>
      <c r="B1955" s="22" t="s">
        <v>35</v>
      </c>
      <c r="C1955" s="22">
        <v>70</v>
      </c>
      <c r="D1955" s="22" t="s">
        <v>39</v>
      </c>
      <c r="E1955" t="str">
        <f t="shared" si="32"/>
        <v>2015年</v>
      </c>
    </row>
    <row r="1956" spans="1:5" x14ac:dyDescent="0.15">
      <c r="A1956" s="21">
        <v>42098</v>
      </c>
      <c r="B1956" s="22" t="s">
        <v>41</v>
      </c>
      <c r="C1956" s="22">
        <v>187.38</v>
      </c>
      <c r="D1956" s="22" t="s">
        <v>39</v>
      </c>
      <c r="E1956" t="str">
        <f t="shared" si="32"/>
        <v>2015年</v>
      </c>
    </row>
    <row r="1957" spans="1:5" x14ac:dyDescent="0.15">
      <c r="A1957" s="21">
        <v>42098</v>
      </c>
      <c r="B1957" s="22" t="s">
        <v>42</v>
      </c>
      <c r="C1957" s="22">
        <v>108</v>
      </c>
      <c r="D1957" s="22" t="s">
        <v>39</v>
      </c>
      <c r="E1957" t="str">
        <f t="shared" si="32"/>
        <v>2015年</v>
      </c>
    </row>
    <row r="1958" spans="1:5" x14ac:dyDescent="0.15">
      <c r="A1958" s="21">
        <v>42098</v>
      </c>
      <c r="B1958" s="22" t="s">
        <v>42</v>
      </c>
      <c r="C1958" s="22">
        <v>36</v>
      </c>
      <c r="D1958" s="22" t="s">
        <v>39</v>
      </c>
      <c r="E1958" t="str">
        <f t="shared" si="32"/>
        <v>2015年</v>
      </c>
    </row>
    <row r="1959" spans="1:5" x14ac:dyDescent="0.15">
      <c r="A1959" s="21">
        <v>42098</v>
      </c>
      <c r="B1959" s="22" t="s">
        <v>36</v>
      </c>
      <c r="C1959" s="22">
        <v>550</v>
      </c>
      <c r="D1959" s="22" t="s">
        <v>39</v>
      </c>
      <c r="E1959" t="str">
        <f t="shared" si="32"/>
        <v>2015年</v>
      </c>
    </row>
    <row r="1960" spans="1:5" x14ac:dyDescent="0.15">
      <c r="A1960" s="21">
        <v>42098</v>
      </c>
      <c r="B1960" s="22" t="s">
        <v>42</v>
      </c>
      <c r="C1960" s="22">
        <v>144</v>
      </c>
      <c r="D1960" s="22" t="s">
        <v>39</v>
      </c>
      <c r="E1960" t="str">
        <f t="shared" si="32"/>
        <v>2015年</v>
      </c>
    </row>
    <row r="1961" spans="1:5" x14ac:dyDescent="0.15">
      <c r="A1961" s="21">
        <v>42098</v>
      </c>
      <c r="B1961" s="22" t="s">
        <v>33</v>
      </c>
      <c r="C1961" s="22">
        <v>185.685</v>
      </c>
      <c r="D1961" s="22" t="s">
        <v>39</v>
      </c>
      <c r="E1961" t="str">
        <f t="shared" si="32"/>
        <v>2015年</v>
      </c>
    </row>
    <row r="1962" spans="1:5" x14ac:dyDescent="0.15">
      <c r="A1962" s="21">
        <v>42099</v>
      </c>
      <c r="B1962" s="22" t="s">
        <v>40</v>
      </c>
      <c r="C1962" s="22">
        <v>1200</v>
      </c>
      <c r="D1962" s="22" t="s">
        <v>39</v>
      </c>
      <c r="E1962" t="str">
        <f t="shared" si="32"/>
        <v>2015年</v>
      </c>
    </row>
    <row r="1963" spans="1:5" x14ac:dyDescent="0.15">
      <c r="A1963" s="21">
        <v>42099</v>
      </c>
      <c r="B1963" s="22" t="s">
        <v>33</v>
      </c>
      <c r="C1963" s="22">
        <v>1237.9000000000001</v>
      </c>
      <c r="D1963" s="22" t="s">
        <v>39</v>
      </c>
      <c r="E1963" t="str">
        <f t="shared" si="32"/>
        <v>2015年</v>
      </c>
    </row>
    <row r="1964" spans="1:5" x14ac:dyDescent="0.15">
      <c r="A1964" s="21">
        <v>42099</v>
      </c>
      <c r="B1964" s="22" t="s">
        <v>35</v>
      </c>
      <c r="C1964" s="22">
        <v>196</v>
      </c>
      <c r="D1964" s="22" t="s">
        <v>39</v>
      </c>
      <c r="E1964" t="str">
        <f t="shared" si="32"/>
        <v>2015年</v>
      </c>
    </row>
    <row r="1965" spans="1:5" x14ac:dyDescent="0.15">
      <c r="A1965" s="21">
        <v>42099</v>
      </c>
      <c r="B1965" s="22" t="s">
        <v>37</v>
      </c>
      <c r="C1965" s="22">
        <v>3032.3999976217747</v>
      </c>
      <c r="D1965" s="22" t="s">
        <v>34</v>
      </c>
      <c r="E1965" t="str">
        <f t="shared" si="32"/>
        <v>2015年</v>
      </c>
    </row>
    <row r="1966" spans="1:5" x14ac:dyDescent="0.15">
      <c r="A1966" s="21">
        <v>42099</v>
      </c>
      <c r="B1966" s="22" t="s">
        <v>42</v>
      </c>
      <c r="C1966" s="22">
        <v>1196.9999990612268</v>
      </c>
      <c r="D1966" s="22" t="s">
        <v>34</v>
      </c>
      <c r="E1966" t="str">
        <f t="shared" si="32"/>
        <v>2015年</v>
      </c>
    </row>
    <row r="1967" spans="1:5" x14ac:dyDescent="0.15">
      <c r="A1967" s="21">
        <v>42099</v>
      </c>
      <c r="B1967" s="22" t="s">
        <v>36</v>
      </c>
      <c r="C1967" s="22">
        <v>451.5</v>
      </c>
      <c r="D1967" s="22" t="s">
        <v>34</v>
      </c>
      <c r="E1967" t="str">
        <f t="shared" si="32"/>
        <v>2015年</v>
      </c>
    </row>
    <row r="1968" spans="1:5" x14ac:dyDescent="0.15">
      <c r="A1968" s="21">
        <v>42099</v>
      </c>
      <c r="B1968" s="22" t="s">
        <v>42</v>
      </c>
      <c r="C1968" s="22">
        <v>54</v>
      </c>
      <c r="D1968" s="22" t="s">
        <v>39</v>
      </c>
      <c r="E1968" t="str">
        <f t="shared" si="32"/>
        <v>2015年</v>
      </c>
    </row>
    <row r="1969" spans="1:5" x14ac:dyDescent="0.15">
      <c r="A1969" s="21">
        <v>42099</v>
      </c>
      <c r="B1969" s="22" t="s">
        <v>38</v>
      </c>
      <c r="C1969" s="22">
        <v>256.5</v>
      </c>
      <c r="D1969" s="22" t="s">
        <v>39</v>
      </c>
      <c r="E1969" t="str">
        <f t="shared" si="32"/>
        <v>2015年</v>
      </c>
    </row>
    <row r="1970" spans="1:5" x14ac:dyDescent="0.15">
      <c r="A1970" s="21">
        <v>42099</v>
      </c>
      <c r="B1970" s="22" t="s">
        <v>36</v>
      </c>
      <c r="C1970" s="22">
        <v>306</v>
      </c>
      <c r="D1970" s="22" t="s">
        <v>39</v>
      </c>
      <c r="E1970" t="str">
        <f t="shared" si="32"/>
        <v>2015年</v>
      </c>
    </row>
    <row r="1971" spans="1:5" x14ac:dyDescent="0.15">
      <c r="A1971" s="21">
        <v>42100</v>
      </c>
      <c r="B1971" s="22" t="s">
        <v>37</v>
      </c>
      <c r="C1971" s="22">
        <v>600</v>
      </c>
      <c r="D1971" s="22" t="s">
        <v>39</v>
      </c>
      <c r="E1971" t="str">
        <f t="shared" si="32"/>
        <v>2015年</v>
      </c>
    </row>
    <row r="1972" spans="1:5" x14ac:dyDescent="0.15">
      <c r="A1972" s="21">
        <v>42100</v>
      </c>
      <c r="B1972" s="22" t="s">
        <v>42</v>
      </c>
      <c r="C1972" s="22">
        <v>45</v>
      </c>
      <c r="D1972" s="22" t="s">
        <v>39</v>
      </c>
      <c r="E1972" t="str">
        <f t="shared" si="32"/>
        <v>2015年</v>
      </c>
    </row>
    <row r="1973" spans="1:5" x14ac:dyDescent="0.15">
      <c r="A1973" s="21">
        <v>42100</v>
      </c>
      <c r="B1973" s="22" t="s">
        <v>38</v>
      </c>
      <c r="C1973" s="22">
        <v>503.49999960511923</v>
      </c>
      <c r="D1973" s="22" t="s">
        <v>39</v>
      </c>
      <c r="E1973" t="str">
        <f t="shared" si="32"/>
        <v>2015年</v>
      </c>
    </row>
    <row r="1974" spans="1:5" x14ac:dyDescent="0.15">
      <c r="A1974" s="21">
        <v>42100</v>
      </c>
      <c r="B1974" s="22" t="s">
        <v>36</v>
      </c>
      <c r="C1974" s="22">
        <v>430</v>
      </c>
      <c r="D1974" s="22" t="s">
        <v>39</v>
      </c>
      <c r="E1974" t="str">
        <f t="shared" si="32"/>
        <v>2015年</v>
      </c>
    </row>
    <row r="1975" spans="1:5" x14ac:dyDescent="0.15">
      <c r="A1975" s="21">
        <v>42100</v>
      </c>
      <c r="B1975" s="22" t="s">
        <v>41</v>
      </c>
      <c r="C1975" s="22">
        <v>436.99999965727329</v>
      </c>
      <c r="D1975" s="22" t="s">
        <v>39</v>
      </c>
      <c r="E1975" t="str">
        <f t="shared" si="32"/>
        <v>2015年</v>
      </c>
    </row>
    <row r="1976" spans="1:5" x14ac:dyDescent="0.15">
      <c r="A1976" s="21">
        <v>42100</v>
      </c>
      <c r="B1976" s="22" t="s">
        <v>36</v>
      </c>
      <c r="C1976" s="22">
        <v>1162.7999990880489</v>
      </c>
      <c r="D1976" s="22" t="s">
        <v>39</v>
      </c>
      <c r="E1976" t="str">
        <f t="shared" si="32"/>
        <v>2015年</v>
      </c>
    </row>
    <row r="1977" spans="1:5" x14ac:dyDescent="0.15">
      <c r="A1977" s="21">
        <v>42100</v>
      </c>
      <c r="B1977" s="22" t="s">
        <v>36</v>
      </c>
      <c r="C1977" s="22">
        <v>1225.4999990388751</v>
      </c>
      <c r="D1977" s="22" t="s">
        <v>39</v>
      </c>
      <c r="E1977" t="str">
        <f t="shared" si="32"/>
        <v>2015年</v>
      </c>
    </row>
    <row r="1978" spans="1:5" x14ac:dyDescent="0.15">
      <c r="A1978" s="21">
        <v>42100</v>
      </c>
      <c r="B1978" s="22" t="s">
        <v>35</v>
      </c>
      <c r="C1978" s="22">
        <v>90</v>
      </c>
      <c r="D1978" s="22" t="s">
        <v>39</v>
      </c>
      <c r="E1978" t="str">
        <f t="shared" si="32"/>
        <v>2015年</v>
      </c>
    </row>
    <row r="1979" spans="1:5" x14ac:dyDescent="0.15">
      <c r="A1979" s="21">
        <v>42100</v>
      </c>
      <c r="B1979" s="22" t="s">
        <v>35</v>
      </c>
      <c r="C1979" s="22">
        <v>56</v>
      </c>
      <c r="D1979" s="22" t="s">
        <v>39</v>
      </c>
      <c r="E1979" t="str">
        <f t="shared" si="32"/>
        <v>2015年</v>
      </c>
    </row>
    <row r="1980" spans="1:5" x14ac:dyDescent="0.15">
      <c r="A1980" s="21">
        <v>42100</v>
      </c>
      <c r="B1980" s="22" t="s">
        <v>38</v>
      </c>
      <c r="C1980" s="22">
        <v>190</v>
      </c>
      <c r="D1980" s="22" t="s">
        <v>39</v>
      </c>
      <c r="E1980" t="str">
        <f t="shared" si="32"/>
        <v>2015年</v>
      </c>
    </row>
    <row r="1981" spans="1:5" x14ac:dyDescent="0.15">
      <c r="A1981" s="21">
        <v>42100</v>
      </c>
      <c r="B1981" s="22" t="s">
        <v>41</v>
      </c>
      <c r="C1981" s="22">
        <v>25</v>
      </c>
      <c r="D1981" s="22" t="s">
        <v>39</v>
      </c>
      <c r="E1981" t="str">
        <f t="shared" si="32"/>
        <v>2015年</v>
      </c>
    </row>
    <row r="1982" spans="1:5" x14ac:dyDescent="0.15">
      <c r="A1982" s="21">
        <v>42101</v>
      </c>
      <c r="B1982" s="22" t="s">
        <v>38</v>
      </c>
      <c r="C1982" s="22">
        <v>243.17999959737062</v>
      </c>
      <c r="D1982" s="22" t="s">
        <v>39</v>
      </c>
      <c r="E1982" t="str">
        <f t="shared" si="32"/>
        <v>2015年</v>
      </c>
    </row>
    <row r="1983" spans="1:5" x14ac:dyDescent="0.15">
      <c r="A1983" s="21">
        <v>42101</v>
      </c>
      <c r="B1983" s="22" t="s">
        <v>38</v>
      </c>
      <c r="C1983" s="22">
        <v>388.35</v>
      </c>
      <c r="D1983" s="22" t="s">
        <v>39</v>
      </c>
      <c r="E1983" t="str">
        <f t="shared" si="32"/>
        <v>2015年</v>
      </c>
    </row>
    <row r="1984" spans="1:5" x14ac:dyDescent="0.15">
      <c r="A1984" s="21">
        <v>42101</v>
      </c>
      <c r="B1984" s="22" t="s">
        <v>40</v>
      </c>
      <c r="C1984" s="22">
        <v>234</v>
      </c>
      <c r="D1984" s="22" t="s">
        <v>39</v>
      </c>
      <c r="E1984" t="str">
        <f t="shared" si="32"/>
        <v>2015年</v>
      </c>
    </row>
    <row r="1985" spans="1:5" x14ac:dyDescent="0.15">
      <c r="A1985" s="21">
        <v>42101</v>
      </c>
      <c r="B1985" s="22" t="s">
        <v>36</v>
      </c>
      <c r="C1985" s="22">
        <v>187.5</v>
      </c>
      <c r="D1985" s="22" t="s">
        <v>34</v>
      </c>
      <c r="E1985" t="str">
        <f t="shared" si="32"/>
        <v>2015年</v>
      </c>
    </row>
    <row r="1986" spans="1:5" x14ac:dyDescent="0.15">
      <c r="A1986" s="21">
        <v>42101</v>
      </c>
      <c r="B1986" s="22" t="s">
        <v>38</v>
      </c>
      <c r="C1986" s="22">
        <v>304</v>
      </c>
      <c r="D1986" s="22" t="s">
        <v>34</v>
      </c>
      <c r="E1986" t="str">
        <f t="shared" ref="E1986:E2049" si="33">YEAR(A1986)&amp;"年"</f>
        <v>2015年</v>
      </c>
    </row>
    <row r="1987" spans="1:5" x14ac:dyDescent="0.15">
      <c r="A1987" s="21">
        <v>42104</v>
      </c>
      <c r="B1987" s="22" t="s">
        <v>40</v>
      </c>
      <c r="C1987" s="22">
        <v>250</v>
      </c>
      <c r="D1987" s="22" t="s">
        <v>34</v>
      </c>
      <c r="E1987" t="str">
        <f t="shared" si="33"/>
        <v>2015年</v>
      </c>
    </row>
    <row r="1988" spans="1:5" x14ac:dyDescent="0.15">
      <c r="A1988" s="21">
        <v>42104</v>
      </c>
      <c r="B1988" s="22" t="s">
        <v>36</v>
      </c>
      <c r="C1988" s="22">
        <v>6050</v>
      </c>
      <c r="D1988" s="22" t="s">
        <v>34</v>
      </c>
      <c r="E1988" t="str">
        <f t="shared" si="33"/>
        <v>2015年</v>
      </c>
    </row>
    <row r="1989" spans="1:5" x14ac:dyDescent="0.15">
      <c r="A1989" s="21">
        <v>42104</v>
      </c>
      <c r="B1989" s="22" t="s">
        <v>42</v>
      </c>
      <c r="C1989" s="22">
        <v>450</v>
      </c>
      <c r="D1989" s="22" t="s">
        <v>34</v>
      </c>
      <c r="E1989" t="str">
        <f t="shared" si="33"/>
        <v>2015年</v>
      </c>
    </row>
    <row r="1990" spans="1:5" x14ac:dyDescent="0.15">
      <c r="A1990" s="21">
        <v>42104</v>
      </c>
      <c r="B1990" s="22" t="s">
        <v>36</v>
      </c>
      <c r="C1990" s="22">
        <v>760</v>
      </c>
      <c r="D1990" s="22" t="s">
        <v>39</v>
      </c>
      <c r="E1990" t="str">
        <f t="shared" si="33"/>
        <v>2015年</v>
      </c>
    </row>
    <row r="1991" spans="1:5" x14ac:dyDescent="0.15">
      <c r="A1991" s="21">
        <v>42104</v>
      </c>
      <c r="B1991" s="22" t="s">
        <v>38</v>
      </c>
      <c r="C1991" s="22">
        <v>625</v>
      </c>
      <c r="D1991" s="22" t="s">
        <v>39</v>
      </c>
      <c r="E1991" t="str">
        <f t="shared" si="33"/>
        <v>2015年</v>
      </c>
    </row>
    <row r="1992" spans="1:5" x14ac:dyDescent="0.15">
      <c r="A1992" s="21">
        <v>42104</v>
      </c>
      <c r="B1992" s="22" t="s">
        <v>35</v>
      </c>
      <c r="C1992" s="22">
        <v>190</v>
      </c>
      <c r="D1992" s="22" t="s">
        <v>39</v>
      </c>
      <c r="E1992" t="str">
        <f t="shared" si="33"/>
        <v>2015年</v>
      </c>
    </row>
    <row r="1993" spans="1:5" x14ac:dyDescent="0.15">
      <c r="A1993" s="21">
        <v>42104</v>
      </c>
      <c r="B1993" s="22" t="s">
        <v>38</v>
      </c>
      <c r="C1993" s="22">
        <v>36</v>
      </c>
      <c r="D1993" s="22" t="s">
        <v>34</v>
      </c>
      <c r="E1993" t="str">
        <f t="shared" si="33"/>
        <v>2015年</v>
      </c>
    </row>
    <row r="1994" spans="1:5" x14ac:dyDescent="0.15">
      <c r="A1994" s="21">
        <v>42104</v>
      </c>
      <c r="B1994" s="22" t="s">
        <v>41</v>
      </c>
      <c r="C1994" s="22">
        <v>40</v>
      </c>
      <c r="D1994" s="22" t="s">
        <v>34</v>
      </c>
      <c r="E1994" t="str">
        <f t="shared" si="33"/>
        <v>2015年</v>
      </c>
    </row>
    <row r="1995" spans="1:5" x14ac:dyDescent="0.15">
      <c r="A1995" s="21">
        <v>42105</v>
      </c>
      <c r="B1995" s="22" t="s">
        <v>38</v>
      </c>
      <c r="C1995" s="22">
        <v>632.39999556541443</v>
      </c>
      <c r="D1995" s="22" t="s">
        <v>39</v>
      </c>
      <c r="E1995" t="str">
        <f t="shared" si="33"/>
        <v>2015年</v>
      </c>
    </row>
    <row r="1996" spans="1:5" x14ac:dyDescent="0.15">
      <c r="A1996" s="21">
        <v>42105</v>
      </c>
      <c r="B1996" s="22" t="s">
        <v>42</v>
      </c>
      <c r="C1996" s="22">
        <v>156.75</v>
      </c>
      <c r="D1996" s="22" t="s">
        <v>39</v>
      </c>
      <c r="E1996" t="str">
        <f t="shared" si="33"/>
        <v>2015年</v>
      </c>
    </row>
    <row r="1997" spans="1:5" x14ac:dyDescent="0.15">
      <c r="A1997" s="21">
        <v>42105</v>
      </c>
      <c r="B1997" s="22" t="s">
        <v>41</v>
      </c>
      <c r="C1997" s="22">
        <v>1215</v>
      </c>
      <c r="D1997" s="22" t="s">
        <v>39</v>
      </c>
      <c r="E1997" t="str">
        <f t="shared" si="33"/>
        <v>2015年</v>
      </c>
    </row>
    <row r="1998" spans="1:5" x14ac:dyDescent="0.15">
      <c r="A1998" s="21">
        <v>42105</v>
      </c>
      <c r="B1998" s="22" t="s">
        <v>41</v>
      </c>
      <c r="C1998" s="22">
        <v>1967.49</v>
      </c>
      <c r="D1998" s="22" t="s">
        <v>39</v>
      </c>
      <c r="E1998" t="str">
        <f t="shared" si="33"/>
        <v>2015年</v>
      </c>
    </row>
    <row r="1999" spans="1:5" x14ac:dyDescent="0.15">
      <c r="A1999" s="21">
        <v>42105</v>
      </c>
      <c r="B1999" s="22" t="s">
        <v>37</v>
      </c>
      <c r="C1999" s="22">
        <v>1749</v>
      </c>
      <c r="D1999" s="22" t="s">
        <v>39</v>
      </c>
      <c r="E1999" t="str">
        <f t="shared" si="33"/>
        <v>2015年</v>
      </c>
    </row>
    <row r="2000" spans="1:5" x14ac:dyDescent="0.15">
      <c r="A2000" s="21">
        <v>42105</v>
      </c>
      <c r="B2000" s="22" t="s">
        <v>36</v>
      </c>
      <c r="C2000" s="22">
        <v>1218</v>
      </c>
      <c r="D2000" s="22" t="s">
        <v>39</v>
      </c>
      <c r="E2000" t="str">
        <f t="shared" si="33"/>
        <v>2015年</v>
      </c>
    </row>
    <row r="2001" spans="1:5" x14ac:dyDescent="0.15">
      <c r="A2001" s="21">
        <v>42105</v>
      </c>
      <c r="B2001" s="22" t="s">
        <v>41</v>
      </c>
      <c r="C2001" s="22">
        <v>322</v>
      </c>
      <c r="D2001" s="22" t="s">
        <v>34</v>
      </c>
      <c r="E2001" t="str">
        <f t="shared" si="33"/>
        <v>2015年</v>
      </c>
    </row>
    <row r="2002" spans="1:5" x14ac:dyDescent="0.15">
      <c r="A2002" s="21">
        <v>42105</v>
      </c>
      <c r="B2002" s="22" t="s">
        <v>36</v>
      </c>
      <c r="C2002" s="22">
        <v>1080</v>
      </c>
      <c r="D2002" s="22" t="s">
        <v>34</v>
      </c>
      <c r="E2002" t="str">
        <f t="shared" si="33"/>
        <v>2015年</v>
      </c>
    </row>
    <row r="2003" spans="1:5" x14ac:dyDescent="0.15">
      <c r="A2003" s="21">
        <v>42105</v>
      </c>
      <c r="B2003" s="22" t="s">
        <v>37</v>
      </c>
      <c r="C2003" s="22">
        <v>120</v>
      </c>
      <c r="D2003" s="22" t="s">
        <v>39</v>
      </c>
      <c r="E2003" t="str">
        <f t="shared" si="33"/>
        <v>2015年</v>
      </c>
    </row>
    <row r="2004" spans="1:5" x14ac:dyDescent="0.15">
      <c r="A2004" s="21">
        <v>42105</v>
      </c>
      <c r="B2004" s="22" t="s">
        <v>42</v>
      </c>
      <c r="C2004" s="22">
        <v>1380</v>
      </c>
      <c r="D2004" s="22" t="s">
        <v>39</v>
      </c>
      <c r="E2004" t="str">
        <f t="shared" si="33"/>
        <v>2015年</v>
      </c>
    </row>
    <row r="2005" spans="1:5" x14ac:dyDescent="0.15">
      <c r="A2005" s="21">
        <v>42106</v>
      </c>
      <c r="B2005" s="22" t="s">
        <v>41</v>
      </c>
      <c r="C2005" s="22">
        <v>374.76</v>
      </c>
      <c r="D2005" s="22" t="s">
        <v>39</v>
      </c>
      <c r="E2005" t="str">
        <f t="shared" si="33"/>
        <v>2015年</v>
      </c>
    </row>
    <row r="2006" spans="1:5" x14ac:dyDescent="0.15">
      <c r="A2006" s="21">
        <v>42106</v>
      </c>
      <c r="B2006" s="22" t="s">
        <v>36</v>
      </c>
      <c r="C2006" s="22">
        <v>75</v>
      </c>
      <c r="D2006" s="22" t="s">
        <v>39</v>
      </c>
      <c r="E2006" t="str">
        <f t="shared" si="33"/>
        <v>2015年</v>
      </c>
    </row>
    <row r="2007" spans="1:5" x14ac:dyDescent="0.15">
      <c r="A2007" s="21">
        <v>42106</v>
      </c>
      <c r="B2007" s="22" t="s">
        <v>40</v>
      </c>
      <c r="C2007" s="22">
        <v>442.05</v>
      </c>
      <c r="D2007" s="22" t="s">
        <v>39</v>
      </c>
      <c r="E2007" t="str">
        <f t="shared" si="33"/>
        <v>2015年</v>
      </c>
    </row>
    <row r="2008" spans="1:5" x14ac:dyDescent="0.15">
      <c r="A2008" s="21">
        <v>42106</v>
      </c>
      <c r="B2008" s="22" t="s">
        <v>36</v>
      </c>
      <c r="C2008" s="22">
        <v>1075</v>
      </c>
      <c r="D2008" s="22" t="s">
        <v>39</v>
      </c>
      <c r="E2008" t="str">
        <f t="shared" si="33"/>
        <v>2015年</v>
      </c>
    </row>
    <row r="2009" spans="1:5" x14ac:dyDescent="0.15">
      <c r="A2009" s="21">
        <v>42106</v>
      </c>
      <c r="B2009" s="22" t="s">
        <v>42</v>
      </c>
      <c r="C2009" s="22">
        <v>161.9999997317791</v>
      </c>
      <c r="D2009" s="22" t="s">
        <v>34</v>
      </c>
      <c r="E2009" t="str">
        <f t="shared" si="33"/>
        <v>2015年</v>
      </c>
    </row>
    <row r="2010" spans="1:5" x14ac:dyDescent="0.15">
      <c r="A2010" s="21">
        <v>42106</v>
      </c>
      <c r="B2010" s="22" t="s">
        <v>38</v>
      </c>
      <c r="C2010" s="22">
        <v>107.99999982118607</v>
      </c>
      <c r="D2010" s="22" t="s">
        <v>34</v>
      </c>
      <c r="E2010" t="str">
        <f t="shared" si="33"/>
        <v>2015年</v>
      </c>
    </row>
    <row r="2011" spans="1:5" x14ac:dyDescent="0.15">
      <c r="A2011" s="21">
        <v>42106</v>
      </c>
      <c r="B2011" s="22" t="s">
        <v>38</v>
      </c>
      <c r="C2011" s="22">
        <v>500</v>
      </c>
      <c r="D2011" s="22" t="s">
        <v>39</v>
      </c>
      <c r="E2011" t="str">
        <f t="shared" si="33"/>
        <v>2015年</v>
      </c>
    </row>
    <row r="2012" spans="1:5" x14ac:dyDescent="0.15">
      <c r="A2012" s="21">
        <v>42106</v>
      </c>
      <c r="B2012" s="22" t="s">
        <v>37</v>
      </c>
      <c r="C2012" s="22">
        <v>530</v>
      </c>
      <c r="D2012" s="22" t="s">
        <v>39</v>
      </c>
      <c r="E2012" t="str">
        <f t="shared" si="33"/>
        <v>2015年</v>
      </c>
    </row>
    <row r="2013" spans="1:5" x14ac:dyDescent="0.15">
      <c r="A2013" s="21">
        <v>42107</v>
      </c>
      <c r="B2013" s="22" t="s">
        <v>42</v>
      </c>
      <c r="C2013" s="22">
        <v>101.25</v>
      </c>
      <c r="D2013" s="22" t="s">
        <v>39</v>
      </c>
      <c r="E2013" t="str">
        <f t="shared" si="33"/>
        <v>2015年</v>
      </c>
    </row>
    <row r="2014" spans="1:5" x14ac:dyDescent="0.15">
      <c r="A2014" s="21">
        <v>42107</v>
      </c>
      <c r="B2014" s="22" t="s">
        <v>41</v>
      </c>
      <c r="C2014" s="22">
        <v>776.47500000000002</v>
      </c>
      <c r="D2014" s="22" t="s">
        <v>39</v>
      </c>
      <c r="E2014" t="str">
        <f t="shared" si="33"/>
        <v>2015年</v>
      </c>
    </row>
    <row r="2015" spans="1:5" x14ac:dyDescent="0.15">
      <c r="A2015" s="21">
        <v>42107</v>
      </c>
      <c r="B2015" s="22" t="s">
        <v>33</v>
      </c>
      <c r="C2015" s="22">
        <v>840</v>
      </c>
      <c r="D2015" s="22" t="s">
        <v>39</v>
      </c>
      <c r="E2015" t="str">
        <f t="shared" si="33"/>
        <v>2015年</v>
      </c>
    </row>
    <row r="2016" spans="1:5" x14ac:dyDescent="0.15">
      <c r="A2016" s="21">
        <v>42107</v>
      </c>
      <c r="B2016" s="22" t="s">
        <v>36</v>
      </c>
      <c r="C2016" s="22">
        <v>1320</v>
      </c>
      <c r="D2016" s="22" t="s">
        <v>39</v>
      </c>
      <c r="E2016" t="str">
        <f t="shared" si="33"/>
        <v>2015年</v>
      </c>
    </row>
    <row r="2017" spans="1:5" x14ac:dyDescent="0.15">
      <c r="A2017" s="21">
        <v>42107</v>
      </c>
      <c r="B2017" s="22" t="s">
        <v>35</v>
      </c>
      <c r="C2017" s="22">
        <v>760</v>
      </c>
      <c r="D2017" s="22" t="s">
        <v>39</v>
      </c>
      <c r="E2017" t="str">
        <f t="shared" si="33"/>
        <v>2015年</v>
      </c>
    </row>
    <row r="2018" spans="1:5" x14ac:dyDescent="0.15">
      <c r="A2018" s="21">
        <v>42107</v>
      </c>
      <c r="B2018" s="22" t="s">
        <v>40</v>
      </c>
      <c r="C2018" s="22">
        <v>526.79999999999995</v>
      </c>
      <c r="D2018" s="22" t="s">
        <v>39</v>
      </c>
      <c r="E2018" t="str">
        <f t="shared" si="33"/>
        <v>2015年</v>
      </c>
    </row>
    <row r="2019" spans="1:5" x14ac:dyDescent="0.15">
      <c r="A2019" s="21">
        <v>42108</v>
      </c>
      <c r="B2019" s="22" t="s">
        <v>42</v>
      </c>
      <c r="C2019" s="22">
        <v>1425</v>
      </c>
      <c r="D2019" s="22" t="s">
        <v>34</v>
      </c>
      <c r="E2019" t="str">
        <f t="shared" si="33"/>
        <v>2015年</v>
      </c>
    </row>
    <row r="2020" spans="1:5" x14ac:dyDescent="0.15">
      <c r="A2020" s="21">
        <v>42108</v>
      </c>
      <c r="B2020" s="22" t="s">
        <v>40</v>
      </c>
      <c r="C2020" s="22">
        <v>1494.5</v>
      </c>
      <c r="D2020" s="22" t="s">
        <v>34</v>
      </c>
      <c r="E2020" t="str">
        <f t="shared" si="33"/>
        <v>2015年</v>
      </c>
    </row>
    <row r="2021" spans="1:5" x14ac:dyDescent="0.15">
      <c r="A2021" s="21">
        <v>42108</v>
      </c>
      <c r="B2021" s="22" t="s">
        <v>33</v>
      </c>
      <c r="C2021" s="22">
        <v>5570.55</v>
      </c>
      <c r="D2021" s="22" t="s">
        <v>34</v>
      </c>
      <c r="E2021" t="str">
        <f t="shared" si="33"/>
        <v>2015年</v>
      </c>
    </row>
    <row r="2022" spans="1:5" x14ac:dyDescent="0.15">
      <c r="A2022" s="21">
        <v>42108</v>
      </c>
      <c r="B2022" s="22" t="s">
        <v>36</v>
      </c>
      <c r="C2022" s="22">
        <v>4125</v>
      </c>
      <c r="D2022" s="22" t="s">
        <v>34</v>
      </c>
      <c r="E2022" t="str">
        <f t="shared" si="33"/>
        <v>2015年</v>
      </c>
    </row>
    <row r="2023" spans="1:5" x14ac:dyDescent="0.15">
      <c r="A2023" s="21">
        <v>42108</v>
      </c>
      <c r="B2023" s="22" t="s">
        <v>42</v>
      </c>
      <c r="C2023" s="22">
        <v>810</v>
      </c>
      <c r="D2023" s="22" t="s">
        <v>34</v>
      </c>
      <c r="E2023" t="str">
        <f t="shared" si="33"/>
        <v>2015年</v>
      </c>
    </row>
    <row r="2024" spans="1:5" x14ac:dyDescent="0.15">
      <c r="A2024" s="21">
        <v>42108</v>
      </c>
      <c r="B2024" s="22" t="s">
        <v>38</v>
      </c>
      <c r="C2024" s="22">
        <v>480</v>
      </c>
      <c r="D2024" s="22" t="s">
        <v>34</v>
      </c>
      <c r="E2024" t="str">
        <f t="shared" si="33"/>
        <v>2015年</v>
      </c>
    </row>
    <row r="2025" spans="1:5" x14ac:dyDescent="0.15">
      <c r="A2025" s="21">
        <v>42108</v>
      </c>
      <c r="B2025" s="22" t="s">
        <v>42</v>
      </c>
      <c r="C2025" s="22">
        <v>94.5</v>
      </c>
      <c r="D2025" s="22" t="s">
        <v>34</v>
      </c>
      <c r="E2025" t="str">
        <f t="shared" si="33"/>
        <v>2015年</v>
      </c>
    </row>
    <row r="2026" spans="1:5" x14ac:dyDescent="0.15">
      <c r="A2026" s="21">
        <v>42108</v>
      </c>
      <c r="B2026" s="22" t="s">
        <v>35</v>
      </c>
      <c r="C2026" s="22">
        <v>665</v>
      </c>
      <c r="D2026" s="22" t="s">
        <v>34</v>
      </c>
      <c r="E2026" t="str">
        <f t="shared" si="33"/>
        <v>2015年</v>
      </c>
    </row>
    <row r="2027" spans="1:5" x14ac:dyDescent="0.15">
      <c r="A2027" s="21">
        <v>42108</v>
      </c>
      <c r="B2027" s="22" t="s">
        <v>36</v>
      </c>
      <c r="C2027" s="22">
        <v>344</v>
      </c>
      <c r="D2027" s="22" t="s">
        <v>34</v>
      </c>
      <c r="E2027" t="str">
        <f t="shared" si="33"/>
        <v>2015年</v>
      </c>
    </row>
    <row r="2028" spans="1:5" x14ac:dyDescent="0.15">
      <c r="A2028" s="21">
        <v>42108</v>
      </c>
      <c r="B2028" s="22" t="s">
        <v>38</v>
      </c>
      <c r="C2028" s="22">
        <v>665</v>
      </c>
      <c r="D2028" s="22" t="s">
        <v>39</v>
      </c>
      <c r="E2028" t="str">
        <f t="shared" si="33"/>
        <v>2015年</v>
      </c>
    </row>
    <row r="2029" spans="1:5" x14ac:dyDescent="0.15">
      <c r="A2029" s="21">
        <v>42108</v>
      </c>
      <c r="B2029" s="22" t="s">
        <v>42</v>
      </c>
      <c r="C2029" s="22">
        <v>6587.5</v>
      </c>
      <c r="D2029" s="22" t="s">
        <v>39</v>
      </c>
      <c r="E2029" t="str">
        <f t="shared" si="33"/>
        <v>2015年</v>
      </c>
    </row>
    <row r="2030" spans="1:5" x14ac:dyDescent="0.15">
      <c r="A2030" s="21">
        <v>42108</v>
      </c>
      <c r="B2030" s="22" t="s">
        <v>36</v>
      </c>
      <c r="C2030" s="22">
        <v>1650</v>
      </c>
      <c r="D2030" s="22" t="s">
        <v>39</v>
      </c>
      <c r="E2030" t="str">
        <f t="shared" si="33"/>
        <v>2015年</v>
      </c>
    </row>
    <row r="2031" spans="1:5" x14ac:dyDescent="0.15">
      <c r="A2031" s="21">
        <v>42108</v>
      </c>
      <c r="B2031" s="22" t="s">
        <v>33</v>
      </c>
      <c r="C2031" s="22">
        <v>2066.3999965786934</v>
      </c>
      <c r="D2031" s="22" t="s">
        <v>34</v>
      </c>
      <c r="E2031" t="str">
        <f t="shared" si="33"/>
        <v>2015年</v>
      </c>
    </row>
    <row r="2032" spans="1:5" x14ac:dyDescent="0.15">
      <c r="A2032" s="21">
        <v>42108</v>
      </c>
      <c r="B2032" s="22" t="s">
        <v>36</v>
      </c>
      <c r="C2032" s="22">
        <v>1166.3999980688095</v>
      </c>
      <c r="D2032" s="22" t="s">
        <v>34</v>
      </c>
      <c r="E2032" t="str">
        <f t="shared" si="33"/>
        <v>2015年</v>
      </c>
    </row>
    <row r="2033" spans="1:5" x14ac:dyDescent="0.15">
      <c r="A2033" s="21">
        <v>42111</v>
      </c>
      <c r="B2033" s="22" t="s">
        <v>41</v>
      </c>
      <c r="C2033" s="22">
        <v>134.99999977648258</v>
      </c>
      <c r="D2033" s="22" t="s">
        <v>39</v>
      </c>
      <c r="E2033" t="str">
        <f t="shared" si="33"/>
        <v>2015年</v>
      </c>
    </row>
    <row r="2034" spans="1:5" x14ac:dyDescent="0.15">
      <c r="A2034" s="21">
        <v>42111</v>
      </c>
      <c r="B2034" s="22" t="s">
        <v>40</v>
      </c>
      <c r="C2034" s="22">
        <v>233.4</v>
      </c>
      <c r="D2034" s="22" t="s">
        <v>39</v>
      </c>
      <c r="E2034" t="str">
        <f t="shared" si="33"/>
        <v>2015年</v>
      </c>
    </row>
    <row r="2035" spans="1:5" x14ac:dyDescent="0.15">
      <c r="A2035" s="21">
        <v>42111</v>
      </c>
      <c r="B2035" s="22" t="s">
        <v>40</v>
      </c>
      <c r="C2035" s="22">
        <v>171</v>
      </c>
      <c r="D2035" s="22" t="s">
        <v>39</v>
      </c>
      <c r="E2035" t="str">
        <f t="shared" si="33"/>
        <v>2015年</v>
      </c>
    </row>
    <row r="2036" spans="1:5" x14ac:dyDescent="0.15">
      <c r="A2036" s="21">
        <v>42111</v>
      </c>
      <c r="B2036" s="22" t="s">
        <v>42</v>
      </c>
      <c r="C2036" s="22">
        <v>180</v>
      </c>
      <c r="D2036" s="22" t="s">
        <v>39</v>
      </c>
      <c r="E2036" t="str">
        <f t="shared" si="33"/>
        <v>2015年</v>
      </c>
    </row>
    <row r="2037" spans="1:5" x14ac:dyDescent="0.15">
      <c r="A2037" s="21">
        <v>42111</v>
      </c>
      <c r="B2037" s="22" t="s">
        <v>42</v>
      </c>
      <c r="C2037" s="22">
        <v>1080</v>
      </c>
      <c r="D2037" s="22" t="s">
        <v>39</v>
      </c>
      <c r="E2037" t="str">
        <f t="shared" si="33"/>
        <v>2015年</v>
      </c>
    </row>
    <row r="2038" spans="1:5" x14ac:dyDescent="0.15">
      <c r="A2038" s="21">
        <v>42111</v>
      </c>
      <c r="B2038" s="22" t="s">
        <v>35</v>
      </c>
      <c r="C2038" s="22">
        <v>420</v>
      </c>
      <c r="D2038" s="22" t="s">
        <v>39</v>
      </c>
      <c r="E2038" t="str">
        <f t="shared" si="33"/>
        <v>2015年</v>
      </c>
    </row>
    <row r="2039" spans="1:5" x14ac:dyDescent="0.15">
      <c r="A2039" s="21">
        <v>42111</v>
      </c>
      <c r="B2039" s="22" t="s">
        <v>33</v>
      </c>
      <c r="C2039" s="22">
        <v>74.5</v>
      </c>
      <c r="D2039" s="22" t="s">
        <v>39</v>
      </c>
      <c r="E2039" t="str">
        <f t="shared" si="33"/>
        <v>2015年</v>
      </c>
    </row>
    <row r="2040" spans="1:5" x14ac:dyDescent="0.15">
      <c r="A2040" s="21">
        <v>42111</v>
      </c>
      <c r="B2040" s="22" t="s">
        <v>38</v>
      </c>
      <c r="C2040" s="22">
        <v>42</v>
      </c>
      <c r="D2040" s="22" t="s">
        <v>39</v>
      </c>
      <c r="E2040" t="str">
        <f t="shared" si="33"/>
        <v>2015年</v>
      </c>
    </row>
    <row r="2041" spans="1:5" x14ac:dyDescent="0.15">
      <c r="A2041" s="21">
        <v>42111</v>
      </c>
      <c r="B2041" s="22" t="s">
        <v>36</v>
      </c>
      <c r="C2041" s="22">
        <v>1650</v>
      </c>
      <c r="D2041" s="22" t="s">
        <v>39</v>
      </c>
      <c r="E2041" t="str">
        <f t="shared" si="33"/>
        <v>2015年</v>
      </c>
    </row>
    <row r="2042" spans="1:5" x14ac:dyDescent="0.15">
      <c r="A2042" s="21">
        <v>42112</v>
      </c>
      <c r="B2042" s="22" t="s">
        <v>42</v>
      </c>
      <c r="C2042" s="22">
        <v>60</v>
      </c>
      <c r="D2042" s="22" t="s">
        <v>34</v>
      </c>
      <c r="E2042" t="str">
        <f t="shared" si="33"/>
        <v>2015年</v>
      </c>
    </row>
    <row r="2043" spans="1:5" x14ac:dyDescent="0.15">
      <c r="A2043" s="21">
        <v>42112</v>
      </c>
      <c r="B2043" s="22" t="s">
        <v>38</v>
      </c>
      <c r="C2043" s="22">
        <v>73.599999725818634</v>
      </c>
      <c r="D2043" s="22" t="s">
        <v>39</v>
      </c>
      <c r="E2043" t="str">
        <f t="shared" si="33"/>
        <v>2015年</v>
      </c>
    </row>
    <row r="2044" spans="1:5" x14ac:dyDescent="0.15">
      <c r="A2044" s="21">
        <v>42112</v>
      </c>
      <c r="B2044" s="22" t="s">
        <v>35</v>
      </c>
      <c r="C2044" s="22">
        <v>14</v>
      </c>
      <c r="D2044" s="22" t="s">
        <v>39</v>
      </c>
      <c r="E2044" t="str">
        <f t="shared" si="33"/>
        <v>2015年</v>
      </c>
    </row>
    <row r="2045" spans="1:5" x14ac:dyDescent="0.15">
      <c r="A2045" s="21">
        <v>42112</v>
      </c>
      <c r="B2045" s="22" t="s">
        <v>36</v>
      </c>
      <c r="C2045" s="22">
        <v>645</v>
      </c>
      <c r="D2045" s="22" t="s">
        <v>39</v>
      </c>
      <c r="E2045" t="str">
        <f t="shared" si="33"/>
        <v>2015年</v>
      </c>
    </row>
    <row r="2046" spans="1:5" x14ac:dyDescent="0.15">
      <c r="A2046" s="21">
        <v>42112</v>
      </c>
      <c r="B2046" s="22" t="s">
        <v>37</v>
      </c>
      <c r="C2046" s="22">
        <v>912</v>
      </c>
      <c r="D2046" s="22" t="s">
        <v>39</v>
      </c>
      <c r="E2046" t="str">
        <f t="shared" si="33"/>
        <v>2015年</v>
      </c>
    </row>
    <row r="2047" spans="1:5" x14ac:dyDescent="0.15">
      <c r="A2047" s="21">
        <v>42112</v>
      </c>
      <c r="B2047" s="22" t="s">
        <v>42</v>
      </c>
      <c r="C2047" s="22">
        <v>432</v>
      </c>
      <c r="D2047" s="22" t="s">
        <v>39</v>
      </c>
      <c r="E2047" t="str">
        <f t="shared" si="33"/>
        <v>2015年</v>
      </c>
    </row>
    <row r="2048" spans="1:5" x14ac:dyDescent="0.15">
      <c r="A2048" s="21">
        <v>42112</v>
      </c>
      <c r="B2048" s="22" t="s">
        <v>41</v>
      </c>
      <c r="C2048" s="22">
        <v>1200</v>
      </c>
      <c r="D2048" s="22" t="s">
        <v>39</v>
      </c>
      <c r="E2048" t="str">
        <f t="shared" si="33"/>
        <v>2015年</v>
      </c>
    </row>
    <row r="2049" spans="1:5" x14ac:dyDescent="0.15">
      <c r="A2049" s="21">
        <v>42112</v>
      </c>
      <c r="B2049" s="22" t="s">
        <v>35</v>
      </c>
      <c r="C2049" s="22">
        <v>546</v>
      </c>
      <c r="D2049" s="22" t="s">
        <v>39</v>
      </c>
      <c r="E2049" t="str">
        <f t="shared" si="33"/>
        <v>2015年</v>
      </c>
    </row>
    <row r="2050" spans="1:5" x14ac:dyDescent="0.15">
      <c r="A2050" s="21">
        <v>42113</v>
      </c>
      <c r="B2050" s="22" t="s">
        <v>41</v>
      </c>
      <c r="C2050" s="22">
        <v>200</v>
      </c>
      <c r="D2050" s="22" t="s">
        <v>39</v>
      </c>
      <c r="E2050" t="str">
        <f t="shared" ref="E2050:E2113" si="34">YEAR(A2050)&amp;"年"</f>
        <v>2015年</v>
      </c>
    </row>
    <row r="2051" spans="1:5" x14ac:dyDescent="0.15">
      <c r="A2051" s="21">
        <v>42113</v>
      </c>
      <c r="B2051" s="22" t="s">
        <v>42</v>
      </c>
      <c r="C2051" s="22">
        <v>455.99999830126762</v>
      </c>
      <c r="D2051" s="22" t="s">
        <v>39</v>
      </c>
      <c r="E2051" t="str">
        <f t="shared" si="34"/>
        <v>2015年</v>
      </c>
    </row>
    <row r="2052" spans="1:5" x14ac:dyDescent="0.15">
      <c r="A2052" s="21">
        <v>42113</v>
      </c>
      <c r="B2052" s="22" t="s">
        <v>40</v>
      </c>
      <c r="C2052" s="22">
        <v>1317</v>
      </c>
      <c r="D2052" s="22" t="s">
        <v>39</v>
      </c>
      <c r="E2052" t="str">
        <f t="shared" si="34"/>
        <v>2015年</v>
      </c>
    </row>
    <row r="2053" spans="1:5" x14ac:dyDescent="0.15">
      <c r="A2053" s="21">
        <v>42113</v>
      </c>
      <c r="B2053" s="22" t="s">
        <v>40</v>
      </c>
      <c r="C2053" s="22">
        <v>291.75</v>
      </c>
      <c r="D2053" s="22" t="s">
        <v>39</v>
      </c>
      <c r="E2053" t="str">
        <f t="shared" si="34"/>
        <v>2015年</v>
      </c>
    </row>
    <row r="2054" spans="1:5" x14ac:dyDescent="0.15">
      <c r="A2054" s="21">
        <v>42113</v>
      </c>
      <c r="B2054" s="22" t="s">
        <v>40</v>
      </c>
      <c r="C2054" s="22">
        <v>114</v>
      </c>
      <c r="D2054" s="22" t="s">
        <v>39</v>
      </c>
      <c r="E2054" t="str">
        <f t="shared" si="34"/>
        <v>2015年</v>
      </c>
    </row>
    <row r="2055" spans="1:5" x14ac:dyDescent="0.15">
      <c r="A2055" s="21">
        <v>42113</v>
      </c>
      <c r="B2055" s="22" t="s">
        <v>36</v>
      </c>
      <c r="C2055" s="22">
        <v>210</v>
      </c>
      <c r="D2055" s="22" t="s">
        <v>34</v>
      </c>
      <c r="E2055" t="str">
        <f t="shared" si="34"/>
        <v>2015年</v>
      </c>
    </row>
    <row r="2056" spans="1:5" x14ac:dyDescent="0.15">
      <c r="A2056" s="21">
        <v>42114</v>
      </c>
      <c r="B2056" s="22" t="s">
        <v>41</v>
      </c>
      <c r="C2056" s="22">
        <v>591.6</v>
      </c>
      <c r="D2056" s="22" t="s">
        <v>39</v>
      </c>
      <c r="E2056" t="str">
        <f t="shared" si="34"/>
        <v>2015年</v>
      </c>
    </row>
    <row r="2057" spans="1:5" x14ac:dyDescent="0.15">
      <c r="A2057" s="21">
        <v>42114</v>
      </c>
      <c r="B2057" s="22" t="s">
        <v>36</v>
      </c>
      <c r="C2057" s="22">
        <v>37.5</v>
      </c>
      <c r="D2057" s="22" t="s">
        <v>34</v>
      </c>
      <c r="E2057" t="str">
        <f t="shared" si="34"/>
        <v>2015年</v>
      </c>
    </row>
    <row r="2058" spans="1:5" x14ac:dyDescent="0.15">
      <c r="A2058" s="21">
        <v>42114</v>
      </c>
      <c r="B2058" s="22" t="s">
        <v>37</v>
      </c>
      <c r="C2058" s="22">
        <v>1272</v>
      </c>
      <c r="D2058" s="22" t="s">
        <v>34</v>
      </c>
      <c r="E2058" t="str">
        <f t="shared" si="34"/>
        <v>2015年</v>
      </c>
    </row>
    <row r="2059" spans="1:5" x14ac:dyDescent="0.15">
      <c r="A2059" s="21">
        <v>42114</v>
      </c>
      <c r="B2059" s="22" t="s">
        <v>36</v>
      </c>
      <c r="C2059" s="22">
        <v>721.99999943375587</v>
      </c>
      <c r="D2059" s="22" t="s">
        <v>39</v>
      </c>
      <c r="E2059" t="str">
        <f t="shared" si="34"/>
        <v>2015年</v>
      </c>
    </row>
    <row r="2060" spans="1:5" x14ac:dyDescent="0.15">
      <c r="A2060" s="21">
        <v>42114</v>
      </c>
      <c r="B2060" s="22" t="s">
        <v>36</v>
      </c>
      <c r="C2060" s="22">
        <v>455.99999964237213</v>
      </c>
      <c r="D2060" s="22" t="s">
        <v>39</v>
      </c>
      <c r="E2060" t="str">
        <f t="shared" si="34"/>
        <v>2015年</v>
      </c>
    </row>
    <row r="2061" spans="1:5" x14ac:dyDescent="0.15">
      <c r="A2061" s="21">
        <v>42114</v>
      </c>
      <c r="B2061" s="22" t="s">
        <v>42</v>
      </c>
      <c r="C2061" s="22">
        <v>307.79999975860119</v>
      </c>
      <c r="D2061" s="22" t="s">
        <v>39</v>
      </c>
      <c r="E2061" t="str">
        <f t="shared" si="34"/>
        <v>2015年</v>
      </c>
    </row>
    <row r="2062" spans="1:5" x14ac:dyDescent="0.15">
      <c r="A2062" s="21">
        <v>42115</v>
      </c>
      <c r="B2062" s="22" t="s">
        <v>42</v>
      </c>
      <c r="C2062" s="22">
        <v>337.5</v>
      </c>
      <c r="D2062" s="22" t="s">
        <v>34</v>
      </c>
      <c r="E2062" t="str">
        <f t="shared" si="34"/>
        <v>2015年</v>
      </c>
    </row>
    <row r="2063" spans="1:5" x14ac:dyDescent="0.15">
      <c r="A2063" s="21">
        <v>42115</v>
      </c>
      <c r="B2063" s="22" t="s">
        <v>40</v>
      </c>
      <c r="C2063" s="22">
        <v>480.375</v>
      </c>
      <c r="D2063" s="22" t="s">
        <v>34</v>
      </c>
      <c r="E2063" t="str">
        <f t="shared" si="34"/>
        <v>2015年</v>
      </c>
    </row>
    <row r="2064" spans="1:5" x14ac:dyDescent="0.15">
      <c r="A2064" s="21">
        <v>42115</v>
      </c>
      <c r="B2064" s="22" t="s">
        <v>41</v>
      </c>
      <c r="C2064" s="22">
        <v>525</v>
      </c>
      <c r="D2064" s="22" t="s">
        <v>34</v>
      </c>
      <c r="E2064" t="str">
        <f t="shared" si="34"/>
        <v>2015年</v>
      </c>
    </row>
    <row r="2065" spans="1:5" x14ac:dyDescent="0.15">
      <c r="A2065" s="21">
        <v>42115</v>
      </c>
      <c r="B2065" s="22" t="s">
        <v>42</v>
      </c>
      <c r="C2065" s="22">
        <v>151.99999943375587</v>
      </c>
      <c r="D2065" s="22" t="s">
        <v>39</v>
      </c>
      <c r="E2065" t="str">
        <f t="shared" si="34"/>
        <v>2015年</v>
      </c>
    </row>
    <row r="2066" spans="1:5" x14ac:dyDescent="0.15">
      <c r="A2066" s="21">
        <v>42115</v>
      </c>
      <c r="B2066" s="22" t="s">
        <v>36</v>
      </c>
      <c r="C2066" s="22">
        <v>121.5999995470047</v>
      </c>
      <c r="D2066" s="22" t="s">
        <v>39</v>
      </c>
      <c r="E2066" t="str">
        <f t="shared" si="34"/>
        <v>2015年</v>
      </c>
    </row>
    <row r="2067" spans="1:5" x14ac:dyDescent="0.15">
      <c r="A2067" s="21">
        <v>42118</v>
      </c>
      <c r="B2067" s="22" t="s">
        <v>42</v>
      </c>
      <c r="C2067" s="22">
        <v>809.99999865889549</v>
      </c>
      <c r="D2067" s="22" t="s">
        <v>39</v>
      </c>
      <c r="E2067" t="str">
        <f t="shared" si="34"/>
        <v>2015年</v>
      </c>
    </row>
    <row r="2068" spans="1:5" x14ac:dyDescent="0.15">
      <c r="A2068" s="21">
        <v>42118</v>
      </c>
      <c r="B2068" s="22" t="s">
        <v>42</v>
      </c>
      <c r="C2068" s="22">
        <v>35.999999865889549</v>
      </c>
      <c r="D2068" s="22" t="s">
        <v>34</v>
      </c>
      <c r="E2068" t="str">
        <f t="shared" si="34"/>
        <v>2015年</v>
      </c>
    </row>
    <row r="2069" spans="1:5" x14ac:dyDescent="0.15">
      <c r="A2069" s="21">
        <v>42118</v>
      </c>
      <c r="B2069" s="22" t="s">
        <v>42</v>
      </c>
      <c r="C2069" s="22">
        <v>1103.9999958872795</v>
      </c>
      <c r="D2069" s="22" t="s">
        <v>39</v>
      </c>
      <c r="E2069" t="str">
        <f t="shared" si="34"/>
        <v>2015年</v>
      </c>
    </row>
    <row r="2070" spans="1:5" x14ac:dyDescent="0.15">
      <c r="A2070" s="21">
        <v>42118</v>
      </c>
      <c r="B2070" s="22" t="s">
        <v>40</v>
      </c>
      <c r="C2070" s="22">
        <v>227.99999915063381</v>
      </c>
      <c r="D2070" s="22" t="s">
        <v>39</v>
      </c>
      <c r="E2070" t="str">
        <f t="shared" si="34"/>
        <v>2015年</v>
      </c>
    </row>
    <row r="2071" spans="1:5" x14ac:dyDescent="0.15">
      <c r="A2071" s="21">
        <v>42118</v>
      </c>
      <c r="B2071" s="22" t="s">
        <v>38</v>
      </c>
      <c r="C2071" s="22">
        <v>1749.999993480742</v>
      </c>
      <c r="D2071" s="22" t="s">
        <v>39</v>
      </c>
      <c r="E2071" t="str">
        <f t="shared" si="34"/>
        <v>2015年</v>
      </c>
    </row>
    <row r="2072" spans="1:5" x14ac:dyDescent="0.15">
      <c r="A2072" s="21">
        <v>42118</v>
      </c>
      <c r="B2072" s="22" t="s">
        <v>36</v>
      </c>
      <c r="C2072" s="22">
        <v>640</v>
      </c>
      <c r="D2072" s="22" t="s">
        <v>39</v>
      </c>
      <c r="E2072" t="str">
        <f t="shared" si="34"/>
        <v>2015年</v>
      </c>
    </row>
    <row r="2073" spans="1:5" x14ac:dyDescent="0.15">
      <c r="A2073" s="21">
        <v>42118</v>
      </c>
      <c r="B2073" s="22" t="s">
        <v>35</v>
      </c>
      <c r="C2073" s="22">
        <v>664.99999752268195</v>
      </c>
      <c r="D2073" s="22" t="s">
        <v>39</v>
      </c>
      <c r="E2073" t="str">
        <f t="shared" si="34"/>
        <v>2015年</v>
      </c>
    </row>
    <row r="2074" spans="1:5" x14ac:dyDescent="0.15">
      <c r="A2074" s="21">
        <v>42119</v>
      </c>
      <c r="B2074" s="22" t="s">
        <v>36</v>
      </c>
      <c r="C2074" s="22">
        <v>25</v>
      </c>
      <c r="D2074" s="22" t="s">
        <v>39</v>
      </c>
      <c r="E2074" t="str">
        <f t="shared" si="34"/>
        <v>2015年</v>
      </c>
    </row>
    <row r="2075" spans="1:5" x14ac:dyDescent="0.15">
      <c r="A2075" s="21">
        <v>42119</v>
      </c>
      <c r="B2075" s="22" t="s">
        <v>42</v>
      </c>
      <c r="C2075" s="22">
        <v>280</v>
      </c>
      <c r="D2075" s="22" t="s">
        <v>39</v>
      </c>
      <c r="E2075" t="str">
        <f t="shared" si="34"/>
        <v>2015年</v>
      </c>
    </row>
    <row r="2076" spans="1:5" x14ac:dyDescent="0.15">
      <c r="A2076" s="21">
        <v>42119</v>
      </c>
      <c r="B2076" s="22" t="s">
        <v>42</v>
      </c>
      <c r="C2076" s="22">
        <v>67.5</v>
      </c>
      <c r="D2076" s="22" t="s">
        <v>34</v>
      </c>
      <c r="E2076" t="str">
        <f t="shared" si="34"/>
        <v>2015年</v>
      </c>
    </row>
    <row r="2077" spans="1:5" x14ac:dyDescent="0.15">
      <c r="A2077" s="21">
        <v>42119</v>
      </c>
      <c r="B2077" s="22" t="s">
        <v>41</v>
      </c>
      <c r="C2077" s="22">
        <v>210</v>
      </c>
      <c r="D2077" s="22" t="s">
        <v>34</v>
      </c>
      <c r="E2077" t="str">
        <f t="shared" si="34"/>
        <v>2015年</v>
      </c>
    </row>
    <row r="2078" spans="1:5" x14ac:dyDescent="0.15">
      <c r="A2078" s="21">
        <v>42119</v>
      </c>
      <c r="B2078" s="22" t="s">
        <v>37</v>
      </c>
      <c r="C2078" s="22">
        <v>1060</v>
      </c>
      <c r="D2078" s="22" t="s">
        <v>34</v>
      </c>
      <c r="E2078" t="str">
        <f t="shared" si="34"/>
        <v>2015年</v>
      </c>
    </row>
    <row r="2079" spans="1:5" x14ac:dyDescent="0.15">
      <c r="A2079" s="21">
        <v>42119</v>
      </c>
      <c r="B2079" s="22" t="s">
        <v>35</v>
      </c>
      <c r="C2079" s="22">
        <v>390</v>
      </c>
      <c r="D2079" s="22" t="s">
        <v>34</v>
      </c>
      <c r="E2079" t="str">
        <f t="shared" si="34"/>
        <v>2015年</v>
      </c>
    </row>
    <row r="2080" spans="1:5" x14ac:dyDescent="0.15">
      <c r="A2080" s="21">
        <v>42119</v>
      </c>
      <c r="B2080" s="22" t="s">
        <v>37</v>
      </c>
      <c r="C2080" s="22">
        <v>1200</v>
      </c>
      <c r="D2080" s="22" t="s">
        <v>39</v>
      </c>
      <c r="E2080" t="str">
        <f t="shared" si="34"/>
        <v>2015年</v>
      </c>
    </row>
    <row r="2081" spans="1:5" x14ac:dyDescent="0.15">
      <c r="A2081" s="21">
        <v>42119</v>
      </c>
      <c r="B2081" s="22" t="s">
        <v>33</v>
      </c>
      <c r="C2081" s="22">
        <v>840</v>
      </c>
      <c r="D2081" s="22" t="s">
        <v>39</v>
      </c>
      <c r="E2081" t="str">
        <f t="shared" si="34"/>
        <v>2015年</v>
      </c>
    </row>
    <row r="2082" spans="1:5" x14ac:dyDescent="0.15">
      <c r="A2082" s="21">
        <v>42119</v>
      </c>
      <c r="B2082" s="22" t="s">
        <v>36</v>
      </c>
      <c r="C2082" s="22">
        <v>1700</v>
      </c>
      <c r="D2082" s="22" t="s">
        <v>39</v>
      </c>
      <c r="E2082" t="str">
        <f t="shared" si="34"/>
        <v>2015年</v>
      </c>
    </row>
    <row r="2083" spans="1:5" x14ac:dyDescent="0.15">
      <c r="A2083" s="21">
        <v>42120</v>
      </c>
      <c r="B2083" s="22" t="s">
        <v>42</v>
      </c>
      <c r="C2083" s="22">
        <v>45</v>
      </c>
      <c r="D2083" s="22" t="s">
        <v>39</v>
      </c>
      <c r="E2083" t="str">
        <f t="shared" si="34"/>
        <v>2015年</v>
      </c>
    </row>
    <row r="2084" spans="1:5" x14ac:dyDescent="0.15">
      <c r="A2084" s="21">
        <v>42120</v>
      </c>
      <c r="B2084" s="22" t="s">
        <v>41</v>
      </c>
      <c r="C2084" s="22">
        <v>30</v>
      </c>
      <c r="D2084" s="22" t="s">
        <v>34</v>
      </c>
      <c r="E2084" t="str">
        <f t="shared" si="34"/>
        <v>2015年</v>
      </c>
    </row>
    <row r="2085" spans="1:5" x14ac:dyDescent="0.15">
      <c r="A2085" s="21">
        <v>42120</v>
      </c>
      <c r="B2085" s="22" t="s">
        <v>36</v>
      </c>
      <c r="C2085" s="22">
        <v>714</v>
      </c>
      <c r="D2085" s="22" t="s">
        <v>34</v>
      </c>
      <c r="E2085" t="str">
        <f t="shared" si="34"/>
        <v>2015年</v>
      </c>
    </row>
    <row r="2086" spans="1:5" x14ac:dyDescent="0.15">
      <c r="A2086" s="21">
        <v>42120</v>
      </c>
      <c r="B2086" s="22" t="s">
        <v>40</v>
      </c>
      <c r="C2086" s="22">
        <v>114</v>
      </c>
      <c r="D2086" s="22" t="s">
        <v>34</v>
      </c>
      <c r="E2086" t="str">
        <f t="shared" si="34"/>
        <v>2015年</v>
      </c>
    </row>
    <row r="2087" spans="1:5" x14ac:dyDescent="0.15">
      <c r="A2087" s="21">
        <v>42120</v>
      </c>
      <c r="B2087" s="22" t="s">
        <v>38</v>
      </c>
      <c r="C2087" s="22">
        <v>180</v>
      </c>
      <c r="D2087" s="22" t="s">
        <v>39</v>
      </c>
      <c r="E2087" t="str">
        <f t="shared" si="34"/>
        <v>2015年</v>
      </c>
    </row>
    <row r="2088" spans="1:5" x14ac:dyDescent="0.15">
      <c r="A2088" s="21">
        <v>42120</v>
      </c>
      <c r="B2088" s="22" t="s">
        <v>33</v>
      </c>
      <c r="C2088" s="22">
        <v>468</v>
      </c>
      <c r="D2088" s="22" t="s">
        <v>39</v>
      </c>
      <c r="E2088" t="str">
        <f t="shared" si="34"/>
        <v>2015年</v>
      </c>
    </row>
    <row r="2089" spans="1:5" x14ac:dyDescent="0.15">
      <c r="A2089" s="21">
        <v>42120</v>
      </c>
      <c r="B2089" s="22" t="s">
        <v>36</v>
      </c>
      <c r="C2089" s="22">
        <v>1190</v>
      </c>
      <c r="D2089" s="22" t="s">
        <v>39</v>
      </c>
      <c r="E2089" t="str">
        <f t="shared" si="34"/>
        <v>2015年</v>
      </c>
    </row>
    <row r="2090" spans="1:5" x14ac:dyDescent="0.15">
      <c r="A2090" s="21">
        <v>42121</v>
      </c>
      <c r="B2090" s="22" t="s">
        <v>36</v>
      </c>
      <c r="C2090" s="22">
        <v>136</v>
      </c>
      <c r="D2090" s="22" t="s">
        <v>39</v>
      </c>
      <c r="E2090" t="str">
        <f t="shared" si="34"/>
        <v>2015年</v>
      </c>
    </row>
    <row r="2091" spans="1:5" x14ac:dyDescent="0.15">
      <c r="A2091" s="21">
        <v>42121</v>
      </c>
      <c r="B2091" s="22" t="s">
        <v>40</v>
      </c>
      <c r="C2091" s="22">
        <v>130</v>
      </c>
      <c r="D2091" s="22" t="s">
        <v>39</v>
      </c>
      <c r="E2091" t="str">
        <f t="shared" si="34"/>
        <v>2015年</v>
      </c>
    </row>
    <row r="2092" spans="1:5" x14ac:dyDescent="0.15">
      <c r="A2092" s="21">
        <v>42121</v>
      </c>
      <c r="B2092" s="22" t="s">
        <v>36</v>
      </c>
      <c r="C2092" s="22">
        <v>510</v>
      </c>
      <c r="D2092" s="22" t="s">
        <v>39</v>
      </c>
      <c r="E2092" t="str">
        <f t="shared" si="34"/>
        <v>2015年</v>
      </c>
    </row>
    <row r="2093" spans="1:5" x14ac:dyDescent="0.15">
      <c r="A2093" s="21">
        <v>42121</v>
      </c>
      <c r="B2093" s="22" t="s">
        <v>33</v>
      </c>
      <c r="C2093" s="22">
        <v>262.39999902248383</v>
      </c>
      <c r="D2093" s="22" t="s">
        <v>39</v>
      </c>
      <c r="E2093" t="str">
        <f t="shared" si="34"/>
        <v>2015年</v>
      </c>
    </row>
    <row r="2094" spans="1:5" x14ac:dyDescent="0.15">
      <c r="A2094" s="21">
        <v>42121</v>
      </c>
      <c r="B2094" s="22" t="s">
        <v>42</v>
      </c>
      <c r="C2094" s="22">
        <v>143.9999994635582</v>
      </c>
      <c r="D2094" s="22" t="s">
        <v>39</v>
      </c>
      <c r="E2094" t="str">
        <f t="shared" si="34"/>
        <v>2015年</v>
      </c>
    </row>
    <row r="2095" spans="1:5" x14ac:dyDescent="0.15">
      <c r="A2095" s="21">
        <v>42121</v>
      </c>
      <c r="B2095" s="22" t="s">
        <v>42</v>
      </c>
      <c r="C2095" s="22">
        <v>420</v>
      </c>
      <c r="D2095" s="22" t="s">
        <v>39</v>
      </c>
      <c r="E2095" t="str">
        <f t="shared" si="34"/>
        <v>2015年</v>
      </c>
    </row>
    <row r="2096" spans="1:5" x14ac:dyDescent="0.15">
      <c r="A2096" s="21">
        <v>42121</v>
      </c>
      <c r="B2096" s="22" t="s">
        <v>38</v>
      </c>
      <c r="C2096" s="22">
        <v>662.39999890327454</v>
      </c>
      <c r="D2096" s="22" t="s">
        <v>39</v>
      </c>
      <c r="E2096" t="str">
        <f t="shared" si="34"/>
        <v>2015年</v>
      </c>
    </row>
    <row r="2097" spans="1:5" x14ac:dyDescent="0.15">
      <c r="A2097" s="21">
        <v>42121</v>
      </c>
      <c r="B2097" s="22" t="s">
        <v>38</v>
      </c>
      <c r="C2097" s="22">
        <v>260.54999956861138</v>
      </c>
      <c r="D2097" s="22" t="s">
        <v>39</v>
      </c>
      <c r="E2097" t="str">
        <f t="shared" si="34"/>
        <v>2015年</v>
      </c>
    </row>
    <row r="2098" spans="1:5" x14ac:dyDescent="0.15">
      <c r="A2098" s="21">
        <v>42122</v>
      </c>
      <c r="B2098" s="22" t="s">
        <v>33</v>
      </c>
      <c r="C2098" s="22">
        <v>2702.6999955251813</v>
      </c>
      <c r="D2098" s="22" t="s">
        <v>39</v>
      </c>
      <c r="E2098" t="str">
        <f t="shared" si="34"/>
        <v>2015年</v>
      </c>
    </row>
    <row r="2099" spans="1:5" x14ac:dyDescent="0.15">
      <c r="A2099" s="21">
        <v>42122</v>
      </c>
      <c r="B2099" s="22" t="s">
        <v>38</v>
      </c>
      <c r="C2099" s="22">
        <v>115.8</v>
      </c>
      <c r="D2099" s="22" t="s">
        <v>39</v>
      </c>
      <c r="E2099" t="str">
        <f t="shared" si="34"/>
        <v>2015年</v>
      </c>
    </row>
    <row r="2100" spans="1:5" x14ac:dyDescent="0.15">
      <c r="A2100" s="21">
        <v>42122</v>
      </c>
      <c r="B2100" s="22" t="s">
        <v>33</v>
      </c>
      <c r="C2100" s="22">
        <v>737.99999877810478</v>
      </c>
      <c r="D2100" s="22" t="s">
        <v>39</v>
      </c>
      <c r="E2100" t="str">
        <f t="shared" si="34"/>
        <v>2015年</v>
      </c>
    </row>
    <row r="2101" spans="1:5" x14ac:dyDescent="0.15">
      <c r="A2101" s="21">
        <v>42122</v>
      </c>
      <c r="B2101" s="22" t="s">
        <v>33</v>
      </c>
      <c r="C2101" s="22">
        <v>86.399999856948853</v>
      </c>
      <c r="D2101" s="22" t="s">
        <v>39</v>
      </c>
      <c r="E2101" t="str">
        <f t="shared" si="34"/>
        <v>2015年</v>
      </c>
    </row>
    <row r="2102" spans="1:5" x14ac:dyDescent="0.15">
      <c r="A2102" s="21">
        <v>42122</v>
      </c>
      <c r="B2102" s="22" t="s">
        <v>41</v>
      </c>
      <c r="C2102" s="22">
        <v>687.5</v>
      </c>
      <c r="D2102" s="22" t="s">
        <v>39</v>
      </c>
      <c r="E2102" t="str">
        <f t="shared" si="34"/>
        <v>2015年</v>
      </c>
    </row>
    <row r="2103" spans="1:5" x14ac:dyDescent="0.15">
      <c r="A2103" s="21">
        <v>42122</v>
      </c>
      <c r="B2103" s="22" t="s">
        <v>38</v>
      </c>
      <c r="C2103" s="22">
        <v>77.67</v>
      </c>
      <c r="D2103" s="22" t="s">
        <v>39</v>
      </c>
      <c r="E2103" t="str">
        <f t="shared" si="34"/>
        <v>2015年</v>
      </c>
    </row>
    <row r="2104" spans="1:5" x14ac:dyDescent="0.15">
      <c r="A2104" s="21">
        <v>42122</v>
      </c>
      <c r="B2104" s="22" t="s">
        <v>33</v>
      </c>
      <c r="C2104" s="22">
        <v>111.75</v>
      </c>
      <c r="D2104" s="22" t="s">
        <v>39</v>
      </c>
      <c r="E2104" t="str">
        <f t="shared" si="34"/>
        <v>2015年</v>
      </c>
    </row>
    <row r="2105" spans="1:5" x14ac:dyDescent="0.15">
      <c r="A2105" s="21">
        <v>42122</v>
      </c>
      <c r="B2105" s="22" t="s">
        <v>41</v>
      </c>
      <c r="C2105" s="22">
        <v>52.35</v>
      </c>
      <c r="D2105" s="22" t="s">
        <v>34</v>
      </c>
      <c r="E2105" t="str">
        <f t="shared" si="34"/>
        <v>2015年</v>
      </c>
    </row>
    <row r="2106" spans="1:5" x14ac:dyDescent="0.15">
      <c r="A2106" s="21">
        <v>42122</v>
      </c>
      <c r="B2106" s="22" t="s">
        <v>41</v>
      </c>
      <c r="C2106" s="22">
        <v>386.4</v>
      </c>
      <c r="D2106" s="22" t="s">
        <v>34</v>
      </c>
      <c r="E2106" t="str">
        <f t="shared" si="34"/>
        <v>2015年</v>
      </c>
    </row>
    <row r="2107" spans="1:5" x14ac:dyDescent="0.15">
      <c r="A2107" s="21">
        <v>42122</v>
      </c>
      <c r="B2107" s="22" t="s">
        <v>42</v>
      </c>
      <c r="C2107" s="22">
        <v>490</v>
      </c>
      <c r="D2107" s="22" t="s">
        <v>34</v>
      </c>
      <c r="E2107" t="str">
        <f t="shared" si="34"/>
        <v>2015年</v>
      </c>
    </row>
    <row r="2108" spans="1:5" x14ac:dyDescent="0.15">
      <c r="A2108" s="21">
        <v>42125</v>
      </c>
      <c r="B2108" s="22" t="s">
        <v>38</v>
      </c>
      <c r="C2108" s="22">
        <v>86.85</v>
      </c>
      <c r="D2108" s="22" t="s">
        <v>39</v>
      </c>
      <c r="E2108" t="str">
        <f t="shared" si="34"/>
        <v>2015年</v>
      </c>
    </row>
    <row r="2109" spans="1:5" x14ac:dyDescent="0.15">
      <c r="A2109" s="21">
        <v>42125</v>
      </c>
      <c r="B2109" s="22" t="s">
        <v>37</v>
      </c>
      <c r="C2109" s="22">
        <v>310.07999782562257</v>
      </c>
      <c r="D2109" s="22" t="s">
        <v>39</v>
      </c>
      <c r="E2109" t="str">
        <f t="shared" si="34"/>
        <v>2015年</v>
      </c>
    </row>
    <row r="2110" spans="1:5" x14ac:dyDescent="0.15">
      <c r="A2110" s="21">
        <v>42125</v>
      </c>
      <c r="B2110" s="22" t="s">
        <v>42</v>
      </c>
      <c r="C2110" s="22">
        <v>1407.5999901294708</v>
      </c>
      <c r="D2110" s="22" t="s">
        <v>39</v>
      </c>
      <c r="E2110" t="str">
        <f t="shared" si="34"/>
        <v>2015年</v>
      </c>
    </row>
    <row r="2111" spans="1:5" x14ac:dyDescent="0.15">
      <c r="A2111" s="21">
        <v>42125</v>
      </c>
      <c r="B2111" s="22" t="s">
        <v>40</v>
      </c>
      <c r="C2111" s="22">
        <v>309.39999783039093</v>
      </c>
      <c r="D2111" s="22" t="s">
        <v>39</v>
      </c>
      <c r="E2111" t="str">
        <f t="shared" si="34"/>
        <v>2015年</v>
      </c>
    </row>
    <row r="2112" spans="1:5" x14ac:dyDescent="0.15">
      <c r="A2112" s="21">
        <v>42125</v>
      </c>
      <c r="B2112" s="22" t="s">
        <v>42</v>
      </c>
      <c r="C2112" s="22">
        <v>360</v>
      </c>
      <c r="D2112" s="22" t="s">
        <v>39</v>
      </c>
      <c r="E2112" t="str">
        <f t="shared" si="34"/>
        <v>2015年</v>
      </c>
    </row>
    <row r="2113" spans="1:5" x14ac:dyDescent="0.15">
      <c r="A2113" s="21">
        <v>42126</v>
      </c>
      <c r="B2113" s="22" t="s">
        <v>42</v>
      </c>
      <c r="C2113" s="22">
        <v>611.99999570846558</v>
      </c>
      <c r="D2113" s="22" t="s">
        <v>39</v>
      </c>
      <c r="E2113" t="str">
        <f t="shared" si="34"/>
        <v>2015年</v>
      </c>
    </row>
    <row r="2114" spans="1:5" x14ac:dyDescent="0.15">
      <c r="A2114" s="21">
        <v>42126</v>
      </c>
      <c r="B2114" s="22" t="s">
        <v>42</v>
      </c>
      <c r="C2114" s="22">
        <v>322.9999977350235</v>
      </c>
      <c r="D2114" s="22" t="s">
        <v>39</v>
      </c>
      <c r="E2114" t="str">
        <f t="shared" ref="E2114:E2156" si="35">YEAR(A2114)&amp;"年"</f>
        <v>2015年</v>
      </c>
    </row>
    <row r="2115" spans="1:5" x14ac:dyDescent="0.15">
      <c r="A2115" s="21">
        <v>42126</v>
      </c>
      <c r="B2115" s="22" t="s">
        <v>41</v>
      </c>
      <c r="C2115" s="22">
        <v>444.97499687969685</v>
      </c>
      <c r="D2115" s="22" t="s">
        <v>39</v>
      </c>
      <c r="E2115" t="str">
        <f t="shared" si="35"/>
        <v>2015年</v>
      </c>
    </row>
    <row r="2116" spans="1:5" x14ac:dyDescent="0.15">
      <c r="A2116" s="21">
        <v>42126</v>
      </c>
      <c r="B2116" s="22" t="s">
        <v>36</v>
      </c>
      <c r="C2116" s="22">
        <v>250</v>
      </c>
      <c r="D2116" s="22" t="s">
        <v>39</v>
      </c>
      <c r="E2116" t="str">
        <f t="shared" si="35"/>
        <v>2015年</v>
      </c>
    </row>
    <row r="2117" spans="1:5" x14ac:dyDescent="0.15">
      <c r="A2117" s="21">
        <v>42126</v>
      </c>
      <c r="B2117" s="22" t="s">
        <v>37</v>
      </c>
      <c r="C2117" s="22">
        <v>427.49999966472387</v>
      </c>
      <c r="D2117" s="22" t="s">
        <v>39</v>
      </c>
      <c r="E2117" t="str">
        <f t="shared" si="35"/>
        <v>2015年</v>
      </c>
    </row>
    <row r="2118" spans="1:5" x14ac:dyDescent="0.15">
      <c r="A2118" s="21">
        <v>42126</v>
      </c>
      <c r="B2118" s="22" t="s">
        <v>38</v>
      </c>
      <c r="C2118" s="22">
        <v>56.999999955296516</v>
      </c>
      <c r="D2118" s="22" t="s">
        <v>39</v>
      </c>
      <c r="E2118" t="str">
        <f t="shared" si="35"/>
        <v>2015年</v>
      </c>
    </row>
    <row r="2119" spans="1:5" x14ac:dyDescent="0.15">
      <c r="A2119" s="21">
        <v>42126</v>
      </c>
      <c r="B2119" s="22" t="s">
        <v>42</v>
      </c>
      <c r="C2119" s="22">
        <v>152</v>
      </c>
      <c r="D2119" s="22" t="s">
        <v>39</v>
      </c>
      <c r="E2119" t="str">
        <f t="shared" si="35"/>
        <v>2015年</v>
      </c>
    </row>
    <row r="2120" spans="1:5" x14ac:dyDescent="0.15">
      <c r="A2120" s="21">
        <v>42126</v>
      </c>
      <c r="B2120" s="22" t="s">
        <v>38</v>
      </c>
      <c r="C2120" s="22">
        <v>386</v>
      </c>
      <c r="D2120" s="22" t="s">
        <v>39</v>
      </c>
      <c r="E2120" t="str">
        <f t="shared" si="35"/>
        <v>2015年</v>
      </c>
    </row>
    <row r="2121" spans="1:5" x14ac:dyDescent="0.15">
      <c r="A2121" s="21">
        <v>42126</v>
      </c>
      <c r="B2121" s="22" t="s">
        <v>41</v>
      </c>
      <c r="C2121" s="22">
        <v>357.5</v>
      </c>
      <c r="D2121" s="22" t="s">
        <v>39</v>
      </c>
      <c r="E2121" t="str">
        <f t="shared" si="35"/>
        <v>2015年</v>
      </c>
    </row>
    <row r="2122" spans="1:5" x14ac:dyDescent="0.15">
      <c r="A2122" s="21">
        <v>42126</v>
      </c>
      <c r="B2122" s="22" t="s">
        <v>35</v>
      </c>
      <c r="C2122" s="22">
        <v>4322.5</v>
      </c>
      <c r="D2122" s="22" t="s">
        <v>39</v>
      </c>
      <c r="E2122" t="str">
        <f t="shared" si="35"/>
        <v>2015年</v>
      </c>
    </row>
    <row r="2123" spans="1:5" x14ac:dyDescent="0.15">
      <c r="A2123" s="21">
        <v>42126</v>
      </c>
      <c r="B2123" s="22" t="s">
        <v>36</v>
      </c>
      <c r="C2123" s="22">
        <v>210</v>
      </c>
      <c r="D2123" s="22" t="s">
        <v>39</v>
      </c>
      <c r="E2123" t="str">
        <f t="shared" si="35"/>
        <v>2015年</v>
      </c>
    </row>
    <row r="2124" spans="1:5" x14ac:dyDescent="0.15">
      <c r="A2124" s="21">
        <v>42126</v>
      </c>
      <c r="B2124" s="22" t="s">
        <v>42</v>
      </c>
      <c r="C2124" s="22">
        <v>90</v>
      </c>
      <c r="D2124" s="22" t="s">
        <v>39</v>
      </c>
      <c r="E2124" t="str">
        <f t="shared" si="35"/>
        <v>2015年</v>
      </c>
    </row>
    <row r="2125" spans="1:5" x14ac:dyDescent="0.15">
      <c r="A2125" s="21">
        <v>42127</v>
      </c>
      <c r="B2125" s="22" t="s">
        <v>41</v>
      </c>
      <c r="C2125" s="22">
        <v>232.08499981798232</v>
      </c>
      <c r="D2125" s="22" t="s">
        <v>34</v>
      </c>
      <c r="E2125" t="str">
        <f t="shared" si="35"/>
        <v>2015年</v>
      </c>
    </row>
    <row r="2126" spans="1:5" x14ac:dyDescent="0.15">
      <c r="A2126" s="21">
        <v>42127</v>
      </c>
      <c r="B2126" s="22" t="s">
        <v>42</v>
      </c>
      <c r="C2126" s="22">
        <v>161.49999886751175</v>
      </c>
      <c r="D2126" s="22" t="s">
        <v>39</v>
      </c>
      <c r="E2126" t="str">
        <f t="shared" si="35"/>
        <v>2015年</v>
      </c>
    </row>
    <row r="2127" spans="1:5" x14ac:dyDescent="0.15">
      <c r="A2127" s="21">
        <v>42127</v>
      </c>
      <c r="B2127" s="22" t="s">
        <v>38</v>
      </c>
      <c r="C2127" s="22">
        <v>305.99999785423279</v>
      </c>
      <c r="D2127" s="22" t="s">
        <v>39</v>
      </c>
      <c r="E2127" t="str">
        <f t="shared" si="35"/>
        <v>2015年</v>
      </c>
    </row>
    <row r="2128" spans="1:5" x14ac:dyDescent="0.15">
      <c r="A2128" s="21">
        <v>42127</v>
      </c>
      <c r="B2128" s="22" t="s">
        <v>42</v>
      </c>
      <c r="C2128" s="22">
        <v>30.599999785423279</v>
      </c>
      <c r="D2128" s="22" t="s">
        <v>39</v>
      </c>
      <c r="E2128" t="str">
        <f t="shared" si="35"/>
        <v>2015年</v>
      </c>
    </row>
    <row r="2129" spans="1:5" x14ac:dyDescent="0.15">
      <c r="A2129" s="21">
        <v>42127</v>
      </c>
      <c r="B2129" s="22" t="s">
        <v>40</v>
      </c>
      <c r="C2129" s="22">
        <v>375</v>
      </c>
      <c r="D2129" s="22" t="s">
        <v>39</v>
      </c>
      <c r="E2129" t="str">
        <f t="shared" si="35"/>
        <v>2015年</v>
      </c>
    </row>
    <row r="2130" spans="1:5" x14ac:dyDescent="0.15">
      <c r="A2130" s="21">
        <v>42127</v>
      </c>
      <c r="B2130" s="22" t="s">
        <v>37</v>
      </c>
      <c r="C2130" s="22">
        <v>348.75</v>
      </c>
      <c r="D2130" s="22" t="s">
        <v>39</v>
      </c>
      <c r="E2130" t="str">
        <f t="shared" si="35"/>
        <v>2015年</v>
      </c>
    </row>
    <row r="2131" spans="1:5" x14ac:dyDescent="0.15">
      <c r="A2131" s="21">
        <v>42127</v>
      </c>
      <c r="B2131" s="22" t="s">
        <v>41</v>
      </c>
      <c r="C2131" s="22">
        <v>69</v>
      </c>
      <c r="D2131" s="22" t="s">
        <v>39</v>
      </c>
      <c r="E2131" t="str">
        <f t="shared" si="35"/>
        <v>2015年</v>
      </c>
    </row>
    <row r="2132" spans="1:5" x14ac:dyDescent="0.15">
      <c r="A2132" s="21">
        <v>42127</v>
      </c>
      <c r="B2132" s="22" t="s">
        <v>42</v>
      </c>
      <c r="C2132" s="22">
        <v>364.7999986410141</v>
      </c>
      <c r="D2132" s="22" t="s">
        <v>39</v>
      </c>
      <c r="E2132" t="str">
        <f t="shared" si="35"/>
        <v>2015年</v>
      </c>
    </row>
    <row r="2133" spans="1:5" x14ac:dyDescent="0.15">
      <c r="A2133" s="21">
        <v>42127</v>
      </c>
      <c r="B2133" s="22" t="s">
        <v>40</v>
      </c>
      <c r="C2133" s="22">
        <v>40</v>
      </c>
      <c r="D2133" s="22" t="s">
        <v>39</v>
      </c>
      <c r="E2133" t="str">
        <f t="shared" si="35"/>
        <v>2015年</v>
      </c>
    </row>
    <row r="2134" spans="1:5" x14ac:dyDescent="0.15">
      <c r="A2134" s="21">
        <v>42127</v>
      </c>
      <c r="B2134" s="22" t="s">
        <v>40</v>
      </c>
      <c r="C2134" s="22">
        <v>22</v>
      </c>
      <c r="D2134" s="22" t="s">
        <v>39</v>
      </c>
      <c r="E2134" t="str">
        <f t="shared" si="35"/>
        <v>2015年</v>
      </c>
    </row>
    <row r="2135" spans="1:5" x14ac:dyDescent="0.15">
      <c r="A2135" s="21">
        <v>42127</v>
      </c>
      <c r="B2135" s="22" t="s">
        <v>40</v>
      </c>
      <c r="C2135" s="22">
        <v>24.500000011175871</v>
      </c>
      <c r="D2135" s="22" t="s">
        <v>39</v>
      </c>
      <c r="E2135" t="str">
        <f t="shared" si="35"/>
        <v>2015年</v>
      </c>
    </row>
    <row r="2136" spans="1:5" x14ac:dyDescent="0.15">
      <c r="A2136" s="21">
        <v>42127</v>
      </c>
      <c r="B2136" s="22" t="s">
        <v>37</v>
      </c>
      <c r="C2136" s="22">
        <v>28.499999977648258</v>
      </c>
      <c r="D2136" s="22" t="s">
        <v>39</v>
      </c>
      <c r="E2136" t="str">
        <f t="shared" si="35"/>
        <v>2015年</v>
      </c>
    </row>
    <row r="2137" spans="1:5" x14ac:dyDescent="0.15">
      <c r="A2137" s="21">
        <v>42127</v>
      </c>
      <c r="B2137" s="22" t="s">
        <v>40</v>
      </c>
      <c r="C2137" s="22">
        <v>71.99999988079071</v>
      </c>
      <c r="D2137" s="22" t="s">
        <v>39</v>
      </c>
      <c r="E2137" t="str">
        <f t="shared" si="35"/>
        <v>2015年</v>
      </c>
    </row>
    <row r="2138" spans="1:5" x14ac:dyDescent="0.15">
      <c r="A2138" s="21">
        <v>42127</v>
      </c>
      <c r="B2138" s="22" t="s">
        <v>38</v>
      </c>
      <c r="C2138" s="22">
        <v>31</v>
      </c>
      <c r="D2138" s="22" t="s">
        <v>39</v>
      </c>
      <c r="E2138" t="str">
        <f t="shared" si="35"/>
        <v>2015年</v>
      </c>
    </row>
    <row r="2139" spans="1:5" x14ac:dyDescent="0.15">
      <c r="A2139" s="21">
        <v>42127</v>
      </c>
      <c r="B2139" s="22" t="s">
        <v>36</v>
      </c>
      <c r="C2139" s="22">
        <v>72.199999943375587</v>
      </c>
      <c r="D2139" s="22" t="s">
        <v>39</v>
      </c>
      <c r="E2139" t="str">
        <f t="shared" si="35"/>
        <v>2015年</v>
      </c>
    </row>
    <row r="2140" spans="1:5" x14ac:dyDescent="0.15">
      <c r="A2140" s="21">
        <v>42127</v>
      </c>
      <c r="B2140" s="22" t="s">
        <v>38</v>
      </c>
      <c r="C2140" s="22">
        <v>24</v>
      </c>
      <c r="D2140" s="22" t="s">
        <v>39</v>
      </c>
      <c r="E2140" t="str">
        <f t="shared" si="35"/>
        <v>2015年</v>
      </c>
    </row>
    <row r="2141" spans="1:5" x14ac:dyDescent="0.15">
      <c r="A2141" s="21">
        <v>42127</v>
      </c>
      <c r="B2141" s="22" t="s">
        <v>37</v>
      </c>
      <c r="C2141" s="22">
        <v>22.55250001559034</v>
      </c>
      <c r="D2141" s="22" t="s">
        <v>39</v>
      </c>
      <c r="E2141" t="str">
        <f t="shared" si="35"/>
        <v>2015年</v>
      </c>
    </row>
    <row r="2142" spans="1:5" x14ac:dyDescent="0.15">
      <c r="A2142" s="21">
        <v>42127</v>
      </c>
      <c r="B2142" s="22" t="s">
        <v>41</v>
      </c>
      <c r="C2142" s="22">
        <v>33.853000023402274</v>
      </c>
      <c r="D2142" s="22" t="s">
        <v>39</v>
      </c>
      <c r="E2142" t="str">
        <f t="shared" si="35"/>
        <v>2015年</v>
      </c>
    </row>
    <row r="2143" spans="1:5" x14ac:dyDescent="0.15">
      <c r="A2143" s="21">
        <v>42127</v>
      </c>
      <c r="B2143" s="22" t="s">
        <v>41</v>
      </c>
      <c r="C2143" s="22">
        <v>77.760000072419643</v>
      </c>
      <c r="D2143" s="22" t="s">
        <v>39</v>
      </c>
      <c r="E2143" t="str">
        <f t="shared" si="35"/>
        <v>2015年</v>
      </c>
    </row>
    <row r="2144" spans="1:5" x14ac:dyDescent="0.15">
      <c r="A2144" s="21">
        <v>42127</v>
      </c>
      <c r="B2144" s="22" t="s">
        <v>35</v>
      </c>
      <c r="C2144" s="22">
        <v>18</v>
      </c>
      <c r="D2144" s="22" t="s">
        <v>39</v>
      </c>
      <c r="E2144" t="str">
        <f t="shared" si="35"/>
        <v>2015年</v>
      </c>
    </row>
    <row r="2145" spans="1:5" x14ac:dyDescent="0.15">
      <c r="A2145" s="21">
        <v>42127</v>
      </c>
      <c r="B2145" s="22" t="s">
        <v>36</v>
      </c>
      <c r="C2145" s="22">
        <v>32</v>
      </c>
      <c r="D2145" s="22" t="s">
        <v>39</v>
      </c>
      <c r="E2145" t="str">
        <f t="shared" si="35"/>
        <v>2015年</v>
      </c>
    </row>
    <row r="2146" spans="1:5" x14ac:dyDescent="0.15">
      <c r="A2146" s="21">
        <v>42127</v>
      </c>
      <c r="B2146" s="22" t="s">
        <v>42</v>
      </c>
      <c r="C2146" s="22">
        <v>34.19999997317791</v>
      </c>
      <c r="D2146" s="22" t="s">
        <v>39</v>
      </c>
      <c r="E2146" t="str">
        <f t="shared" si="35"/>
        <v>2015年</v>
      </c>
    </row>
    <row r="2147" spans="1:5" x14ac:dyDescent="0.15">
      <c r="A2147" s="21">
        <v>42127</v>
      </c>
      <c r="B2147" s="22" t="s">
        <v>38</v>
      </c>
      <c r="C2147" s="22">
        <v>28.95</v>
      </c>
      <c r="D2147" s="22" t="s">
        <v>39</v>
      </c>
      <c r="E2147" t="str">
        <f t="shared" si="35"/>
        <v>2015年</v>
      </c>
    </row>
    <row r="2148" spans="1:5" x14ac:dyDescent="0.15">
      <c r="A2148" s="21">
        <v>42127</v>
      </c>
      <c r="B2148" s="22" t="s">
        <v>38</v>
      </c>
      <c r="C2148" s="22">
        <v>35.280000016093254</v>
      </c>
      <c r="D2148" s="22" t="s">
        <v>39</v>
      </c>
      <c r="E2148" t="str">
        <f t="shared" si="35"/>
        <v>2015年</v>
      </c>
    </row>
    <row r="2149" spans="1:5" x14ac:dyDescent="0.15">
      <c r="A2149" s="21">
        <v>42127</v>
      </c>
      <c r="B2149" s="22" t="s">
        <v>35</v>
      </c>
      <c r="C2149" s="22">
        <v>14</v>
      </c>
      <c r="D2149" s="22" t="s">
        <v>39</v>
      </c>
      <c r="E2149" t="str">
        <f t="shared" si="35"/>
        <v>2015年</v>
      </c>
    </row>
    <row r="2150" spans="1:5" x14ac:dyDescent="0.15">
      <c r="A2150" s="21">
        <v>42127</v>
      </c>
      <c r="B2150" s="22" t="s">
        <v>33</v>
      </c>
      <c r="C2150" s="22">
        <v>48</v>
      </c>
      <c r="D2150" s="22" t="s">
        <v>39</v>
      </c>
      <c r="E2150" t="str">
        <f t="shared" si="35"/>
        <v>2015年</v>
      </c>
    </row>
    <row r="2151" spans="1:5" x14ac:dyDescent="0.15">
      <c r="A2151" s="21">
        <v>42127</v>
      </c>
      <c r="B2151" s="22" t="s">
        <v>36</v>
      </c>
      <c r="C2151" s="22">
        <v>63.920000091195107</v>
      </c>
      <c r="D2151" s="22" t="s">
        <v>39</v>
      </c>
      <c r="E2151" t="str">
        <f t="shared" si="35"/>
        <v>2015年</v>
      </c>
    </row>
    <row r="2152" spans="1:5" x14ac:dyDescent="0.15">
      <c r="A2152" s="21">
        <v>42127</v>
      </c>
      <c r="B2152" s="22" t="s">
        <v>35</v>
      </c>
      <c r="C2152" s="22">
        <v>64.505000044591725</v>
      </c>
      <c r="D2152" s="22" t="s">
        <v>39</v>
      </c>
      <c r="E2152" t="str">
        <f t="shared" si="35"/>
        <v>2015年</v>
      </c>
    </row>
    <row r="2153" spans="1:5" x14ac:dyDescent="0.15">
      <c r="A2153" s="21">
        <v>42127</v>
      </c>
      <c r="B2153" s="22" t="s">
        <v>40</v>
      </c>
      <c r="C2153" s="22">
        <v>17</v>
      </c>
      <c r="D2153" s="22" t="s">
        <v>39</v>
      </c>
      <c r="E2153" t="str">
        <f t="shared" si="35"/>
        <v>2015年</v>
      </c>
    </row>
    <row r="2154" spans="1:5" x14ac:dyDescent="0.15">
      <c r="A2154" s="21">
        <v>42127</v>
      </c>
      <c r="B2154" s="22" t="s">
        <v>38</v>
      </c>
      <c r="C2154" s="22">
        <v>29.700000006705523</v>
      </c>
      <c r="D2154" s="22" t="s">
        <v>39</v>
      </c>
      <c r="E2154" t="str">
        <f t="shared" si="35"/>
        <v>2015年</v>
      </c>
    </row>
    <row r="2155" spans="1:5" x14ac:dyDescent="0.15">
      <c r="A2155" s="21">
        <v>42127</v>
      </c>
      <c r="B2155" s="22" t="s">
        <v>42</v>
      </c>
      <c r="C2155" s="22">
        <v>31</v>
      </c>
      <c r="D2155" s="22" t="s">
        <v>39</v>
      </c>
      <c r="E2155" t="str">
        <f t="shared" si="35"/>
        <v>2015年</v>
      </c>
    </row>
    <row r="2156" spans="1:5" x14ac:dyDescent="0.15">
      <c r="A2156" s="21">
        <v>42127</v>
      </c>
      <c r="B2156" s="22" t="s">
        <v>40</v>
      </c>
      <c r="C2156" s="22">
        <v>26</v>
      </c>
      <c r="D2156" s="22" t="s">
        <v>39</v>
      </c>
      <c r="E2156" t="str">
        <f t="shared" si="35"/>
        <v>2015年</v>
      </c>
    </row>
  </sheetData>
  <phoneticPr fontId="11" type="noConversion"/>
  <pageMargins left="0.75" right="0.75" top="1" bottom="1" header="0.5" footer="0.5"/>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3793" r:id="rId4" name="Drop Down 1">
              <controlPr defaultSize="0" autoLine="0" autoPict="0">
                <anchor moveWithCells="1">
                  <from>
                    <xdr:col>10</xdr:col>
                    <xdr:colOff>561975</xdr:colOff>
                    <xdr:row>42</xdr:row>
                    <xdr:rowOff>19050</xdr:rowOff>
                  </from>
                  <to>
                    <xdr:col>11</xdr:col>
                    <xdr:colOff>600075</xdr:colOff>
                    <xdr:row>43</xdr:row>
                    <xdr:rowOff>38100</xdr:rowOff>
                  </to>
                </anchor>
              </controlPr>
            </control>
          </mc:Choice>
        </mc:AlternateContent>
        <mc:AlternateContent xmlns:mc="http://schemas.openxmlformats.org/markup-compatibility/2006">
          <mc:Choice Requires="x14">
            <control shapeId="33794" r:id="rId5" name="Drop Down 2">
              <controlPr defaultSize="0" autoLine="0" autoPict="0">
                <anchor moveWithCells="1">
                  <from>
                    <xdr:col>11</xdr:col>
                    <xdr:colOff>28575</xdr:colOff>
                    <xdr:row>43</xdr:row>
                    <xdr:rowOff>152400</xdr:rowOff>
                  </from>
                  <to>
                    <xdr:col>11</xdr:col>
                    <xdr:colOff>581025</xdr:colOff>
                    <xdr:row>44</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9"/>
  <sheetViews>
    <sheetView workbookViewId="0">
      <selection activeCell="G8" sqref="G8"/>
    </sheetView>
  </sheetViews>
  <sheetFormatPr defaultColWidth="8.875" defaultRowHeight="14.25" x14ac:dyDescent="0.15"/>
  <cols>
    <col min="1" max="16384" width="8.875" style="62"/>
  </cols>
  <sheetData>
    <row r="1" spans="1:8" ht="15" x14ac:dyDescent="0.2">
      <c r="A1" s="1" t="s">
        <v>107</v>
      </c>
      <c r="B1" s="1" t="s">
        <v>106</v>
      </c>
      <c r="C1" s="7" t="s">
        <v>105</v>
      </c>
      <c r="D1" s="7" t="s">
        <v>104</v>
      </c>
      <c r="E1" s="2"/>
      <c r="F1" s="2"/>
      <c r="G1" s="2"/>
      <c r="H1" s="2"/>
    </row>
    <row r="2" spans="1:8" x14ac:dyDescent="0.15">
      <c r="A2" s="65">
        <v>5.67</v>
      </c>
      <c r="B2" s="3">
        <f t="shared" ref="B2:B14" si="0">1/A2</f>
        <v>0.17636684303350969</v>
      </c>
      <c r="C2" s="8">
        <v>17.7</v>
      </c>
      <c r="D2" s="4">
        <f t="shared" ref="D2:D14" si="1">$G$2+$G$3*B2</f>
        <v>17.772388254731872</v>
      </c>
      <c r="E2" s="2"/>
      <c r="F2" s="7" t="s">
        <v>103</v>
      </c>
      <c r="G2" s="9">
        <v>16.834158370639333</v>
      </c>
      <c r="H2" s="2"/>
    </row>
    <row r="3" spans="1:8" x14ac:dyDescent="0.15">
      <c r="A3" s="64">
        <v>5.13</v>
      </c>
      <c r="B3" s="5">
        <f t="shared" si="0"/>
        <v>0.19493177387914232</v>
      </c>
      <c r="C3" s="10">
        <v>18</v>
      </c>
      <c r="D3" s="4">
        <f t="shared" si="1"/>
        <v>17.871149295162667</v>
      </c>
      <c r="E3" s="2"/>
      <c r="F3" s="7" t="s">
        <v>102</v>
      </c>
      <c r="G3" s="9">
        <v>5.3197634428046952</v>
      </c>
      <c r="H3" s="2"/>
    </row>
    <row r="4" spans="1:8" x14ac:dyDescent="0.15">
      <c r="A4" s="64">
        <v>4.5599999999999996</v>
      </c>
      <c r="B4" s="5">
        <f t="shared" si="0"/>
        <v>0.2192982456140351</v>
      </c>
      <c r="C4" s="10">
        <v>17.899999999999999</v>
      </c>
      <c r="D4" s="4">
        <f t="shared" si="1"/>
        <v>18.00077316072808</v>
      </c>
      <c r="E4" s="2"/>
      <c r="F4" s="11" t="s">
        <v>101</v>
      </c>
      <c r="G4" s="9">
        <f>SUMXMY2(D2:D14,C2:C14)/COUNT(D2:D14)</f>
        <v>1.3687480035621046E-2</v>
      </c>
      <c r="H4" s="2"/>
    </row>
    <row r="5" spans="1:8" x14ac:dyDescent="0.15">
      <c r="A5" s="64">
        <v>4.45</v>
      </c>
      <c r="B5" s="5">
        <f t="shared" si="0"/>
        <v>0.2247191011235955</v>
      </c>
      <c r="C5" s="10">
        <v>18.100000000000001</v>
      </c>
      <c r="D5" s="4">
        <f t="shared" si="1"/>
        <v>18.029610829696569</v>
      </c>
      <c r="E5" s="2"/>
      <c r="F5" s="2"/>
      <c r="G5" s="2"/>
      <c r="H5" s="2"/>
    </row>
    <row r="6" spans="1:8" x14ac:dyDescent="0.15">
      <c r="A6" s="64">
        <v>4.22</v>
      </c>
      <c r="B6" s="5">
        <f t="shared" si="0"/>
        <v>0.23696682464454977</v>
      </c>
      <c r="C6" s="10">
        <v>18.100000000000001</v>
      </c>
      <c r="D6" s="4">
        <f t="shared" si="1"/>
        <v>18.094765821540918</v>
      </c>
      <c r="E6" s="2"/>
      <c r="F6" s="2"/>
      <c r="G6" s="2"/>
      <c r="H6" s="2"/>
    </row>
    <row r="7" spans="1:8" x14ac:dyDescent="0.15">
      <c r="A7" s="64">
        <v>3.84</v>
      </c>
      <c r="B7" s="5">
        <f t="shared" si="0"/>
        <v>0.26041666666666669</v>
      </c>
      <c r="C7" s="10">
        <v>18.3</v>
      </c>
      <c r="D7" s="4">
        <f t="shared" si="1"/>
        <v>18.219513433869722</v>
      </c>
      <c r="E7" s="2"/>
      <c r="F7" s="11" t="s">
        <v>100</v>
      </c>
      <c r="G7" s="12">
        <v>5</v>
      </c>
      <c r="H7" s="2"/>
    </row>
    <row r="8" spans="1:8" x14ac:dyDescent="0.15">
      <c r="A8" s="64">
        <v>3.84</v>
      </c>
      <c r="B8" s="5">
        <f t="shared" si="0"/>
        <v>0.26041666666666669</v>
      </c>
      <c r="C8" s="10">
        <v>18</v>
      </c>
      <c r="D8" s="4">
        <f t="shared" si="1"/>
        <v>18.219513433869722</v>
      </c>
      <c r="E8" s="2"/>
      <c r="F8" s="11" t="s">
        <v>99</v>
      </c>
      <c r="G8" s="9">
        <f>G2+G3*1/G7</f>
        <v>17.898111059200271</v>
      </c>
      <c r="H8" s="2"/>
    </row>
    <row r="9" spans="1:8" x14ac:dyDescent="0.15">
      <c r="A9" s="64">
        <v>3.73</v>
      </c>
      <c r="B9" s="5">
        <f t="shared" si="0"/>
        <v>0.26809651474530832</v>
      </c>
      <c r="C9" s="10">
        <v>18.3</v>
      </c>
      <c r="D9" s="4">
        <f t="shared" si="1"/>
        <v>18.260368408924773</v>
      </c>
      <c r="E9" s="2"/>
      <c r="F9" s="2"/>
      <c r="G9" s="2"/>
      <c r="H9" s="2"/>
    </row>
    <row r="10" spans="1:8" x14ac:dyDescent="0.15">
      <c r="A10" s="64">
        <v>3.21</v>
      </c>
      <c r="B10" s="5">
        <f t="shared" si="0"/>
        <v>0.3115264797507788</v>
      </c>
      <c r="C10" s="10">
        <v>18.399999999999999</v>
      </c>
      <c r="D10" s="4">
        <f t="shared" si="1"/>
        <v>18.491405549083161</v>
      </c>
      <c r="E10" s="2"/>
      <c r="F10" s="2"/>
      <c r="G10" s="2"/>
      <c r="H10" s="2"/>
    </row>
    <row r="11" spans="1:8" x14ac:dyDescent="0.15">
      <c r="A11" s="64">
        <v>2.81</v>
      </c>
      <c r="B11" s="5">
        <f t="shared" si="0"/>
        <v>0.35587188612099646</v>
      </c>
      <c r="C11" s="10">
        <v>18.8</v>
      </c>
      <c r="D11" s="4">
        <f t="shared" si="1"/>
        <v>18.727312620747767</v>
      </c>
      <c r="E11" s="2"/>
      <c r="F11" s="2"/>
      <c r="G11" s="2"/>
      <c r="H11" s="2"/>
    </row>
    <row r="12" spans="1:8" x14ac:dyDescent="0.15">
      <c r="A12" s="64">
        <v>2.67</v>
      </c>
      <c r="B12" s="5">
        <f t="shared" si="0"/>
        <v>0.37453183520599254</v>
      </c>
      <c r="C12" s="10">
        <v>18.899999999999999</v>
      </c>
      <c r="D12" s="4">
        <f t="shared" si="1"/>
        <v>18.826579135734725</v>
      </c>
      <c r="E12" s="2"/>
      <c r="F12" s="2"/>
      <c r="G12" s="2"/>
      <c r="H12" s="2"/>
    </row>
    <row r="13" spans="1:8" x14ac:dyDescent="0.15">
      <c r="A13" s="64">
        <v>2.56</v>
      </c>
      <c r="B13" s="5">
        <f t="shared" si="0"/>
        <v>0.390625</v>
      </c>
      <c r="C13" s="10">
        <v>19.100000000000001</v>
      </c>
      <c r="D13" s="4">
        <f t="shared" si="1"/>
        <v>18.912190965484918</v>
      </c>
      <c r="E13" s="2"/>
      <c r="F13" s="2"/>
      <c r="G13" s="2"/>
      <c r="H13" s="2"/>
    </row>
    <row r="14" spans="1:8" x14ac:dyDescent="0.15">
      <c r="A14" s="63">
        <v>2.1800000000000002</v>
      </c>
      <c r="B14" s="6">
        <f t="shared" si="0"/>
        <v>0.4587155963302752</v>
      </c>
      <c r="C14" s="13">
        <v>19.100000000000001</v>
      </c>
      <c r="D14" s="9">
        <f t="shared" si="1"/>
        <v>19.274416830641485</v>
      </c>
      <c r="E14" s="2"/>
      <c r="F14" s="2"/>
      <c r="G14" s="2"/>
      <c r="H14" s="2"/>
    </row>
    <row r="15" spans="1:8" x14ac:dyDescent="0.15">
      <c r="A15" s="2"/>
      <c r="B15" s="2"/>
      <c r="C15" s="2"/>
      <c r="D15" s="2"/>
      <c r="E15" s="2"/>
      <c r="F15" s="2"/>
      <c r="G15" s="2"/>
      <c r="H15" s="2"/>
    </row>
    <row r="16" spans="1:8" x14ac:dyDescent="0.15">
      <c r="A16" s="2"/>
      <c r="B16" s="2"/>
      <c r="C16" s="2"/>
      <c r="D16" s="2"/>
      <c r="E16" s="2"/>
      <c r="F16" s="2"/>
      <c r="G16" s="2"/>
      <c r="H16" s="2"/>
    </row>
    <row r="17" spans="1:8" x14ac:dyDescent="0.15">
      <c r="A17" s="2"/>
      <c r="B17" s="2"/>
      <c r="C17" s="2"/>
      <c r="D17" s="2"/>
      <c r="E17" s="2"/>
      <c r="F17" s="2"/>
      <c r="G17" s="2"/>
      <c r="H17" s="2"/>
    </row>
    <row r="18" spans="1:8" x14ac:dyDescent="0.15">
      <c r="A18" s="2"/>
      <c r="B18" s="2"/>
      <c r="C18" s="2"/>
      <c r="D18" s="2"/>
      <c r="E18" s="2"/>
      <c r="F18" s="2"/>
      <c r="G18" s="2"/>
      <c r="H18" s="2"/>
    </row>
    <row r="19" spans="1:8" x14ac:dyDescent="0.15">
      <c r="A19" s="2"/>
      <c r="B19" s="2"/>
      <c r="C19" s="2"/>
      <c r="D19" s="2"/>
      <c r="E19" s="2"/>
      <c r="F19" s="2"/>
      <c r="G19" s="2"/>
      <c r="H19" s="2"/>
    </row>
    <row r="20" spans="1:8" x14ac:dyDescent="0.15">
      <c r="A20" s="2"/>
      <c r="B20" s="2"/>
      <c r="C20" s="2"/>
      <c r="D20" s="2"/>
      <c r="E20" s="2"/>
      <c r="F20" s="2"/>
      <c r="G20" s="2"/>
      <c r="H20" s="2"/>
    </row>
    <row r="21" spans="1:8" x14ac:dyDescent="0.15">
      <c r="A21" s="2"/>
      <c r="B21" s="2"/>
      <c r="C21" s="2"/>
      <c r="D21" s="2"/>
      <c r="E21" s="2"/>
      <c r="F21" s="2"/>
      <c r="G21" s="2"/>
      <c r="H21" s="2"/>
    </row>
    <row r="22" spans="1:8" x14ac:dyDescent="0.15">
      <c r="A22" s="2"/>
      <c r="B22" s="2"/>
      <c r="C22" s="2"/>
      <c r="D22" s="2"/>
      <c r="E22" s="2"/>
      <c r="F22" s="2"/>
      <c r="G22" s="2"/>
      <c r="H22" s="2"/>
    </row>
    <row r="23" spans="1:8" x14ac:dyDescent="0.15">
      <c r="A23" s="2"/>
      <c r="B23" s="2"/>
      <c r="C23" s="2"/>
      <c r="D23" s="2"/>
      <c r="E23" s="2"/>
      <c r="F23" s="2"/>
      <c r="G23" s="2"/>
      <c r="H23" s="2"/>
    </row>
    <row r="24" spans="1:8" x14ac:dyDescent="0.15">
      <c r="A24" s="2"/>
      <c r="B24" s="2"/>
      <c r="C24" s="2"/>
      <c r="D24" s="2"/>
      <c r="E24" s="2"/>
      <c r="F24" s="2"/>
      <c r="G24" s="2"/>
      <c r="H24" s="2"/>
    </row>
    <row r="25" spans="1:8" x14ac:dyDescent="0.15">
      <c r="A25" s="2"/>
      <c r="B25" s="2"/>
      <c r="C25" s="2"/>
      <c r="D25" s="2"/>
      <c r="E25" s="2"/>
      <c r="F25" s="2"/>
      <c r="G25" s="2"/>
      <c r="H25" s="2"/>
    </row>
    <row r="26" spans="1:8" x14ac:dyDescent="0.15">
      <c r="A26" s="2"/>
      <c r="B26" s="2"/>
      <c r="C26" s="2"/>
      <c r="D26" s="2"/>
      <c r="E26" s="2"/>
      <c r="F26" s="2"/>
      <c r="G26" s="2"/>
      <c r="H26" s="2"/>
    </row>
    <row r="27" spans="1:8" x14ac:dyDescent="0.15">
      <c r="A27" s="2"/>
      <c r="B27" s="2"/>
      <c r="C27" s="2"/>
      <c r="D27" s="2"/>
      <c r="E27" s="2"/>
      <c r="F27" s="2"/>
      <c r="G27" s="2"/>
      <c r="H27" s="2"/>
    </row>
    <row r="28" spans="1:8" x14ac:dyDescent="0.15">
      <c r="A28" s="2"/>
      <c r="B28" s="2"/>
      <c r="C28" s="2"/>
      <c r="D28" s="2"/>
      <c r="E28" s="2"/>
      <c r="F28" s="2"/>
      <c r="G28" s="2"/>
      <c r="H28" s="2"/>
    </row>
    <row r="29" spans="1:8" x14ac:dyDescent="0.15">
      <c r="A29" s="2"/>
      <c r="B29" s="2"/>
      <c r="C29" s="2"/>
      <c r="D29" s="2"/>
      <c r="E29" s="2"/>
      <c r="F29" s="2"/>
      <c r="G29" s="2"/>
      <c r="H29" s="2"/>
    </row>
  </sheetData>
  <phoneticPr fontId="11" type="noConversion"/>
  <pageMargins left="0.7" right="0.7" top="0.75" bottom="0.75" header="0.3" footer="0.3"/>
  <drawing r:id="rId1"/>
  <legacyDrawing r:id="rId2"/>
  <oleObjects>
    <mc:AlternateContent xmlns:mc="http://schemas.openxmlformats.org/markup-compatibility/2006">
      <mc:Choice Requires="x14">
        <oleObject progId="Equation.3" shapeId="14337" r:id="rId3">
          <objectPr defaultSize="0" autoPict="0" r:id="rId4">
            <anchor moveWithCells="1" sizeWithCells="1">
              <from>
                <xdr:col>1</xdr:col>
                <xdr:colOff>142875</xdr:colOff>
                <xdr:row>17</xdr:row>
                <xdr:rowOff>152400</xdr:rowOff>
              </from>
              <to>
                <xdr:col>3</xdr:col>
                <xdr:colOff>219075</xdr:colOff>
                <xdr:row>20</xdr:row>
                <xdr:rowOff>47625</xdr:rowOff>
              </to>
            </anchor>
          </objectPr>
        </oleObject>
      </mc:Choice>
      <mc:Fallback>
        <oleObject progId="Equation.3" shapeId="14337"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L31"/>
  <sheetViews>
    <sheetView workbookViewId="0">
      <selection activeCell="E24" sqref="E24"/>
    </sheetView>
  </sheetViews>
  <sheetFormatPr defaultColWidth="8" defaultRowHeight="15" x14ac:dyDescent="0.2"/>
  <cols>
    <col min="1" max="1" width="2.375" style="23" customWidth="1"/>
    <col min="2" max="2" width="16.375" style="23" customWidth="1"/>
    <col min="3" max="5" width="13" style="23" customWidth="1"/>
    <col min="6" max="6" width="8.75" style="24" customWidth="1"/>
    <col min="7" max="8" width="13.625" style="24" customWidth="1"/>
    <col min="9" max="9" width="2.75" style="23" customWidth="1"/>
    <col min="10" max="10" width="25.125" style="23" customWidth="1"/>
    <col min="11" max="11" width="10.25" style="23" customWidth="1"/>
    <col min="12" max="12" width="9.625" style="23" customWidth="1"/>
    <col min="13" max="13" width="11.5" style="23" bestFit="1" customWidth="1"/>
    <col min="14" max="16384" width="8" style="23"/>
  </cols>
  <sheetData>
    <row r="1" spans="2:12" x14ac:dyDescent="0.2">
      <c r="G1" s="113" t="s">
        <v>57</v>
      </c>
      <c r="H1" s="113"/>
      <c r="J1" s="24"/>
      <c r="K1" s="113" t="s">
        <v>56</v>
      </c>
      <c r="L1" s="113"/>
    </row>
    <row r="2" spans="2:12" x14ac:dyDescent="0.2">
      <c r="B2" s="52" t="s">
        <v>55</v>
      </c>
      <c r="C2" s="51"/>
      <c r="D2" s="50">
        <v>2500</v>
      </c>
      <c r="F2" s="46" t="s">
        <v>54</v>
      </c>
      <c r="G2" s="46" t="s">
        <v>53</v>
      </c>
      <c r="H2" s="46" t="s">
        <v>52</v>
      </c>
      <c r="J2" s="46" t="s">
        <v>54</v>
      </c>
      <c r="K2" s="46" t="s">
        <v>53</v>
      </c>
      <c r="L2" s="46" t="s">
        <v>52</v>
      </c>
    </row>
    <row r="3" spans="2:12" x14ac:dyDescent="0.2">
      <c r="F3" s="45">
        <v>0</v>
      </c>
      <c r="G3" s="45">
        <v>45</v>
      </c>
      <c r="H3" s="45">
        <v>30</v>
      </c>
      <c r="J3" s="46" t="s">
        <v>51</v>
      </c>
      <c r="K3" s="45">
        <v>45</v>
      </c>
      <c r="L3" s="45">
        <v>30</v>
      </c>
    </row>
    <row r="4" spans="2:12" ht="15.75" x14ac:dyDescent="0.25">
      <c r="B4" s="49"/>
      <c r="C4" s="48" t="s">
        <v>50</v>
      </c>
      <c r="D4" s="48" t="s">
        <v>49</v>
      </c>
      <c r="F4" s="45">
        <v>2000</v>
      </c>
      <c r="G4" s="45">
        <v>35</v>
      </c>
      <c r="H4" s="45">
        <v>20</v>
      </c>
      <c r="J4" s="33" t="s">
        <v>48</v>
      </c>
      <c r="K4" s="45">
        <v>35</v>
      </c>
      <c r="L4" s="45">
        <v>20</v>
      </c>
    </row>
    <row r="5" spans="2:12" x14ac:dyDescent="0.2">
      <c r="B5" s="43" t="s">
        <v>47</v>
      </c>
      <c r="C5" s="47">
        <v>20000</v>
      </c>
      <c r="D5" s="47">
        <v>30000</v>
      </c>
      <c r="F5" s="45">
        <v>3000</v>
      </c>
      <c r="G5" s="45">
        <v>25</v>
      </c>
      <c r="H5" s="45">
        <v>15</v>
      </c>
      <c r="J5" s="46" t="s">
        <v>46</v>
      </c>
      <c r="K5" s="45">
        <v>25</v>
      </c>
      <c r="L5" s="45">
        <v>15</v>
      </c>
    </row>
    <row r="6" spans="2:12" x14ac:dyDescent="0.2">
      <c r="B6" s="43" t="s">
        <v>45</v>
      </c>
      <c r="C6" s="44">
        <f>INDEX(G3:G5,MATCH(D2,F3:F5,1))</f>
        <v>35</v>
      </c>
      <c r="D6" s="44">
        <f>INDEX(H3:H5,MATCH(D2,F3:F5,1))</f>
        <v>20</v>
      </c>
      <c r="F6" s="23"/>
      <c r="G6" s="23"/>
      <c r="H6" s="23"/>
    </row>
    <row r="7" spans="2:12" x14ac:dyDescent="0.2">
      <c r="B7" s="43" t="s">
        <v>44</v>
      </c>
      <c r="C7" s="42">
        <f>C5+C6*$D$2</f>
        <v>107500</v>
      </c>
      <c r="D7" s="42">
        <f>D5+D6*$D$2</f>
        <v>80000</v>
      </c>
      <c r="F7" s="23"/>
      <c r="G7" s="23"/>
      <c r="H7" s="23"/>
    </row>
    <row r="8" spans="2:12" x14ac:dyDescent="0.2">
      <c r="B8" s="34"/>
      <c r="C8" s="34"/>
      <c r="D8" s="34"/>
      <c r="F8" s="39" t="s">
        <v>43</v>
      </c>
    </row>
    <row r="9" spans="2:12" x14ac:dyDescent="0.2">
      <c r="B9" s="38"/>
      <c r="C9" s="41"/>
      <c r="D9" s="35"/>
      <c r="E9" s="40"/>
      <c r="G9" s="39"/>
      <c r="H9" s="39"/>
    </row>
    <row r="10" spans="2:12" x14ac:dyDescent="0.2">
      <c r="B10" s="38"/>
      <c r="C10" s="35"/>
      <c r="D10" s="35"/>
      <c r="E10" s="35"/>
      <c r="G10" s="37">
        <f>C7</f>
        <v>107500</v>
      </c>
      <c r="H10" s="37">
        <f>D7</f>
        <v>80000</v>
      </c>
    </row>
    <row r="11" spans="2:12" x14ac:dyDescent="0.2">
      <c r="B11" s="34"/>
      <c r="C11" s="34"/>
      <c r="F11" s="33">
        <v>0</v>
      </c>
      <c r="G11" s="32">
        <f t="dataTable" ref="G11:H16" dt2D="0" dtr="0" r1="D2"/>
        <v>20000</v>
      </c>
      <c r="H11" s="32">
        <v>30000</v>
      </c>
    </row>
    <row r="12" spans="2:12" x14ac:dyDescent="0.2">
      <c r="B12" s="36"/>
      <c r="F12" s="33">
        <f>F4-0.001</f>
        <v>1999.999</v>
      </c>
      <c r="G12" s="32">
        <v>109999.955</v>
      </c>
      <c r="H12" s="32">
        <v>89999.97</v>
      </c>
    </row>
    <row r="13" spans="2:12" x14ac:dyDescent="0.2">
      <c r="B13" s="35"/>
      <c r="C13" s="34"/>
      <c r="D13" s="34"/>
      <c r="F13" s="33">
        <f>F4</f>
        <v>2000</v>
      </c>
      <c r="G13" s="32">
        <v>90000</v>
      </c>
      <c r="H13" s="32">
        <v>70000</v>
      </c>
    </row>
    <row r="14" spans="2:12" x14ac:dyDescent="0.2">
      <c r="F14" s="33">
        <f>F5-0.001</f>
        <v>2999.9989999999998</v>
      </c>
      <c r="G14" s="32">
        <v>124999.965</v>
      </c>
      <c r="H14" s="32">
        <v>89999.98</v>
      </c>
    </row>
    <row r="15" spans="2:12" x14ac:dyDescent="0.2">
      <c r="D15" s="34"/>
      <c r="F15" s="33">
        <f>F5</f>
        <v>3000</v>
      </c>
      <c r="G15" s="32">
        <v>95000</v>
      </c>
      <c r="H15" s="32">
        <v>75000</v>
      </c>
    </row>
    <row r="16" spans="2:12" x14ac:dyDescent="0.2">
      <c r="F16" s="33">
        <v>6000</v>
      </c>
      <c r="G16" s="32">
        <v>170000</v>
      </c>
      <c r="H16" s="32">
        <v>120000</v>
      </c>
    </row>
    <row r="17" spans="3:8" x14ac:dyDescent="0.2">
      <c r="G17" s="23"/>
      <c r="H17" s="23"/>
    </row>
    <row r="18" spans="3:8" x14ac:dyDescent="0.2">
      <c r="F18" s="31">
        <f>$D$2</f>
        <v>2500</v>
      </c>
      <c r="G18" s="32">
        <v>0</v>
      </c>
      <c r="H18" s="23"/>
    </row>
    <row r="19" spans="3:8" x14ac:dyDescent="0.2">
      <c r="F19" s="31">
        <f>$D$2</f>
        <v>2500</v>
      </c>
      <c r="G19" s="32">
        <f>C7</f>
        <v>107500</v>
      </c>
    </row>
    <row r="20" spans="3:8" x14ac:dyDescent="0.2">
      <c r="F20" s="31">
        <f>$D$2</f>
        <v>2500</v>
      </c>
      <c r="G20" s="32">
        <f>D7</f>
        <v>80000</v>
      </c>
    </row>
    <row r="21" spans="3:8" x14ac:dyDescent="0.2">
      <c r="F21" s="31">
        <f>$D$2</f>
        <v>2500</v>
      </c>
      <c r="G21" s="30">
        <v>180000</v>
      </c>
      <c r="H21" s="29"/>
    </row>
    <row r="22" spans="3:8" x14ac:dyDescent="0.2">
      <c r="F22" s="28"/>
      <c r="G22" s="28"/>
      <c r="H22" s="28"/>
    </row>
    <row r="23" spans="3:8" x14ac:dyDescent="0.2">
      <c r="C23" s="27"/>
      <c r="F23" s="28"/>
      <c r="G23" s="28"/>
      <c r="H23" s="28"/>
    </row>
    <row r="24" spans="3:8" x14ac:dyDescent="0.2">
      <c r="F24" s="28"/>
      <c r="G24" s="28"/>
      <c r="H24" s="28"/>
    </row>
    <row r="25" spans="3:8" x14ac:dyDescent="0.2">
      <c r="F25" s="28"/>
      <c r="G25" s="28"/>
      <c r="H25" s="28"/>
    </row>
    <row r="26" spans="3:8" x14ac:dyDescent="0.2">
      <c r="F26" s="28"/>
      <c r="G26" s="28"/>
      <c r="H26" s="28"/>
    </row>
    <row r="28" spans="3:8" x14ac:dyDescent="0.2">
      <c r="F28" s="27"/>
      <c r="G28" s="23"/>
    </row>
    <row r="29" spans="3:8" x14ac:dyDescent="0.2">
      <c r="F29" s="26"/>
      <c r="G29" s="25"/>
    </row>
    <row r="30" spans="3:8" x14ac:dyDescent="0.2">
      <c r="F30" s="26"/>
      <c r="G30" s="25"/>
    </row>
    <row r="31" spans="3:8" x14ac:dyDescent="0.2">
      <c r="F31" s="26"/>
      <c r="G31" s="25"/>
    </row>
  </sheetData>
  <mergeCells count="2">
    <mergeCell ref="G1:H1"/>
    <mergeCell ref="K1:L1"/>
  </mergeCells>
  <phoneticPr fontId="1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Spinner 1">
              <controlPr defaultSize="0" autoPict="0">
                <anchor moveWithCells="1" sizeWithCells="1">
                  <from>
                    <xdr:col>4</xdr:col>
                    <xdr:colOff>9525</xdr:colOff>
                    <xdr:row>0</xdr:row>
                    <xdr:rowOff>190500</xdr:rowOff>
                  </from>
                  <to>
                    <xdr:col>4</xdr:col>
                    <xdr:colOff>209550</xdr:colOff>
                    <xdr:row>2</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5"/>
  <sheetViews>
    <sheetView workbookViewId="0">
      <selection activeCell="L19" sqref="L19"/>
    </sheetView>
  </sheetViews>
  <sheetFormatPr defaultRowHeight="13.5" x14ac:dyDescent="0.15"/>
  <cols>
    <col min="1" max="1" width="30.5" style="98" bestFit="1" customWidth="1"/>
    <col min="2" max="2" width="10.125" style="98" customWidth="1"/>
    <col min="3" max="3" width="10.75" style="98" customWidth="1"/>
    <col min="4" max="4" width="11.125" style="98" customWidth="1"/>
    <col min="5" max="5" width="10.25" style="98" customWidth="1"/>
    <col min="6" max="6" width="8.5" style="98" customWidth="1"/>
    <col min="7" max="7" width="10.125" style="98" bestFit="1" customWidth="1"/>
    <col min="8" max="8" width="10.5" style="98" bestFit="1" customWidth="1"/>
    <col min="9" max="256" width="8.875" style="98"/>
    <col min="257" max="257" width="30.5" style="98" bestFit="1" customWidth="1"/>
    <col min="258" max="258" width="10.125" style="98" customWidth="1"/>
    <col min="259" max="259" width="10.75" style="98" customWidth="1"/>
    <col min="260" max="260" width="11.125" style="98" customWidth="1"/>
    <col min="261" max="261" width="10.25" style="98" customWidth="1"/>
    <col min="262" max="262" width="8.5" style="98" customWidth="1"/>
    <col min="263" max="512" width="8.875" style="98"/>
    <col min="513" max="513" width="30.5" style="98" bestFit="1" customWidth="1"/>
    <col min="514" max="514" width="10.125" style="98" customWidth="1"/>
    <col min="515" max="515" width="10.75" style="98" customWidth="1"/>
    <col min="516" max="516" width="11.125" style="98" customWidth="1"/>
    <col min="517" max="517" width="10.25" style="98" customWidth="1"/>
    <col min="518" max="518" width="8.5" style="98" customWidth="1"/>
    <col min="519" max="768" width="8.875" style="98"/>
    <col min="769" max="769" width="30.5" style="98" bestFit="1" customWidth="1"/>
    <col min="770" max="770" width="10.125" style="98" customWidth="1"/>
    <col min="771" max="771" width="10.75" style="98" customWidth="1"/>
    <col min="772" max="772" width="11.125" style="98" customWidth="1"/>
    <col min="773" max="773" width="10.25" style="98" customWidth="1"/>
    <col min="774" max="774" width="8.5" style="98" customWidth="1"/>
    <col min="775" max="1024" width="8.875" style="98"/>
    <col min="1025" max="1025" width="30.5" style="98" bestFit="1" customWidth="1"/>
    <col min="1026" max="1026" width="10.125" style="98" customWidth="1"/>
    <col min="1027" max="1027" width="10.75" style="98" customWidth="1"/>
    <col min="1028" max="1028" width="11.125" style="98" customWidth="1"/>
    <col min="1029" max="1029" width="10.25" style="98" customWidth="1"/>
    <col min="1030" max="1030" width="8.5" style="98" customWidth="1"/>
    <col min="1031" max="1280" width="8.875" style="98"/>
    <col min="1281" max="1281" width="30.5" style="98" bestFit="1" customWidth="1"/>
    <col min="1282" max="1282" width="10.125" style="98" customWidth="1"/>
    <col min="1283" max="1283" width="10.75" style="98" customWidth="1"/>
    <col min="1284" max="1284" width="11.125" style="98" customWidth="1"/>
    <col min="1285" max="1285" width="10.25" style="98" customWidth="1"/>
    <col min="1286" max="1286" width="8.5" style="98" customWidth="1"/>
    <col min="1287" max="1536" width="8.875" style="98"/>
    <col min="1537" max="1537" width="30.5" style="98" bestFit="1" customWidth="1"/>
    <col min="1538" max="1538" width="10.125" style="98" customWidth="1"/>
    <col min="1539" max="1539" width="10.75" style="98" customWidth="1"/>
    <col min="1540" max="1540" width="11.125" style="98" customWidth="1"/>
    <col min="1541" max="1541" width="10.25" style="98" customWidth="1"/>
    <col min="1542" max="1542" width="8.5" style="98" customWidth="1"/>
    <col min="1543" max="1792" width="8.875" style="98"/>
    <col min="1793" max="1793" width="30.5" style="98" bestFit="1" customWidth="1"/>
    <col min="1794" max="1794" width="10.125" style="98" customWidth="1"/>
    <col min="1795" max="1795" width="10.75" style="98" customWidth="1"/>
    <col min="1796" max="1796" width="11.125" style="98" customWidth="1"/>
    <col min="1797" max="1797" width="10.25" style="98" customWidth="1"/>
    <col min="1798" max="1798" width="8.5" style="98" customWidth="1"/>
    <col min="1799" max="2048" width="8.875" style="98"/>
    <col min="2049" max="2049" width="30.5" style="98" bestFit="1" customWidth="1"/>
    <col min="2050" max="2050" width="10.125" style="98" customWidth="1"/>
    <col min="2051" max="2051" width="10.75" style="98" customWidth="1"/>
    <col min="2052" max="2052" width="11.125" style="98" customWidth="1"/>
    <col min="2053" max="2053" width="10.25" style="98" customWidth="1"/>
    <col min="2054" max="2054" width="8.5" style="98" customWidth="1"/>
    <col min="2055" max="2304" width="8.875" style="98"/>
    <col min="2305" max="2305" width="30.5" style="98" bestFit="1" customWidth="1"/>
    <col min="2306" max="2306" width="10.125" style="98" customWidth="1"/>
    <col min="2307" max="2307" width="10.75" style="98" customWidth="1"/>
    <col min="2308" max="2308" width="11.125" style="98" customWidth="1"/>
    <col min="2309" max="2309" width="10.25" style="98" customWidth="1"/>
    <col min="2310" max="2310" width="8.5" style="98" customWidth="1"/>
    <col min="2311" max="2560" width="8.875" style="98"/>
    <col min="2561" max="2561" width="30.5" style="98" bestFit="1" customWidth="1"/>
    <col min="2562" max="2562" width="10.125" style="98" customWidth="1"/>
    <col min="2563" max="2563" width="10.75" style="98" customWidth="1"/>
    <col min="2564" max="2564" width="11.125" style="98" customWidth="1"/>
    <col min="2565" max="2565" width="10.25" style="98" customWidth="1"/>
    <col min="2566" max="2566" width="8.5" style="98" customWidth="1"/>
    <col min="2567" max="2816" width="8.875" style="98"/>
    <col min="2817" max="2817" width="30.5" style="98" bestFit="1" customWidth="1"/>
    <col min="2818" max="2818" width="10.125" style="98" customWidth="1"/>
    <col min="2819" max="2819" width="10.75" style="98" customWidth="1"/>
    <col min="2820" max="2820" width="11.125" style="98" customWidth="1"/>
    <col min="2821" max="2821" width="10.25" style="98" customWidth="1"/>
    <col min="2822" max="2822" width="8.5" style="98" customWidth="1"/>
    <col min="2823" max="3072" width="8.875" style="98"/>
    <col min="3073" max="3073" width="30.5" style="98" bestFit="1" customWidth="1"/>
    <col min="3074" max="3074" width="10.125" style="98" customWidth="1"/>
    <col min="3075" max="3075" width="10.75" style="98" customWidth="1"/>
    <col min="3076" max="3076" width="11.125" style="98" customWidth="1"/>
    <col min="3077" max="3077" width="10.25" style="98" customWidth="1"/>
    <col min="3078" max="3078" width="8.5" style="98" customWidth="1"/>
    <col min="3079" max="3328" width="8.875" style="98"/>
    <col min="3329" max="3329" width="30.5" style="98" bestFit="1" customWidth="1"/>
    <col min="3330" max="3330" width="10.125" style="98" customWidth="1"/>
    <col min="3331" max="3331" width="10.75" style="98" customWidth="1"/>
    <col min="3332" max="3332" width="11.125" style="98" customWidth="1"/>
    <col min="3333" max="3333" width="10.25" style="98" customWidth="1"/>
    <col min="3334" max="3334" width="8.5" style="98" customWidth="1"/>
    <col min="3335" max="3584" width="8.875" style="98"/>
    <col min="3585" max="3585" width="30.5" style="98" bestFit="1" customWidth="1"/>
    <col min="3586" max="3586" width="10.125" style="98" customWidth="1"/>
    <col min="3587" max="3587" width="10.75" style="98" customWidth="1"/>
    <col min="3588" max="3588" width="11.125" style="98" customWidth="1"/>
    <col min="3589" max="3589" width="10.25" style="98" customWidth="1"/>
    <col min="3590" max="3590" width="8.5" style="98" customWidth="1"/>
    <col min="3591" max="3840" width="8.875" style="98"/>
    <col min="3841" max="3841" width="30.5" style="98" bestFit="1" customWidth="1"/>
    <col min="3842" max="3842" width="10.125" style="98" customWidth="1"/>
    <col min="3843" max="3843" width="10.75" style="98" customWidth="1"/>
    <col min="3844" max="3844" width="11.125" style="98" customWidth="1"/>
    <col min="3845" max="3845" width="10.25" style="98" customWidth="1"/>
    <col min="3846" max="3846" width="8.5" style="98" customWidth="1"/>
    <col min="3847" max="4096" width="8.875" style="98"/>
    <col min="4097" max="4097" width="30.5" style="98" bestFit="1" customWidth="1"/>
    <col min="4098" max="4098" width="10.125" style="98" customWidth="1"/>
    <col min="4099" max="4099" width="10.75" style="98" customWidth="1"/>
    <col min="4100" max="4100" width="11.125" style="98" customWidth="1"/>
    <col min="4101" max="4101" width="10.25" style="98" customWidth="1"/>
    <col min="4102" max="4102" width="8.5" style="98" customWidth="1"/>
    <col min="4103" max="4352" width="8.875" style="98"/>
    <col min="4353" max="4353" width="30.5" style="98" bestFit="1" customWidth="1"/>
    <col min="4354" max="4354" width="10.125" style="98" customWidth="1"/>
    <col min="4355" max="4355" width="10.75" style="98" customWidth="1"/>
    <col min="4356" max="4356" width="11.125" style="98" customWidth="1"/>
    <col min="4357" max="4357" width="10.25" style="98" customWidth="1"/>
    <col min="4358" max="4358" width="8.5" style="98" customWidth="1"/>
    <col min="4359" max="4608" width="8.875" style="98"/>
    <col min="4609" max="4609" width="30.5" style="98" bestFit="1" customWidth="1"/>
    <col min="4610" max="4610" width="10.125" style="98" customWidth="1"/>
    <col min="4611" max="4611" width="10.75" style="98" customWidth="1"/>
    <col min="4612" max="4612" width="11.125" style="98" customWidth="1"/>
    <col min="4613" max="4613" width="10.25" style="98" customWidth="1"/>
    <col min="4614" max="4614" width="8.5" style="98" customWidth="1"/>
    <col min="4615" max="4864" width="8.875" style="98"/>
    <col min="4865" max="4865" width="30.5" style="98" bestFit="1" customWidth="1"/>
    <col min="4866" max="4866" width="10.125" style="98" customWidth="1"/>
    <col min="4867" max="4867" width="10.75" style="98" customWidth="1"/>
    <col min="4868" max="4868" width="11.125" style="98" customWidth="1"/>
    <col min="4869" max="4869" width="10.25" style="98" customWidth="1"/>
    <col min="4870" max="4870" width="8.5" style="98" customWidth="1"/>
    <col min="4871" max="5120" width="8.875" style="98"/>
    <col min="5121" max="5121" width="30.5" style="98" bestFit="1" customWidth="1"/>
    <col min="5122" max="5122" width="10.125" style="98" customWidth="1"/>
    <col min="5123" max="5123" width="10.75" style="98" customWidth="1"/>
    <col min="5124" max="5124" width="11.125" style="98" customWidth="1"/>
    <col min="5125" max="5125" width="10.25" style="98" customWidth="1"/>
    <col min="5126" max="5126" width="8.5" style="98" customWidth="1"/>
    <col min="5127" max="5376" width="8.875" style="98"/>
    <col min="5377" max="5377" width="30.5" style="98" bestFit="1" customWidth="1"/>
    <col min="5378" max="5378" width="10.125" style="98" customWidth="1"/>
    <col min="5379" max="5379" width="10.75" style="98" customWidth="1"/>
    <col min="5380" max="5380" width="11.125" style="98" customWidth="1"/>
    <col min="5381" max="5381" width="10.25" style="98" customWidth="1"/>
    <col min="5382" max="5382" width="8.5" style="98" customWidth="1"/>
    <col min="5383" max="5632" width="8.875" style="98"/>
    <col min="5633" max="5633" width="30.5" style="98" bestFit="1" customWidth="1"/>
    <col min="5634" max="5634" width="10.125" style="98" customWidth="1"/>
    <col min="5635" max="5635" width="10.75" style="98" customWidth="1"/>
    <col min="5636" max="5636" width="11.125" style="98" customWidth="1"/>
    <col min="5637" max="5637" width="10.25" style="98" customWidth="1"/>
    <col min="5638" max="5638" width="8.5" style="98" customWidth="1"/>
    <col min="5639" max="5888" width="8.875" style="98"/>
    <col min="5889" max="5889" width="30.5" style="98" bestFit="1" customWidth="1"/>
    <col min="5890" max="5890" width="10.125" style="98" customWidth="1"/>
    <col min="5891" max="5891" width="10.75" style="98" customWidth="1"/>
    <col min="5892" max="5892" width="11.125" style="98" customWidth="1"/>
    <col min="5893" max="5893" width="10.25" style="98" customWidth="1"/>
    <col min="5894" max="5894" width="8.5" style="98" customWidth="1"/>
    <col min="5895" max="6144" width="8.875" style="98"/>
    <col min="6145" max="6145" width="30.5" style="98" bestFit="1" customWidth="1"/>
    <col min="6146" max="6146" width="10.125" style="98" customWidth="1"/>
    <col min="6147" max="6147" width="10.75" style="98" customWidth="1"/>
    <col min="6148" max="6148" width="11.125" style="98" customWidth="1"/>
    <col min="6149" max="6149" width="10.25" style="98" customWidth="1"/>
    <col min="6150" max="6150" width="8.5" style="98" customWidth="1"/>
    <col min="6151" max="6400" width="8.875" style="98"/>
    <col min="6401" max="6401" width="30.5" style="98" bestFit="1" customWidth="1"/>
    <col min="6402" max="6402" width="10.125" style="98" customWidth="1"/>
    <col min="6403" max="6403" width="10.75" style="98" customWidth="1"/>
    <col min="6404" max="6404" width="11.125" style="98" customWidth="1"/>
    <col min="6405" max="6405" width="10.25" style="98" customWidth="1"/>
    <col min="6406" max="6406" width="8.5" style="98" customWidth="1"/>
    <col min="6407" max="6656" width="8.875" style="98"/>
    <col min="6657" max="6657" width="30.5" style="98" bestFit="1" customWidth="1"/>
    <col min="6658" max="6658" width="10.125" style="98" customWidth="1"/>
    <col min="6659" max="6659" width="10.75" style="98" customWidth="1"/>
    <col min="6660" max="6660" width="11.125" style="98" customWidth="1"/>
    <col min="6661" max="6661" width="10.25" style="98" customWidth="1"/>
    <col min="6662" max="6662" width="8.5" style="98" customWidth="1"/>
    <col min="6663" max="6912" width="8.875" style="98"/>
    <col min="6913" max="6913" width="30.5" style="98" bestFit="1" customWidth="1"/>
    <col min="6914" max="6914" width="10.125" style="98" customWidth="1"/>
    <col min="6915" max="6915" width="10.75" style="98" customWidth="1"/>
    <col min="6916" max="6916" width="11.125" style="98" customWidth="1"/>
    <col min="6917" max="6917" width="10.25" style="98" customWidth="1"/>
    <col min="6918" max="6918" width="8.5" style="98" customWidth="1"/>
    <col min="6919" max="7168" width="8.875" style="98"/>
    <col min="7169" max="7169" width="30.5" style="98" bestFit="1" customWidth="1"/>
    <col min="7170" max="7170" width="10.125" style="98" customWidth="1"/>
    <col min="7171" max="7171" width="10.75" style="98" customWidth="1"/>
    <col min="7172" max="7172" width="11.125" style="98" customWidth="1"/>
    <col min="7173" max="7173" width="10.25" style="98" customWidth="1"/>
    <col min="7174" max="7174" width="8.5" style="98" customWidth="1"/>
    <col min="7175" max="7424" width="8.875" style="98"/>
    <col min="7425" max="7425" width="30.5" style="98" bestFit="1" customWidth="1"/>
    <col min="7426" max="7426" width="10.125" style="98" customWidth="1"/>
    <col min="7427" max="7427" width="10.75" style="98" customWidth="1"/>
    <col min="7428" max="7428" width="11.125" style="98" customWidth="1"/>
    <col min="7429" max="7429" width="10.25" style="98" customWidth="1"/>
    <col min="7430" max="7430" width="8.5" style="98" customWidth="1"/>
    <col min="7431" max="7680" width="8.875" style="98"/>
    <col min="7681" max="7681" width="30.5" style="98" bestFit="1" customWidth="1"/>
    <col min="7682" max="7682" width="10.125" style="98" customWidth="1"/>
    <col min="7683" max="7683" width="10.75" style="98" customWidth="1"/>
    <col min="7684" max="7684" width="11.125" style="98" customWidth="1"/>
    <col min="7685" max="7685" width="10.25" style="98" customWidth="1"/>
    <col min="7686" max="7686" width="8.5" style="98" customWidth="1"/>
    <col min="7687" max="7936" width="8.875" style="98"/>
    <col min="7937" max="7937" width="30.5" style="98" bestFit="1" customWidth="1"/>
    <col min="7938" max="7938" width="10.125" style="98" customWidth="1"/>
    <col min="7939" max="7939" width="10.75" style="98" customWidth="1"/>
    <col min="7940" max="7940" width="11.125" style="98" customWidth="1"/>
    <col min="7941" max="7941" width="10.25" style="98" customWidth="1"/>
    <col min="7942" max="7942" width="8.5" style="98" customWidth="1"/>
    <col min="7943" max="8192" width="8.875" style="98"/>
    <col min="8193" max="8193" width="30.5" style="98" bestFit="1" customWidth="1"/>
    <col min="8194" max="8194" width="10.125" style="98" customWidth="1"/>
    <col min="8195" max="8195" width="10.75" style="98" customWidth="1"/>
    <col min="8196" max="8196" width="11.125" style="98" customWidth="1"/>
    <col min="8197" max="8197" width="10.25" style="98" customWidth="1"/>
    <col min="8198" max="8198" width="8.5" style="98" customWidth="1"/>
    <col min="8199" max="8448" width="8.875" style="98"/>
    <col min="8449" max="8449" width="30.5" style="98" bestFit="1" customWidth="1"/>
    <col min="8450" max="8450" width="10.125" style="98" customWidth="1"/>
    <col min="8451" max="8451" width="10.75" style="98" customWidth="1"/>
    <col min="8452" max="8452" width="11.125" style="98" customWidth="1"/>
    <col min="8453" max="8453" width="10.25" style="98" customWidth="1"/>
    <col min="8454" max="8454" width="8.5" style="98" customWidth="1"/>
    <col min="8455" max="8704" width="8.875" style="98"/>
    <col min="8705" max="8705" width="30.5" style="98" bestFit="1" customWidth="1"/>
    <col min="8706" max="8706" width="10.125" style="98" customWidth="1"/>
    <col min="8707" max="8707" width="10.75" style="98" customWidth="1"/>
    <col min="8708" max="8708" width="11.125" style="98" customWidth="1"/>
    <col min="8709" max="8709" width="10.25" style="98" customWidth="1"/>
    <col min="8710" max="8710" width="8.5" style="98" customWidth="1"/>
    <col min="8711" max="8960" width="8.875" style="98"/>
    <col min="8961" max="8961" width="30.5" style="98" bestFit="1" customWidth="1"/>
    <col min="8962" max="8962" width="10.125" style="98" customWidth="1"/>
    <col min="8963" max="8963" width="10.75" style="98" customWidth="1"/>
    <col min="8964" max="8964" width="11.125" style="98" customWidth="1"/>
    <col min="8965" max="8965" width="10.25" style="98" customWidth="1"/>
    <col min="8966" max="8966" width="8.5" style="98" customWidth="1"/>
    <col min="8967" max="9216" width="8.875" style="98"/>
    <col min="9217" max="9217" width="30.5" style="98" bestFit="1" customWidth="1"/>
    <col min="9218" max="9218" width="10.125" style="98" customWidth="1"/>
    <col min="9219" max="9219" width="10.75" style="98" customWidth="1"/>
    <col min="9220" max="9220" width="11.125" style="98" customWidth="1"/>
    <col min="9221" max="9221" width="10.25" style="98" customWidth="1"/>
    <col min="9222" max="9222" width="8.5" style="98" customWidth="1"/>
    <col min="9223" max="9472" width="8.875" style="98"/>
    <col min="9473" max="9473" width="30.5" style="98" bestFit="1" customWidth="1"/>
    <col min="9474" max="9474" width="10.125" style="98" customWidth="1"/>
    <col min="9475" max="9475" width="10.75" style="98" customWidth="1"/>
    <col min="9476" max="9476" width="11.125" style="98" customWidth="1"/>
    <col min="9477" max="9477" width="10.25" style="98" customWidth="1"/>
    <col min="9478" max="9478" width="8.5" style="98" customWidth="1"/>
    <col min="9479" max="9728" width="8.875" style="98"/>
    <col min="9729" max="9729" width="30.5" style="98" bestFit="1" customWidth="1"/>
    <col min="9730" max="9730" width="10.125" style="98" customWidth="1"/>
    <col min="9731" max="9731" width="10.75" style="98" customWidth="1"/>
    <col min="9732" max="9732" width="11.125" style="98" customWidth="1"/>
    <col min="9733" max="9733" width="10.25" style="98" customWidth="1"/>
    <col min="9734" max="9734" width="8.5" style="98" customWidth="1"/>
    <col min="9735" max="9984" width="8.875" style="98"/>
    <col min="9985" max="9985" width="30.5" style="98" bestFit="1" customWidth="1"/>
    <col min="9986" max="9986" width="10.125" style="98" customWidth="1"/>
    <col min="9987" max="9987" width="10.75" style="98" customWidth="1"/>
    <col min="9988" max="9988" width="11.125" style="98" customWidth="1"/>
    <col min="9989" max="9989" width="10.25" style="98" customWidth="1"/>
    <col min="9990" max="9990" width="8.5" style="98" customWidth="1"/>
    <col min="9991" max="10240" width="8.875" style="98"/>
    <col min="10241" max="10241" width="30.5" style="98" bestFit="1" customWidth="1"/>
    <col min="10242" max="10242" width="10.125" style="98" customWidth="1"/>
    <col min="10243" max="10243" width="10.75" style="98" customWidth="1"/>
    <col min="10244" max="10244" width="11.125" style="98" customWidth="1"/>
    <col min="10245" max="10245" width="10.25" style="98" customWidth="1"/>
    <col min="10246" max="10246" width="8.5" style="98" customWidth="1"/>
    <col min="10247" max="10496" width="8.875" style="98"/>
    <col min="10497" max="10497" width="30.5" style="98" bestFit="1" customWidth="1"/>
    <col min="10498" max="10498" width="10.125" style="98" customWidth="1"/>
    <col min="10499" max="10499" width="10.75" style="98" customWidth="1"/>
    <col min="10500" max="10500" width="11.125" style="98" customWidth="1"/>
    <col min="10501" max="10501" width="10.25" style="98" customWidth="1"/>
    <col min="10502" max="10502" width="8.5" style="98" customWidth="1"/>
    <col min="10503" max="10752" width="8.875" style="98"/>
    <col min="10753" max="10753" width="30.5" style="98" bestFit="1" customWidth="1"/>
    <col min="10754" max="10754" width="10.125" style="98" customWidth="1"/>
    <col min="10755" max="10755" width="10.75" style="98" customWidth="1"/>
    <col min="10756" max="10756" width="11.125" style="98" customWidth="1"/>
    <col min="10757" max="10757" width="10.25" style="98" customWidth="1"/>
    <col min="10758" max="10758" width="8.5" style="98" customWidth="1"/>
    <col min="10759" max="11008" width="8.875" style="98"/>
    <col min="11009" max="11009" width="30.5" style="98" bestFit="1" customWidth="1"/>
    <col min="11010" max="11010" width="10.125" style="98" customWidth="1"/>
    <col min="11011" max="11011" width="10.75" style="98" customWidth="1"/>
    <col min="11012" max="11012" width="11.125" style="98" customWidth="1"/>
    <col min="11013" max="11013" width="10.25" style="98" customWidth="1"/>
    <col min="11014" max="11014" width="8.5" style="98" customWidth="1"/>
    <col min="11015" max="11264" width="8.875" style="98"/>
    <col min="11265" max="11265" width="30.5" style="98" bestFit="1" customWidth="1"/>
    <col min="11266" max="11266" width="10.125" style="98" customWidth="1"/>
    <col min="11267" max="11267" width="10.75" style="98" customWidth="1"/>
    <col min="11268" max="11268" width="11.125" style="98" customWidth="1"/>
    <col min="11269" max="11269" width="10.25" style="98" customWidth="1"/>
    <col min="11270" max="11270" width="8.5" style="98" customWidth="1"/>
    <col min="11271" max="11520" width="8.875" style="98"/>
    <col min="11521" max="11521" width="30.5" style="98" bestFit="1" customWidth="1"/>
    <col min="11522" max="11522" width="10.125" style="98" customWidth="1"/>
    <col min="11523" max="11523" width="10.75" style="98" customWidth="1"/>
    <col min="11524" max="11524" width="11.125" style="98" customWidth="1"/>
    <col min="11525" max="11525" width="10.25" style="98" customWidth="1"/>
    <col min="11526" max="11526" width="8.5" style="98" customWidth="1"/>
    <col min="11527" max="11776" width="8.875" style="98"/>
    <col min="11777" max="11777" width="30.5" style="98" bestFit="1" customWidth="1"/>
    <col min="11778" max="11778" width="10.125" style="98" customWidth="1"/>
    <col min="11779" max="11779" width="10.75" style="98" customWidth="1"/>
    <col min="11780" max="11780" width="11.125" style="98" customWidth="1"/>
    <col min="11781" max="11781" width="10.25" style="98" customWidth="1"/>
    <col min="11782" max="11782" width="8.5" style="98" customWidth="1"/>
    <col min="11783" max="12032" width="8.875" style="98"/>
    <col min="12033" max="12033" width="30.5" style="98" bestFit="1" customWidth="1"/>
    <col min="12034" max="12034" width="10.125" style="98" customWidth="1"/>
    <col min="12035" max="12035" width="10.75" style="98" customWidth="1"/>
    <col min="12036" max="12036" width="11.125" style="98" customWidth="1"/>
    <col min="12037" max="12037" width="10.25" style="98" customWidth="1"/>
    <col min="12038" max="12038" width="8.5" style="98" customWidth="1"/>
    <col min="12039" max="12288" width="8.875" style="98"/>
    <col min="12289" max="12289" width="30.5" style="98" bestFit="1" customWidth="1"/>
    <col min="12290" max="12290" width="10.125" style="98" customWidth="1"/>
    <col min="12291" max="12291" width="10.75" style="98" customWidth="1"/>
    <col min="12292" max="12292" width="11.125" style="98" customWidth="1"/>
    <col min="12293" max="12293" width="10.25" style="98" customWidth="1"/>
    <col min="12294" max="12294" width="8.5" style="98" customWidth="1"/>
    <col min="12295" max="12544" width="8.875" style="98"/>
    <col min="12545" max="12545" width="30.5" style="98" bestFit="1" customWidth="1"/>
    <col min="12546" max="12546" width="10.125" style="98" customWidth="1"/>
    <col min="12547" max="12547" width="10.75" style="98" customWidth="1"/>
    <col min="12548" max="12548" width="11.125" style="98" customWidth="1"/>
    <col min="12549" max="12549" width="10.25" style="98" customWidth="1"/>
    <col min="12550" max="12550" width="8.5" style="98" customWidth="1"/>
    <col min="12551" max="12800" width="8.875" style="98"/>
    <col min="12801" max="12801" width="30.5" style="98" bestFit="1" customWidth="1"/>
    <col min="12802" max="12802" width="10.125" style="98" customWidth="1"/>
    <col min="12803" max="12803" width="10.75" style="98" customWidth="1"/>
    <col min="12804" max="12804" width="11.125" style="98" customWidth="1"/>
    <col min="12805" max="12805" width="10.25" style="98" customWidth="1"/>
    <col min="12806" max="12806" width="8.5" style="98" customWidth="1"/>
    <col min="12807" max="13056" width="8.875" style="98"/>
    <col min="13057" max="13057" width="30.5" style="98" bestFit="1" customWidth="1"/>
    <col min="13058" max="13058" width="10.125" style="98" customWidth="1"/>
    <col min="13059" max="13059" width="10.75" style="98" customWidth="1"/>
    <col min="13060" max="13060" width="11.125" style="98" customWidth="1"/>
    <col min="13061" max="13061" width="10.25" style="98" customWidth="1"/>
    <col min="13062" max="13062" width="8.5" style="98" customWidth="1"/>
    <col min="13063" max="13312" width="8.875" style="98"/>
    <col min="13313" max="13313" width="30.5" style="98" bestFit="1" customWidth="1"/>
    <col min="13314" max="13314" width="10.125" style="98" customWidth="1"/>
    <col min="13315" max="13315" width="10.75" style="98" customWidth="1"/>
    <col min="13316" max="13316" width="11.125" style="98" customWidth="1"/>
    <col min="13317" max="13317" width="10.25" style="98" customWidth="1"/>
    <col min="13318" max="13318" width="8.5" style="98" customWidth="1"/>
    <col min="13319" max="13568" width="8.875" style="98"/>
    <col min="13569" max="13569" width="30.5" style="98" bestFit="1" customWidth="1"/>
    <col min="13570" max="13570" width="10.125" style="98" customWidth="1"/>
    <col min="13571" max="13571" width="10.75" style="98" customWidth="1"/>
    <col min="13572" max="13572" width="11.125" style="98" customWidth="1"/>
    <col min="13573" max="13573" width="10.25" style="98" customWidth="1"/>
    <col min="13574" max="13574" width="8.5" style="98" customWidth="1"/>
    <col min="13575" max="13824" width="8.875" style="98"/>
    <col min="13825" max="13825" width="30.5" style="98" bestFit="1" customWidth="1"/>
    <col min="13826" max="13826" width="10.125" style="98" customWidth="1"/>
    <col min="13827" max="13827" width="10.75" style="98" customWidth="1"/>
    <col min="13828" max="13828" width="11.125" style="98" customWidth="1"/>
    <col min="13829" max="13829" width="10.25" style="98" customWidth="1"/>
    <col min="13830" max="13830" width="8.5" style="98" customWidth="1"/>
    <col min="13831" max="14080" width="8.875" style="98"/>
    <col min="14081" max="14081" width="30.5" style="98" bestFit="1" customWidth="1"/>
    <col min="14082" max="14082" width="10.125" style="98" customWidth="1"/>
    <col min="14083" max="14083" width="10.75" style="98" customWidth="1"/>
    <col min="14084" max="14084" width="11.125" style="98" customWidth="1"/>
    <col min="14085" max="14085" width="10.25" style="98" customWidth="1"/>
    <col min="14086" max="14086" width="8.5" style="98" customWidth="1"/>
    <col min="14087" max="14336" width="8.875" style="98"/>
    <col min="14337" max="14337" width="30.5" style="98" bestFit="1" customWidth="1"/>
    <col min="14338" max="14338" width="10.125" style="98" customWidth="1"/>
    <col min="14339" max="14339" width="10.75" style="98" customWidth="1"/>
    <col min="14340" max="14340" width="11.125" style="98" customWidth="1"/>
    <col min="14341" max="14341" width="10.25" style="98" customWidth="1"/>
    <col min="14342" max="14342" width="8.5" style="98" customWidth="1"/>
    <col min="14343" max="14592" width="8.875" style="98"/>
    <col min="14593" max="14593" width="30.5" style="98" bestFit="1" customWidth="1"/>
    <col min="14594" max="14594" width="10.125" style="98" customWidth="1"/>
    <col min="14595" max="14595" width="10.75" style="98" customWidth="1"/>
    <col min="14596" max="14596" width="11.125" style="98" customWidth="1"/>
    <col min="14597" max="14597" width="10.25" style="98" customWidth="1"/>
    <col min="14598" max="14598" width="8.5" style="98" customWidth="1"/>
    <col min="14599" max="14848" width="8.875" style="98"/>
    <col min="14849" max="14849" width="30.5" style="98" bestFit="1" customWidth="1"/>
    <col min="14850" max="14850" width="10.125" style="98" customWidth="1"/>
    <col min="14851" max="14851" width="10.75" style="98" customWidth="1"/>
    <col min="14852" max="14852" width="11.125" style="98" customWidth="1"/>
    <col min="14853" max="14853" width="10.25" style="98" customWidth="1"/>
    <col min="14854" max="14854" width="8.5" style="98" customWidth="1"/>
    <col min="14855" max="15104" width="8.875" style="98"/>
    <col min="15105" max="15105" width="30.5" style="98" bestFit="1" customWidth="1"/>
    <col min="15106" max="15106" width="10.125" style="98" customWidth="1"/>
    <col min="15107" max="15107" width="10.75" style="98" customWidth="1"/>
    <col min="15108" max="15108" width="11.125" style="98" customWidth="1"/>
    <col min="15109" max="15109" width="10.25" style="98" customWidth="1"/>
    <col min="15110" max="15110" width="8.5" style="98" customWidth="1"/>
    <col min="15111" max="15360" width="8.875" style="98"/>
    <col min="15361" max="15361" width="30.5" style="98" bestFit="1" customWidth="1"/>
    <col min="15362" max="15362" width="10.125" style="98" customWidth="1"/>
    <col min="15363" max="15363" width="10.75" style="98" customWidth="1"/>
    <col min="15364" max="15364" width="11.125" style="98" customWidth="1"/>
    <col min="15365" max="15365" width="10.25" style="98" customWidth="1"/>
    <col min="15366" max="15366" width="8.5" style="98" customWidth="1"/>
    <col min="15367" max="15616" width="8.875" style="98"/>
    <col min="15617" max="15617" width="30.5" style="98" bestFit="1" customWidth="1"/>
    <col min="15618" max="15618" width="10.125" style="98" customWidth="1"/>
    <col min="15619" max="15619" width="10.75" style="98" customWidth="1"/>
    <col min="15620" max="15620" width="11.125" style="98" customWidth="1"/>
    <col min="15621" max="15621" width="10.25" style="98" customWidth="1"/>
    <col min="15622" max="15622" width="8.5" style="98" customWidth="1"/>
    <col min="15623" max="15872" width="8.875" style="98"/>
    <col min="15873" max="15873" width="30.5" style="98" bestFit="1" customWidth="1"/>
    <col min="15874" max="15874" width="10.125" style="98" customWidth="1"/>
    <col min="15875" max="15875" width="10.75" style="98" customWidth="1"/>
    <col min="15876" max="15876" width="11.125" style="98" customWidth="1"/>
    <col min="15877" max="15877" width="10.25" style="98" customWidth="1"/>
    <col min="15878" max="15878" width="8.5" style="98" customWidth="1"/>
    <col min="15879" max="16128" width="8.875" style="98"/>
    <col min="16129" max="16129" width="30.5" style="98" bestFit="1" customWidth="1"/>
    <col min="16130" max="16130" width="10.125" style="98" customWidth="1"/>
    <col min="16131" max="16131" width="10.75" style="98" customWidth="1"/>
    <col min="16132" max="16132" width="11.125" style="98" customWidth="1"/>
    <col min="16133" max="16133" width="10.25" style="98" customWidth="1"/>
    <col min="16134" max="16134" width="8.5" style="98" customWidth="1"/>
    <col min="16135" max="16384" width="8.875" style="98"/>
  </cols>
  <sheetData>
    <row r="1" spans="1:8" ht="14.25" x14ac:dyDescent="0.15">
      <c r="A1" s="98" t="s">
        <v>0</v>
      </c>
      <c r="B1" s="104">
        <v>1500</v>
      </c>
    </row>
    <row r="2" spans="1:8" ht="14.25" x14ac:dyDescent="0.15">
      <c r="A2" s="98" t="s">
        <v>1</v>
      </c>
      <c r="B2" s="105">
        <v>0.02</v>
      </c>
    </row>
    <row r="3" spans="1:8" x14ac:dyDescent="0.15">
      <c r="E3" s="102">
        <f>B8</f>
        <v>1500</v>
      </c>
      <c r="F3" s="102">
        <f>B16</f>
        <v>635750</v>
      </c>
    </row>
    <row r="4" spans="1:8" ht="14.25" x14ac:dyDescent="0.15">
      <c r="A4" s="98" t="s">
        <v>2</v>
      </c>
      <c r="B4" s="104">
        <v>15000</v>
      </c>
      <c r="D4" s="103">
        <v>1000</v>
      </c>
      <c r="E4" s="103">
        <f t="dataTable" ref="E4:F14" dt2D="0" dtr="0" r1="B1"/>
        <v>1000</v>
      </c>
      <c r="F4" s="103">
        <v>625250</v>
      </c>
      <c r="G4" s="98">
        <f t="shared" ref="G4:G14" si="0">IF($B$1=E4,F4,0)</f>
        <v>0</v>
      </c>
      <c r="H4" s="102">
        <f t="shared" ref="H4:H14" si="1">$B$22</f>
        <v>632749.04578762571</v>
      </c>
    </row>
    <row r="5" spans="1:8" ht="14.25" x14ac:dyDescent="0.15">
      <c r="A5" s="98" t="s">
        <v>146</v>
      </c>
      <c r="B5" s="104">
        <v>650</v>
      </c>
      <c r="D5" s="103">
        <v>1100</v>
      </c>
      <c r="E5" s="103">
        <v>1100</v>
      </c>
      <c r="F5" s="103">
        <v>627113.63636363635</v>
      </c>
      <c r="G5" s="98">
        <f t="shared" si="0"/>
        <v>0</v>
      </c>
      <c r="H5" s="102">
        <f t="shared" si="1"/>
        <v>632749.04578762571</v>
      </c>
    </row>
    <row r="6" spans="1:8" ht="14.25" x14ac:dyDescent="0.15">
      <c r="A6" s="98" t="s">
        <v>145</v>
      </c>
      <c r="B6" s="104">
        <v>55</v>
      </c>
      <c r="D6" s="103">
        <v>1200</v>
      </c>
      <c r="E6" s="103">
        <v>1200</v>
      </c>
      <c r="F6" s="103">
        <v>629125</v>
      </c>
      <c r="G6" s="98">
        <f t="shared" si="0"/>
        <v>0</v>
      </c>
      <c r="H6" s="102">
        <f t="shared" si="1"/>
        <v>632749.04578762571</v>
      </c>
    </row>
    <row r="7" spans="1:8" x14ac:dyDescent="0.15">
      <c r="D7" s="103">
        <v>1300</v>
      </c>
      <c r="E7" s="103">
        <v>1300</v>
      </c>
      <c r="F7" s="103">
        <v>631250</v>
      </c>
      <c r="G7" s="98">
        <f t="shared" si="0"/>
        <v>0</v>
      </c>
      <c r="H7" s="102">
        <f t="shared" si="1"/>
        <v>632749.04578762571</v>
      </c>
    </row>
    <row r="8" spans="1:8" ht="14.25" x14ac:dyDescent="0.15">
      <c r="A8" s="98" t="s">
        <v>3</v>
      </c>
      <c r="B8" s="104">
        <f>B1</f>
        <v>1500</v>
      </c>
      <c r="D8" s="103">
        <v>1400</v>
      </c>
      <c r="E8" s="103">
        <v>1400</v>
      </c>
      <c r="F8" s="103">
        <v>633464.28571428568</v>
      </c>
      <c r="G8" s="98">
        <f t="shared" si="0"/>
        <v>0</v>
      </c>
      <c r="H8" s="102">
        <f t="shared" si="1"/>
        <v>632749.04578762571</v>
      </c>
    </row>
    <row r="9" spans="1:8" x14ac:dyDescent="0.15">
      <c r="D9" s="103">
        <v>1500</v>
      </c>
      <c r="E9" s="103">
        <v>1500</v>
      </c>
      <c r="F9" s="103">
        <v>635750</v>
      </c>
      <c r="G9" s="98">
        <f t="shared" si="0"/>
        <v>635750</v>
      </c>
      <c r="H9" s="102">
        <f t="shared" si="1"/>
        <v>632749.04578762571</v>
      </c>
    </row>
    <row r="10" spans="1:8" ht="14.25" x14ac:dyDescent="0.15">
      <c r="A10" s="98" t="s">
        <v>4</v>
      </c>
      <c r="B10" s="100">
        <v>40</v>
      </c>
      <c r="D10" s="103">
        <v>1600</v>
      </c>
      <c r="E10" s="103">
        <v>1600</v>
      </c>
      <c r="F10" s="103">
        <v>638093.75</v>
      </c>
      <c r="G10" s="98">
        <f t="shared" si="0"/>
        <v>0</v>
      </c>
      <c r="H10" s="102">
        <f t="shared" si="1"/>
        <v>632749.04578762571</v>
      </c>
    </row>
    <row r="11" spans="1:8" x14ac:dyDescent="0.15">
      <c r="A11" s="98" t="s">
        <v>5</v>
      </c>
      <c r="B11" s="98">
        <f>IF(B8&lt;B1,B10,B10*(1-B2))</f>
        <v>39.200000000000003</v>
      </c>
      <c r="D11" s="103">
        <v>1700</v>
      </c>
      <c r="E11" s="103">
        <v>1700</v>
      </c>
      <c r="F11" s="103">
        <v>640485.29411764711</v>
      </c>
      <c r="G11" s="98">
        <f t="shared" si="0"/>
        <v>0</v>
      </c>
      <c r="H11" s="102">
        <f t="shared" si="1"/>
        <v>632749.04578762571</v>
      </c>
    </row>
    <row r="12" spans="1:8" x14ac:dyDescent="0.15">
      <c r="D12" s="103">
        <v>1800</v>
      </c>
      <c r="E12" s="103">
        <v>1800</v>
      </c>
      <c r="F12" s="103">
        <v>642916.66666666663</v>
      </c>
      <c r="G12" s="98">
        <f t="shared" si="0"/>
        <v>0</v>
      </c>
      <c r="H12" s="102">
        <f t="shared" si="1"/>
        <v>632749.04578762571</v>
      </c>
    </row>
    <row r="13" spans="1:8" x14ac:dyDescent="0.15">
      <c r="A13" s="98" t="s">
        <v>6</v>
      </c>
      <c r="B13" s="98">
        <f>B11*B4</f>
        <v>588000</v>
      </c>
      <c r="D13" s="103">
        <v>1900</v>
      </c>
      <c r="E13" s="103">
        <v>1900</v>
      </c>
      <c r="F13" s="103">
        <v>645381.57894736843</v>
      </c>
      <c r="G13" s="98">
        <f t="shared" si="0"/>
        <v>0</v>
      </c>
      <c r="H13" s="102">
        <f t="shared" si="1"/>
        <v>632749.04578762571</v>
      </c>
    </row>
    <row r="14" spans="1:8" ht="14.25" x14ac:dyDescent="0.15">
      <c r="A14" s="98" t="s">
        <v>7</v>
      </c>
      <c r="B14" s="100">
        <f>B4/B8*B5</f>
        <v>6500</v>
      </c>
      <c r="D14" s="103">
        <v>2000</v>
      </c>
      <c r="E14" s="98">
        <v>2000</v>
      </c>
      <c r="F14" s="98">
        <v>647875</v>
      </c>
      <c r="G14" s="98">
        <f t="shared" si="0"/>
        <v>0</v>
      </c>
      <c r="H14" s="102">
        <f t="shared" si="1"/>
        <v>632749.04578762571</v>
      </c>
    </row>
    <row r="15" spans="1:8" ht="14.25" x14ac:dyDescent="0.15">
      <c r="A15" s="98" t="s">
        <v>8</v>
      </c>
      <c r="B15" s="100">
        <f>B6*B8/2</f>
        <v>41250</v>
      </c>
      <c r="E15" s="102"/>
      <c r="F15" s="102"/>
    </row>
    <row r="16" spans="1:8" ht="14.25" x14ac:dyDescent="0.15">
      <c r="A16" s="98" t="s">
        <v>9</v>
      </c>
      <c r="B16" s="100">
        <f>SUM(B13:B15)</f>
        <v>635750</v>
      </c>
    </row>
    <row r="17" spans="1:2" ht="14.25" x14ac:dyDescent="0.15">
      <c r="B17" s="100"/>
    </row>
    <row r="18" spans="1:2" ht="15" x14ac:dyDescent="0.15">
      <c r="A18" s="98" t="s">
        <v>10</v>
      </c>
      <c r="B18" s="100">
        <f>SQRT(2*B4*B5/B6)</f>
        <v>595.43719613864778</v>
      </c>
    </row>
    <row r="19" spans="1:2" ht="15" x14ac:dyDescent="0.15">
      <c r="A19" s="101" t="s">
        <v>11</v>
      </c>
      <c r="B19" s="98">
        <f>B10*B4</f>
        <v>600000</v>
      </c>
    </row>
    <row r="20" spans="1:2" ht="15" x14ac:dyDescent="0.15">
      <c r="A20" s="101" t="s">
        <v>12</v>
      </c>
      <c r="B20" s="100">
        <f>B4/B18*B5</f>
        <v>16374.522893812817</v>
      </c>
    </row>
    <row r="21" spans="1:2" ht="15" x14ac:dyDescent="0.15">
      <c r="A21" s="101" t="s">
        <v>13</v>
      </c>
      <c r="B21" s="100">
        <f>B18/2*B6</f>
        <v>16374.522893812813</v>
      </c>
    </row>
    <row r="22" spans="1:2" ht="15" x14ac:dyDescent="0.15">
      <c r="A22" s="101" t="s">
        <v>14</v>
      </c>
      <c r="B22" s="100">
        <f>SUM(B19:B21)</f>
        <v>632749.04578762571</v>
      </c>
    </row>
    <row r="23" spans="1:2" x14ac:dyDescent="0.15">
      <c r="A23" s="99"/>
    </row>
    <row r="24" spans="1:2" x14ac:dyDescent="0.15">
      <c r="A24" s="98" t="str">
        <f>A1&amp;"="&amp;B1</f>
        <v>订货批量起点=1500</v>
      </c>
    </row>
    <row r="25" spans="1:2" x14ac:dyDescent="0.15">
      <c r="A25" s="98" t="str">
        <f>IF(B22&lt;=B16,"拒绝折扣","接受折扣")</f>
        <v>拒绝折扣</v>
      </c>
    </row>
  </sheetData>
  <phoneticPr fontId="11" type="noConversion"/>
  <pageMargins left="0.75" right="0.75" top="1" bottom="1" header="0.5" footer="0.5"/>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27649" r:id="rId3" name="Spinner 1">
              <controlPr defaultSize="0" autoPict="0">
                <anchor moveWithCells="1" sizeWithCells="1">
                  <from>
                    <xdr:col>3</xdr:col>
                    <xdr:colOff>714375</xdr:colOff>
                    <xdr:row>14</xdr:row>
                    <xdr:rowOff>161925</xdr:rowOff>
                  </from>
                  <to>
                    <xdr:col>4</xdr:col>
                    <xdr:colOff>180975</xdr:colOff>
                    <xdr:row>16</xdr:row>
                    <xdr:rowOff>0</xdr:rowOff>
                  </to>
                </anchor>
              </controlPr>
            </control>
          </mc:Choice>
        </mc:AlternateContent>
        <mc:AlternateContent xmlns:mc="http://schemas.openxmlformats.org/markup-compatibility/2006">
          <mc:Choice Requires="x14">
            <control shapeId="27650" r:id="rId4" name="Spinner 2">
              <controlPr defaultSize="0" autoPict="0">
                <anchor moveWithCells="1" sizeWithCells="1">
                  <from>
                    <xdr:col>0</xdr:col>
                    <xdr:colOff>942975</xdr:colOff>
                    <xdr:row>47</xdr:row>
                    <xdr:rowOff>114300</xdr:rowOff>
                  </from>
                  <to>
                    <xdr:col>0</xdr:col>
                    <xdr:colOff>1238250</xdr:colOff>
                    <xdr:row>48</xdr:row>
                    <xdr:rowOff>133350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Q76"/>
  <sheetViews>
    <sheetView topLeftCell="A7" workbookViewId="0">
      <selection activeCell="E27" sqref="E27"/>
    </sheetView>
  </sheetViews>
  <sheetFormatPr defaultColWidth="10" defaultRowHeight="13.5" x14ac:dyDescent="0.15"/>
  <cols>
    <col min="1" max="1" width="5.75" style="22" customWidth="1"/>
    <col min="2" max="2" width="88.5" style="22" bestFit="1" customWidth="1"/>
    <col min="3" max="3" width="31.875" style="22" bestFit="1" customWidth="1"/>
    <col min="4" max="4" width="19.375" style="22" customWidth="1"/>
    <col min="5" max="5" width="15.5" style="22" bestFit="1" customWidth="1"/>
    <col min="6" max="6" width="21.75" style="22" customWidth="1"/>
    <col min="7" max="7" width="15.75" style="22" bestFit="1" customWidth="1"/>
    <col min="8" max="8" width="27.75" style="22" bestFit="1" customWidth="1"/>
    <col min="9" max="9" width="8.5" style="22" hidden="1" customWidth="1"/>
    <col min="10" max="10" width="19.125" style="22" customWidth="1"/>
    <col min="11" max="11" width="10" style="22"/>
    <col min="12" max="12" width="12.875" style="22" bestFit="1" customWidth="1"/>
    <col min="13" max="14" width="10" style="22"/>
    <col min="15" max="17" width="15.5" style="22" bestFit="1" customWidth="1"/>
    <col min="18" max="16384" width="10" style="22"/>
  </cols>
  <sheetData>
    <row r="1" spans="2:17" x14ac:dyDescent="0.15">
      <c r="B1" s="88" t="s">
        <v>144</v>
      </c>
      <c r="C1" s="94">
        <v>6</v>
      </c>
      <c r="O1" s="22" t="str">
        <f>H3</f>
        <v>项目A</v>
      </c>
      <c r="P1" s="22" t="str">
        <f>L3</f>
        <v>项目B</v>
      </c>
    </row>
    <row r="2" spans="2:17" x14ac:dyDescent="0.15">
      <c r="B2" s="88" t="s">
        <v>143</v>
      </c>
      <c r="C2" s="97">
        <f>D2/100</f>
        <v>0.01</v>
      </c>
      <c r="D2" s="96">
        <v>1</v>
      </c>
      <c r="O2" s="85">
        <f>C10</f>
        <v>809024.39809795551</v>
      </c>
      <c r="P2" s="85">
        <f>D10</f>
        <v>989109.70454733749</v>
      </c>
    </row>
    <row r="3" spans="2:17" x14ac:dyDescent="0.15">
      <c r="B3" s="94"/>
      <c r="C3" s="88" t="s">
        <v>15</v>
      </c>
      <c r="D3" s="88" t="s">
        <v>142</v>
      </c>
      <c r="H3" s="88" t="s">
        <v>15</v>
      </c>
      <c r="I3" s="88" t="s">
        <v>142</v>
      </c>
      <c r="L3" s="88" t="s">
        <v>142</v>
      </c>
      <c r="N3" s="86">
        <v>0.01</v>
      </c>
      <c r="O3" s="85">
        <f t="dataTable" ref="O3:P22" dt2D="0" dtr="0" r1="C2"/>
        <v>809024.39809795551</v>
      </c>
      <c r="P3" s="85">
        <v>989109.70454733749</v>
      </c>
      <c r="Q3" s="85">
        <f t="shared" ref="Q3:Q22" si="0">O3-P3</f>
        <v>-180085.30644938198</v>
      </c>
    </row>
    <row r="4" spans="2:17" ht="15" x14ac:dyDescent="0.25">
      <c r="B4" s="88" t="s">
        <v>141</v>
      </c>
      <c r="C4" s="94">
        <v>100000</v>
      </c>
      <c r="D4" s="94">
        <v>500000</v>
      </c>
      <c r="G4" s="22">
        <v>0</v>
      </c>
      <c r="H4" s="82">
        <f>-C4</f>
        <v>-100000</v>
      </c>
      <c r="K4" s="22">
        <v>0</v>
      </c>
      <c r="L4" s="82">
        <f>-D4</f>
        <v>-500000</v>
      </c>
      <c r="N4" s="86">
        <v>0.02</v>
      </c>
      <c r="O4" s="85">
        <v>776634.52611431747</v>
      </c>
      <c r="P4" s="85">
        <v>915497.79336608155</v>
      </c>
      <c r="Q4" s="85">
        <f t="shared" si="0"/>
        <v>-138863.26725176407</v>
      </c>
    </row>
    <row r="5" spans="2:17" x14ac:dyDescent="0.15">
      <c r="B5" s="88" t="s">
        <v>16</v>
      </c>
      <c r="C5" s="94">
        <v>10000</v>
      </c>
      <c r="D5" s="94">
        <v>75000</v>
      </c>
      <c r="G5" s="22">
        <v>1</v>
      </c>
      <c r="H5" s="82">
        <f>C5</f>
        <v>10000</v>
      </c>
      <c r="K5" s="22">
        <v>1</v>
      </c>
      <c r="L5" s="82">
        <f>D5</f>
        <v>75000</v>
      </c>
      <c r="N5" s="86">
        <v>0.03</v>
      </c>
      <c r="O5" s="85">
        <v>745746.7360637309</v>
      </c>
      <c r="P5" s="85">
        <v>846489.24491930893</v>
      </c>
      <c r="Q5" s="85">
        <f t="shared" si="0"/>
        <v>-100742.50885557802</v>
      </c>
    </row>
    <row r="6" spans="2:17" x14ac:dyDescent="0.15">
      <c r="B6" s="88" t="s">
        <v>140</v>
      </c>
      <c r="C6" s="94">
        <v>4</v>
      </c>
      <c r="D6" s="94">
        <v>5</v>
      </c>
      <c r="G6" s="22">
        <v>2</v>
      </c>
      <c r="H6" s="82">
        <f t="shared" ref="H6:H37" si="1">IF(G6&lt;=$C$6*12,H5*(1+$C$8),H5)</f>
        <v>10009.999999999998</v>
      </c>
      <c r="K6" s="22">
        <v>2</v>
      </c>
      <c r="L6" s="82">
        <f>IF(K6&lt;=$D$6,L5*(1+$D$7),L5)</f>
        <v>82500</v>
      </c>
      <c r="N6" s="86">
        <v>0.04</v>
      </c>
      <c r="O6" s="85">
        <v>716283.57588491007</v>
      </c>
      <c r="P6" s="85">
        <v>781749.26889801328</v>
      </c>
      <c r="Q6" s="85">
        <f t="shared" si="0"/>
        <v>-65465.693013103213</v>
      </c>
    </row>
    <row r="7" spans="2:17" x14ac:dyDescent="0.15">
      <c r="B7" s="88" t="s">
        <v>17</v>
      </c>
      <c r="C7" s="95"/>
      <c r="D7" s="14">
        <v>0.1</v>
      </c>
      <c r="G7" s="22">
        <v>3</v>
      </c>
      <c r="H7" s="82">
        <f t="shared" si="1"/>
        <v>10020.009999999997</v>
      </c>
      <c r="K7" s="22">
        <v>3</v>
      </c>
      <c r="L7" s="82">
        <f>IF(K7&lt;=$D$6,L6*(1+$D$7),L6)</f>
        <v>90750.000000000015</v>
      </c>
      <c r="N7" s="86">
        <v>0.05</v>
      </c>
      <c r="O7" s="85">
        <v>688171.83103818691</v>
      </c>
      <c r="P7" s="85">
        <v>720970.53334148088</v>
      </c>
      <c r="Q7" s="85">
        <f t="shared" si="0"/>
        <v>-32798.702303293976</v>
      </c>
    </row>
    <row r="8" spans="2:17" x14ac:dyDescent="0.15">
      <c r="B8" s="88" t="s">
        <v>139</v>
      </c>
      <c r="C8" s="14">
        <v>1E-3</v>
      </c>
      <c r="D8" s="95"/>
      <c r="G8" s="22">
        <v>4</v>
      </c>
      <c r="H8" s="82">
        <f t="shared" si="1"/>
        <v>10030.030009999995</v>
      </c>
      <c r="K8" s="22">
        <v>4</v>
      </c>
      <c r="L8" s="82">
        <f>IF(K8&lt;=$D$6,L7*(1+$D$7),L7)</f>
        <v>99825.000000000029</v>
      </c>
      <c r="N8" s="93">
        <v>0.06</v>
      </c>
      <c r="O8" s="92">
        <v>661342.28332056024</v>
      </c>
      <c r="P8" s="92">
        <v>663870.66995121934</v>
      </c>
      <c r="Q8" s="92">
        <f t="shared" si="0"/>
        <v>-2528.3866306591081</v>
      </c>
    </row>
    <row r="9" spans="2:17" x14ac:dyDescent="0.15">
      <c r="B9" s="88" t="s">
        <v>18</v>
      </c>
      <c r="C9" s="94">
        <v>200000</v>
      </c>
      <c r="D9" s="94">
        <v>1000000</v>
      </c>
      <c r="G9" s="22">
        <v>5</v>
      </c>
      <c r="H9" s="82">
        <f t="shared" si="1"/>
        <v>10040.060040009994</v>
      </c>
      <c r="K9" s="22">
        <v>5</v>
      </c>
      <c r="L9" s="82">
        <f>IF(K9&lt;=$D$6,L8*(1+$D$7),L8)</f>
        <v>109807.50000000004</v>
      </c>
      <c r="N9" s="93">
        <v>7.0000000000000007E-2</v>
      </c>
      <c r="O9" s="92">
        <v>635729.48381909833</v>
      </c>
      <c r="P9" s="92">
        <v>610190.02735885116</v>
      </c>
      <c r="Q9" s="92">
        <f t="shared" si="0"/>
        <v>25539.456460247166</v>
      </c>
    </row>
    <row r="10" spans="2:17" x14ac:dyDescent="0.15">
      <c r="B10" s="88" t="s">
        <v>138</v>
      </c>
      <c r="C10" s="89">
        <f>NPV($C$2/12,H5:H76)+H4</f>
        <v>809024.39809795551</v>
      </c>
      <c r="D10" s="89">
        <f>NPV($C$2,L5:L10)+L4</f>
        <v>989109.70454733749</v>
      </c>
      <c r="G10" s="22">
        <v>6</v>
      </c>
      <c r="H10" s="82">
        <f t="shared" si="1"/>
        <v>10050.100100050002</v>
      </c>
      <c r="K10" s="22">
        <v>6</v>
      </c>
      <c r="L10" s="82">
        <f>IF(K10&lt;=$D$6,L9*(1+$D$7),L9)+D9</f>
        <v>1109807.5</v>
      </c>
      <c r="N10" s="86">
        <v>0.08</v>
      </c>
      <c r="O10" s="85">
        <v>611271.53915387753</v>
      </c>
      <c r="P10" s="85">
        <v>559689.64564268291</v>
      </c>
      <c r="Q10" s="85">
        <f t="shared" si="0"/>
        <v>51581.893511194619</v>
      </c>
    </row>
    <row r="11" spans="2:17" x14ac:dyDescent="0.15">
      <c r="B11" s="88" t="s">
        <v>137</v>
      </c>
      <c r="C11" s="15">
        <f>IRR(H4:H76)*12</f>
        <v>1.2129929856192154</v>
      </c>
      <c r="D11" s="91">
        <f>IRR(L4:L10)</f>
        <v>0.26465740756342471</v>
      </c>
      <c r="G11" s="22">
        <v>7</v>
      </c>
      <c r="H11" s="82">
        <f t="shared" si="1"/>
        <v>10060.15020015005</v>
      </c>
      <c r="N11" s="86">
        <v>0.09</v>
      </c>
      <c r="O11" s="85">
        <v>587909.91021364636</v>
      </c>
      <c r="P11" s="85">
        <v>512149.42848061828</v>
      </c>
      <c r="Q11" s="85">
        <f t="shared" si="0"/>
        <v>75760.481733028078</v>
      </c>
    </row>
    <row r="12" spans="2:17" x14ac:dyDescent="0.15">
      <c r="B12" s="88" t="s">
        <v>136</v>
      </c>
      <c r="C12" s="91">
        <f>N24</f>
        <v>6.0900812585587764E-2</v>
      </c>
      <c r="D12" s="90">
        <v>6.0870577955557809E-2</v>
      </c>
      <c r="E12" s="85">
        <f>C10-D10</f>
        <v>-180085.30644938198</v>
      </c>
      <c r="G12" s="22">
        <v>8</v>
      </c>
      <c r="H12" s="82">
        <f t="shared" si="1"/>
        <v>10070.210350350198</v>
      </c>
      <c r="N12" s="86">
        <v>0.1</v>
      </c>
      <c r="O12" s="85">
        <v>565589.22263641539</v>
      </c>
      <c r="P12" s="85">
        <v>467366.4920372481</v>
      </c>
      <c r="Q12" s="85">
        <f t="shared" si="0"/>
        <v>98222.730599167291</v>
      </c>
    </row>
    <row r="13" spans="2:17" x14ac:dyDescent="0.15">
      <c r="B13" s="88" t="s">
        <v>19</v>
      </c>
      <c r="C13" s="89">
        <f>O24</f>
        <v>659035.05010625499</v>
      </c>
      <c r="G13" s="22">
        <v>9</v>
      </c>
      <c r="H13" s="82">
        <f t="shared" si="1"/>
        <v>10080.280560700548</v>
      </c>
      <c r="N13" s="86">
        <v>0.11</v>
      </c>
      <c r="O13" s="85">
        <v>544257.0883324662</v>
      </c>
      <c r="P13" s="85">
        <v>425153.67206068977</v>
      </c>
      <c r="Q13" s="85">
        <f t="shared" si="0"/>
        <v>119103.41627177643</v>
      </c>
    </row>
    <row r="14" spans="2:17" x14ac:dyDescent="0.15">
      <c r="B14" s="88" t="s">
        <v>135</v>
      </c>
      <c r="C14" s="87" t="str">
        <f>IF(C20&gt;0,B14&amp;"是"&amp;C21,"都不行")</f>
        <v>使用公式表示实现最大净现值的方案是项目B</v>
      </c>
      <c r="G14" s="22">
        <v>10</v>
      </c>
      <c r="H14" s="82">
        <f t="shared" si="1"/>
        <v>10090.360841261248</v>
      </c>
      <c r="N14" s="86">
        <v>0.12</v>
      </c>
      <c r="O14" s="85">
        <v>523863.93739058729</v>
      </c>
      <c r="P14" s="85">
        <v>385338.17275339353</v>
      </c>
      <c r="Q14" s="85">
        <f t="shared" si="0"/>
        <v>138525.76463719376</v>
      </c>
    </row>
    <row r="15" spans="2:17" x14ac:dyDescent="0.15">
      <c r="G15" s="22">
        <v>11</v>
      </c>
      <c r="H15" s="82">
        <f t="shared" si="1"/>
        <v>10100.451202102509</v>
      </c>
      <c r="N15" s="86">
        <v>0.13</v>
      </c>
      <c r="O15" s="85">
        <v>504362.85974814091</v>
      </c>
      <c r="P15" s="85">
        <v>347760.34281807649</v>
      </c>
      <c r="Q15" s="85">
        <f t="shared" si="0"/>
        <v>156602.51693006442</v>
      </c>
    </row>
    <row r="16" spans="2:17" x14ac:dyDescent="0.15">
      <c r="G16" s="22">
        <v>12</v>
      </c>
      <c r="H16" s="82">
        <f t="shared" si="1"/>
        <v>10110.55165330461</v>
      </c>
      <c r="N16" s="86">
        <v>0.14000000000000001</v>
      </c>
      <c r="O16" s="85">
        <v>485709.45604360057</v>
      </c>
      <c r="P16" s="85">
        <v>312272.56569737743</v>
      </c>
      <c r="Q16" s="85">
        <f t="shared" si="0"/>
        <v>173436.89034622314</v>
      </c>
    </row>
    <row r="17" spans="2:17" x14ac:dyDescent="0.15">
      <c r="G17" s="22">
        <v>13</v>
      </c>
      <c r="H17" s="82">
        <f t="shared" si="1"/>
        <v>10120.662204957915</v>
      </c>
      <c r="N17" s="86">
        <v>0.15</v>
      </c>
      <c r="O17" s="85">
        <v>467861.69710537628</v>
      </c>
      <c r="P17" s="85">
        <v>278738.25245174195</v>
      </c>
      <c r="Q17" s="85">
        <f t="shared" si="0"/>
        <v>189123.44465363433</v>
      </c>
    </row>
    <row r="18" spans="2:17" x14ac:dyDescent="0.15">
      <c r="C18" s="89">
        <f>IF($C$20=C10,C10,0)</f>
        <v>0</v>
      </c>
      <c r="D18" s="89">
        <f>IF($C$20=D10,D10,0)</f>
        <v>989109.70454733749</v>
      </c>
      <c r="G18" s="22">
        <v>14</v>
      </c>
      <c r="H18" s="82">
        <f t="shared" si="1"/>
        <v>10130.782867162872</v>
      </c>
      <c r="N18" s="86">
        <v>0.16</v>
      </c>
      <c r="O18" s="85">
        <v>450779.79156391602</v>
      </c>
      <c r="P18" s="85">
        <v>247030.92697839951</v>
      </c>
      <c r="Q18" s="85">
        <f t="shared" si="0"/>
        <v>203748.86458551651</v>
      </c>
    </row>
    <row r="19" spans="2:17" x14ac:dyDescent="0.15">
      <c r="G19" s="22">
        <v>15</v>
      </c>
      <c r="H19" s="82">
        <f t="shared" si="1"/>
        <v>10140.913650030034</v>
      </c>
      <c r="N19" s="86">
        <v>0.17</v>
      </c>
      <c r="O19" s="85">
        <v>434426.0611053824</v>
      </c>
      <c r="P19" s="85">
        <v>217033.39438624191</v>
      </c>
      <c r="Q19" s="85">
        <f t="shared" si="0"/>
        <v>217392.66671914048</v>
      </c>
    </row>
    <row r="20" spans="2:17" x14ac:dyDescent="0.15">
      <c r="B20" s="88" t="s">
        <v>134</v>
      </c>
      <c r="C20" s="89">
        <f>MAX(C10:D10)</f>
        <v>989109.70454733749</v>
      </c>
      <c r="G20" s="22">
        <v>16</v>
      </c>
      <c r="H20" s="82">
        <f t="shared" si="1"/>
        <v>10151.054563680063</v>
      </c>
      <c r="N20" s="86">
        <v>0.18</v>
      </c>
      <c r="O20" s="85">
        <v>418764.82291412051</v>
      </c>
      <c r="P20" s="85">
        <v>188636.98432482348</v>
      </c>
      <c r="Q20" s="85">
        <f t="shared" si="0"/>
        <v>230127.83858929703</v>
      </c>
    </row>
    <row r="21" spans="2:17" x14ac:dyDescent="0.15">
      <c r="B21" s="88" t="s">
        <v>133</v>
      </c>
      <c r="C21" s="87" t="str">
        <f>INDEX(C3:D3,MATCH(C20,C10:D10,0))</f>
        <v>项目B</v>
      </c>
      <c r="E21" s="22" t="str">
        <f>B2&amp;"="&amp;C2*100&amp;"%时，"&amp;C14</f>
        <v>年贴现率=1%时，使用公式表示实现最大净现值的方案是项目B</v>
      </c>
      <c r="G21" s="22">
        <v>17</v>
      </c>
      <c r="H21" s="82">
        <f t="shared" si="1"/>
        <v>10161.205618243743</v>
      </c>
      <c r="N21" s="86">
        <v>0.19</v>
      </c>
      <c r="O21" s="85">
        <v>403762.27887881134</v>
      </c>
      <c r="P21" s="85">
        <v>161740.86193661229</v>
      </c>
      <c r="Q21" s="85">
        <f t="shared" si="0"/>
        <v>242021.41694219905</v>
      </c>
    </row>
    <row r="22" spans="2:17" x14ac:dyDescent="0.15">
      <c r="G22" s="22">
        <v>18</v>
      </c>
      <c r="H22" s="82">
        <f t="shared" si="1"/>
        <v>10171.366823861985</v>
      </c>
      <c r="N22" s="86">
        <v>0.2</v>
      </c>
      <c r="O22" s="85">
        <v>389386.41116272082</v>
      </c>
      <c r="P22" s="85">
        <v>136251.39987354272</v>
      </c>
      <c r="Q22" s="85">
        <f t="shared" si="0"/>
        <v>253135.0112891781</v>
      </c>
    </row>
    <row r="23" spans="2:17" x14ac:dyDescent="0.15">
      <c r="G23" s="22">
        <v>19</v>
      </c>
      <c r="H23" s="82">
        <f t="shared" si="1"/>
        <v>10181.538190685846</v>
      </c>
    </row>
    <row r="24" spans="2:17" x14ac:dyDescent="0.15">
      <c r="G24" s="22">
        <v>20</v>
      </c>
      <c r="H24" s="82">
        <f t="shared" si="1"/>
        <v>10191.719728876531</v>
      </c>
      <c r="N24" s="84">
        <f>N8+($Q$24-$Q$8)/($Q$9-$Q$8)*(N9-N8)</f>
        <v>6.0900812585587764E-2</v>
      </c>
      <c r="O24" s="83">
        <f>O8+($Q$24-$Q$8)/($Q$9-$Q$8)*(O9-O8)</f>
        <v>659035.05010625499</v>
      </c>
      <c r="P24" s="83">
        <f>P8+($Q$24-$Q$8)/($Q$9-$Q$8)*(P9-P8)</f>
        <v>659035.05010625499</v>
      </c>
      <c r="Q24" s="83">
        <v>0</v>
      </c>
    </row>
    <row r="25" spans="2:17" x14ac:dyDescent="0.15">
      <c r="G25" s="22">
        <v>21</v>
      </c>
      <c r="H25" s="82">
        <f t="shared" si="1"/>
        <v>10201.911448605406</v>
      </c>
    </row>
    <row r="26" spans="2:17" x14ac:dyDescent="0.15">
      <c r="G26" s="22">
        <v>22</v>
      </c>
      <c r="H26" s="82">
        <f t="shared" si="1"/>
        <v>10212.113360054011</v>
      </c>
    </row>
    <row r="27" spans="2:17" x14ac:dyDescent="0.15">
      <c r="G27" s="22">
        <v>23</v>
      </c>
      <c r="H27" s="82">
        <f t="shared" si="1"/>
        <v>10222.325473414063</v>
      </c>
    </row>
    <row r="28" spans="2:17" x14ac:dyDescent="0.15">
      <c r="G28" s="22">
        <v>24</v>
      </c>
      <c r="H28" s="82">
        <f t="shared" si="1"/>
        <v>10232.547798887475</v>
      </c>
    </row>
    <row r="29" spans="2:17" x14ac:dyDescent="0.15">
      <c r="G29" s="22">
        <v>25</v>
      </c>
      <c r="H29" s="82">
        <f t="shared" si="1"/>
        <v>10242.780346686362</v>
      </c>
    </row>
    <row r="30" spans="2:17" x14ac:dyDescent="0.15">
      <c r="G30" s="22">
        <v>26</v>
      </c>
      <c r="H30" s="82">
        <f t="shared" si="1"/>
        <v>10253.023127033048</v>
      </c>
    </row>
    <row r="31" spans="2:17" x14ac:dyDescent="0.15">
      <c r="G31" s="22">
        <v>27</v>
      </c>
      <c r="H31" s="82">
        <f t="shared" si="1"/>
        <v>10263.27615016008</v>
      </c>
    </row>
    <row r="32" spans="2:17" x14ac:dyDescent="0.15">
      <c r="G32" s="22">
        <v>28</v>
      </c>
      <c r="H32" s="82">
        <f t="shared" si="1"/>
        <v>10273.539426310239</v>
      </c>
    </row>
    <row r="33" spans="7:8" x14ac:dyDescent="0.15">
      <c r="G33" s="22">
        <v>29</v>
      </c>
      <c r="H33" s="82">
        <f t="shared" si="1"/>
        <v>10283.812965736548</v>
      </c>
    </row>
    <row r="34" spans="7:8" x14ac:dyDescent="0.15">
      <c r="G34" s="22">
        <v>30</v>
      </c>
      <c r="H34" s="82">
        <f t="shared" si="1"/>
        <v>10294.096778702284</v>
      </c>
    </row>
    <row r="35" spans="7:8" x14ac:dyDescent="0.15">
      <c r="G35" s="22">
        <v>31</v>
      </c>
      <c r="H35" s="82">
        <f t="shared" si="1"/>
        <v>10304.390875480985</v>
      </c>
    </row>
    <row r="36" spans="7:8" x14ac:dyDescent="0.15">
      <c r="G36" s="22">
        <v>32</v>
      </c>
      <c r="H36" s="82">
        <f t="shared" si="1"/>
        <v>10314.695266356466</v>
      </c>
    </row>
    <row r="37" spans="7:8" x14ac:dyDescent="0.15">
      <c r="G37" s="22">
        <v>33</v>
      </c>
      <c r="H37" s="82">
        <f t="shared" si="1"/>
        <v>10325.009961622822</v>
      </c>
    </row>
    <row r="38" spans="7:8" x14ac:dyDescent="0.15">
      <c r="G38" s="22">
        <v>34</v>
      </c>
      <c r="H38" s="82">
        <f t="shared" ref="H38:H69" si="2">IF(G38&lt;=$C$6*12,H37*(1+$C$8),H37)</f>
        <v>10335.334971584443</v>
      </c>
    </row>
    <row r="39" spans="7:8" x14ac:dyDescent="0.15">
      <c r="G39" s="22">
        <v>35</v>
      </c>
      <c r="H39" s="82">
        <f t="shared" si="2"/>
        <v>10345.670306556027</v>
      </c>
    </row>
    <row r="40" spans="7:8" x14ac:dyDescent="0.15">
      <c r="G40" s="22">
        <v>36</v>
      </c>
      <c r="H40" s="82">
        <f t="shared" si="2"/>
        <v>10356.015976862582</v>
      </c>
    </row>
    <row r="41" spans="7:8" x14ac:dyDescent="0.15">
      <c r="G41" s="22">
        <v>37</v>
      </c>
      <c r="H41" s="82">
        <f t="shared" si="2"/>
        <v>10366.371992839444</v>
      </c>
    </row>
    <row r="42" spans="7:8" x14ac:dyDescent="0.15">
      <c r="G42" s="22">
        <v>38</v>
      </c>
      <c r="H42" s="82">
        <f t="shared" si="2"/>
        <v>10376.738364832283</v>
      </c>
    </row>
    <row r="43" spans="7:8" x14ac:dyDescent="0.15">
      <c r="G43" s="22">
        <v>39</v>
      </c>
      <c r="H43" s="82">
        <f t="shared" si="2"/>
        <v>10387.115103197115</v>
      </c>
    </row>
    <row r="44" spans="7:8" x14ac:dyDescent="0.15">
      <c r="G44" s="22">
        <v>40</v>
      </c>
      <c r="H44" s="82">
        <f t="shared" si="2"/>
        <v>10397.502218300311</v>
      </c>
    </row>
    <row r="45" spans="7:8" x14ac:dyDescent="0.15">
      <c r="G45" s="22">
        <v>41</v>
      </c>
      <c r="H45" s="82">
        <f t="shared" si="2"/>
        <v>10407.89972051861</v>
      </c>
    </row>
    <row r="46" spans="7:8" x14ac:dyDescent="0.15">
      <c r="G46" s="22">
        <v>42</v>
      </c>
      <c r="H46" s="82">
        <f t="shared" si="2"/>
        <v>10418.307620239128</v>
      </c>
    </row>
    <row r="47" spans="7:8" x14ac:dyDescent="0.15">
      <c r="G47" s="22">
        <v>43</v>
      </c>
      <c r="H47" s="82">
        <f t="shared" si="2"/>
        <v>10428.725927859365</v>
      </c>
    </row>
    <row r="48" spans="7:8" x14ac:dyDescent="0.15">
      <c r="G48" s="22">
        <v>44</v>
      </c>
      <c r="H48" s="82">
        <f t="shared" si="2"/>
        <v>10439.154653787224</v>
      </c>
    </row>
    <row r="49" spans="7:8" x14ac:dyDescent="0.15">
      <c r="G49" s="22">
        <v>45</v>
      </c>
      <c r="H49" s="82">
        <f t="shared" si="2"/>
        <v>10449.59380844101</v>
      </c>
    </row>
    <row r="50" spans="7:8" x14ac:dyDescent="0.15">
      <c r="G50" s="22">
        <v>46</v>
      </c>
      <c r="H50" s="82">
        <f t="shared" si="2"/>
        <v>10460.04340224945</v>
      </c>
    </row>
    <row r="51" spans="7:8" x14ac:dyDescent="0.15">
      <c r="G51" s="22">
        <v>47</v>
      </c>
      <c r="H51" s="82">
        <f t="shared" si="2"/>
        <v>10470.503445651699</v>
      </c>
    </row>
    <row r="52" spans="7:8" x14ac:dyDescent="0.15">
      <c r="G52" s="22">
        <v>48</v>
      </c>
      <c r="H52" s="82">
        <f t="shared" si="2"/>
        <v>10480.97394909735</v>
      </c>
    </row>
    <row r="53" spans="7:8" x14ac:dyDescent="0.15">
      <c r="G53" s="22">
        <v>49</v>
      </c>
      <c r="H53" s="82">
        <f t="shared" si="2"/>
        <v>10480.97394909735</v>
      </c>
    </row>
    <row r="54" spans="7:8" x14ac:dyDescent="0.15">
      <c r="G54" s="22">
        <v>50</v>
      </c>
      <c r="H54" s="82">
        <f t="shared" si="2"/>
        <v>10480.97394909735</v>
      </c>
    </row>
    <row r="55" spans="7:8" x14ac:dyDescent="0.15">
      <c r="G55" s="22">
        <v>51</v>
      </c>
      <c r="H55" s="82">
        <f t="shared" si="2"/>
        <v>10480.97394909735</v>
      </c>
    </row>
    <row r="56" spans="7:8" x14ac:dyDescent="0.15">
      <c r="G56" s="22">
        <v>52</v>
      </c>
      <c r="H56" s="82">
        <f t="shared" si="2"/>
        <v>10480.97394909735</v>
      </c>
    </row>
    <row r="57" spans="7:8" x14ac:dyDescent="0.15">
      <c r="G57" s="22">
        <v>53</v>
      </c>
      <c r="H57" s="82">
        <f t="shared" si="2"/>
        <v>10480.97394909735</v>
      </c>
    </row>
    <row r="58" spans="7:8" x14ac:dyDescent="0.15">
      <c r="G58" s="22">
        <v>54</v>
      </c>
      <c r="H58" s="82">
        <f t="shared" si="2"/>
        <v>10480.97394909735</v>
      </c>
    </row>
    <row r="59" spans="7:8" x14ac:dyDescent="0.15">
      <c r="G59" s="22">
        <v>55</v>
      </c>
      <c r="H59" s="82">
        <f t="shared" si="2"/>
        <v>10480.97394909735</v>
      </c>
    </row>
    <row r="60" spans="7:8" x14ac:dyDescent="0.15">
      <c r="G60" s="22">
        <v>56</v>
      </c>
      <c r="H60" s="82">
        <f t="shared" si="2"/>
        <v>10480.97394909735</v>
      </c>
    </row>
    <row r="61" spans="7:8" x14ac:dyDescent="0.15">
      <c r="G61" s="22">
        <v>57</v>
      </c>
      <c r="H61" s="82">
        <f t="shared" si="2"/>
        <v>10480.97394909735</v>
      </c>
    </row>
    <row r="62" spans="7:8" x14ac:dyDescent="0.15">
      <c r="G62" s="22">
        <v>58</v>
      </c>
      <c r="H62" s="82">
        <f t="shared" si="2"/>
        <v>10480.97394909735</v>
      </c>
    </row>
    <row r="63" spans="7:8" x14ac:dyDescent="0.15">
      <c r="G63" s="22">
        <v>59</v>
      </c>
      <c r="H63" s="82">
        <f t="shared" si="2"/>
        <v>10480.97394909735</v>
      </c>
    </row>
    <row r="64" spans="7:8" x14ac:dyDescent="0.15">
      <c r="G64" s="22">
        <v>60</v>
      </c>
      <c r="H64" s="82">
        <f t="shared" si="2"/>
        <v>10480.97394909735</v>
      </c>
    </row>
    <row r="65" spans="7:8" x14ac:dyDescent="0.15">
      <c r="G65" s="22">
        <v>61</v>
      </c>
      <c r="H65" s="82">
        <f t="shared" si="2"/>
        <v>10480.97394909735</v>
      </c>
    </row>
    <row r="66" spans="7:8" x14ac:dyDescent="0.15">
      <c r="G66" s="22">
        <v>62</v>
      </c>
      <c r="H66" s="82">
        <f t="shared" si="2"/>
        <v>10480.97394909735</v>
      </c>
    </row>
    <row r="67" spans="7:8" x14ac:dyDescent="0.15">
      <c r="G67" s="22">
        <v>63</v>
      </c>
      <c r="H67" s="82">
        <f t="shared" si="2"/>
        <v>10480.97394909735</v>
      </c>
    </row>
    <row r="68" spans="7:8" x14ac:dyDescent="0.15">
      <c r="G68" s="22">
        <v>64</v>
      </c>
      <c r="H68" s="82">
        <f t="shared" si="2"/>
        <v>10480.97394909735</v>
      </c>
    </row>
    <row r="69" spans="7:8" x14ac:dyDescent="0.15">
      <c r="G69" s="22">
        <v>65</v>
      </c>
      <c r="H69" s="82">
        <f t="shared" si="2"/>
        <v>10480.97394909735</v>
      </c>
    </row>
    <row r="70" spans="7:8" x14ac:dyDescent="0.15">
      <c r="G70" s="22">
        <v>66</v>
      </c>
      <c r="H70" s="82">
        <f t="shared" ref="H70:H75" si="3">IF(G70&lt;=$C$6*12,H69*(1+$C$8),H69)</f>
        <v>10480.97394909735</v>
      </c>
    </row>
    <row r="71" spans="7:8" x14ac:dyDescent="0.15">
      <c r="G71" s="22">
        <v>67</v>
      </c>
      <c r="H71" s="82">
        <f t="shared" si="3"/>
        <v>10480.97394909735</v>
      </c>
    </row>
    <row r="72" spans="7:8" x14ac:dyDescent="0.15">
      <c r="G72" s="22">
        <v>68</v>
      </c>
      <c r="H72" s="82">
        <f t="shared" si="3"/>
        <v>10480.97394909735</v>
      </c>
    </row>
    <row r="73" spans="7:8" x14ac:dyDescent="0.15">
      <c r="G73" s="22">
        <v>69</v>
      </c>
      <c r="H73" s="82">
        <f t="shared" si="3"/>
        <v>10480.97394909735</v>
      </c>
    </row>
    <row r="74" spans="7:8" x14ac:dyDescent="0.15">
      <c r="G74" s="22">
        <v>70</v>
      </c>
      <c r="H74" s="82">
        <f t="shared" si="3"/>
        <v>10480.97394909735</v>
      </c>
    </row>
    <row r="75" spans="7:8" x14ac:dyDescent="0.15">
      <c r="G75" s="22">
        <v>71</v>
      </c>
      <c r="H75" s="82">
        <f t="shared" si="3"/>
        <v>10480.97394909735</v>
      </c>
    </row>
    <row r="76" spans="7:8" x14ac:dyDescent="0.15">
      <c r="G76" s="22">
        <v>72</v>
      </c>
      <c r="H76" s="82">
        <f>IF(G76&lt;=$C$6*12,H75*(1+$C$8),H75)+C9</f>
        <v>210480.97394909736</v>
      </c>
    </row>
  </sheetData>
  <phoneticPr fontId="11" type="noConversion"/>
  <printOptions headings="1"/>
  <pageMargins left="0.74803149606299213" right="0.74803149606299213" top="0.98425196850393704" bottom="0.98425196850393704" header="0.51181102362204722" footer="0.51181102362204722"/>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3553" r:id="rId4" name="Spinner 1">
              <controlPr defaultSize="0" autoPict="0">
                <anchor moveWithCells="1" sizeWithCells="1">
                  <from>
                    <xdr:col>5</xdr:col>
                    <xdr:colOff>133350</xdr:colOff>
                    <xdr:row>26</xdr:row>
                    <xdr:rowOff>0</xdr:rowOff>
                  </from>
                  <to>
                    <xdr:col>5</xdr:col>
                    <xdr:colOff>628650</xdr:colOff>
                    <xdr:row>27</xdr:row>
                    <xdr:rowOff>114300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4"/>
  <sheetViews>
    <sheetView workbookViewId="0">
      <selection activeCell="M23" sqref="M23:N23"/>
    </sheetView>
  </sheetViews>
  <sheetFormatPr defaultColWidth="8.875" defaultRowHeight="13.5" x14ac:dyDescent="0.15"/>
  <cols>
    <col min="1" max="1" width="4.625" style="53" customWidth="1"/>
    <col min="2" max="16384" width="8.875" style="53"/>
  </cols>
  <sheetData>
    <row r="1" spans="2:11" x14ac:dyDescent="0.15">
      <c r="B1" s="16"/>
      <c r="C1" s="16"/>
      <c r="D1" s="16"/>
      <c r="E1" s="16"/>
      <c r="F1" s="16"/>
      <c r="G1" s="16"/>
      <c r="H1" s="16"/>
      <c r="I1" s="16"/>
      <c r="J1" s="16"/>
      <c r="K1" s="16"/>
    </row>
    <row r="2" spans="2:11" ht="14.25" x14ac:dyDescent="0.15">
      <c r="C2" s="114" t="s">
        <v>20</v>
      </c>
      <c r="D2" s="114"/>
      <c r="E2" s="114"/>
      <c r="F2" s="114"/>
      <c r="G2" s="16"/>
      <c r="H2" s="16"/>
      <c r="I2" s="16"/>
      <c r="J2" s="16"/>
      <c r="K2" s="16"/>
    </row>
    <row r="3" spans="2:11" x14ac:dyDescent="0.15">
      <c r="B3" s="17"/>
      <c r="C3" s="18" t="s">
        <v>21</v>
      </c>
      <c r="D3" s="18" t="s">
        <v>22</v>
      </c>
      <c r="E3" s="18" t="s">
        <v>23</v>
      </c>
      <c r="F3" s="18" t="s">
        <v>24</v>
      </c>
      <c r="G3" s="16"/>
      <c r="H3" s="16"/>
      <c r="I3" s="16"/>
      <c r="J3" s="16"/>
      <c r="K3" s="16"/>
    </row>
    <row r="4" spans="2:11" ht="14.25" x14ac:dyDescent="0.2">
      <c r="B4" s="18" t="s">
        <v>25</v>
      </c>
      <c r="C4" s="19">
        <v>11</v>
      </c>
      <c r="D4" s="19">
        <v>11</v>
      </c>
      <c r="E4" s="19">
        <v>13</v>
      </c>
      <c r="F4" s="19">
        <v>11</v>
      </c>
      <c r="G4" s="16"/>
      <c r="H4" s="16"/>
      <c r="I4" s="16"/>
      <c r="J4" s="16"/>
      <c r="K4" s="16"/>
    </row>
    <row r="5" spans="2:11" ht="14.25" x14ac:dyDescent="0.2">
      <c r="B5" s="18" t="s">
        <v>26</v>
      </c>
      <c r="C5" s="19">
        <v>10</v>
      </c>
      <c r="D5" s="19">
        <v>12</v>
      </c>
      <c r="E5" s="19">
        <v>14</v>
      </c>
      <c r="F5" s="19">
        <v>15</v>
      </c>
      <c r="G5" s="16"/>
      <c r="H5" s="16"/>
      <c r="I5" s="16"/>
      <c r="J5" s="16"/>
      <c r="K5" s="16"/>
    </row>
    <row r="6" spans="2:11" ht="14.25" x14ac:dyDescent="0.2">
      <c r="B6" s="18" t="s">
        <v>27</v>
      </c>
      <c r="C6" s="19">
        <v>12</v>
      </c>
      <c r="D6" s="19">
        <v>14</v>
      </c>
      <c r="E6" s="19">
        <v>12</v>
      </c>
      <c r="F6" s="19">
        <v>13</v>
      </c>
      <c r="G6" s="16"/>
      <c r="H6" s="16"/>
      <c r="I6" s="16"/>
      <c r="J6" s="16"/>
      <c r="K6" s="16"/>
    </row>
    <row r="7" spans="2:11" ht="14.25" x14ac:dyDescent="0.2">
      <c r="B7" s="18" t="s">
        <v>28</v>
      </c>
      <c r="C7" s="19">
        <v>11</v>
      </c>
      <c r="D7" s="19">
        <v>13</v>
      </c>
      <c r="E7" s="19">
        <v>15</v>
      </c>
      <c r="F7" s="19">
        <v>10</v>
      </c>
      <c r="G7" s="16"/>
      <c r="H7" s="16"/>
      <c r="I7" s="16"/>
      <c r="J7" s="16"/>
      <c r="K7" s="16"/>
    </row>
    <row r="8" spans="2:11" x14ac:dyDescent="0.15">
      <c r="B8" s="16"/>
      <c r="C8" s="16"/>
      <c r="D8" s="16"/>
      <c r="E8" s="16"/>
      <c r="F8" s="16"/>
      <c r="G8" s="16"/>
      <c r="H8" s="16"/>
      <c r="I8" s="16"/>
      <c r="J8" s="16"/>
      <c r="K8" s="16"/>
    </row>
    <row r="10" spans="2:11" ht="14.25" x14ac:dyDescent="0.15">
      <c r="C10" s="114" t="s">
        <v>68</v>
      </c>
      <c r="D10" s="114"/>
      <c r="E10" s="114"/>
      <c r="F10" s="114"/>
    </row>
    <row r="11" spans="2:11" x14ac:dyDescent="0.15">
      <c r="B11" s="17"/>
      <c r="C11" s="18" t="s">
        <v>67</v>
      </c>
      <c r="D11" s="18" t="s">
        <v>66</v>
      </c>
      <c r="E11" s="18" t="s">
        <v>65</v>
      </c>
      <c r="F11" s="18" t="s">
        <v>64</v>
      </c>
    </row>
    <row r="12" spans="2:11" ht="14.25" x14ac:dyDescent="0.2">
      <c r="B12" s="18" t="s">
        <v>63</v>
      </c>
      <c r="C12" s="19">
        <v>10.199999999999999</v>
      </c>
      <c r="D12" s="19">
        <v>14.5</v>
      </c>
      <c r="E12" s="19">
        <v>13.5</v>
      </c>
      <c r="F12" s="19">
        <v>12.8</v>
      </c>
    </row>
    <row r="13" spans="2:11" ht="14.25" x14ac:dyDescent="0.2">
      <c r="B13" s="18" t="s">
        <v>62</v>
      </c>
      <c r="C13" s="19">
        <v>10.6</v>
      </c>
      <c r="D13" s="19">
        <v>14.7</v>
      </c>
      <c r="E13" s="19">
        <v>14.1</v>
      </c>
      <c r="F13" s="19">
        <v>11.9</v>
      </c>
    </row>
    <row r="14" spans="2:11" ht="14.25" x14ac:dyDescent="0.2">
      <c r="B14" s="18" t="s">
        <v>61</v>
      </c>
      <c r="C14" s="19">
        <v>9.8000000000000007</v>
      </c>
      <c r="D14" s="19">
        <v>14.3</v>
      </c>
      <c r="E14" s="19">
        <v>13.8</v>
      </c>
      <c r="F14" s="19">
        <v>12.5</v>
      </c>
    </row>
    <row r="15" spans="2:11" ht="14.25" x14ac:dyDescent="0.2">
      <c r="B15" s="18" t="s">
        <v>60</v>
      </c>
      <c r="C15" s="19">
        <v>10.4</v>
      </c>
      <c r="D15" s="19">
        <v>15.2</v>
      </c>
      <c r="E15" s="19">
        <v>14</v>
      </c>
      <c r="F15" s="19">
        <v>11.7</v>
      </c>
    </row>
    <row r="19" spans="2:6" x14ac:dyDescent="0.15">
      <c r="B19" s="17"/>
      <c r="C19" s="18" t="s">
        <v>67</v>
      </c>
      <c r="D19" s="18" t="s">
        <v>66</v>
      </c>
      <c r="E19" s="18" t="s">
        <v>65</v>
      </c>
      <c r="F19" s="18" t="s">
        <v>64</v>
      </c>
    </row>
    <row r="20" spans="2:6" ht="14.25" x14ac:dyDescent="0.2">
      <c r="B20" s="18" t="s">
        <v>63</v>
      </c>
      <c r="C20" s="56">
        <v>0</v>
      </c>
      <c r="D20" s="56">
        <v>1</v>
      </c>
      <c r="E20" s="56">
        <v>0</v>
      </c>
      <c r="F20" s="56">
        <v>0</v>
      </c>
    </row>
    <row r="21" spans="2:6" ht="14.25" x14ac:dyDescent="0.2">
      <c r="B21" s="18" t="s">
        <v>62</v>
      </c>
      <c r="C21" s="56">
        <v>1</v>
      </c>
      <c r="D21" s="56">
        <v>0</v>
      </c>
      <c r="E21" s="56">
        <v>0</v>
      </c>
      <c r="F21" s="56">
        <v>0</v>
      </c>
    </row>
    <row r="22" spans="2:6" ht="14.25" x14ac:dyDescent="0.2">
      <c r="B22" s="18" t="s">
        <v>61</v>
      </c>
      <c r="C22" s="56">
        <v>0</v>
      </c>
      <c r="D22" s="56">
        <v>0</v>
      </c>
      <c r="E22" s="56">
        <v>1</v>
      </c>
      <c r="F22" s="56">
        <v>0</v>
      </c>
    </row>
    <row r="23" spans="2:6" ht="14.25" x14ac:dyDescent="0.2">
      <c r="B23" s="18" t="s">
        <v>60</v>
      </c>
      <c r="C23" s="56">
        <v>0</v>
      </c>
      <c r="D23" s="56">
        <v>0</v>
      </c>
      <c r="E23" s="56">
        <v>0</v>
      </c>
      <c r="F23" s="56">
        <v>1</v>
      </c>
    </row>
    <row r="24" spans="2:6" x14ac:dyDescent="0.15">
      <c r="B24" s="18" t="s">
        <v>59</v>
      </c>
      <c r="C24" s="55">
        <f>SUM(C20:C23)</f>
        <v>1</v>
      </c>
      <c r="D24" s="55">
        <f>SUM(D20:D23)</f>
        <v>1</v>
      </c>
      <c r="E24" s="55">
        <f>SUM(E20:E23)</f>
        <v>1</v>
      </c>
      <c r="F24" s="55">
        <f>SUM(F20:F23)</f>
        <v>1</v>
      </c>
    </row>
    <row r="25" spans="2:6" x14ac:dyDescent="0.15">
      <c r="E25" s="18" t="s">
        <v>58</v>
      </c>
      <c r="F25" s="54">
        <f t="array" ref="F25">SUM(C4:F7*C12:F15*C20:F23)</f>
        <v>548.1</v>
      </c>
    </row>
    <row r="29" spans="2:6" x14ac:dyDescent="0.15">
      <c r="B29" s="53">
        <f>MIN($F$25)</f>
        <v>548.1</v>
      </c>
    </row>
    <row r="30" spans="2:6" x14ac:dyDescent="0.15">
      <c r="B30" s="53">
        <f>COUNT($C$20:$F$23)</f>
        <v>16</v>
      </c>
    </row>
    <row r="31" spans="2:6" x14ac:dyDescent="0.15">
      <c r="B31" s="53" t="b">
        <f t="array" ref="B31">($C$20:$F$23=0)+($C$20:$F$23=1)=1</f>
        <v>1</v>
      </c>
    </row>
    <row r="32" spans="2:6" x14ac:dyDescent="0.15">
      <c r="B32" s="53" t="b">
        <f t="array" ref="B32">$C$24:$F$24&gt;=1</f>
        <v>1</v>
      </c>
    </row>
    <row r="33" spans="2:2" x14ac:dyDescent="0.15">
      <c r="B33" s="53">
        <f>{32767,32767,0.000001,0.01,FALSE,FALSE,TRUE,1,1,1,0.0001,TRUE}</f>
        <v>32767</v>
      </c>
    </row>
    <row r="34" spans="2:2" x14ac:dyDescent="0.15">
      <c r="B34" s="53">
        <f>{0,0,1,100,0,FALSE,TRUE,0.075,0,0,FALSE,30}</f>
        <v>0</v>
      </c>
    </row>
  </sheetData>
  <mergeCells count="2">
    <mergeCell ref="C2:F2"/>
    <mergeCell ref="C10:F10"/>
  </mergeCells>
  <phoneticPr fontId="1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520"/>
  <sheetViews>
    <sheetView workbookViewId="0">
      <selection activeCell="D11" sqref="D11"/>
    </sheetView>
  </sheetViews>
  <sheetFormatPr defaultColWidth="8.875" defaultRowHeight="13.5" x14ac:dyDescent="0.15"/>
  <cols>
    <col min="1" max="1" width="3.875" style="66" customWidth="1"/>
    <col min="2" max="2" width="12.75" style="66" customWidth="1"/>
    <col min="3" max="3" width="15" style="66" bestFit="1" customWidth="1"/>
    <col min="4" max="4" width="8.875" style="66"/>
    <col min="5" max="6" width="11" style="66" bestFit="1" customWidth="1"/>
    <col min="7" max="16" width="5.25" style="66" bestFit="1" customWidth="1"/>
    <col min="17" max="17" width="3.625" style="66" customWidth="1"/>
    <col min="18" max="18" width="8.875" style="66"/>
    <col min="19" max="19" width="5.25" style="66" bestFit="1" customWidth="1"/>
    <col min="20" max="16384" width="8.875" style="66"/>
  </cols>
  <sheetData>
    <row r="2" spans="2:19" ht="33.75" x14ac:dyDescent="0.15">
      <c r="B2" s="81" t="s">
        <v>132</v>
      </c>
    </row>
    <row r="4" spans="2:19" x14ac:dyDescent="0.15">
      <c r="B4" s="71" t="s">
        <v>131</v>
      </c>
      <c r="C4" s="80">
        <v>3</v>
      </c>
      <c r="F4" s="79" t="s">
        <v>124</v>
      </c>
      <c r="G4" s="78">
        <v>1</v>
      </c>
      <c r="H4" s="75">
        <v>2</v>
      </c>
      <c r="I4" s="75">
        <v>3</v>
      </c>
      <c r="J4" s="75">
        <v>4</v>
      </c>
      <c r="K4" s="75">
        <v>5</v>
      </c>
      <c r="L4" s="75">
        <v>6</v>
      </c>
      <c r="M4" s="75">
        <v>7</v>
      </c>
      <c r="N4" s="75">
        <v>8</v>
      </c>
      <c r="O4" s="75">
        <v>9</v>
      </c>
      <c r="P4" s="75">
        <v>10</v>
      </c>
    </row>
    <row r="5" spans="2:19" x14ac:dyDescent="0.15">
      <c r="B5" s="71" t="s">
        <v>130</v>
      </c>
      <c r="C5" s="80">
        <v>7</v>
      </c>
      <c r="F5" s="75" t="s">
        <v>123</v>
      </c>
      <c r="G5" s="75" t="s">
        <v>129</v>
      </c>
      <c r="H5" s="75" t="s">
        <v>129</v>
      </c>
      <c r="I5" s="75" t="s">
        <v>129</v>
      </c>
      <c r="J5" s="75" t="s">
        <v>128</v>
      </c>
      <c r="K5" s="75" t="s">
        <v>128</v>
      </c>
      <c r="L5" s="75" t="s">
        <v>128</v>
      </c>
      <c r="M5" s="75" t="s">
        <v>128</v>
      </c>
      <c r="N5" s="75" t="s">
        <v>128</v>
      </c>
      <c r="O5" s="75" t="s">
        <v>128</v>
      </c>
      <c r="P5" s="75" t="s">
        <v>128</v>
      </c>
      <c r="R5" s="77" t="s">
        <v>122</v>
      </c>
      <c r="S5" s="77" t="s">
        <v>121</v>
      </c>
    </row>
    <row r="6" spans="2:19" x14ac:dyDescent="0.15">
      <c r="B6" s="71" t="s">
        <v>127</v>
      </c>
      <c r="C6" s="80">
        <v>2</v>
      </c>
      <c r="E6" s="66" t="s">
        <v>126</v>
      </c>
      <c r="F6" s="76">
        <f ca="1">RANDBETWEEN(1,10)</f>
        <v>1</v>
      </c>
      <c r="G6" s="107" t="str">
        <f t="shared" ref="G6:P6" ca="1" si="0">IF($F$6=G4,IF(G5="黑色","白色","黑色"),G5)</f>
        <v>白色</v>
      </c>
      <c r="H6" s="107" t="str">
        <f t="shared" ca="1" si="0"/>
        <v>黑色</v>
      </c>
      <c r="I6" s="107" t="str">
        <f t="shared" ca="1" si="0"/>
        <v>黑色</v>
      </c>
      <c r="J6" s="107" t="str">
        <f t="shared" ca="1" si="0"/>
        <v>白色</v>
      </c>
      <c r="K6" s="107" t="str">
        <f t="shared" ca="1" si="0"/>
        <v>白色</v>
      </c>
      <c r="L6" s="107" t="str">
        <f t="shared" ca="1" si="0"/>
        <v>白色</v>
      </c>
      <c r="M6" s="107" t="str">
        <f t="shared" ca="1" si="0"/>
        <v>白色</v>
      </c>
      <c r="N6" s="107" t="str">
        <f t="shared" ca="1" si="0"/>
        <v>白色</v>
      </c>
      <c r="O6" s="107" t="str">
        <f t="shared" ca="1" si="0"/>
        <v>白色</v>
      </c>
      <c r="P6" s="107" t="str">
        <f t="shared" ca="1" si="0"/>
        <v>白色</v>
      </c>
      <c r="R6" s="67" t="str">
        <f ca="1">INDEX(G5:P5,F6)</f>
        <v>黑色</v>
      </c>
      <c r="S6" s="67">
        <f ca="1">IF(R6="黑色",$C$6,$C$7)</f>
        <v>2</v>
      </c>
    </row>
    <row r="7" spans="2:19" x14ac:dyDescent="0.15">
      <c r="B7" s="71" t="s">
        <v>125</v>
      </c>
      <c r="C7" s="80">
        <v>1</v>
      </c>
      <c r="G7" s="108"/>
      <c r="H7" s="108"/>
      <c r="I7" s="108"/>
      <c r="J7" s="108"/>
      <c r="K7" s="108"/>
      <c r="L7" s="108"/>
      <c r="M7" s="108"/>
      <c r="N7" s="108"/>
      <c r="O7" s="108"/>
      <c r="P7" s="108"/>
    </row>
    <row r="8" spans="2:19" x14ac:dyDescent="0.15">
      <c r="F8" s="79" t="s">
        <v>124</v>
      </c>
      <c r="G8" s="109">
        <v>1</v>
      </c>
      <c r="H8" s="107">
        <v>2</v>
      </c>
      <c r="I8" s="107">
        <v>3</v>
      </c>
      <c r="J8" s="107">
        <v>4</v>
      </c>
      <c r="K8" s="107">
        <v>5</v>
      </c>
      <c r="L8" s="107">
        <v>6</v>
      </c>
      <c r="M8" s="107">
        <v>7</v>
      </c>
      <c r="N8" s="107">
        <v>8</v>
      </c>
      <c r="O8" s="107">
        <v>9</v>
      </c>
      <c r="P8" s="107">
        <v>10</v>
      </c>
    </row>
    <row r="9" spans="2:19" x14ac:dyDescent="0.15">
      <c r="F9" s="75" t="s">
        <v>123</v>
      </c>
      <c r="G9" s="107" t="str">
        <f t="shared" ref="G9:P9" ca="1" si="1">G6</f>
        <v>白色</v>
      </c>
      <c r="H9" s="107" t="str">
        <f t="shared" ca="1" si="1"/>
        <v>黑色</v>
      </c>
      <c r="I9" s="107" t="str">
        <f t="shared" ca="1" si="1"/>
        <v>黑色</v>
      </c>
      <c r="J9" s="107" t="str">
        <f t="shared" ca="1" si="1"/>
        <v>白色</v>
      </c>
      <c r="K9" s="107" t="str">
        <f t="shared" ca="1" si="1"/>
        <v>白色</v>
      </c>
      <c r="L9" s="107" t="str">
        <f t="shared" ca="1" si="1"/>
        <v>白色</v>
      </c>
      <c r="M9" s="107" t="str">
        <f t="shared" ca="1" si="1"/>
        <v>白色</v>
      </c>
      <c r="N9" s="107" t="str">
        <f t="shared" ca="1" si="1"/>
        <v>白色</v>
      </c>
      <c r="O9" s="107" t="str">
        <f t="shared" ca="1" si="1"/>
        <v>白色</v>
      </c>
      <c r="P9" s="107" t="str">
        <f t="shared" ca="1" si="1"/>
        <v>白色</v>
      </c>
      <c r="R9" s="77" t="s">
        <v>122</v>
      </c>
      <c r="S9" s="77" t="s">
        <v>121</v>
      </c>
    </row>
    <row r="10" spans="2:19" ht="14.25" x14ac:dyDescent="0.15">
      <c r="B10" s="71" t="s">
        <v>120</v>
      </c>
      <c r="C10" s="70" t="str">
        <f ca="1">R6&amp;R10&amp;R14</f>
        <v>黑色黑色黑色</v>
      </c>
      <c r="E10" s="66" t="s">
        <v>119</v>
      </c>
      <c r="F10" s="76">
        <f ca="1">RANDBETWEEN(1,10)</f>
        <v>2</v>
      </c>
      <c r="G10" s="107" t="str">
        <f ca="1">IF($F$10=G8,IF(G9="黑色","白色","黑色"),G9)</f>
        <v>白色</v>
      </c>
      <c r="H10" s="107" t="str">
        <f t="shared" ref="H10:P10" ca="1" si="2">IF($F$10=H8,IF(H9="黑色","白色","黑色"),H9)</f>
        <v>白色</v>
      </c>
      <c r="I10" s="107" t="str">
        <f t="shared" ca="1" si="2"/>
        <v>黑色</v>
      </c>
      <c r="J10" s="107" t="str">
        <f t="shared" ca="1" si="2"/>
        <v>白色</v>
      </c>
      <c r="K10" s="107" t="str">
        <f t="shared" ca="1" si="2"/>
        <v>白色</v>
      </c>
      <c r="L10" s="107" t="str">
        <f t="shared" ca="1" si="2"/>
        <v>白色</v>
      </c>
      <c r="M10" s="107" t="str">
        <f t="shared" ca="1" si="2"/>
        <v>白色</v>
      </c>
      <c r="N10" s="107" t="str">
        <f t="shared" ca="1" si="2"/>
        <v>白色</v>
      </c>
      <c r="O10" s="107" t="str">
        <f t="shared" ca="1" si="2"/>
        <v>白色</v>
      </c>
      <c r="P10" s="107" t="str">
        <f t="shared" ca="1" si="2"/>
        <v>白色</v>
      </c>
      <c r="R10" s="67" t="str">
        <f ca="1">INDEX(G9:P9,F10)</f>
        <v>黑色</v>
      </c>
      <c r="S10" s="67">
        <f ca="1">IF(R10="黑色",$C$6,$C$7)</f>
        <v>2</v>
      </c>
    </row>
    <row r="11" spans="2:19" ht="14.25" x14ac:dyDescent="0.15">
      <c r="B11" s="74" t="s">
        <v>118</v>
      </c>
      <c r="C11" s="70">
        <f ca="1">IF(C10="黑色白色白色",1,0)</f>
        <v>0</v>
      </c>
      <c r="G11" s="108"/>
      <c r="H11" s="108"/>
      <c r="I11" s="108"/>
      <c r="J11" s="108"/>
      <c r="K11" s="108"/>
      <c r="L11" s="108"/>
      <c r="M11" s="108"/>
      <c r="N11" s="108"/>
      <c r="O11" s="108"/>
      <c r="P11" s="108"/>
    </row>
    <row r="12" spans="2:19" ht="14.25" x14ac:dyDescent="0.15">
      <c r="B12" s="73" t="s">
        <v>109</v>
      </c>
      <c r="C12" s="72">
        <f>SUM(G21:G520)/500</f>
        <v>0.14799999999999999</v>
      </c>
      <c r="F12" s="79" t="s">
        <v>117</v>
      </c>
      <c r="G12" s="109">
        <v>1</v>
      </c>
      <c r="H12" s="107">
        <v>2</v>
      </c>
      <c r="I12" s="107">
        <v>3</v>
      </c>
      <c r="J12" s="107">
        <v>4</v>
      </c>
      <c r="K12" s="107">
        <v>5</v>
      </c>
      <c r="L12" s="107">
        <v>6</v>
      </c>
      <c r="M12" s="107">
        <v>7</v>
      </c>
      <c r="N12" s="107">
        <v>8</v>
      </c>
      <c r="O12" s="107">
        <v>9</v>
      </c>
      <c r="P12" s="107">
        <v>10</v>
      </c>
    </row>
    <row r="13" spans="2:19" x14ac:dyDescent="0.15">
      <c r="F13" s="75" t="s">
        <v>116</v>
      </c>
      <c r="G13" s="107" t="str">
        <f t="shared" ref="G13:P13" ca="1" si="3">G10</f>
        <v>白色</v>
      </c>
      <c r="H13" s="107" t="str">
        <f t="shared" ca="1" si="3"/>
        <v>白色</v>
      </c>
      <c r="I13" s="107" t="str">
        <f t="shared" ca="1" si="3"/>
        <v>黑色</v>
      </c>
      <c r="J13" s="107" t="str">
        <f t="shared" ca="1" si="3"/>
        <v>白色</v>
      </c>
      <c r="K13" s="107" t="str">
        <f t="shared" ca="1" si="3"/>
        <v>白色</v>
      </c>
      <c r="L13" s="107" t="str">
        <f t="shared" ca="1" si="3"/>
        <v>白色</v>
      </c>
      <c r="M13" s="107" t="str">
        <f t="shared" ca="1" si="3"/>
        <v>白色</v>
      </c>
      <c r="N13" s="107" t="str">
        <f t="shared" ca="1" si="3"/>
        <v>白色</v>
      </c>
      <c r="O13" s="107" t="str">
        <f t="shared" ca="1" si="3"/>
        <v>白色</v>
      </c>
      <c r="P13" s="107" t="str">
        <f t="shared" ca="1" si="3"/>
        <v>白色</v>
      </c>
      <c r="R13" s="77" t="s">
        <v>115</v>
      </c>
      <c r="S13" s="77" t="s">
        <v>114</v>
      </c>
    </row>
    <row r="14" spans="2:19" ht="14.25" x14ac:dyDescent="0.15">
      <c r="B14" s="71" t="s">
        <v>113</v>
      </c>
      <c r="C14" s="70" t="str">
        <f ca="1">R6&amp;R10</f>
        <v>黑色黑色</v>
      </c>
      <c r="E14" s="66" t="s">
        <v>112</v>
      </c>
      <c r="F14" s="76">
        <f ca="1">RANDBETWEEN(1,10)</f>
        <v>3</v>
      </c>
      <c r="G14" s="107" t="str">
        <f ca="1">IF($F$14=G12,IF(G13="黑色","白色","黑色"),G13)</f>
        <v>白色</v>
      </c>
      <c r="H14" s="107" t="str">
        <f t="shared" ref="H14:P14" ca="1" si="4">IF($F$14=H12,IF(H13="黑色","白色","黑色"),H13)</f>
        <v>白色</v>
      </c>
      <c r="I14" s="107" t="str">
        <f t="shared" ca="1" si="4"/>
        <v>白色</v>
      </c>
      <c r="J14" s="107" t="str">
        <f t="shared" ca="1" si="4"/>
        <v>白色</v>
      </c>
      <c r="K14" s="107" t="str">
        <f t="shared" ca="1" si="4"/>
        <v>白色</v>
      </c>
      <c r="L14" s="107" t="str">
        <f t="shared" ca="1" si="4"/>
        <v>白色</v>
      </c>
      <c r="M14" s="107" t="str">
        <f t="shared" ca="1" si="4"/>
        <v>白色</v>
      </c>
      <c r="N14" s="107" t="str">
        <f t="shared" ca="1" si="4"/>
        <v>白色</v>
      </c>
      <c r="O14" s="107" t="str">
        <f t="shared" ca="1" si="4"/>
        <v>白色</v>
      </c>
      <c r="P14" s="107" t="str">
        <f t="shared" ca="1" si="4"/>
        <v>白色</v>
      </c>
      <c r="R14" s="67" t="str">
        <f ca="1">INDEX(G13:P13,F14)</f>
        <v>黑色</v>
      </c>
      <c r="S14" s="67">
        <f ca="1">IF(R14="黑色",$C$6,$C$7)</f>
        <v>2</v>
      </c>
    </row>
    <row r="15" spans="2:19" ht="14.25" x14ac:dyDescent="0.15">
      <c r="B15" s="74" t="s">
        <v>111</v>
      </c>
      <c r="C15" s="70">
        <f ca="1">IF(R6=R10,1,0)</f>
        <v>1</v>
      </c>
    </row>
    <row r="16" spans="2:19" ht="14.25" x14ac:dyDescent="0.15">
      <c r="B16" s="74" t="s">
        <v>110</v>
      </c>
      <c r="C16" s="70">
        <f ca="1">IF(C15=1,IF(R6="白色",1,0),0)</f>
        <v>0</v>
      </c>
    </row>
    <row r="17" spans="2:16" ht="14.25" x14ac:dyDescent="0.15">
      <c r="B17" s="73" t="s">
        <v>109</v>
      </c>
      <c r="C17" s="72">
        <f>SUM(I21:I520)/SUM(H21:H520)</f>
        <v>0.84375</v>
      </c>
    </row>
    <row r="19" spans="2:16" ht="14.25" x14ac:dyDescent="0.15">
      <c r="B19" s="71" t="s">
        <v>108</v>
      </c>
      <c r="C19" s="70">
        <f ca="1">S6+S10+S14</f>
        <v>6</v>
      </c>
      <c r="O19" s="110" t="s">
        <v>153</v>
      </c>
      <c r="P19" s="110" t="s">
        <v>154</v>
      </c>
    </row>
    <row r="20" spans="2:16" x14ac:dyDescent="0.15">
      <c r="G20" s="111">
        <f ca="1">C11</f>
        <v>0</v>
      </c>
      <c r="H20" s="111">
        <f ca="1">C15</f>
        <v>1</v>
      </c>
      <c r="I20" s="111">
        <f ca="1">C16</f>
        <v>0</v>
      </c>
      <c r="L20" s="112">
        <f ca="1">C19</f>
        <v>6</v>
      </c>
      <c r="N20" s="67">
        <v>3</v>
      </c>
      <c r="O20" s="67">
        <f>COUNTIF($L$21:$L$520,N20)</f>
        <v>99</v>
      </c>
      <c r="P20" s="68">
        <f>O20/$O$24</f>
        <v>0.19800000000000001</v>
      </c>
    </row>
    <row r="21" spans="2:16" x14ac:dyDescent="0.15">
      <c r="F21" s="67">
        <v>1</v>
      </c>
      <c r="G21" s="67">
        <f t="dataTable" ref="G21:I520" dt2D="0" dtr="0" r1="I2" ca="1"/>
        <v>0</v>
      </c>
      <c r="H21" s="67">
        <v>0</v>
      </c>
      <c r="I21" s="67">
        <v>0</v>
      </c>
      <c r="K21" s="67">
        <v>1</v>
      </c>
      <c r="L21" s="67">
        <f t="dataTable" ref="L21:L520" dt2D="0" dtr="0" r1="T2" ca="1"/>
        <v>4</v>
      </c>
      <c r="N21" s="67">
        <v>4</v>
      </c>
      <c r="O21" s="67">
        <f>COUNTIF($L$21:$L$520,N21)</f>
        <v>294</v>
      </c>
      <c r="P21" s="68">
        <f>O21/$O$24</f>
        <v>0.58799999999999997</v>
      </c>
    </row>
    <row r="22" spans="2:16" x14ac:dyDescent="0.15">
      <c r="F22" s="67">
        <v>2</v>
      </c>
      <c r="G22" s="67">
        <v>0</v>
      </c>
      <c r="H22" s="67">
        <v>1</v>
      </c>
      <c r="I22" s="67">
        <v>0</v>
      </c>
      <c r="K22" s="67">
        <v>2</v>
      </c>
      <c r="L22" s="67">
        <v>4</v>
      </c>
      <c r="N22" s="67">
        <v>5</v>
      </c>
      <c r="O22" s="67">
        <f>COUNTIF($L$21:$L$520,N22)</f>
        <v>104</v>
      </c>
      <c r="P22" s="68">
        <f>O22/$O$24</f>
        <v>0.20799999999999999</v>
      </c>
    </row>
    <row r="23" spans="2:16" x14ac:dyDescent="0.15">
      <c r="F23" s="67">
        <v>3</v>
      </c>
      <c r="G23" s="67">
        <v>0</v>
      </c>
      <c r="H23" s="67">
        <v>1</v>
      </c>
      <c r="I23" s="67">
        <v>1</v>
      </c>
      <c r="K23" s="67">
        <v>3</v>
      </c>
      <c r="L23" s="67">
        <v>4</v>
      </c>
      <c r="N23" s="67">
        <v>6</v>
      </c>
      <c r="O23" s="67">
        <f>COUNTIF($L$21:$L$520,N23)</f>
        <v>3</v>
      </c>
      <c r="P23" s="68">
        <f>O23/$O$24</f>
        <v>6.0000000000000001E-3</v>
      </c>
    </row>
    <row r="24" spans="2:16" x14ac:dyDescent="0.15">
      <c r="F24" s="67">
        <v>4</v>
      </c>
      <c r="G24" s="67">
        <v>1</v>
      </c>
      <c r="H24" s="67">
        <v>0</v>
      </c>
      <c r="I24" s="67">
        <v>0</v>
      </c>
      <c r="K24" s="67">
        <v>4</v>
      </c>
      <c r="L24" s="67">
        <v>5</v>
      </c>
      <c r="O24" s="67">
        <f>SUM(O20:O23)</f>
        <v>500</v>
      </c>
    </row>
    <row r="25" spans="2:16" x14ac:dyDescent="0.15">
      <c r="F25" s="67">
        <v>5</v>
      </c>
      <c r="G25" s="67">
        <v>0</v>
      </c>
      <c r="H25" s="67">
        <v>1</v>
      </c>
      <c r="I25" s="67">
        <v>1</v>
      </c>
      <c r="K25" s="67">
        <v>5</v>
      </c>
      <c r="L25" s="67">
        <v>4</v>
      </c>
    </row>
    <row r="26" spans="2:16" x14ac:dyDescent="0.15">
      <c r="F26" s="67">
        <v>6</v>
      </c>
      <c r="G26" s="67">
        <v>0</v>
      </c>
      <c r="H26" s="67">
        <v>1</v>
      </c>
      <c r="I26" s="67">
        <v>1</v>
      </c>
      <c r="K26" s="67">
        <v>6</v>
      </c>
      <c r="L26" s="67">
        <v>3</v>
      </c>
    </row>
    <row r="27" spans="2:16" x14ac:dyDescent="0.15">
      <c r="F27" s="67">
        <v>7</v>
      </c>
      <c r="G27" s="67">
        <v>0</v>
      </c>
      <c r="H27" s="67">
        <v>0</v>
      </c>
      <c r="I27" s="67">
        <v>0</v>
      </c>
      <c r="K27" s="67">
        <v>7</v>
      </c>
      <c r="L27" s="67">
        <v>5</v>
      </c>
    </row>
    <row r="28" spans="2:16" x14ac:dyDescent="0.15">
      <c r="F28" s="67">
        <v>8</v>
      </c>
      <c r="G28" s="67">
        <v>1</v>
      </c>
      <c r="H28" s="67">
        <v>0</v>
      </c>
      <c r="I28" s="67">
        <v>0</v>
      </c>
      <c r="K28" s="67">
        <v>8</v>
      </c>
      <c r="L28" s="67">
        <v>6</v>
      </c>
    </row>
    <row r="29" spans="2:16" x14ac:dyDescent="0.15">
      <c r="F29" s="67">
        <v>9</v>
      </c>
      <c r="G29" s="67">
        <v>0</v>
      </c>
      <c r="H29" s="67">
        <v>1</v>
      </c>
      <c r="I29" s="67">
        <v>1</v>
      </c>
      <c r="K29" s="67">
        <v>9</v>
      </c>
      <c r="L29" s="67">
        <v>5</v>
      </c>
    </row>
    <row r="30" spans="2:16" x14ac:dyDescent="0.15">
      <c r="F30" s="67">
        <v>10</v>
      </c>
      <c r="G30" s="67">
        <v>0</v>
      </c>
      <c r="H30" s="67">
        <v>0</v>
      </c>
      <c r="I30" s="67">
        <v>0</v>
      </c>
      <c r="K30" s="67">
        <v>10</v>
      </c>
      <c r="L30" s="67">
        <v>4</v>
      </c>
    </row>
    <row r="31" spans="2:16" x14ac:dyDescent="0.15">
      <c r="F31" s="67">
        <v>11</v>
      </c>
      <c r="G31" s="67">
        <v>0</v>
      </c>
      <c r="H31" s="67">
        <v>1</v>
      </c>
      <c r="I31" s="67">
        <v>1</v>
      </c>
      <c r="K31" s="67">
        <v>11</v>
      </c>
      <c r="L31" s="67">
        <v>3</v>
      </c>
    </row>
    <row r="32" spans="2:16" x14ac:dyDescent="0.15">
      <c r="F32" s="67">
        <v>12</v>
      </c>
      <c r="G32" s="67">
        <v>0</v>
      </c>
      <c r="H32" s="67">
        <v>1</v>
      </c>
      <c r="I32" s="67">
        <v>1</v>
      </c>
      <c r="K32" s="67">
        <v>12</v>
      </c>
      <c r="L32" s="67">
        <v>5</v>
      </c>
    </row>
    <row r="33" spans="6:12" x14ac:dyDescent="0.15">
      <c r="F33" s="67">
        <v>13</v>
      </c>
      <c r="G33" s="67">
        <v>1</v>
      </c>
      <c r="H33" s="67">
        <v>0</v>
      </c>
      <c r="I33" s="67">
        <v>0</v>
      </c>
      <c r="K33" s="67">
        <v>13</v>
      </c>
      <c r="L33" s="67">
        <v>4</v>
      </c>
    </row>
    <row r="34" spans="6:12" x14ac:dyDescent="0.15">
      <c r="F34" s="67">
        <v>14</v>
      </c>
      <c r="G34" s="67">
        <v>0</v>
      </c>
      <c r="H34" s="67">
        <v>1</v>
      </c>
      <c r="I34" s="67">
        <v>1</v>
      </c>
      <c r="K34" s="67">
        <v>14</v>
      </c>
      <c r="L34" s="67">
        <v>4</v>
      </c>
    </row>
    <row r="35" spans="6:12" x14ac:dyDescent="0.15">
      <c r="F35" s="67">
        <v>15</v>
      </c>
      <c r="G35" s="67">
        <v>0</v>
      </c>
      <c r="H35" s="67">
        <v>0</v>
      </c>
      <c r="I35" s="67">
        <v>0</v>
      </c>
      <c r="K35" s="67">
        <v>15</v>
      </c>
      <c r="L35" s="67">
        <v>3</v>
      </c>
    </row>
    <row r="36" spans="6:12" x14ac:dyDescent="0.15">
      <c r="F36" s="67">
        <v>16</v>
      </c>
      <c r="G36" s="67">
        <v>0</v>
      </c>
      <c r="H36" s="67">
        <v>1</v>
      </c>
      <c r="I36" s="67">
        <v>1</v>
      </c>
      <c r="K36" s="67">
        <v>16</v>
      </c>
      <c r="L36" s="67">
        <v>4</v>
      </c>
    </row>
    <row r="37" spans="6:12" x14ac:dyDescent="0.15">
      <c r="F37" s="67">
        <v>17</v>
      </c>
      <c r="G37" s="67">
        <v>0</v>
      </c>
      <c r="H37" s="67">
        <v>0</v>
      </c>
      <c r="I37" s="67">
        <v>0</v>
      </c>
      <c r="K37" s="67">
        <v>17</v>
      </c>
      <c r="L37" s="67">
        <v>4</v>
      </c>
    </row>
    <row r="38" spans="6:12" x14ac:dyDescent="0.15">
      <c r="F38" s="67">
        <v>18</v>
      </c>
      <c r="G38" s="67">
        <v>1</v>
      </c>
      <c r="H38" s="67">
        <v>0</v>
      </c>
      <c r="I38" s="67">
        <v>0</v>
      </c>
      <c r="K38" s="67">
        <v>18</v>
      </c>
      <c r="L38" s="67">
        <v>3</v>
      </c>
    </row>
    <row r="39" spans="6:12" x14ac:dyDescent="0.15">
      <c r="F39" s="67">
        <v>19</v>
      </c>
      <c r="G39" s="67">
        <v>1</v>
      </c>
      <c r="H39" s="67">
        <v>0</v>
      </c>
      <c r="I39" s="67">
        <v>0</v>
      </c>
      <c r="K39" s="67">
        <v>19</v>
      </c>
      <c r="L39" s="67">
        <v>4</v>
      </c>
    </row>
    <row r="40" spans="6:12" x14ac:dyDescent="0.15">
      <c r="F40" s="67">
        <v>20</v>
      </c>
      <c r="G40" s="67">
        <v>0</v>
      </c>
      <c r="H40" s="67">
        <v>0</v>
      </c>
      <c r="I40" s="67">
        <v>0</v>
      </c>
      <c r="K40" s="67">
        <v>20</v>
      </c>
      <c r="L40" s="67">
        <v>6</v>
      </c>
    </row>
    <row r="41" spans="6:12" x14ac:dyDescent="0.15">
      <c r="F41" s="67">
        <v>21</v>
      </c>
      <c r="G41" s="67">
        <v>0</v>
      </c>
      <c r="H41" s="67">
        <v>0</v>
      </c>
      <c r="I41" s="67">
        <v>0</v>
      </c>
      <c r="K41" s="67">
        <v>21</v>
      </c>
      <c r="L41" s="67">
        <v>4</v>
      </c>
    </row>
    <row r="42" spans="6:12" x14ac:dyDescent="0.15">
      <c r="F42" s="67">
        <v>22</v>
      </c>
      <c r="G42" s="67">
        <v>0</v>
      </c>
      <c r="H42" s="67">
        <v>1</v>
      </c>
      <c r="I42" s="67">
        <v>1</v>
      </c>
      <c r="K42" s="67">
        <v>22</v>
      </c>
      <c r="L42" s="67">
        <v>5</v>
      </c>
    </row>
    <row r="43" spans="6:12" x14ac:dyDescent="0.15">
      <c r="F43" s="67">
        <v>23</v>
      </c>
      <c r="G43" s="67">
        <v>0</v>
      </c>
      <c r="H43" s="67">
        <v>1</v>
      </c>
      <c r="I43" s="67">
        <v>1</v>
      </c>
      <c r="K43" s="67">
        <v>23</v>
      </c>
      <c r="L43" s="67">
        <v>5</v>
      </c>
    </row>
    <row r="44" spans="6:12" x14ac:dyDescent="0.15">
      <c r="F44" s="67">
        <v>24</v>
      </c>
      <c r="G44" s="67">
        <v>0</v>
      </c>
      <c r="H44" s="67">
        <v>0</v>
      </c>
      <c r="I44" s="67">
        <v>0</v>
      </c>
      <c r="K44" s="67">
        <v>24</v>
      </c>
      <c r="L44" s="67">
        <v>4</v>
      </c>
    </row>
    <row r="45" spans="6:12" x14ac:dyDescent="0.15">
      <c r="F45" s="67">
        <v>25</v>
      </c>
      <c r="G45" s="67">
        <v>0</v>
      </c>
      <c r="H45" s="67">
        <v>0</v>
      </c>
      <c r="I45" s="67">
        <v>0</v>
      </c>
      <c r="K45" s="67">
        <v>25</v>
      </c>
      <c r="L45" s="67">
        <v>5</v>
      </c>
    </row>
    <row r="46" spans="6:12" x14ac:dyDescent="0.15">
      <c r="F46" s="67">
        <v>26</v>
      </c>
      <c r="G46" s="67">
        <v>0</v>
      </c>
      <c r="H46" s="67">
        <v>1</v>
      </c>
      <c r="I46" s="67">
        <v>1</v>
      </c>
      <c r="K46" s="67">
        <v>26</v>
      </c>
      <c r="L46" s="67">
        <v>4</v>
      </c>
    </row>
    <row r="47" spans="6:12" x14ac:dyDescent="0.15">
      <c r="F47" s="67">
        <v>27</v>
      </c>
      <c r="G47" s="67">
        <v>0</v>
      </c>
      <c r="H47" s="67">
        <v>1</v>
      </c>
      <c r="I47" s="67">
        <v>1</v>
      </c>
      <c r="K47" s="67">
        <v>27</v>
      </c>
      <c r="L47" s="67">
        <v>4</v>
      </c>
    </row>
    <row r="48" spans="6:12" x14ac:dyDescent="0.15">
      <c r="F48" s="67">
        <v>28</v>
      </c>
      <c r="G48" s="67">
        <v>0</v>
      </c>
      <c r="H48" s="67">
        <v>1</v>
      </c>
      <c r="I48" s="67">
        <v>1</v>
      </c>
      <c r="K48" s="67">
        <v>28</v>
      </c>
      <c r="L48" s="67">
        <v>4</v>
      </c>
    </row>
    <row r="49" spans="6:12" x14ac:dyDescent="0.15">
      <c r="F49" s="67">
        <v>29</v>
      </c>
      <c r="G49" s="67">
        <v>0</v>
      </c>
      <c r="H49" s="67">
        <v>0</v>
      </c>
      <c r="I49" s="67">
        <v>0</v>
      </c>
      <c r="K49" s="67">
        <v>29</v>
      </c>
      <c r="L49" s="67">
        <v>3</v>
      </c>
    </row>
    <row r="50" spans="6:12" x14ac:dyDescent="0.15">
      <c r="F50" s="67">
        <v>30</v>
      </c>
      <c r="G50" s="67">
        <v>1</v>
      </c>
      <c r="H50" s="67">
        <v>0</v>
      </c>
      <c r="I50" s="67">
        <v>0</v>
      </c>
      <c r="K50" s="67">
        <v>30</v>
      </c>
      <c r="L50" s="67">
        <v>4</v>
      </c>
    </row>
    <row r="51" spans="6:12" x14ac:dyDescent="0.15">
      <c r="F51" s="67">
        <v>31</v>
      </c>
      <c r="G51" s="67">
        <v>1</v>
      </c>
      <c r="H51" s="67">
        <v>0</v>
      </c>
      <c r="I51" s="67">
        <v>0</v>
      </c>
      <c r="K51" s="67">
        <v>31</v>
      </c>
      <c r="L51" s="67">
        <v>5</v>
      </c>
    </row>
    <row r="52" spans="6:12" x14ac:dyDescent="0.15">
      <c r="F52" s="67">
        <v>32</v>
      </c>
      <c r="G52" s="67">
        <v>0</v>
      </c>
      <c r="H52" s="67">
        <v>1</v>
      </c>
      <c r="I52" s="67">
        <v>0</v>
      </c>
      <c r="K52" s="67">
        <v>32</v>
      </c>
      <c r="L52" s="67">
        <v>3</v>
      </c>
    </row>
    <row r="53" spans="6:12" x14ac:dyDescent="0.15">
      <c r="F53" s="67">
        <v>33</v>
      </c>
      <c r="G53" s="67">
        <v>0</v>
      </c>
      <c r="H53" s="67">
        <v>0</v>
      </c>
      <c r="I53" s="67">
        <v>0</v>
      </c>
      <c r="K53" s="67">
        <v>33</v>
      </c>
      <c r="L53" s="67">
        <v>5</v>
      </c>
    </row>
    <row r="54" spans="6:12" x14ac:dyDescent="0.15">
      <c r="F54" s="67">
        <v>34</v>
      </c>
      <c r="G54" s="67">
        <v>0</v>
      </c>
      <c r="H54" s="67">
        <v>0</v>
      </c>
      <c r="I54" s="67">
        <v>0</v>
      </c>
      <c r="K54" s="67">
        <v>34</v>
      </c>
      <c r="L54" s="67">
        <v>4</v>
      </c>
    </row>
    <row r="55" spans="6:12" x14ac:dyDescent="0.15">
      <c r="F55" s="67">
        <v>35</v>
      </c>
      <c r="G55" s="67">
        <v>0</v>
      </c>
      <c r="H55" s="67">
        <v>0</v>
      </c>
      <c r="I55" s="67">
        <v>0</v>
      </c>
      <c r="K55" s="67">
        <v>35</v>
      </c>
      <c r="L55" s="67">
        <v>3</v>
      </c>
    </row>
    <row r="56" spans="6:12" x14ac:dyDescent="0.15">
      <c r="F56" s="67">
        <v>36</v>
      </c>
      <c r="G56" s="67">
        <v>0</v>
      </c>
      <c r="H56" s="67">
        <v>1</v>
      </c>
      <c r="I56" s="67">
        <v>1</v>
      </c>
      <c r="K56" s="67">
        <v>36</v>
      </c>
      <c r="L56" s="67">
        <v>4</v>
      </c>
    </row>
    <row r="57" spans="6:12" x14ac:dyDescent="0.15">
      <c r="F57" s="67">
        <v>37</v>
      </c>
      <c r="G57" s="67">
        <v>1</v>
      </c>
      <c r="H57" s="67">
        <v>0</v>
      </c>
      <c r="I57" s="67">
        <v>0</v>
      </c>
      <c r="K57" s="67">
        <v>37</v>
      </c>
      <c r="L57" s="67">
        <v>3</v>
      </c>
    </row>
    <row r="58" spans="6:12" x14ac:dyDescent="0.15">
      <c r="F58" s="67">
        <v>38</v>
      </c>
      <c r="G58" s="67">
        <v>0</v>
      </c>
      <c r="H58" s="67">
        <v>0</v>
      </c>
      <c r="I58" s="67">
        <v>0</v>
      </c>
      <c r="K58" s="67">
        <v>38</v>
      </c>
      <c r="L58" s="67">
        <v>4</v>
      </c>
    </row>
    <row r="59" spans="6:12" x14ac:dyDescent="0.15">
      <c r="F59" s="67">
        <v>39</v>
      </c>
      <c r="G59" s="67">
        <v>0</v>
      </c>
      <c r="H59" s="67">
        <v>0</v>
      </c>
      <c r="I59" s="67">
        <v>0</v>
      </c>
      <c r="K59" s="67">
        <v>39</v>
      </c>
      <c r="L59" s="67">
        <v>4</v>
      </c>
    </row>
    <row r="60" spans="6:12" x14ac:dyDescent="0.15">
      <c r="F60" s="67">
        <v>40</v>
      </c>
      <c r="G60" s="67">
        <v>0</v>
      </c>
      <c r="H60" s="67">
        <v>1</v>
      </c>
      <c r="I60" s="67">
        <v>1</v>
      </c>
      <c r="K60" s="67">
        <v>40</v>
      </c>
      <c r="L60" s="67">
        <v>4</v>
      </c>
    </row>
    <row r="61" spans="6:12" x14ac:dyDescent="0.15">
      <c r="F61" s="67">
        <v>41</v>
      </c>
      <c r="G61" s="67">
        <v>0</v>
      </c>
      <c r="H61" s="67">
        <v>1</v>
      </c>
      <c r="I61" s="67">
        <v>1</v>
      </c>
      <c r="K61" s="67">
        <v>41</v>
      </c>
      <c r="L61" s="67">
        <v>5</v>
      </c>
    </row>
    <row r="62" spans="6:12" x14ac:dyDescent="0.15">
      <c r="F62" s="67">
        <v>42</v>
      </c>
      <c r="G62" s="67">
        <v>1</v>
      </c>
      <c r="H62" s="67">
        <v>0</v>
      </c>
      <c r="I62" s="67">
        <v>0</v>
      </c>
      <c r="K62" s="67">
        <v>42</v>
      </c>
      <c r="L62" s="67">
        <v>4</v>
      </c>
    </row>
    <row r="63" spans="6:12" x14ac:dyDescent="0.15">
      <c r="F63" s="67">
        <v>43</v>
      </c>
      <c r="G63" s="67">
        <v>1</v>
      </c>
      <c r="H63" s="67">
        <v>0</v>
      </c>
      <c r="I63" s="67">
        <v>0</v>
      </c>
      <c r="K63" s="67">
        <v>43</v>
      </c>
      <c r="L63" s="67">
        <v>4</v>
      </c>
    </row>
    <row r="64" spans="6:12" x14ac:dyDescent="0.15">
      <c r="F64" s="67">
        <v>44</v>
      </c>
      <c r="G64" s="67">
        <v>0</v>
      </c>
      <c r="H64" s="67">
        <v>0</v>
      </c>
      <c r="I64" s="67">
        <v>0</v>
      </c>
      <c r="K64" s="67">
        <v>44</v>
      </c>
      <c r="L64" s="67">
        <v>4</v>
      </c>
    </row>
    <row r="65" spans="6:12" x14ac:dyDescent="0.15">
      <c r="F65" s="67">
        <v>45</v>
      </c>
      <c r="G65" s="67">
        <v>0</v>
      </c>
      <c r="H65" s="67">
        <v>1</v>
      </c>
      <c r="I65" s="67">
        <v>0</v>
      </c>
      <c r="K65" s="67">
        <v>45</v>
      </c>
      <c r="L65" s="67">
        <v>4</v>
      </c>
    </row>
    <row r="66" spans="6:12" x14ac:dyDescent="0.15">
      <c r="F66" s="67">
        <v>46</v>
      </c>
      <c r="G66" s="67">
        <v>0</v>
      </c>
      <c r="H66" s="67">
        <v>1</v>
      </c>
      <c r="I66" s="67">
        <v>1</v>
      </c>
      <c r="K66" s="67">
        <v>46</v>
      </c>
      <c r="L66" s="67">
        <v>4</v>
      </c>
    </row>
    <row r="67" spans="6:12" x14ac:dyDescent="0.15">
      <c r="F67" s="67">
        <v>47</v>
      </c>
      <c r="G67" s="67">
        <v>1</v>
      </c>
      <c r="H67" s="67">
        <v>0</v>
      </c>
      <c r="I67" s="67">
        <v>0</v>
      </c>
      <c r="K67" s="67">
        <v>47</v>
      </c>
      <c r="L67" s="67">
        <v>5</v>
      </c>
    </row>
    <row r="68" spans="6:12" x14ac:dyDescent="0.15">
      <c r="F68" s="67">
        <v>48</v>
      </c>
      <c r="G68" s="67">
        <v>0</v>
      </c>
      <c r="H68" s="67">
        <v>1</v>
      </c>
      <c r="I68" s="67">
        <v>1</v>
      </c>
      <c r="K68" s="67">
        <v>48</v>
      </c>
      <c r="L68" s="67">
        <v>6</v>
      </c>
    </row>
    <row r="69" spans="6:12" x14ac:dyDescent="0.15">
      <c r="F69" s="67">
        <v>49</v>
      </c>
      <c r="G69" s="67">
        <v>1</v>
      </c>
      <c r="H69" s="67">
        <v>0</v>
      </c>
      <c r="I69" s="67">
        <v>0</v>
      </c>
      <c r="K69" s="67">
        <v>49</v>
      </c>
      <c r="L69" s="67">
        <v>3</v>
      </c>
    </row>
    <row r="70" spans="6:12" x14ac:dyDescent="0.15">
      <c r="F70" s="67">
        <v>50</v>
      </c>
      <c r="G70" s="67">
        <v>0</v>
      </c>
      <c r="H70" s="67">
        <v>0</v>
      </c>
      <c r="I70" s="67">
        <v>0</v>
      </c>
      <c r="K70" s="67">
        <v>50</v>
      </c>
      <c r="L70" s="67">
        <v>3</v>
      </c>
    </row>
    <row r="71" spans="6:12" x14ac:dyDescent="0.15">
      <c r="F71" s="67">
        <v>51</v>
      </c>
      <c r="G71" s="67">
        <v>0</v>
      </c>
      <c r="H71" s="67">
        <v>0</v>
      </c>
      <c r="I71" s="67">
        <v>0</v>
      </c>
      <c r="K71" s="67">
        <v>51</v>
      </c>
      <c r="L71" s="67">
        <v>5</v>
      </c>
    </row>
    <row r="72" spans="6:12" x14ac:dyDescent="0.15">
      <c r="F72" s="67">
        <v>52</v>
      </c>
      <c r="G72" s="67">
        <v>0</v>
      </c>
      <c r="H72" s="67">
        <v>0</v>
      </c>
      <c r="I72" s="67">
        <v>0</v>
      </c>
      <c r="K72" s="67">
        <v>52</v>
      </c>
      <c r="L72" s="67">
        <v>4</v>
      </c>
    </row>
    <row r="73" spans="6:12" x14ac:dyDescent="0.15">
      <c r="F73" s="67">
        <v>53</v>
      </c>
      <c r="G73" s="67">
        <v>1</v>
      </c>
      <c r="H73" s="67">
        <v>0</v>
      </c>
      <c r="I73" s="67">
        <v>0</v>
      </c>
      <c r="K73" s="67">
        <v>53</v>
      </c>
      <c r="L73" s="67">
        <v>4</v>
      </c>
    </row>
    <row r="74" spans="6:12" x14ac:dyDescent="0.15">
      <c r="F74" s="67">
        <v>54</v>
      </c>
      <c r="G74" s="67">
        <v>0</v>
      </c>
      <c r="H74" s="67">
        <v>0</v>
      </c>
      <c r="I74" s="67">
        <v>0</v>
      </c>
      <c r="K74" s="67">
        <v>54</v>
      </c>
      <c r="L74" s="67">
        <v>3</v>
      </c>
    </row>
    <row r="75" spans="6:12" x14ac:dyDescent="0.15">
      <c r="F75" s="67">
        <v>55</v>
      </c>
      <c r="G75" s="67">
        <v>0</v>
      </c>
      <c r="H75" s="67">
        <v>1</v>
      </c>
      <c r="I75" s="67">
        <v>1</v>
      </c>
      <c r="K75" s="67">
        <v>55</v>
      </c>
      <c r="L75" s="67">
        <v>4</v>
      </c>
    </row>
    <row r="76" spans="6:12" x14ac:dyDescent="0.15">
      <c r="F76" s="67">
        <v>56</v>
      </c>
      <c r="G76" s="67">
        <v>0</v>
      </c>
      <c r="H76" s="67">
        <v>1</v>
      </c>
      <c r="I76" s="67">
        <v>0</v>
      </c>
      <c r="K76" s="67">
        <v>56</v>
      </c>
      <c r="L76" s="67">
        <v>3</v>
      </c>
    </row>
    <row r="77" spans="6:12" x14ac:dyDescent="0.15">
      <c r="F77" s="67">
        <v>57</v>
      </c>
      <c r="G77" s="67">
        <v>0</v>
      </c>
      <c r="H77" s="67">
        <v>0</v>
      </c>
      <c r="I77" s="67">
        <v>0</v>
      </c>
      <c r="K77" s="67">
        <v>57</v>
      </c>
      <c r="L77" s="67">
        <v>5</v>
      </c>
    </row>
    <row r="78" spans="6:12" x14ac:dyDescent="0.15">
      <c r="F78" s="67">
        <v>58</v>
      </c>
      <c r="G78" s="67">
        <v>0</v>
      </c>
      <c r="H78" s="67">
        <v>1</v>
      </c>
      <c r="I78" s="67">
        <v>1</v>
      </c>
      <c r="K78" s="67">
        <v>58</v>
      </c>
      <c r="L78" s="67">
        <v>3</v>
      </c>
    </row>
    <row r="79" spans="6:12" x14ac:dyDescent="0.15">
      <c r="F79" s="67">
        <v>59</v>
      </c>
      <c r="G79" s="67">
        <v>0</v>
      </c>
      <c r="H79" s="67">
        <v>0</v>
      </c>
      <c r="I79" s="67">
        <v>0</v>
      </c>
      <c r="K79" s="67">
        <v>59</v>
      </c>
      <c r="L79" s="67">
        <v>5</v>
      </c>
    </row>
    <row r="80" spans="6:12" x14ac:dyDescent="0.15">
      <c r="F80" s="67">
        <v>60</v>
      </c>
      <c r="G80" s="67">
        <v>1</v>
      </c>
      <c r="H80" s="67">
        <v>0</v>
      </c>
      <c r="I80" s="67">
        <v>0</v>
      </c>
      <c r="K80" s="67">
        <v>60</v>
      </c>
      <c r="L80" s="67">
        <v>4</v>
      </c>
    </row>
    <row r="81" spans="6:12" x14ac:dyDescent="0.15">
      <c r="F81" s="67">
        <v>61</v>
      </c>
      <c r="G81" s="67">
        <v>0</v>
      </c>
      <c r="H81" s="67">
        <v>0</v>
      </c>
      <c r="I81" s="67">
        <v>0</v>
      </c>
      <c r="K81" s="67">
        <v>61</v>
      </c>
      <c r="L81" s="67">
        <v>4</v>
      </c>
    </row>
    <row r="82" spans="6:12" x14ac:dyDescent="0.15">
      <c r="F82" s="67">
        <v>62</v>
      </c>
      <c r="G82" s="67">
        <v>0</v>
      </c>
      <c r="H82" s="67">
        <v>1</v>
      </c>
      <c r="I82" s="67">
        <v>1</v>
      </c>
      <c r="K82" s="67">
        <v>62</v>
      </c>
      <c r="L82" s="67">
        <v>5</v>
      </c>
    </row>
    <row r="83" spans="6:12" x14ac:dyDescent="0.15">
      <c r="F83" s="67">
        <v>63</v>
      </c>
      <c r="G83" s="67">
        <v>0</v>
      </c>
      <c r="H83" s="67">
        <v>1</v>
      </c>
      <c r="I83" s="67">
        <v>1</v>
      </c>
      <c r="K83" s="67">
        <v>63</v>
      </c>
      <c r="L83" s="67">
        <v>4</v>
      </c>
    </row>
    <row r="84" spans="6:12" x14ac:dyDescent="0.15">
      <c r="F84" s="67">
        <v>64</v>
      </c>
      <c r="G84" s="67">
        <v>0</v>
      </c>
      <c r="H84" s="67">
        <v>0</v>
      </c>
      <c r="I84" s="67">
        <v>0</v>
      </c>
      <c r="K84" s="67">
        <v>64</v>
      </c>
      <c r="L84" s="67">
        <v>4</v>
      </c>
    </row>
    <row r="85" spans="6:12" x14ac:dyDescent="0.15">
      <c r="F85" s="67">
        <v>65</v>
      </c>
      <c r="G85" s="67">
        <v>0</v>
      </c>
      <c r="H85" s="67">
        <v>1</v>
      </c>
      <c r="I85" s="67">
        <v>1</v>
      </c>
      <c r="K85" s="67">
        <v>65</v>
      </c>
      <c r="L85" s="67">
        <v>4</v>
      </c>
    </row>
    <row r="86" spans="6:12" x14ac:dyDescent="0.15">
      <c r="F86" s="67">
        <v>66</v>
      </c>
      <c r="G86" s="67">
        <v>0</v>
      </c>
      <c r="H86" s="67">
        <v>1</v>
      </c>
      <c r="I86" s="67">
        <v>1</v>
      </c>
      <c r="K86" s="67">
        <v>66</v>
      </c>
      <c r="L86" s="67">
        <v>4</v>
      </c>
    </row>
    <row r="87" spans="6:12" x14ac:dyDescent="0.15">
      <c r="F87" s="67">
        <v>67</v>
      </c>
      <c r="G87" s="67">
        <v>0</v>
      </c>
      <c r="H87" s="67">
        <v>1</v>
      </c>
      <c r="I87" s="67">
        <v>1</v>
      </c>
      <c r="K87" s="67">
        <v>67</v>
      </c>
      <c r="L87" s="67">
        <v>4</v>
      </c>
    </row>
    <row r="88" spans="6:12" x14ac:dyDescent="0.15">
      <c r="F88" s="67">
        <v>68</v>
      </c>
      <c r="G88" s="67">
        <v>0</v>
      </c>
      <c r="H88" s="67">
        <v>0</v>
      </c>
      <c r="I88" s="67">
        <v>0</v>
      </c>
      <c r="K88" s="67">
        <v>68</v>
      </c>
      <c r="L88" s="67">
        <v>5</v>
      </c>
    </row>
    <row r="89" spans="6:12" x14ac:dyDescent="0.15">
      <c r="F89" s="67">
        <v>69</v>
      </c>
      <c r="G89" s="67">
        <v>0</v>
      </c>
      <c r="H89" s="67">
        <v>1</v>
      </c>
      <c r="I89" s="67">
        <v>1</v>
      </c>
      <c r="K89" s="67">
        <v>69</v>
      </c>
      <c r="L89" s="67">
        <v>5</v>
      </c>
    </row>
    <row r="90" spans="6:12" x14ac:dyDescent="0.15">
      <c r="F90" s="67">
        <v>70</v>
      </c>
      <c r="G90" s="67">
        <v>0</v>
      </c>
      <c r="H90" s="67">
        <v>1</v>
      </c>
      <c r="I90" s="67">
        <v>0</v>
      </c>
      <c r="K90" s="67">
        <v>70</v>
      </c>
      <c r="L90" s="67">
        <v>3</v>
      </c>
    </row>
    <row r="91" spans="6:12" x14ac:dyDescent="0.15">
      <c r="F91" s="67">
        <v>71</v>
      </c>
      <c r="G91" s="67">
        <v>0</v>
      </c>
      <c r="H91" s="67">
        <v>1</v>
      </c>
      <c r="I91" s="67">
        <v>1</v>
      </c>
      <c r="K91" s="67">
        <v>71</v>
      </c>
      <c r="L91" s="67">
        <v>5</v>
      </c>
    </row>
    <row r="92" spans="6:12" x14ac:dyDescent="0.15">
      <c r="F92" s="67">
        <v>72</v>
      </c>
      <c r="G92" s="67">
        <v>0</v>
      </c>
      <c r="H92" s="67">
        <v>1</v>
      </c>
      <c r="I92" s="67">
        <v>1</v>
      </c>
      <c r="K92" s="67">
        <v>72</v>
      </c>
      <c r="L92" s="67">
        <v>4</v>
      </c>
    </row>
    <row r="93" spans="6:12" x14ac:dyDescent="0.15">
      <c r="F93" s="67">
        <v>73</v>
      </c>
      <c r="G93" s="67">
        <v>0</v>
      </c>
      <c r="H93" s="67">
        <v>0</v>
      </c>
      <c r="I93" s="67">
        <v>0</v>
      </c>
      <c r="K93" s="67">
        <v>73</v>
      </c>
      <c r="L93" s="67">
        <v>4</v>
      </c>
    </row>
    <row r="94" spans="6:12" x14ac:dyDescent="0.15">
      <c r="F94" s="67">
        <v>74</v>
      </c>
      <c r="G94" s="67">
        <v>0</v>
      </c>
      <c r="H94" s="67">
        <v>0</v>
      </c>
      <c r="I94" s="67">
        <v>0</v>
      </c>
      <c r="K94" s="67">
        <v>74</v>
      </c>
      <c r="L94" s="67">
        <v>4</v>
      </c>
    </row>
    <row r="95" spans="6:12" x14ac:dyDescent="0.15">
      <c r="F95" s="67">
        <v>75</v>
      </c>
      <c r="G95" s="67">
        <v>1</v>
      </c>
      <c r="H95" s="67">
        <v>0</v>
      </c>
      <c r="I95" s="67">
        <v>0</v>
      </c>
      <c r="K95" s="67">
        <v>75</v>
      </c>
      <c r="L95" s="67">
        <v>3</v>
      </c>
    </row>
    <row r="96" spans="6:12" x14ac:dyDescent="0.15">
      <c r="F96" s="67">
        <v>76</v>
      </c>
      <c r="G96" s="67">
        <v>0</v>
      </c>
      <c r="H96" s="67">
        <v>1</v>
      </c>
      <c r="I96" s="67">
        <v>1</v>
      </c>
      <c r="K96" s="67">
        <v>76</v>
      </c>
      <c r="L96" s="67">
        <v>5</v>
      </c>
    </row>
    <row r="97" spans="6:12" x14ac:dyDescent="0.15">
      <c r="F97" s="67">
        <v>77</v>
      </c>
      <c r="G97" s="67">
        <v>0</v>
      </c>
      <c r="H97" s="67">
        <v>1</v>
      </c>
      <c r="I97" s="67">
        <v>1</v>
      </c>
      <c r="K97" s="67">
        <v>77</v>
      </c>
      <c r="L97" s="67">
        <v>4</v>
      </c>
    </row>
    <row r="98" spans="6:12" x14ac:dyDescent="0.15">
      <c r="F98" s="67">
        <v>78</v>
      </c>
      <c r="G98" s="67">
        <v>0</v>
      </c>
      <c r="H98" s="67">
        <v>1</v>
      </c>
      <c r="I98" s="67">
        <v>0</v>
      </c>
      <c r="K98" s="67">
        <v>78</v>
      </c>
      <c r="L98" s="67">
        <v>4</v>
      </c>
    </row>
    <row r="99" spans="6:12" x14ac:dyDescent="0.15">
      <c r="F99" s="67">
        <v>79</v>
      </c>
      <c r="G99" s="67">
        <v>0</v>
      </c>
      <c r="H99" s="67">
        <v>0</v>
      </c>
      <c r="I99" s="67">
        <v>0</v>
      </c>
      <c r="K99" s="67">
        <v>79</v>
      </c>
      <c r="L99" s="67">
        <v>4</v>
      </c>
    </row>
    <row r="100" spans="6:12" x14ac:dyDescent="0.15">
      <c r="F100" s="67">
        <v>80</v>
      </c>
      <c r="G100" s="67">
        <v>0</v>
      </c>
      <c r="H100" s="67">
        <v>0</v>
      </c>
      <c r="I100" s="67">
        <v>0</v>
      </c>
      <c r="K100" s="67">
        <v>80</v>
      </c>
      <c r="L100" s="67">
        <v>4</v>
      </c>
    </row>
    <row r="101" spans="6:12" x14ac:dyDescent="0.15">
      <c r="F101" s="67">
        <v>81</v>
      </c>
      <c r="G101" s="67">
        <v>0</v>
      </c>
      <c r="H101" s="67">
        <v>1</v>
      </c>
      <c r="I101" s="67">
        <v>1</v>
      </c>
      <c r="K101" s="67">
        <v>81</v>
      </c>
      <c r="L101" s="67">
        <v>4</v>
      </c>
    </row>
    <row r="102" spans="6:12" x14ac:dyDescent="0.15">
      <c r="F102" s="67">
        <v>82</v>
      </c>
      <c r="G102" s="67">
        <v>0</v>
      </c>
      <c r="H102" s="67">
        <v>1</v>
      </c>
      <c r="I102" s="67">
        <v>0</v>
      </c>
      <c r="K102" s="67">
        <v>82</v>
      </c>
      <c r="L102" s="67">
        <v>5</v>
      </c>
    </row>
    <row r="103" spans="6:12" x14ac:dyDescent="0.15">
      <c r="F103" s="67">
        <v>83</v>
      </c>
      <c r="G103" s="67">
        <v>1</v>
      </c>
      <c r="H103" s="67">
        <v>0</v>
      </c>
      <c r="I103" s="67">
        <v>0</v>
      </c>
      <c r="K103" s="67">
        <v>83</v>
      </c>
      <c r="L103" s="67">
        <v>4</v>
      </c>
    </row>
    <row r="104" spans="6:12" x14ac:dyDescent="0.15">
      <c r="F104" s="67">
        <v>84</v>
      </c>
      <c r="G104" s="67">
        <v>0</v>
      </c>
      <c r="H104" s="67">
        <v>1</v>
      </c>
      <c r="I104" s="67">
        <v>1</v>
      </c>
      <c r="K104" s="67">
        <v>84</v>
      </c>
      <c r="L104" s="67">
        <v>4</v>
      </c>
    </row>
    <row r="105" spans="6:12" x14ac:dyDescent="0.15">
      <c r="F105" s="67">
        <v>85</v>
      </c>
      <c r="G105" s="67">
        <v>0</v>
      </c>
      <c r="H105" s="67">
        <v>1</v>
      </c>
      <c r="I105" s="67">
        <v>1</v>
      </c>
      <c r="K105" s="67">
        <v>85</v>
      </c>
      <c r="L105" s="67">
        <v>4</v>
      </c>
    </row>
    <row r="106" spans="6:12" x14ac:dyDescent="0.15">
      <c r="F106" s="67">
        <v>86</v>
      </c>
      <c r="G106" s="67">
        <v>0</v>
      </c>
      <c r="H106" s="67">
        <v>0</v>
      </c>
      <c r="I106" s="67">
        <v>0</v>
      </c>
      <c r="K106" s="67">
        <v>86</v>
      </c>
      <c r="L106" s="67">
        <v>4</v>
      </c>
    </row>
    <row r="107" spans="6:12" x14ac:dyDescent="0.15">
      <c r="F107" s="67">
        <v>87</v>
      </c>
      <c r="G107" s="67">
        <v>0</v>
      </c>
      <c r="H107" s="67">
        <v>1</v>
      </c>
      <c r="I107" s="67">
        <v>1</v>
      </c>
      <c r="K107" s="67">
        <v>87</v>
      </c>
      <c r="L107" s="67">
        <v>5</v>
      </c>
    </row>
    <row r="108" spans="6:12" x14ac:dyDescent="0.15">
      <c r="F108" s="67">
        <v>88</v>
      </c>
      <c r="G108" s="67">
        <v>0</v>
      </c>
      <c r="H108" s="67">
        <v>0</v>
      </c>
      <c r="I108" s="67">
        <v>0</v>
      </c>
      <c r="K108" s="67">
        <v>88</v>
      </c>
      <c r="L108" s="67">
        <v>4</v>
      </c>
    </row>
    <row r="109" spans="6:12" x14ac:dyDescent="0.15">
      <c r="F109" s="67">
        <v>89</v>
      </c>
      <c r="G109" s="67">
        <v>0</v>
      </c>
      <c r="H109" s="67">
        <v>0</v>
      </c>
      <c r="I109" s="67">
        <v>0</v>
      </c>
      <c r="K109" s="67">
        <v>89</v>
      </c>
      <c r="L109" s="67">
        <v>5</v>
      </c>
    </row>
    <row r="110" spans="6:12" x14ac:dyDescent="0.15">
      <c r="F110" s="67">
        <v>90</v>
      </c>
      <c r="G110" s="67">
        <v>0</v>
      </c>
      <c r="H110" s="67">
        <v>1</v>
      </c>
      <c r="I110" s="67">
        <v>1</v>
      </c>
      <c r="K110" s="67">
        <v>90</v>
      </c>
      <c r="L110" s="67">
        <v>5</v>
      </c>
    </row>
    <row r="111" spans="6:12" x14ac:dyDescent="0.15">
      <c r="F111" s="67">
        <v>91</v>
      </c>
      <c r="G111" s="67">
        <v>0</v>
      </c>
      <c r="H111" s="67">
        <v>1</v>
      </c>
      <c r="I111" s="67">
        <v>1</v>
      </c>
      <c r="K111" s="67">
        <v>91</v>
      </c>
      <c r="L111" s="67">
        <v>4</v>
      </c>
    </row>
    <row r="112" spans="6:12" x14ac:dyDescent="0.15">
      <c r="F112" s="67">
        <v>92</v>
      </c>
      <c r="G112" s="67">
        <v>0</v>
      </c>
      <c r="H112" s="67">
        <v>0</v>
      </c>
      <c r="I112" s="67">
        <v>0</v>
      </c>
      <c r="K112" s="67">
        <v>92</v>
      </c>
      <c r="L112" s="67">
        <v>4</v>
      </c>
    </row>
    <row r="113" spans="6:12" x14ac:dyDescent="0.15">
      <c r="F113" s="67">
        <v>93</v>
      </c>
      <c r="G113" s="67">
        <v>0</v>
      </c>
      <c r="H113" s="67">
        <v>0</v>
      </c>
      <c r="I113" s="67">
        <v>0</v>
      </c>
      <c r="K113" s="67">
        <v>93</v>
      </c>
      <c r="L113" s="67">
        <v>4</v>
      </c>
    </row>
    <row r="114" spans="6:12" x14ac:dyDescent="0.15">
      <c r="F114" s="67">
        <v>94</v>
      </c>
      <c r="G114" s="67">
        <v>0</v>
      </c>
      <c r="H114" s="67">
        <v>0</v>
      </c>
      <c r="I114" s="67">
        <v>0</v>
      </c>
      <c r="K114" s="67">
        <v>94</v>
      </c>
      <c r="L114" s="67">
        <v>3</v>
      </c>
    </row>
    <row r="115" spans="6:12" x14ac:dyDescent="0.15">
      <c r="F115" s="67">
        <v>95</v>
      </c>
      <c r="G115" s="67">
        <v>0</v>
      </c>
      <c r="H115" s="67">
        <v>1</v>
      </c>
      <c r="I115" s="67">
        <v>1</v>
      </c>
      <c r="K115" s="67">
        <v>95</v>
      </c>
      <c r="L115" s="67">
        <v>3</v>
      </c>
    </row>
    <row r="116" spans="6:12" x14ac:dyDescent="0.15">
      <c r="F116" s="67">
        <v>96</v>
      </c>
      <c r="G116" s="67">
        <v>0</v>
      </c>
      <c r="H116" s="67">
        <v>0</v>
      </c>
      <c r="I116" s="67">
        <v>0</v>
      </c>
      <c r="K116" s="67">
        <v>96</v>
      </c>
      <c r="L116" s="67">
        <v>5</v>
      </c>
    </row>
    <row r="117" spans="6:12" x14ac:dyDescent="0.15">
      <c r="F117" s="67">
        <v>97</v>
      </c>
      <c r="G117" s="67">
        <v>0</v>
      </c>
      <c r="H117" s="67">
        <v>0</v>
      </c>
      <c r="I117" s="67">
        <v>0</v>
      </c>
      <c r="K117" s="67">
        <v>97</v>
      </c>
      <c r="L117" s="67">
        <v>4</v>
      </c>
    </row>
    <row r="118" spans="6:12" x14ac:dyDescent="0.15">
      <c r="F118" s="67">
        <v>98</v>
      </c>
      <c r="G118" s="67">
        <v>0</v>
      </c>
      <c r="H118" s="67">
        <v>1</v>
      </c>
      <c r="I118" s="67">
        <v>1</v>
      </c>
      <c r="K118" s="67">
        <v>98</v>
      </c>
      <c r="L118" s="67">
        <v>4</v>
      </c>
    </row>
    <row r="119" spans="6:12" x14ac:dyDescent="0.15">
      <c r="F119" s="67">
        <v>99</v>
      </c>
      <c r="G119" s="67">
        <v>0</v>
      </c>
      <c r="H119" s="67">
        <v>0</v>
      </c>
      <c r="I119" s="67">
        <v>0</v>
      </c>
      <c r="K119" s="67">
        <v>99</v>
      </c>
      <c r="L119" s="67">
        <v>4</v>
      </c>
    </row>
    <row r="120" spans="6:12" x14ac:dyDescent="0.15">
      <c r="F120" s="67">
        <v>100</v>
      </c>
      <c r="G120" s="67">
        <v>0</v>
      </c>
      <c r="H120" s="67">
        <v>1</v>
      </c>
      <c r="I120" s="67">
        <v>1</v>
      </c>
      <c r="K120" s="67">
        <v>100</v>
      </c>
      <c r="L120" s="67">
        <v>4</v>
      </c>
    </row>
    <row r="121" spans="6:12" x14ac:dyDescent="0.15">
      <c r="F121" s="67">
        <v>101</v>
      </c>
      <c r="G121" s="67">
        <v>0</v>
      </c>
      <c r="H121" s="67">
        <v>1</v>
      </c>
      <c r="I121" s="67">
        <v>1</v>
      </c>
      <c r="K121" s="67">
        <v>101</v>
      </c>
      <c r="L121" s="67">
        <v>5</v>
      </c>
    </row>
    <row r="122" spans="6:12" x14ac:dyDescent="0.15">
      <c r="F122" s="67">
        <v>102</v>
      </c>
      <c r="G122" s="67">
        <v>0</v>
      </c>
      <c r="H122" s="67">
        <v>0</v>
      </c>
      <c r="I122" s="67">
        <v>0</v>
      </c>
      <c r="K122" s="67">
        <v>102</v>
      </c>
      <c r="L122" s="67">
        <v>3</v>
      </c>
    </row>
    <row r="123" spans="6:12" x14ac:dyDescent="0.15">
      <c r="F123" s="67">
        <v>103</v>
      </c>
      <c r="G123" s="67">
        <v>0</v>
      </c>
      <c r="H123" s="67">
        <v>1</v>
      </c>
      <c r="I123" s="67">
        <v>1</v>
      </c>
      <c r="K123" s="67">
        <v>103</v>
      </c>
      <c r="L123" s="67">
        <v>4</v>
      </c>
    </row>
    <row r="124" spans="6:12" x14ac:dyDescent="0.15">
      <c r="F124" s="67">
        <v>104</v>
      </c>
      <c r="G124" s="67">
        <v>0</v>
      </c>
      <c r="H124" s="67">
        <v>1</v>
      </c>
      <c r="I124" s="67">
        <v>1</v>
      </c>
      <c r="K124" s="67">
        <v>104</v>
      </c>
      <c r="L124" s="67">
        <v>4</v>
      </c>
    </row>
    <row r="125" spans="6:12" x14ac:dyDescent="0.15">
      <c r="F125" s="67">
        <v>105</v>
      </c>
      <c r="G125" s="67">
        <v>1</v>
      </c>
      <c r="H125" s="67">
        <v>0</v>
      </c>
      <c r="I125" s="67">
        <v>0</v>
      </c>
      <c r="K125" s="67">
        <v>105</v>
      </c>
      <c r="L125" s="67">
        <v>3</v>
      </c>
    </row>
    <row r="126" spans="6:12" x14ac:dyDescent="0.15">
      <c r="F126" s="67">
        <v>106</v>
      </c>
      <c r="G126" s="67">
        <v>0</v>
      </c>
      <c r="H126" s="67">
        <v>1</v>
      </c>
      <c r="I126" s="67">
        <v>1</v>
      </c>
      <c r="K126" s="67">
        <v>106</v>
      </c>
      <c r="L126" s="67">
        <v>4</v>
      </c>
    </row>
    <row r="127" spans="6:12" x14ac:dyDescent="0.15">
      <c r="F127" s="67">
        <v>107</v>
      </c>
      <c r="G127" s="67">
        <v>0</v>
      </c>
      <c r="H127" s="67">
        <v>0</v>
      </c>
      <c r="I127" s="67">
        <v>0</v>
      </c>
      <c r="K127" s="67">
        <v>107</v>
      </c>
      <c r="L127" s="67">
        <v>4</v>
      </c>
    </row>
    <row r="128" spans="6:12" x14ac:dyDescent="0.15">
      <c r="F128" s="67">
        <v>108</v>
      </c>
      <c r="G128" s="67">
        <v>0</v>
      </c>
      <c r="H128" s="67">
        <v>1</v>
      </c>
      <c r="I128" s="67">
        <v>1</v>
      </c>
      <c r="K128" s="67">
        <v>108</v>
      </c>
      <c r="L128" s="67">
        <v>5</v>
      </c>
    </row>
    <row r="129" spans="6:12" x14ac:dyDescent="0.15">
      <c r="F129" s="67">
        <v>109</v>
      </c>
      <c r="G129" s="67">
        <v>1</v>
      </c>
      <c r="H129" s="67">
        <v>0</v>
      </c>
      <c r="I129" s="67">
        <v>0</v>
      </c>
      <c r="K129" s="67">
        <v>109</v>
      </c>
      <c r="L129" s="67">
        <v>4</v>
      </c>
    </row>
    <row r="130" spans="6:12" x14ac:dyDescent="0.15">
      <c r="F130" s="67">
        <v>110</v>
      </c>
      <c r="G130" s="67">
        <v>0</v>
      </c>
      <c r="H130" s="67">
        <v>1</v>
      </c>
      <c r="I130" s="67">
        <v>1</v>
      </c>
      <c r="K130" s="67">
        <v>110</v>
      </c>
      <c r="L130" s="67">
        <v>4</v>
      </c>
    </row>
    <row r="131" spans="6:12" x14ac:dyDescent="0.15">
      <c r="F131" s="67">
        <v>111</v>
      </c>
      <c r="G131" s="67">
        <v>0</v>
      </c>
      <c r="H131" s="67">
        <v>0</v>
      </c>
      <c r="I131" s="67">
        <v>0</v>
      </c>
      <c r="K131" s="67">
        <v>111</v>
      </c>
      <c r="L131" s="67">
        <v>4</v>
      </c>
    </row>
    <row r="132" spans="6:12" x14ac:dyDescent="0.15">
      <c r="F132" s="67">
        <v>112</v>
      </c>
      <c r="G132" s="67">
        <v>0</v>
      </c>
      <c r="H132" s="67">
        <v>1</v>
      </c>
      <c r="I132" s="67">
        <v>1</v>
      </c>
      <c r="K132" s="67">
        <v>112</v>
      </c>
      <c r="L132" s="67">
        <v>3</v>
      </c>
    </row>
    <row r="133" spans="6:12" x14ac:dyDescent="0.15">
      <c r="F133" s="67">
        <v>113</v>
      </c>
      <c r="G133" s="67">
        <v>0</v>
      </c>
      <c r="H133" s="67">
        <v>1</v>
      </c>
      <c r="I133" s="67">
        <v>1</v>
      </c>
      <c r="K133" s="67">
        <v>113</v>
      </c>
      <c r="L133" s="67">
        <v>4</v>
      </c>
    </row>
    <row r="134" spans="6:12" x14ac:dyDescent="0.15">
      <c r="F134" s="67">
        <v>114</v>
      </c>
      <c r="G134" s="67">
        <v>1</v>
      </c>
      <c r="H134" s="67">
        <v>0</v>
      </c>
      <c r="I134" s="67">
        <v>0</v>
      </c>
      <c r="K134" s="67">
        <v>114</v>
      </c>
      <c r="L134" s="67">
        <v>4</v>
      </c>
    </row>
    <row r="135" spans="6:12" x14ac:dyDescent="0.15">
      <c r="F135" s="67">
        <v>115</v>
      </c>
      <c r="G135" s="67">
        <v>0</v>
      </c>
      <c r="H135" s="67">
        <v>1</v>
      </c>
      <c r="I135" s="67">
        <v>1</v>
      </c>
      <c r="K135" s="67">
        <v>115</v>
      </c>
      <c r="L135" s="67">
        <v>5</v>
      </c>
    </row>
    <row r="136" spans="6:12" x14ac:dyDescent="0.15">
      <c r="F136" s="67">
        <v>116</v>
      </c>
      <c r="G136" s="67">
        <v>1</v>
      </c>
      <c r="H136" s="67">
        <v>0</v>
      </c>
      <c r="I136" s="67">
        <v>0</v>
      </c>
      <c r="K136" s="67">
        <v>116</v>
      </c>
      <c r="L136" s="67">
        <v>4</v>
      </c>
    </row>
    <row r="137" spans="6:12" x14ac:dyDescent="0.15">
      <c r="F137" s="67">
        <v>117</v>
      </c>
      <c r="G137" s="67">
        <v>0</v>
      </c>
      <c r="H137" s="67">
        <v>1</v>
      </c>
      <c r="I137" s="67">
        <v>1</v>
      </c>
      <c r="K137" s="67">
        <v>117</v>
      </c>
      <c r="L137" s="67">
        <v>4</v>
      </c>
    </row>
    <row r="138" spans="6:12" x14ac:dyDescent="0.15">
      <c r="F138" s="67">
        <v>118</v>
      </c>
      <c r="G138" s="67">
        <v>0</v>
      </c>
      <c r="H138" s="67">
        <v>0</v>
      </c>
      <c r="I138" s="67">
        <v>0</v>
      </c>
      <c r="K138" s="67">
        <v>118</v>
      </c>
      <c r="L138" s="67">
        <v>4</v>
      </c>
    </row>
    <row r="139" spans="6:12" x14ac:dyDescent="0.15">
      <c r="F139" s="67">
        <v>119</v>
      </c>
      <c r="G139" s="67">
        <v>0</v>
      </c>
      <c r="H139" s="67">
        <v>1</v>
      </c>
      <c r="I139" s="67">
        <v>0</v>
      </c>
      <c r="K139" s="67">
        <v>119</v>
      </c>
      <c r="L139" s="67">
        <v>4</v>
      </c>
    </row>
    <row r="140" spans="6:12" x14ac:dyDescent="0.15">
      <c r="F140" s="67">
        <v>120</v>
      </c>
      <c r="G140" s="67">
        <v>0</v>
      </c>
      <c r="H140" s="67">
        <v>1</v>
      </c>
      <c r="I140" s="67">
        <v>1</v>
      </c>
      <c r="K140" s="67">
        <v>120</v>
      </c>
      <c r="L140" s="67">
        <v>4</v>
      </c>
    </row>
    <row r="141" spans="6:12" x14ac:dyDescent="0.15">
      <c r="F141" s="67">
        <v>121</v>
      </c>
      <c r="G141" s="67">
        <v>0</v>
      </c>
      <c r="H141" s="67">
        <v>1</v>
      </c>
      <c r="I141" s="67">
        <v>1</v>
      </c>
      <c r="K141" s="67">
        <v>121</v>
      </c>
      <c r="L141" s="67">
        <v>4</v>
      </c>
    </row>
    <row r="142" spans="6:12" x14ac:dyDescent="0.15">
      <c r="F142" s="67">
        <v>122</v>
      </c>
      <c r="G142" s="67">
        <v>0</v>
      </c>
      <c r="H142" s="67">
        <v>1</v>
      </c>
      <c r="I142" s="67">
        <v>1</v>
      </c>
      <c r="K142" s="67">
        <v>122</v>
      </c>
      <c r="L142" s="67">
        <v>4</v>
      </c>
    </row>
    <row r="143" spans="6:12" x14ac:dyDescent="0.15">
      <c r="F143" s="67">
        <v>123</v>
      </c>
      <c r="G143" s="67">
        <v>0</v>
      </c>
      <c r="H143" s="67">
        <v>1</v>
      </c>
      <c r="I143" s="67">
        <v>1</v>
      </c>
      <c r="K143" s="67">
        <v>123</v>
      </c>
      <c r="L143" s="67">
        <v>4</v>
      </c>
    </row>
    <row r="144" spans="6:12" x14ac:dyDescent="0.15">
      <c r="F144" s="67">
        <v>124</v>
      </c>
      <c r="G144" s="67">
        <v>0</v>
      </c>
      <c r="H144" s="67">
        <v>1</v>
      </c>
      <c r="I144" s="67">
        <v>1</v>
      </c>
      <c r="K144" s="67">
        <v>124</v>
      </c>
      <c r="L144" s="67">
        <v>4</v>
      </c>
    </row>
    <row r="145" spans="6:12" x14ac:dyDescent="0.15">
      <c r="F145" s="67">
        <v>125</v>
      </c>
      <c r="G145" s="67">
        <v>0</v>
      </c>
      <c r="H145" s="67">
        <v>0</v>
      </c>
      <c r="I145" s="67">
        <v>0</v>
      </c>
      <c r="K145" s="67">
        <v>125</v>
      </c>
      <c r="L145" s="67">
        <v>3</v>
      </c>
    </row>
    <row r="146" spans="6:12" x14ac:dyDescent="0.15">
      <c r="F146" s="67">
        <v>126</v>
      </c>
      <c r="G146" s="67">
        <v>0</v>
      </c>
      <c r="H146" s="67">
        <v>0</v>
      </c>
      <c r="I146" s="67">
        <v>0</v>
      </c>
      <c r="K146" s="67">
        <v>126</v>
      </c>
      <c r="L146" s="67">
        <v>4</v>
      </c>
    </row>
    <row r="147" spans="6:12" x14ac:dyDescent="0.15">
      <c r="F147" s="67">
        <v>127</v>
      </c>
      <c r="G147" s="67">
        <v>0</v>
      </c>
      <c r="H147" s="67">
        <v>1</v>
      </c>
      <c r="I147" s="67">
        <v>1</v>
      </c>
      <c r="K147" s="67">
        <v>127</v>
      </c>
      <c r="L147" s="67">
        <v>4</v>
      </c>
    </row>
    <row r="148" spans="6:12" x14ac:dyDescent="0.15">
      <c r="F148" s="67">
        <v>128</v>
      </c>
      <c r="G148" s="67">
        <v>0</v>
      </c>
      <c r="H148" s="67">
        <v>0</v>
      </c>
      <c r="I148" s="67">
        <v>0</v>
      </c>
      <c r="K148" s="67">
        <v>128</v>
      </c>
      <c r="L148" s="67">
        <v>4</v>
      </c>
    </row>
    <row r="149" spans="6:12" x14ac:dyDescent="0.15">
      <c r="F149" s="67">
        <v>129</v>
      </c>
      <c r="G149" s="67">
        <v>0</v>
      </c>
      <c r="H149" s="67">
        <v>1</v>
      </c>
      <c r="I149" s="67">
        <v>1</v>
      </c>
      <c r="K149" s="67">
        <v>129</v>
      </c>
      <c r="L149" s="67">
        <v>4</v>
      </c>
    </row>
    <row r="150" spans="6:12" x14ac:dyDescent="0.15">
      <c r="F150" s="67">
        <v>130</v>
      </c>
      <c r="G150" s="67">
        <v>0</v>
      </c>
      <c r="H150" s="67">
        <v>0</v>
      </c>
      <c r="I150" s="67">
        <v>0</v>
      </c>
      <c r="K150" s="67">
        <v>130</v>
      </c>
      <c r="L150" s="67">
        <v>4</v>
      </c>
    </row>
    <row r="151" spans="6:12" x14ac:dyDescent="0.15">
      <c r="F151" s="67">
        <v>131</v>
      </c>
      <c r="G151" s="67">
        <v>0</v>
      </c>
      <c r="H151" s="67">
        <v>1</v>
      </c>
      <c r="I151" s="67">
        <v>1</v>
      </c>
      <c r="K151" s="67">
        <v>131</v>
      </c>
      <c r="L151" s="67">
        <v>4</v>
      </c>
    </row>
    <row r="152" spans="6:12" x14ac:dyDescent="0.15">
      <c r="F152" s="67">
        <v>132</v>
      </c>
      <c r="G152" s="67">
        <v>1</v>
      </c>
      <c r="H152" s="67">
        <v>0</v>
      </c>
      <c r="I152" s="67">
        <v>0</v>
      </c>
      <c r="K152" s="67">
        <v>132</v>
      </c>
      <c r="L152" s="67">
        <v>5</v>
      </c>
    </row>
    <row r="153" spans="6:12" x14ac:dyDescent="0.15">
      <c r="F153" s="67">
        <v>133</v>
      </c>
      <c r="G153" s="67">
        <v>0</v>
      </c>
      <c r="H153" s="67">
        <v>0</v>
      </c>
      <c r="I153" s="67">
        <v>0</v>
      </c>
      <c r="K153" s="67">
        <v>133</v>
      </c>
      <c r="L153" s="67">
        <v>3</v>
      </c>
    </row>
    <row r="154" spans="6:12" x14ac:dyDescent="0.15">
      <c r="F154" s="67">
        <v>134</v>
      </c>
      <c r="G154" s="67">
        <v>0</v>
      </c>
      <c r="H154" s="67">
        <v>1</v>
      </c>
      <c r="I154" s="67">
        <v>1</v>
      </c>
      <c r="K154" s="67">
        <v>134</v>
      </c>
      <c r="L154" s="67">
        <v>4</v>
      </c>
    </row>
    <row r="155" spans="6:12" x14ac:dyDescent="0.15">
      <c r="F155" s="67">
        <v>135</v>
      </c>
      <c r="G155" s="67">
        <v>1</v>
      </c>
      <c r="H155" s="67">
        <v>0</v>
      </c>
      <c r="I155" s="67">
        <v>0</v>
      </c>
      <c r="K155" s="67">
        <v>135</v>
      </c>
      <c r="L155" s="67">
        <v>4</v>
      </c>
    </row>
    <row r="156" spans="6:12" x14ac:dyDescent="0.15">
      <c r="F156" s="67">
        <v>136</v>
      </c>
      <c r="G156" s="67">
        <v>0</v>
      </c>
      <c r="H156" s="67">
        <v>1</v>
      </c>
      <c r="I156" s="67">
        <v>1</v>
      </c>
      <c r="K156" s="67">
        <v>136</v>
      </c>
      <c r="L156" s="67">
        <v>3</v>
      </c>
    </row>
    <row r="157" spans="6:12" x14ac:dyDescent="0.15">
      <c r="F157" s="67">
        <v>137</v>
      </c>
      <c r="G157" s="67">
        <v>0</v>
      </c>
      <c r="H157" s="67">
        <v>1</v>
      </c>
      <c r="I157" s="67">
        <v>1</v>
      </c>
      <c r="K157" s="67">
        <v>137</v>
      </c>
      <c r="L157" s="67">
        <v>3</v>
      </c>
    </row>
    <row r="158" spans="6:12" x14ac:dyDescent="0.15">
      <c r="F158" s="67">
        <v>138</v>
      </c>
      <c r="G158" s="67">
        <v>0</v>
      </c>
      <c r="H158" s="67">
        <v>1</v>
      </c>
      <c r="I158" s="67">
        <v>0</v>
      </c>
      <c r="K158" s="67">
        <v>138</v>
      </c>
      <c r="L158" s="67">
        <v>4</v>
      </c>
    </row>
    <row r="159" spans="6:12" x14ac:dyDescent="0.15">
      <c r="F159" s="67">
        <v>139</v>
      </c>
      <c r="G159" s="67">
        <v>0</v>
      </c>
      <c r="H159" s="67">
        <v>1</v>
      </c>
      <c r="I159" s="67">
        <v>1</v>
      </c>
      <c r="K159" s="67">
        <v>139</v>
      </c>
      <c r="L159" s="67">
        <v>5</v>
      </c>
    </row>
    <row r="160" spans="6:12" x14ac:dyDescent="0.15">
      <c r="F160" s="67">
        <v>140</v>
      </c>
      <c r="G160" s="67">
        <v>1</v>
      </c>
      <c r="H160" s="67">
        <v>0</v>
      </c>
      <c r="I160" s="67">
        <v>0</v>
      </c>
      <c r="K160" s="67">
        <v>140</v>
      </c>
      <c r="L160" s="67">
        <v>5</v>
      </c>
    </row>
    <row r="161" spans="6:12" x14ac:dyDescent="0.15">
      <c r="F161" s="67">
        <v>141</v>
      </c>
      <c r="G161" s="67">
        <v>0</v>
      </c>
      <c r="H161" s="67">
        <v>1</v>
      </c>
      <c r="I161" s="67">
        <v>1</v>
      </c>
      <c r="K161" s="67">
        <v>141</v>
      </c>
      <c r="L161" s="67">
        <v>4</v>
      </c>
    </row>
    <row r="162" spans="6:12" x14ac:dyDescent="0.15">
      <c r="F162" s="67">
        <v>142</v>
      </c>
      <c r="G162" s="67">
        <v>0</v>
      </c>
      <c r="H162" s="67">
        <v>0</v>
      </c>
      <c r="I162" s="67">
        <v>0</v>
      </c>
      <c r="K162" s="67">
        <v>142</v>
      </c>
      <c r="L162" s="67">
        <v>3</v>
      </c>
    </row>
    <row r="163" spans="6:12" x14ac:dyDescent="0.15">
      <c r="F163" s="67">
        <v>143</v>
      </c>
      <c r="G163" s="67">
        <v>0</v>
      </c>
      <c r="H163" s="67">
        <v>1</v>
      </c>
      <c r="I163" s="67">
        <v>0</v>
      </c>
      <c r="K163" s="67">
        <v>143</v>
      </c>
      <c r="L163" s="67">
        <v>4</v>
      </c>
    </row>
    <row r="164" spans="6:12" x14ac:dyDescent="0.15">
      <c r="F164" s="67">
        <v>144</v>
      </c>
      <c r="G164" s="67">
        <v>0</v>
      </c>
      <c r="H164" s="67">
        <v>1</v>
      </c>
      <c r="I164" s="67">
        <v>1</v>
      </c>
      <c r="K164" s="67">
        <v>144</v>
      </c>
      <c r="L164" s="67">
        <v>4</v>
      </c>
    </row>
    <row r="165" spans="6:12" x14ac:dyDescent="0.15">
      <c r="F165" s="67">
        <v>145</v>
      </c>
      <c r="G165" s="67">
        <v>0</v>
      </c>
      <c r="H165" s="67">
        <v>0</v>
      </c>
      <c r="I165" s="67">
        <v>0</v>
      </c>
      <c r="K165" s="67">
        <v>145</v>
      </c>
      <c r="L165" s="67">
        <v>3</v>
      </c>
    </row>
    <row r="166" spans="6:12" x14ac:dyDescent="0.15">
      <c r="F166" s="67">
        <v>146</v>
      </c>
      <c r="G166" s="67">
        <v>0</v>
      </c>
      <c r="H166" s="67">
        <v>1</v>
      </c>
      <c r="I166" s="67">
        <v>1</v>
      </c>
      <c r="K166" s="67">
        <v>146</v>
      </c>
      <c r="L166" s="67">
        <v>4</v>
      </c>
    </row>
    <row r="167" spans="6:12" x14ac:dyDescent="0.15">
      <c r="F167" s="67">
        <v>147</v>
      </c>
      <c r="G167" s="67">
        <v>0</v>
      </c>
      <c r="H167" s="67">
        <v>1</v>
      </c>
      <c r="I167" s="67">
        <v>1</v>
      </c>
      <c r="K167" s="67">
        <v>147</v>
      </c>
      <c r="L167" s="67">
        <v>4</v>
      </c>
    </row>
    <row r="168" spans="6:12" x14ac:dyDescent="0.15">
      <c r="F168" s="67">
        <v>148</v>
      </c>
      <c r="G168" s="67">
        <v>0</v>
      </c>
      <c r="H168" s="67">
        <v>1</v>
      </c>
      <c r="I168" s="67">
        <v>1</v>
      </c>
      <c r="K168" s="67">
        <v>148</v>
      </c>
      <c r="L168" s="67">
        <v>4</v>
      </c>
    </row>
    <row r="169" spans="6:12" x14ac:dyDescent="0.15">
      <c r="F169" s="67">
        <v>149</v>
      </c>
      <c r="G169" s="67">
        <v>1</v>
      </c>
      <c r="H169" s="67">
        <v>0</v>
      </c>
      <c r="I169" s="67">
        <v>0</v>
      </c>
      <c r="K169" s="67">
        <v>149</v>
      </c>
      <c r="L169" s="67">
        <v>5</v>
      </c>
    </row>
    <row r="170" spans="6:12" x14ac:dyDescent="0.15">
      <c r="F170" s="67">
        <v>150</v>
      </c>
      <c r="G170" s="67">
        <v>0</v>
      </c>
      <c r="H170" s="67">
        <v>0</v>
      </c>
      <c r="I170" s="67">
        <v>0</v>
      </c>
      <c r="K170" s="67">
        <v>150</v>
      </c>
      <c r="L170" s="67">
        <v>4</v>
      </c>
    </row>
    <row r="171" spans="6:12" x14ac:dyDescent="0.15">
      <c r="F171" s="67">
        <v>151</v>
      </c>
      <c r="G171" s="67">
        <v>0</v>
      </c>
      <c r="H171" s="67">
        <v>0</v>
      </c>
      <c r="I171" s="67">
        <v>0</v>
      </c>
      <c r="K171" s="67">
        <v>151</v>
      </c>
      <c r="L171" s="67">
        <v>3</v>
      </c>
    </row>
    <row r="172" spans="6:12" x14ac:dyDescent="0.15">
      <c r="F172" s="67">
        <v>152</v>
      </c>
      <c r="G172" s="67">
        <v>0</v>
      </c>
      <c r="H172" s="67">
        <v>0</v>
      </c>
      <c r="I172" s="67">
        <v>0</v>
      </c>
      <c r="K172" s="67">
        <v>152</v>
      </c>
      <c r="L172" s="67">
        <v>4</v>
      </c>
    </row>
    <row r="173" spans="6:12" x14ac:dyDescent="0.15">
      <c r="F173" s="67">
        <v>153</v>
      </c>
      <c r="G173" s="67">
        <v>0</v>
      </c>
      <c r="H173" s="67">
        <v>0</v>
      </c>
      <c r="I173" s="67">
        <v>0</v>
      </c>
      <c r="K173" s="67">
        <v>153</v>
      </c>
      <c r="L173" s="67">
        <v>4</v>
      </c>
    </row>
    <row r="174" spans="6:12" x14ac:dyDescent="0.15">
      <c r="F174" s="67">
        <v>154</v>
      </c>
      <c r="G174" s="67">
        <v>1</v>
      </c>
      <c r="H174" s="67">
        <v>0</v>
      </c>
      <c r="I174" s="67">
        <v>0</v>
      </c>
      <c r="K174" s="67">
        <v>154</v>
      </c>
      <c r="L174" s="67">
        <v>4</v>
      </c>
    </row>
    <row r="175" spans="6:12" x14ac:dyDescent="0.15">
      <c r="F175" s="67">
        <v>155</v>
      </c>
      <c r="G175" s="67">
        <v>0</v>
      </c>
      <c r="H175" s="67">
        <v>1</v>
      </c>
      <c r="I175" s="67">
        <v>1</v>
      </c>
      <c r="K175" s="67">
        <v>155</v>
      </c>
      <c r="L175" s="67">
        <v>4</v>
      </c>
    </row>
    <row r="176" spans="6:12" x14ac:dyDescent="0.15">
      <c r="F176" s="67">
        <v>156</v>
      </c>
      <c r="G176" s="67">
        <v>0</v>
      </c>
      <c r="H176" s="67">
        <v>1</v>
      </c>
      <c r="I176" s="67">
        <v>1</v>
      </c>
      <c r="K176" s="67">
        <v>156</v>
      </c>
      <c r="L176" s="67">
        <v>4</v>
      </c>
    </row>
    <row r="177" spans="6:12" x14ac:dyDescent="0.15">
      <c r="F177" s="67">
        <v>157</v>
      </c>
      <c r="G177" s="67">
        <v>0</v>
      </c>
      <c r="H177" s="67">
        <v>1</v>
      </c>
      <c r="I177" s="67">
        <v>1</v>
      </c>
      <c r="K177" s="67">
        <v>157</v>
      </c>
      <c r="L177" s="67">
        <v>4</v>
      </c>
    </row>
    <row r="178" spans="6:12" x14ac:dyDescent="0.15">
      <c r="F178" s="67">
        <v>158</v>
      </c>
      <c r="G178" s="67">
        <v>0</v>
      </c>
      <c r="H178" s="67">
        <v>0</v>
      </c>
      <c r="I178" s="67">
        <v>0</v>
      </c>
      <c r="K178" s="67">
        <v>158</v>
      </c>
      <c r="L178" s="67">
        <v>5</v>
      </c>
    </row>
    <row r="179" spans="6:12" x14ac:dyDescent="0.15">
      <c r="F179" s="67">
        <v>159</v>
      </c>
      <c r="G179" s="67">
        <v>0</v>
      </c>
      <c r="H179" s="67">
        <v>1</v>
      </c>
      <c r="I179" s="67">
        <v>1</v>
      </c>
      <c r="K179" s="67">
        <v>159</v>
      </c>
      <c r="L179" s="67">
        <v>4</v>
      </c>
    </row>
    <row r="180" spans="6:12" x14ac:dyDescent="0.15">
      <c r="F180" s="67">
        <v>160</v>
      </c>
      <c r="G180" s="67">
        <v>1</v>
      </c>
      <c r="H180" s="67">
        <v>0</v>
      </c>
      <c r="I180" s="67">
        <v>0</v>
      </c>
      <c r="K180" s="67">
        <v>160</v>
      </c>
      <c r="L180" s="67">
        <v>4</v>
      </c>
    </row>
    <row r="181" spans="6:12" x14ac:dyDescent="0.15">
      <c r="F181" s="67">
        <v>161</v>
      </c>
      <c r="G181" s="67">
        <v>0</v>
      </c>
      <c r="H181" s="67">
        <v>0</v>
      </c>
      <c r="I181" s="67">
        <v>0</v>
      </c>
      <c r="K181" s="67">
        <v>161</v>
      </c>
      <c r="L181" s="67">
        <v>5</v>
      </c>
    </row>
    <row r="182" spans="6:12" x14ac:dyDescent="0.15">
      <c r="F182" s="67">
        <v>162</v>
      </c>
      <c r="G182" s="67">
        <v>0</v>
      </c>
      <c r="H182" s="67">
        <v>1</v>
      </c>
      <c r="I182" s="67">
        <v>1</v>
      </c>
      <c r="K182" s="67">
        <v>162</v>
      </c>
      <c r="L182" s="67">
        <v>4</v>
      </c>
    </row>
    <row r="183" spans="6:12" x14ac:dyDescent="0.15">
      <c r="F183" s="67">
        <v>163</v>
      </c>
      <c r="G183" s="67">
        <v>0</v>
      </c>
      <c r="H183" s="67">
        <v>0</v>
      </c>
      <c r="I183" s="67">
        <v>0</v>
      </c>
      <c r="K183" s="67">
        <v>163</v>
      </c>
      <c r="L183" s="67">
        <v>4</v>
      </c>
    </row>
    <row r="184" spans="6:12" x14ac:dyDescent="0.15">
      <c r="F184" s="67">
        <v>164</v>
      </c>
      <c r="G184" s="67">
        <v>0</v>
      </c>
      <c r="H184" s="67">
        <v>0</v>
      </c>
      <c r="I184" s="67">
        <v>0</v>
      </c>
      <c r="K184" s="67">
        <v>164</v>
      </c>
      <c r="L184" s="67">
        <v>5</v>
      </c>
    </row>
    <row r="185" spans="6:12" x14ac:dyDescent="0.15">
      <c r="F185" s="67">
        <v>165</v>
      </c>
      <c r="G185" s="67">
        <v>1</v>
      </c>
      <c r="H185" s="67">
        <v>0</v>
      </c>
      <c r="I185" s="67">
        <v>0</v>
      </c>
      <c r="K185" s="67">
        <v>165</v>
      </c>
      <c r="L185" s="67">
        <v>3</v>
      </c>
    </row>
    <row r="186" spans="6:12" x14ac:dyDescent="0.15">
      <c r="F186" s="67">
        <v>166</v>
      </c>
      <c r="G186" s="67">
        <v>0</v>
      </c>
      <c r="H186" s="67">
        <v>1</v>
      </c>
      <c r="I186" s="67">
        <v>0</v>
      </c>
      <c r="K186" s="67">
        <v>166</v>
      </c>
      <c r="L186" s="67">
        <v>4</v>
      </c>
    </row>
    <row r="187" spans="6:12" x14ac:dyDescent="0.15">
      <c r="F187" s="67">
        <v>167</v>
      </c>
      <c r="G187" s="67">
        <v>0</v>
      </c>
      <c r="H187" s="67">
        <v>0</v>
      </c>
      <c r="I187" s="67">
        <v>0</v>
      </c>
      <c r="K187" s="67">
        <v>167</v>
      </c>
      <c r="L187" s="67">
        <v>4</v>
      </c>
    </row>
    <row r="188" spans="6:12" x14ac:dyDescent="0.15">
      <c r="F188" s="67">
        <v>168</v>
      </c>
      <c r="G188" s="67">
        <v>0</v>
      </c>
      <c r="H188" s="67">
        <v>1</v>
      </c>
      <c r="I188" s="67">
        <v>1</v>
      </c>
      <c r="K188" s="67">
        <v>168</v>
      </c>
      <c r="L188" s="67">
        <v>3</v>
      </c>
    </row>
    <row r="189" spans="6:12" x14ac:dyDescent="0.15">
      <c r="F189" s="67">
        <v>169</v>
      </c>
      <c r="G189" s="67">
        <v>0</v>
      </c>
      <c r="H189" s="67">
        <v>0</v>
      </c>
      <c r="I189" s="67">
        <v>0</v>
      </c>
      <c r="K189" s="67">
        <v>169</v>
      </c>
      <c r="L189" s="67">
        <v>4</v>
      </c>
    </row>
    <row r="190" spans="6:12" x14ac:dyDescent="0.15">
      <c r="F190" s="67">
        <v>170</v>
      </c>
      <c r="G190" s="67">
        <v>0</v>
      </c>
      <c r="H190" s="67">
        <v>1</v>
      </c>
      <c r="I190" s="67">
        <v>1</v>
      </c>
      <c r="K190" s="67">
        <v>170</v>
      </c>
      <c r="L190" s="67">
        <v>4</v>
      </c>
    </row>
    <row r="191" spans="6:12" x14ac:dyDescent="0.15">
      <c r="F191" s="67">
        <v>171</v>
      </c>
      <c r="G191" s="67">
        <v>0</v>
      </c>
      <c r="H191" s="67">
        <v>0</v>
      </c>
      <c r="I191" s="67">
        <v>0</v>
      </c>
      <c r="K191" s="67">
        <v>171</v>
      </c>
      <c r="L191" s="67">
        <v>4</v>
      </c>
    </row>
    <row r="192" spans="6:12" x14ac:dyDescent="0.15">
      <c r="F192" s="67">
        <v>172</v>
      </c>
      <c r="G192" s="67">
        <v>0</v>
      </c>
      <c r="H192" s="67">
        <v>1</v>
      </c>
      <c r="I192" s="67">
        <v>1</v>
      </c>
      <c r="K192" s="67">
        <v>172</v>
      </c>
      <c r="L192" s="67">
        <v>4</v>
      </c>
    </row>
    <row r="193" spans="6:12" x14ac:dyDescent="0.15">
      <c r="F193" s="67">
        <v>173</v>
      </c>
      <c r="G193" s="67">
        <v>1</v>
      </c>
      <c r="H193" s="67">
        <v>0</v>
      </c>
      <c r="I193" s="67">
        <v>0</v>
      </c>
      <c r="K193" s="67">
        <v>173</v>
      </c>
      <c r="L193" s="67">
        <v>4</v>
      </c>
    </row>
    <row r="194" spans="6:12" x14ac:dyDescent="0.15">
      <c r="F194" s="67">
        <v>174</v>
      </c>
      <c r="G194" s="67">
        <v>0</v>
      </c>
      <c r="H194" s="67">
        <v>0</v>
      </c>
      <c r="I194" s="67">
        <v>0</v>
      </c>
      <c r="K194" s="67">
        <v>174</v>
      </c>
      <c r="L194" s="67">
        <v>3</v>
      </c>
    </row>
    <row r="195" spans="6:12" x14ac:dyDescent="0.15">
      <c r="F195" s="67">
        <v>175</v>
      </c>
      <c r="G195" s="67">
        <v>0</v>
      </c>
      <c r="H195" s="67">
        <v>0</v>
      </c>
      <c r="I195" s="67">
        <v>0</v>
      </c>
      <c r="K195" s="67">
        <v>175</v>
      </c>
      <c r="L195" s="67">
        <v>4</v>
      </c>
    </row>
    <row r="196" spans="6:12" x14ac:dyDescent="0.15">
      <c r="F196" s="67">
        <v>176</v>
      </c>
      <c r="G196" s="67">
        <v>0</v>
      </c>
      <c r="H196" s="67">
        <v>1</v>
      </c>
      <c r="I196" s="67">
        <v>1</v>
      </c>
      <c r="K196" s="67">
        <v>176</v>
      </c>
      <c r="L196" s="67">
        <v>5</v>
      </c>
    </row>
    <row r="197" spans="6:12" x14ac:dyDescent="0.15">
      <c r="F197" s="67">
        <v>177</v>
      </c>
      <c r="G197" s="67">
        <v>0</v>
      </c>
      <c r="H197" s="67">
        <v>0</v>
      </c>
      <c r="I197" s="67">
        <v>0</v>
      </c>
      <c r="K197" s="67">
        <v>177</v>
      </c>
      <c r="L197" s="67">
        <v>4</v>
      </c>
    </row>
    <row r="198" spans="6:12" x14ac:dyDescent="0.15">
      <c r="F198" s="67">
        <v>178</v>
      </c>
      <c r="G198" s="67">
        <v>0</v>
      </c>
      <c r="H198" s="67">
        <v>1</v>
      </c>
      <c r="I198" s="67">
        <v>1</v>
      </c>
      <c r="K198" s="67">
        <v>178</v>
      </c>
      <c r="L198" s="67">
        <v>4</v>
      </c>
    </row>
    <row r="199" spans="6:12" x14ac:dyDescent="0.15">
      <c r="F199" s="67">
        <v>179</v>
      </c>
      <c r="G199" s="67">
        <v>0</v>
      </c>
      <c r="H199" s="67">
        <v>0</v>
      </c>
      <c r="I199" s="67">
        <v>0</v>
      </c>
      <c r="K199" s="67">
        <v>179</v>
      </c>
      <c r="L199" s="67">
        <v>4</v>
      </c>
    </row>
    <row r="200" spans="6:12" x14ac:dyDescent="0.15">
      <c r="F200" s="67">
        <v>180</v>
      </c>
      <c r="G200" s="67">
        <v>0</v>
      </c>
      <c r="H200" s="67">
        <v>1</v>
      </c>
      <c r="I200" s="67">
        <v>1</v>
      </c>
      <c r="K200" s="67">
        <v>180</v>
      </c>
      <c r="L200" s="67">
        <v>4</v>
      </c>
    </row>
    <row r="201" spans="6:12" x14ac:dyDescent="0.15">
      <c r="F201" s="67">
        <v>181</v>
      </c>
      <c r="G201" s="67">
        <v>0</v>
      </c>
      <c r="H201" s="67">
        <v>1</v>
      </c>
      <c r="I201" s="67">
        <v>1</v>
      </c>
      <c r="K201" s="67">
        <v>181</v>
      </c>
      <c r="L201" s="67">
        <v>4</v>
      </c>
    </row>
    <row r="202" spans="6:12" x14ac:dyDescent="0.15">
      <c r="F202" s="67">
        <v>182</v>
      </c>
      <c r="G202" s="67">
        <v>0</v>
      </c>
      <c r="H202" s="67">
        <v>1</v>
      </c>
      <c r="I202" s="67">
        <v>1</v>
      </c>
      <c r="K202" s="67">
        <v>182</v>
      </c>
      <c r="L202" s="67">
        <v>4</v>
      </c>
    </row>
    <row r="203" spans="6:12" x14ac:dyDescent="0.15">
      <c r="F203" s="67">
        <v>183</v>
      </c>
      <c r="G203" s="67">
        <v>0</v>
      </c>
      <c r="H203" s="67">
        <v>0</v>
      </c>
      <c r="I203" s="67">
        <v>0</v>
      </c>
      <c r="K203" s="67">
        <v>183</v>
      </c>
      <c r="L203" s="67">
        <v>4</v>
      </c>
    </row>
    <row r="204" spans="6:12" x14ac:dyDescent="0.15">
      <c r="F204" s="67">
        <v>184</v>
      </c>
      <c r="G204" s="67">
        <v>1</v>
      </c>
      <c r="H204" s="67">
        <v>0</v>
      </c>
      <c r="I204" s="67">
        <v>0</v>
      </c>
      <c r="K204" s="67">
        <v>184</v>
      </c>
      <c r="L204" s="67">
        <v>5</v>
      </c>
    </row>
    <row r="205" spans="6:12" x14ac:dyDescent="0.15">
      <c r="F205" s="67">
        <v>185</v>
      </c>
      <c r="G205" s="67">
        <v>0</v>
      </c>
      <c r="H205" s="67">
        <v>0</v>
      </c>
      <c r="I205" s="67">
        <v>0</v>
      </c>
      <c r="K205" s="67">
        <v>185</v>
      </c>
      <c r="L205" s="67">
        <v>3</v>
      </c>
    </row>
    <row r="206" spans="6:12" x14ac:dyDescent="0.15">
      <c r="F206" s="67">
        <v>186</v>
      </c>
      <c r="G206" s="67">
        <v>1</v>
      </c>
      <c r="H206" s="67">
        <v>0</v>
      </c>
      <c r="I206" s="67">
        <v>0</v>
      </c>
      <c r="K206" s="67">
        <v>186</v>
      </c>
      <c r="L206" s="67">
        <v>4</v>
      </c>
    </row>
    <row r="207" spans="6:12" x14ac:dyDescent="0.15">
      <c r="F207" s="67">
        <v>187</v>
      </c>
      <c r="G207" s="67">
        <v>0</v>
      </c>
      <c r="H207" s="67">
        <v>0</v>
      </c>
      <c r="I207" s="67">
        <v>0</v>
      </c>
      <c r="K207" s="67">
        <v>187</v>
      </c>
      <c r="L207" s="67">
        <v>4</v>
      </c>
    </row>
    <row r="208" spans="6:12" x14ac:dyDescent="0.15">
      <c r="F208" s="67">
        <v>188</v>
      </c>
      <c r="G208" s="67">
        <v>0</v>
      </c>
      <c r="H208" s="67">
        <v>1</v>
      </c>
      <c r="I208" s="67">
        <v>1</v>
      </c>
      <c r="K208" s="67">
        <v>188</v>
      </c>
      <c r="L208" s="67">
        <v>3</v>
      </c>
    </row>
    <row r="209" spans="6:12" x14ac:dyDescent="0.15">
      <c r="F209" s="67">
        <v>189</v>
      </c>
      <c r="G209" s="67">
        <v>1</v>
      </c>
      <c r="H209" s="67">
        <v>0</v>
      </c>
      <c r="I209" s="67">
        <v>0</v>
      </c>
      <c r="K209" s="67">
        <v>189</v>
      </c>
      <c r="L209" s="67">
        <v>4</v>
      </c>
    </row>
    <row r="210" spans="6:12" x14ac:dyDescent="0.15">
      <c r="F210" s="67">
        <v>190</v>
      </c>
      <c r="G210" s="67">
        <v>1</v>
      </c>
      <c r="H210" s="67">
        <v>0</v>
      </c>
      <c r="I210" s="67">
        <v>0</v>
      </c>
      <c r="K210" s="67">
        <v>190</v>
      </c>
      <c r="L210" s="67">
        <v>3</v>
      </c>
    </row>
    <row r="211" spans="6:12" x14ac:dyDescent="0.15">
      <c r="F211" s="67">
        <v>191</v>
      </c>
      <c r="G211" s="67">
        <v>0</v>
      </c>
      <c r="H211" s="67">
        <v>1</v>
      </c>
      <c r="I211" s="67">
        <v>0</v>
      </c>
      <c r="K211" s="67">
        <v>191</v>
      </c>
      <c r="L211" s="67">
        <v>4</v>
      </c>
    </row>
    <row r="212" spans="6:12" x14ac:dyDescent="0.15">
      <c r="F212" s="67">
        <v>192</v>
      </c>
      <c r="G212" s="67">
        <v>0</v>
      </c>
      <c r="H212" s="67">
        <v>0</v>
      </c>
      <c r="I212" s="67">
        <v>0</v>
      </c>
      <c r="K212" s="67">
        <v>192</v>
      </c>
      <c r="L212" s="67">
        <v>4</v>
      </c>
    </row>
    <row r="213" spans="6:12" x14ac:dyDescent="0.15">
      <c r="F213" s="67">
        <v>193</v>
      </c>
      <c r="G213" s="67">
        <v>0</v>
      </c>
      <c r="H213" s="67">
        <v>1</v>
      </c>
      <c r="I213" s="67">
        <v>1</v>
      </c>
      <c r="K213" s="67">
        <v>193</v>
      </c>
      <c r="L213" s="67">
        <v>4</v>
      </c>
    </row>
    <row r="214" spans="6:12" x14ac:dyDescent="0.15">
      <c r="F214" s="67">
        <v>194</v>
      </c>
      <c r="G214" s="67">
        <v>0</v>
      </c>
      <c r="H214" s="67">
        <v>0</v>
      </c>
      <c r="I214" s="67">
        <v>0</v>
      </c>
      <c r="K214" s="67">
        <v>194</v>
      </c>
      <c r="L214" s="67">
        <v>4</v>
      </c>
    </row>
    <row r="215" spans="6:12" x14ac:dyDescent="0.15">
      <c r="F215" s="67">
        <v>195</v>
      </c>
      <c r="G215" s="67">
        <v>0</v>
      </c>
      <c r="H215" s="67">
        <v>1</v>
      </c>
      <c r="I215" s="67">
        <v>1</v>
      </c>
      <c r="K215" s="67">
        <v>195</v>
      </c>
      <c r="L215" s="67">
        <v>3</v>
      </c>
    </row>
    <row r="216" spans="6:12" x14ac:dyDescent="0.15">
      <c r="F216" s="67">
        <v>196</v>
      </c>
      <c r="G216" s="67">
        <v>0</v>
      </c>
      <c r="H216" s="67">
        <v>0</v>
      </c>
      <c r="I216" s="67">
        <v>0</v>
      </c>
      <c r="K216" s="67">
        <v>196</v>
      </c>
      <c r="L216" s="67">
        <v>3</v>
      </c>
    </row>
    <row r="217" spans="6:12" x14ac:dyDescent="0.15">
      <c r="F217" s="67">
        <v>197</v>
      </c>
      <c r="G217" s="67">
        <v>0</v>
      </c>
      <c r="H217" s="67">
        <v>1</v>
      </c>
      <c r="I217" s="67">
        <v>0</v>
      </c>
      <c r="K217" s="67">
        <v>197</v>
      </c>
      <c r="L217" s="67">
        <v>5</v>
      </c>
    </row>
    <row r="218" spans="6:12" x14ac:dyDescent="0.15">
      <c r="F218" s="67">
        <v>198</v>
      </c>
      <c r="G218" s="67">
        <v>0</v>
      </c>
      <c r="H218" s="67">
        <v>1</v>
      </c>
      <c r="I218" s="67">
        <v>1</v>
      </c>
      <c r="K218" s="67">
        <v>198</v>
      </c>
      <c r="L218" s="67">
        <v>4</v>
      </c>
    </row>
    <row r="219" spans="6:12" x14ac:dyDescent="0.15">
      <c r="F219" s="67">
        <v>199</v>
      </c>
      <c r="G219" s="67">
        <v>0</v>
      </c>
      <c r="H219" s="67">
        <v>1</v>
      </c>
      <c r="I219" s="67">
        <v>1</v>
      </c>
      <c r="K219" s="67">
        <v>199</v>
      </c>
      <c r="L219" s="67">
        <v>5</v>
      </c>
    </row>
    <row r="220" spans="6:12" x14ac:dyDescent="0.15">
      <c r="F220" s="67">
        <v>200</v>
      </c>
      <c r="G220" s="67">
        <v>0</v>
      </c>
      <c r="H220" s="67">
        <v>1</v>
      </c>
      <c r="I220" s="67">
        <v>1</v>
      </c>
      <c r="K220" s="67">
        <v>200</v>
      </c>
      <c r="L220" s="67">
        <v>4</v>
      </c>
    </row>
    <row r="221" spans="6:12" x14ac:dyDescent="0.15">
      <c r="F221" s="67">
        <v>201</v>
      </c>
      <c r="G221" s="67">
        <v>0</v>
      </c>
      <c r="H221" s="67">
        <v>0</v>
      </c>
      <c r="I221" s="67">
        <v>0</v>
      </c>
      <c r="K221" s="67">
        <v>201</v>
      </c>
      <c r="L221" s="67">
        <v>3</v>
      </c>
    </row>
    <row r="222" spans="6:12" x14ac:dyDescent="0.15">
      <c r="F222" s="67">
        <v>202</v>
      </c>
      <c r="G222" s="67">
        <v>0</v>
      </c>
      <c r="H222" s="67">
        <v>0</v>
      </c>
      <c r="I222" s="67">
        <v>0</v>
      </c>
      <c r="K222" s="67">
        <v>202</v>
      </c>
      <c r="L222" s="67">
        <v>4</v>
      </c>
    </row>
    <row r="223" spans="6:12" x14ac:dyDescent="0.15">
      <c r="F223" s="67">
        <v>203</v>
      </c>
      <c r="G223" s="67">
        <v>0</v>
      </c>
      <c r="H223" s="67">
        <v>0</v>
      </c>
      <c r="I223" s="67">
        <v>0</v>
      </c>
      <c r="K223" s="67">
        <v>203</v>
      </c>
      <c r="L223" s="67">
        <v>5</v>
      </c>
    </row>
    <row r="224" spans="6:12" x14ac:dyDescent="0.15">
      <c r="F224" s="67">
        <v>204</v>
      </c>
      <c r="G224" s="67">
        <v>0</v>
      </c>
      <c r="H224" s="67">
        <v>1</v>
      </c>
      <c r="I224" s="67">
        <v>1</v>
      </c>
      <c r="K224" s="67">
        <v>204</v>
      </c>
      <c r="L224" s="67">
        <v>5</v>
      </c>
    </row>
    <row r="225" spans="6:12" x14ac:dyDescent="0.15">
      <c r="F225" s="67">
        <v>205</v>
      </c>
      <c r="G225" s="67">
        <v>0</v>
      </c>
      <c r="H225" s="67">
        <v>0</v>
      </c>
      <c r="I225" s="67">
        <v>0</v>
      </c>
      <c r="K225" s="67">
        <v>205</v>
      </c>
      <c r="L225" s="67">
        <v>4</v>
      </c>
    </row>
    <row r="226" spans="6:12" x14ac:dyDescent="0.15">
      <c r="F226" s="67">
        <v>206</v>
      </c>
      <c r="G226" s="67">
        <v>0</v>
      </c>
      <c r="H226" s="67">
        <v>1</v>
      </c>
      <c r="I226" s="67">
        <v>0</v>
      </c>
      <c r="K226" s="67">
        <v>206</v>
      </c>
      <c r="L226" s="67">
        <v>3</v>
      </c>
    </row>
    <row r="227" spans="6:12" x14ac:dyDescent="0.15">
      <c r="F227" s="67">
        <v>207</v>
      </c>
      <c r="G227" s="67">
        <v>0</v>
      </c>
      <c r="H227" s="67">
        <v>1</v>
      </c>
      <c r="I227" s="67">
        <v>1</v>
      </c>
      <c r="K227" s="67">
        <v>207</v>
      </c>
      <c r="L227" s="67">
        <v>4</v>
      </c>
    </row>
    <row r="228" spans="6:12" x14ac:dyDescent="0.15">
      <c r="F228" s="67">
        <v>208</v>
      </c>
      <c r="G228" s="67">
        <v>0</v>
      </c>
      <c r="H228" s="67">
        <v>1</v>
      </c>
      <c r="I228" s="67">
        <v>1</v>
      </c>
      <c r="K228" s="67">
        <v>208</v>
      </c>
      <c r="L228" s="67">
        <v>5</v>
      </c>
    </row>
    <row r="229" spans="6:12" x14ac:dyDescent="0.15">
      <c r="F229" s="67">
        <v>209</v>
      </c>
      <c r="G229" s="67">
        <v>0</v>
      </c>
      <c r="H229" s="67">
        <v>1</v>
      </c>
      <c r="I229" s="67">
        <v>1</v>
      </c>
      <c r="K229" s="67">
        <v>209</v>
      </c>
      <c r="L229" s="67">
        <v>4</v>
      </c>
    </row>
    <row r="230" spans="6:12" x14ac:dyDescent="0.15">
      <c r="F230" s="67">
        <v>210</v>
      </c>
      <c r="G230" s="67">
        <v>0</v>
      </c>
      <c r="H230" s="67">
        <v>0</v>
      </c>
      <c r="I230" s="67">
        <v>0</v>
      </c>
      <c r="K230" s="67">
        <v>210</v>
      </c>
      <c r="L230" s="67">
        <v>4</v>
      </c>
    </row>
    <row r="231" spans="6:12" x14ac:dyDescent="0.15">
      <c r="F231" s="67">
        <v>211</v>
      </c>
      <c r="G231" s="67">
        <v>0</v>
      </c>
      <c r="H231" s="67">
        <v>1</v>
      </c>
      <c r="I231" s="67">
        <v>1</v>
      </c>
      <c r="K231" s="67">
        <v>211</v>
      </c>
      <c r="L231" s="67">
        <v>3</v>
      </c>
    </row>
    <row r="232" spans="6:12" x14ac:dyDescent="0.15">
      <c r="F232" s="67">
        <v>212</v>
      </c>
      <c r="G232" s="67">
        <v>0</v>
      </c>
      <c r="H232" s="67">
        <v>1</v>
      </c>
      <c r="I232" s="67">
        <v>1</v>
      </c>
      <c r="K232" s="67">
        <v>212</v>
      </c>
      <c r="L232" s="67">
        <v>4</v>
      </c>
    </row>
    <row r="233" spans="6:12" x14ac:dyDescent="0.15">
      <c r="F233" s="67">
        <v>213</v>
      </c>
      <c r="G233" s="67">
        <v>0</v>
      </c>
      <c r="H233" s="67">
        <v>0</v>
      </c>
      <c r="I233" s="67">
        <v>0</v>
      </c>
      <c r="K233" s="67">
        <v>213</v>
      </c>
      <c r="L233" s="67">
        <v>3</v>
      </c>
    </row>
    <row r="234" spans="6:12" x14ac:dyDescent="0.15">
      <c r="F234" s="67">
        <v>214</v>
      </c>
      <c r="G234" s="67">
        <v>0</v>
      </c>
      <c r="H234" s="67">
        <v>1</v>
      </c>
      <c r="I234" s="67">
        <v>1</v>
      </c>
      <c r="K234" s="67">
        <v>214</v>
      </c>
      <c r="L234" s="67">
        <v>3</v>
      </c>
    </row>
    <row r="235" spans="6:12" x14ac:dyDescent="0.15">
      <c r="F235" s="67">
        <v>215</v>
      </c>
      <c r="G235" s="67">
        <v>1</v>
      </c>
      <c r="H235" s="67">
        <v>0</v>
      </c>
      <c r="I235" s="67">
        <v>0</v>
      </c>
      <c r="K235" s="67">
        <v>215</v>
      </c>
      <c r="L235" s="67">
        <v>3</v>
      </c>
    </row>
    <row r="236" spans="6:12" x14ac:dyDescent="0.15">
      <c r="F236" s="67">
        <v>216</v>
      </c>
      <c r="G236" s="67">
        <v>0</v>
      </c>
      <c r="H236" s="67">
        <v>0</v>
      </c>
      <c r="I236" s="67">
        <v>0</v>
      </c>
      <c r="K236" s="67">
        <v>216</v>
      </c>
      <c r="L236" s="67">
        <v>4</v>
      </c>
    </row>
    <row r="237" spans="6:12" x14ac:dyDescent="0.15">
      <c r="F237" s="67">
        <v>217</v>
      </c>
      <c r="G237" s="67">
        <v>0</v>
      </c>
      <c r="H237" s="67">
        <v>0</v>
      </c>
      <c r="I237" s="67">
        <v>0</v>
      </c>
      <c r="K237" s="67">
        <v>217</v>
      </c>
      <c r="L237" s="67">
        <v>4</v>
      </c>
    </row>
    <row r="238" spans="6:12" x14ac:dyDescent="0.15">
      <c r="F238" s="67">
        <v>218</v>
      </c>
      <c r="G238" s="67">
        <v>0</v>
      </c>
      <c r="H238" s="67">
        <v>1</v>
      </c>
      <c r="I238" s="67">
        <v>1</v>
      </c>
      <c r="K238" s="67">
        <v>218</v>
      </c>
      <c r="L238" s="67">
        <v>4</v>
      </c>
    </row>
    <row r="239" spans="6:12" x14ac:dyDescent="0.15">
      <c r="F239" s="67">
        <v>219</v>
      </c>
      <c r="G239" s="67">
        <v>0</v>
      </c>
      <c r="H239" s="67">
        <v>1</v>
      </c>
      <c r="I239" s="67">
        <v>1</v>
      </c>
      <c r="K239" s="67">
        <v>219</v>
      </c>
      <c r="L239" s="67">
        <v>4</v>
      </c>
    </row>
    <row r="240" spans="6:12" x14ac:dyDescent="0.15">
      <c r="F240" s="67">
        <v>220</v>
      </c>
      <c r="G240" s="67">
        <v>1</v>
      </c>
      <c r="H240" s="67">
        <v>0</v>
      </c>
      <c r="I240" s="67">
        <v>0</v>
      </c>
      <c r="K240" s="67">
        <v>220</v>
      </c>
      <c r="L240" s="67">
        <v>4</v>
      </c>
    </row>
    <row r="241" spans="6:12" x14ac:dyDescent="0.15">
      <c r="F241" s="67">
        <v>221</v>
      </c>
      <c r="G241" s="67">
        <v>1</v>
      </c>
      <c r="H241" s="67">
        <v>0</v>
      </c>
      <c r="I241" s="67">
        <v>0</v>
      </c>
      <c r="K241" s="67">
        <v>221</v>
      </c>
      <c r="L241" s="67">
        <v>4</v>
      </c>
    </row>
    <row r="242" spans="6:12" x14ac:dyDescent="0.15">
      <c r="F242" s="67">
        <v>222</v>
      </c>
      <c r="G242" s="67">
        <v>0</v>
      </c>
      <c r="H242" s="67">
        <v>0</v>
      </c>
      <c r="I242" s="67">
        <v>0</v>
      </c>
      <c r="K242" s="67">
        <v>222</v>
      </c>
      <c r="L242" s="67">
        <v>4</v>
      </c>
    </row>
    <row r="243" spans="6:12" x14ac:dyDescent="0.15">
      <c r="F243" s="67">
        <v>223</v>
      </c>
      <c r="G243" s="67">
        <v>0</v>
      </c>
      <c r="H243" s="67">
        <v>1</v>
      </c>
      <c r="I243" s="67">
        <v>0</v>
      </c>
      <c r="K243" s="67">
        <v>223</v>
      </c>
      <c r="L243" s="67">
        <v>5</v>
      </c>
    </row>
    <row r="244" spans="6:12" x14ac:dyDescent="0.15">
      <c r="F244" s="67">
        <v>224</v>
      </c>
      <c r="G244" s="67">
        <v>0</v>
      </c>
      <c r="H244" s="67">
        <v>1</v>
      </c>
      <c r="I244" s="67">
        <v>1</v>
      </c>
      <c r="K244" s="67">
        <v>224</v>
      </c>
      <c r="L244" s="67">
        <v>4</v>
      </c>
    </row>
    <row r="245" spans="6:12" x14ac:dyDescent="0.15">
      <c r="F245" s="67">
        <v>225</v>
      </c>
      <c r="G245" s="67">
        <v>0</v>
      </c>
      <c r="H245" s="67">
        <v>1</v>
      </c>
      <c r="I245" s="67">
        <v>1</v>
      </c>
      <c r="K245" s="67">
        <v>225</v>
      </c>
      <c r="L245" s="67">
        <v>4</v>
      </c>
    </row>
    <row r="246" spans="6:12" x14ac:dyDescent="0.15">
      <c r="F246" s="67">
        <v>226</v>
      </c>
      <c r="G246" s="67">
        <v>0</v>
      </c>
      <c r="H246" s="67">
        <v>0</v>
      </c>
      <c r="I246" s="67">
        <v>0</v>
      </c>
      <c r="K246" s="67">
        <v>226</v>
      </c>
      <c r="L246" s="67">
        <v>4</v>
      </c>
    </row>
    <row r="247" spans="6:12" x14ac:dyDescent="0.15">
      <c r="F247" s="67">
        <v>227</v>
      </c>
      <c r="G247" s="67">
        <v>0</v>
      </c>
      <c r="H247" s="67">
        <v>1</v>
      </c>
      <c r="I247" s="67">
        <v>1</v>
      </c>
      <c r="K247" s="67">
        <v>227</v>
      </c>
      <c r="L247" s="67">
        <v>5</v>
      </c>
    </row>
    <row r="248" spans="6:12" x14ac:dyDescent="0.15">
      <c r="F248" s="67">
        <v>228</v>
      </c>
      <c r="G248" s="67">
        <v>0</v>
      </c>
      <c r="H248" s="67">
        <v>1</v>
      </c>
      <c r="I248" s="67">
        <v>1</v>
      </c>
      <c r="K248" s="67">
        <v>228</v>
      </c>
      <c r="L248" s="67">
        <v>3</v>
      </c>
    </row>
    <row r="249" spans="6:12" x14ac:dyDescent="0.15">
      <c r="F249" s="67">
        <v>229</v>
      </c>
      <c r="G249" s="67">
        <v>0</v>
      </c>
      <c r="H249" s="67">
        <v>1</v>
      </c>
      <c r="I249" s="67">
        <v>1</v>
      </c>
      <c r="K249" s="67">
        <v>229</v>
      </c>
      <c r="L249" s="67">
        <v>3</v>
      </c>
    </row>
    <row r="250" spans="6:12" x14ac:dyDescent="0.15">
      <c r="F250" s="67">
        <v>230</v>
      </c>
      <c r="G250" s="67">
        <v>0</v>
      </c>
      <c r="H250" s="67">
        <v>1</v>
      </c>
      <c r="I250" s="67">
        <v>1</v>
      </c>
      <c r="K250" s="67">
        <v>230</v>
      </c>
      <c r="L250" s="67">
        <v>3</v>
      </c>
    </row>
    <row r="251" spans="6:12" x14ac:dyDescent="0.15">
      <c r="F251" s="67">
        <v>231</v>
      </c>
      <c r="G251" s="67">
        <v>0</v>
      </c>
      <c r="H251" s="67">
        <v>1</v>
      </c>
      <c r="I251" s="67">
        <v>1</v>
      </c>
      <c r="K251" s="67">
        <v>231</v>
      </c>
      <c r="L251" s="67">
        <v>4</v>
      </c>
    </row>
    <row r="252" spans="6:12" x14ac:dyDescent="0.15">
      <c r="F252" s="67">
        <v>232</v>
      </c>
      <c r="G252" s="67">
        <v>0</v>
      </c>
      <c r="H252" s="67">
        <v>0</v>
      </c>
      <c r="I252" s="67">
        <v>0</v>
      </c>
      <c r="K252" s="67">
        <v>232</v>
      </c>
      <c r="L252" s="67">
        <v>4</v>
      </c>
    </row>
    <row r="253" spans="6:12" x14ac:dyDescent="0.15">
      <c r="F253" s="67">
        <v>233</v>
      </c>
      <c r="G253" s="67">
        <v>1</v>
      </c>
      <c r="H253" s="67">
        <v>0</v>
      </c>
      <c r="I253" s="67">
        <v>0</v>
      </c>
      <c r="K253" s="67">
        <v>233</v>
      </c>
      <c r="L253" s="67">
        <v>4</v>
      </c>
    </row>
    <row r="254" spans="6:12" x14ac:dyDescent="0.15">
      <c r="F254" s="67">
        <v>234</v>
      </c>
      <c r="G254" s="67">
        <v>0</v>
      </c>
      <c r="H254" s="67">
        <v>1</v>
      </c>
      <c r="I254" s="67">
        <v>1</v>
      </c>
      <c r="K254" s="67">
        <v>234</v>
      </c>
      <c r="L254" s="67">
        <v>5</v>
      </c>
    </row>
    <row r="255" spans="6:12" x14ac:dyDescent="0.15">
      <c r="F255" s="67">
        <v>235</v>
      </c>
      <c r="G255" s="67">
        <v>0</v>
      </c>
      <c r="H255" s="67">
        <v>0</v>
      </c>
      <c r="I255" s="67">
        <v>0</v>
      </c>
      <c r="K255" s="67">
        <v>235</v>
      </c>
      <c r="L255" s="67">
        <v>4</v>
      </c>
    </row>
    <row r="256" spans="6:12" x14ac:dyDescent="0.15">
      <c r="F256" s="67">
        <v>236</v>
      </c>
      <c r="G256" s="67">
        <v>0</v>
      </c>
      <c r="H256" s="67">
        <v>1</v>
      </c>
      <c r="I256" s="67">
        <v>0</v>
      </c>
      <c r="K256" s="67">
        <v>236</v>
      </c>
      <c r="L256" s="67">
        <v>4</v>
      </c>
    </row>
    <row r="257" spans="6:12" x14ac:dyDescent="0.15">
      <c r="F257" s="67">
        <v>237</v>
      </c>
      <c r="G257" s="67">
        <v>1</v>
      </c>
      <c r="H257" s="67">
        <v>0</v>
      </c>
      <c r="I257" s="67">
        <v>0</v>
      </c>
      <c r="K257" s="67">
        <v>237</v>
      </c>
      <c r="L257" s="67">
        <v>4</v>
      </c>
    </row>
    <row r="258" spans="6:12" x14ac:dyDescent="0.15">
      <c r="F258" s="67">
        <v>238</v>
      </c>
      <c r="G258" s="67">
        <v>1</v>
      </c>
      <c r="H258" s="67">
        <v>0</v>
      </c>
      <c r="I258" s="67">
        <v>0</v>
      </c>
      <c r="K258" s="67">
        <v>238</v>
      </c>
      <c r="L258" s="67">
        <v>4</v>
      </c>
    </row>
    <row r="259" spans="6:12" x14ac:dyDescent="0.15">
      <c r="F259" s="67">
        <v>239</v>
      </c>
      <c r="G259" s="67">
        <v>0</v>
      </c>
      <c r="H259" s="67">
        <v>1</v>
      </c>
      <c r="I259" s="67">
        <v>1</v>
      </c>
      <c r="K259" s="67">
        <v>239</v>
      </c>
      <c r="L259" s="67">
        <v>3</v>
      </c>
    </row>
    <row r="260" spans="6:12" x14ac:dyDescent="0.15">
      <c r="F260" s="67">
        <v>240</v>
      </c>
      <c r="G260" s="67">
        <v>0</v>
      </c>
      <c r="H260" s="67">
        <v>1</v>
      </c>
      <c r="I260" s="67">
        <v>0</v>
      </c>
      <c r="K260" s="67">
        <v>240</v>
      </c>
      <c r="L260" s="67">
        <v>5</v>
      </c>
    </row>
    <row r="261" spans="6:12" x14ac:dyDescent="0.15">
      <c r="F261" s="67">
        <v>241</v>
      </c>
      <c r="G261" s="67">
        <v>0</v>
      </c>
      <c r="H261" s="67">
        <v>1</v>
      </c>
      <c r="I261" s="67">
        <v>1</v>
      </c>
      <c r="K261" s="67">
        <v>241</v>
      </c>
      <c r="L261" s="67">
        <v>4</v>
      </c>
    </row>
    <row r="262" spans="6:12" x14ac:dyDescent="0.15">
      <c r="F262" s="67">
        <v>242</v>
      </c>
      <c r="G262" s="67">
        <v>0</v>
      </c>
      <c r="H262" s="67">
        <v>0</v>
      </c>
      <c r="I262" s="67">
        <v>0</v>
      </c>
      <c r="K262" s="67">
        <v>242</v>
      </c>
      <c r="L262" s="67">
        <v>4</v>
      </c>
    </row>
    <row r="263" spans="6:12" x14ac:dyDescent="0.15">
      <c r="F263" s="67">
        <v>243</v>
      </c>
      <c r="G263" s="67">
        <v>0</v>
      </c>
      <c r="H263" s="67">
        <v>0</v>
      </c>
      <c r="I263" s="67">
        <v>0</v>
      </c>
      <c r="K263" s="67">
        <v>243</v>
      </c>
      <c r="L263" s="67">
        <v>4</v>
      </c>
    </row>
    <row r="264" spans="6:12" x14ac:dyDescent="0.15">
      <c r="F264" s="67">
        <v>244</v>
      </c>
      <c r="G264" s="67">
        <v>0</v>
      </c>
      <c r="H264" s="67">
        <v>1</v>
      </c>
      <c r="I264" s="67">
        <v>1</v>
      </c>
      <c r="K264" s="67">
        <v>244</v>
      </c>
      <c r="L264" s="67">
        <v>4</v>
      </c>
    </row>
    <row r="265" spans="6:12" x14ac:dyDescent="0.15">
      <c r="F265" s="67">
        <v>245</v>
      </c>
      <c r="G265" s="67">
        <v>0</v>
      </c>
      <c r="H265" s="67">
        <v>1</v>
      </c>
      <c r="I265" s="67">
        <v>1</v>
      </c>
      <c r="K265" s="67">
        <v>245</v>
      </c>
      <c r="L265" s="67">
        <v>3</v>
      </c>
    </row>
    <row r="266" spans="6:12" x14ac:dyDescent="0.15">
      <c r="F266" s="67">
        <v>246</v>
      </c>
      <c r="G266" s="67">
        <v>0</v>
      </c>
      <c r="H266" s="67">
        <v>1</v>
      </c>
      <c r="I266" s="67">
        <v>1</v>
      </c>
      <c r="K266" s="67">
        <v>246</v>
      </c>
      <c r="L266" s="67">
        <v>5</v>
      </c>
    </row>
    <row r="267" spans="6:12" x14ac:dyDescent="0.15">
      <c r="F267" s="67">
        <v>247</v>
      </c>
      <c r="G267" s="67">
        <v>0</v>
      </c>
      <c r="H267" s="67">
        <v>1</v>
      </c>
      <c r="I267" s="67">
        <v>1</v>
      </c>
      <c r="K267" s="67">
        <v>247</v>
      </c>
      <c r="L267" s="67">
        <v>4</v>
      </c>
    </row>
    <row r="268" spans="6:12" x14ac:dyDescent="0.15">
      <c r="F268" s="67">
        <v>248</v>
      </c>
      <c r="G268" s="67">
        <v>0</v>
      </c>
      <c r="H268" s="67">
        <v>1</v>
      </c>
      <c r="I268" s="67">
        <v>1</v>
      </c>
      <c r="K268" s="67">
        <v>248</v>
      </c>
      <c r="L268" s="67">
        <v>4</v>
      </c>
    </row>
    <row r="269" spans="6:12" x14ac:dyDescent="0.15">
      <c r="F269" s="67">
        <v>249</v>
      </c>
      <c r="G269" s="67">
        <v>0</v>
      </c>
      <c r="H269" s="67">
        <v>0</v>
      </c>
      <c r="I269" s="67">
        <v>0</v>
      </c>
      <c r="K269" s="67">
        <v>249</v>
      </c>
      <c r="L269" s="67">
        <v>3</v>
      </c>
    </row>
    <row r="270" spans="6:12" x14ac:dyDescent="0.15">
      <c r="F270" s="67">
        <v>250</v>
      </c>
      <c r="G270" s="67">
        <v>0</v>
      </c>
      <c r="H270" s="67">
        <v>1</v>
      </c>
      <c r="I270" s="67">
        <v>1</v>
      </c>
      <c r="K270" s="67">
        <v>250</v>
      </c>
      <c r="L270" s="67">
        <v>5</v>
      </c>
    </row>
    <row r="271" spans="6:12" x14ac:dyDescent="0.15">
      <c r="F271" s="67">
        <v>251</v>
      </c>
      <c r="G271" s="67">
        <v>0</v>
      </c>
      <c r="H271" s="67">
        <v>1</v>
      </c>
      <c r="I271" s="67">
        <v>1</v>
      </c>
      <c r="K271" s="67">
        <v>251</v>
      </c>
      <c r="L271" s="67">
        <v>4</v>
      </c>
    </row>
    <row r="272" spans="6:12" x14ac:dyDescent="0.15">
      <c r="F272" s="67">
        <v>252</v>
      </c>
      <c r="G272" s="67">
        <v>0</v>
      </c>
      <c r="H272" s="67">
        <v>0</v>
      </c>
      <c r="I272" s="67">
        <v>0</v>
      </c>
      <c r="K272" s="67">
        <v>252</v>
      </c>
      <c r="L272" s="67">
        <v>5</v>
      </c>
    </row>
    <row r="273" spans="6:12" x14ac:dyDescent="0.15">
      <c r="F273" s="67">
        <v>253</v>
      </c>
      <c r="G273" s="67">
        <v>1</v>
      </c>
      <c r="H273" s="67">
        <v>0</v>
      </c>
      <c r="I273" s="67">
        <v>0</v>
      </c>
      <c r="K273" s="67">
        <v>253</v>
      </c>
      <c r="L273" s="67">
        <v>4</v>
      </c>
    </row>
    <row r="274" spans="6:12" x14ac:dyDescent="0.15">
      <c r="F274" s="67">
        <v>254</v>
      </c>
      <c r="G274" s="67">
        <v>0</v>
      </c>
      <c r="H274" s="67">
        <v>1</v>
      </c>
      <c r="I274" s="67">
        <v>1</v>
      </c>
      <c r="K274" s="67">
        <v>254</v>
      </c>
      <c r="L274" s="67">
        <v>5</v>
      </c>
    </row>
    <row r="275" spans="6:12" x14ac:dyDescent="0.15">
      <c r="F275" s="67">
        <v>255</v>
      </c>
      <c r="G275" s="67">
        <v>0</v>
      </c>
      <c r="H275" s="67">
        <v>1</v>
      </c>
      <c r="I275" s="67">
        <v>1</v>
      </c>
      <c r="K275" s="67">
        <v>255</v>
      </c>
      <c r="L275" s="67">
        <v>4</v>
      </c>
    </row>
    <row r="276" spans="6:12" x14ac:dyDescent="0.15">
      <c r="F276" s="67">
        <v>256</v>
      </c>
      <c r="G276" s="67">
        <v>1</v>
      </c>
      <c r="H276" s="67">
        <v>0</v>
      </c>
      <c r="I276" s="67">
        <v>0</v>
      </c>
      <c r="K276" s="67">
        <v>256</v>
      </c>
      <c r="L276" s="67">
        <v>4</v>
      </c>
    </row>
    <row r="277" spans="6:12" x14ac:dyDescent="0.15">
      <c r="F277" s="67">
        <v>257</v>
      </c>
      <c r="G277" s="67">
        <v>0</v>
      </c>
      <c r="H277" s="67">
        <v>0</v>
      </c>
      <c r="I277" s="67">
        <v>0</v>
      </c>
      <c r="K277" s="67">
        <v>257</v>
      </c>
      <c r="L277" s="67">
        <v>3</v>
      </c>
    </row>
    <row r="278" spans="6:12" x14ac:dyDescent="0.15">
      <c r="F278" s="67">
        <v>258</v>
      </c>
      <c r="G278" s="67">
        <v>0</v>
      </c>
      <c r="H278" s="67">
        <v>1</v>
      </c>
      <c r="I278" s="67">
        <v>1</v>
      </c>
      <c r="K278" s="67">
        <v>258</v>
      </c>
      <c r="L278" s="67">
        <v>5</v>
      </c>
    </row>
    <row r="279" spans="6:12" x14ac:dyDescent="0.15">
      <c r="F279" s="67">
        <v>259</v>
      </c>
      <c r="G279" s="67">
        <v>0</v>
      </c>
      <c r="H279" s="67">
        <v>0</v>
      </c>
      <c r="I279" s="67">
        <v>0</v>
      </c>
      <c r="K279" s="67">
        <v>259</v>
      </c>
      <c r="L279" s="67">
        <v>3</v>
      </c>
    </row>
    <row r="280" spans="6:12" x14ac:dyDescent="0.15">
      <c r="F280" s="67">
        <v>260</v>
      </c>
      <c r="G280" s="67">
        <v>0</v>
      </c>
      <c r="H280" s="67">
        <v>1</v>
      </c>
      <c r="I280" s="67">
        <v>1</v>
      </c>
      <c r="K280" s="67">
        <v>260</v>
      </c>
      <c r="L280" s="67">
        <v>5</v>
      </c>
    </row>
    <row r="281" spans="6:12" x14ac:dyDescent="0.15">
      <c r="F281" s="67">
        <v>261</v>
      </c>
      <c r="G281" s="67">
        <v>0</v>
      </c>
      <c r="H281" s="67">
        <v>1</v>
      </c>
      <c r="I281" s="67">
        <v>1</v>
      </c>
      <c r="K281" s="67">
        <v>261</v>
      </c>
      <c r="L281" s="67">
        <v>3</v>
      </c>
    </row>
    <row r="282" spans="6:12" x14ac:dyDescent="0.15">
      <c r="F282" s="67">
        <v>262</v>
      </c>
      <c r="G282" s="67">
        <v>1</v>
      </c>
      <c r="H282" s="67">
        <v>0</v>
      </c>
      <c r="I282" s="67">
        <v>0</v>
      </c>
      <c r="K282" s="67">
        <v>262</v>
      </c>
      <c r="L282" s="67">
        <v>5</v>
      </c>
    </row>
    <row r="283" spans="6:12" x14ac:dyDescent="0.15">
      <c r="F283" s="67">
        <v>263</v>
      </c>
      <c r="G283" s="67">
        <v>1</v>
      </c>
      <c r="H283" s="67">
        <v>0</v>
      </c>
      <c r="I283" s="67">
        <v>0</v>
      </c>
      <c r="K283" s="67">
        <v>263</v>
      </c>
      <c r="L283" s="67">
        <v>4</v>
      </c>
    </row>
    <row r="284" spans="6:12" x14ac:dyDescent="0.15">
      <c r="F284" s="67">
        <v>264</v>
      </c>
      <c r="G284" s="67">
        <v>1</v>
      </c>
      <c r="H284" s="67">
        <v>0</v>
      </c>
      <c r="I284" s="67">
        <v>0</v>
      </c>
      <c r="K284" s="67">
        <v>264</v>
      </c>
      <c r="L284" s="67">
        <v>4</v>
      </c>
    </row>
    <row r="285" spans="6:12" x14ac:dyDescent="0.15">
      <c r="F285" s="67">
        <v>265</v>
      </c>
      <c r="G285" s="67">
        <v>0</v>
      </c>
      <c r="H285" s="67">
        <v>0</v>
      </c>
      <c r="I285" s="67">
        <v>0</v>
      </c>
      <c r="K285" s="67">
        <v>265</v>
      </c>
      <c r="L285" s="67">
        <v>4</v>
      </c>
    </row>
    <row r="286" spans="6:12" x14ac:dyDescent="0.15">
      <c r="F286" s="67">
        <v>266</v>
      </c>
      <c r="G286" s="67">
        <v>1</v>
      </c>
      <c r="H286" s="67">
        <v>0</v>
      </c>
      <c r="I286" s="67">
        <v>0</v>
      </c>
      <c r="K286" s="67">
        <v>266</v>
      </c>
      <c r="L286" s="67">
        <v>4</v>
      </c>
    </row>
    <row r="287" spans="6:12" x14ac:dyDescent="0.15">
      <c r="F287" s="67">
        <v>267</v>
      </c>
      <c r="G287" s="67">
        <v>0</v>
      </c>
      <c r="H287" s="67">
        <v>0</v>
      </c>
      <c r="I287" s="67">
        <v>0</v>
      </c>
      <c r="K287" s="67">
        <v>267</v>
      </c>
      <c r="L287" s="67">
        <v>4</v>
      </c>
    </row>
    <row r="288" spans="6:12" x14ac:dyDescent="0.15">
      <c r="F288" s="67">
        <v>268</v>
      </c>
      <c r="G288" s="67">
        <v>0</v>
      </c>
      <c r="H288" s="67">
        <v>0</v>
      </c>
      <c r="I288" s="67">
        <v>0</v>
      </c>
      <c r="K288" s="67">
        <v>268</v>
      </c>
      <c r="L288" s="67">
        <v>3</v>
      </c>
    </row>
    <row r="289" spans="6:12" x14ac:dyDescent="0.15">
      <c r="F289" s="67">
        <v>269</v>
      </c>
      <c r="G289" s="67">
        <v>0</v>
      </c>
      <c r="H289" s="67">
        <v>0</v>
      </c>
      <c r="I289" s="67">
        <v>0</v>
      </c>
      <c r="K289" s="67">
        <v>269</v>
      </c>
      <c r="L289" s="67">
        <v>4</v>
      </c>
    </row>
    <row r="290" spans="6:12" x14ac:dyDescent="0.15">
      <c r="F290" s="67">
        <v>270</v>
      </c>
      <c r="G290" s="67">
        <v>1</v>
      </c>
      <c r="H290" s="67">
        <v>0</v>
      </c>
      <c r="I290" s="67">
        <v>0</v>
      </c>
      <c r="K290" s="67">
        <v>270</v>
      </c>
      <c r="L290" s="67">
        <v>3</v>
      </c>
    </row>
    <row r="291" spans="6:12" x14ac:dyDescent="0.15">
      <c r="F291" s="67">
        <v>271</v>
      </c>
      <c r="G291" s="67">
        <v>1</v>
      </c>
      <c r="H291" s="67">
        <v>0</v>
      </c>
      <c r="I291" s="67">
        <v>0</v>
      </c>
      <c r="K291" s="67">
        <v>271</v>
      </c>
      <c r="L291" s="67">
        <v>4</v>
      </c>
    </row>
    <row r="292" spans="6:12" x14ac:dyDescent="0.15">
      <c r="F292" s="67">
        <v>272</v>
      </c>
      <c r="G292" s="67">
        <v>0</v>
      </c>
      <c r="H292" s="67">
        <v>0</v>
      </c>
      <c r="I292" s="67">
        <v>0</v>
      </c>
      <c r="K292" s="67">
        <v>272</v>
      </c>
      <c r="L292" s="67">
        <v>4</v>
      </c>
    </row>
    <row r="293" spans="6:12" x14ac:dyDescent="0.15">
      <c r="F293" s="67">
        <v>273</v>
      </c>
      <c r="G293" s="67">
        <v>1</v>
      </c>
      <c r="H293" s="67">
        <v>0</v>
      </c>
      <c r="I293" s="67">
        <v>0</v>
      </c>
      <c r="K293" s="67">
        <v>273</v>
      </c>
      <c r="L293" s="67">
        <v>4</v>
      </c>
    </row>
    <row r="294" spans="6:12" x14ac:dyDescent="0.15">
      <c r="F294" s="67">
        <v>274</v>
      </c>
      <c r="G294" s="67">
        <v>0</v>
      </c>
      <c r="H294" s="67">
        <v>0</v>
      </c>
      <c r="I294" s="67">
        <v>0</v>
      </c>
      <c r="K294" s="67">
        <v>274</v>
      </c>
      <c r="L294" s="67">
        <v>3</v>
      </c>
    </row>
    <row r="295" spans="6:12" x14ac:dyDescent="0.15">
      <c r="F295" s="67">
        <v>275</v>
      </c>
      <c r="G295" s="67">
        <v>0</v>
      </c>
      <c r="H295" s="67">
        <v>0</v>
      </c>
      <c r="I295" s="67">
        <v>0</v>
      </c>
      <c r="K295" s="67">
        <v>275</v>
      </c>
      <c r="L295" s="67">
        <v>3</v>
      </c>
    </row>
    <row r="296" spans="6:12" x14ac:dyDescent="0.15">
      <c r="F296" s="67">
        <v>276</v>
      </c>
      <c r="G296" s="67">
        <v>0</v>
      </c>
      <c r="H296" s="67">
        <v>1</v>
      </c>
      <c r="I296" s="67">
        <v>0</v>
      </c>
      <c r="K296" s="67">
        <v>276</v>
      </c>
      <c r="L296" s="67">
        <v>4</v>
      </c>
    </row>
    <row r="297" spans="6:12" x14ac:dyDescent="0.15">
      <c r="F297" s="67">
        <v>277</v>
      </c>
      <c r="G297" s="67">
        <v>0</v>
      </c>
      <c r="H297" s="67">
        <v>1</v>
      </c>
      <c r="I297" s="67">
        <v>1</v>
      </c>
      <c r="K297" s="67">
        <v>277</v>
      </c>
      <c r="L297" s="67">
        <v>5</v>
      </c>
    </row>
    <row r="298" spans="6:12" x14ac:dyDescent="0.15">
      <c r="F298" s="67">
        <v>278</v>
      </c>
      <c r="G298" s="67">
        <v>0</v>
      </c>
      <c r="H298" s="67">
        <v>0</v>
      </c>
      <c r="I298" s="67">
        <v>0</v>
      </c>
      <c r="K298" s="67">
        <v>278</v>
      </c>
      <c r="L298" s="67">
        <v>4</v>
      </c>
    </row>
    <row r="299" spans="6:12" x14ac:dyDescent="0.15">
      <c r="F299" s="67">
        <v>279</v>
      </c>
      <c r="G299" s="67">
        <v>0</v>
      </c>
      <c r="H299" s="67">
        <v>1</v>
      </c>
      <c r="I299" s="67">
        <v>1</v>
      </c>
      <c r="K299" s="67">
        <v>279</v>
      </c>
      <c r="L299" s="67">
        <v>4</v>
      </c>
    </row>
    <row r="300" spans="6:12" x14ac:dyDescent="0.15">
      <c r="F300" s="67">
        <v>280</v>
      </c>
      <c r="G300" s="67">
        <v>0</v>
      </c>
      <c r="H300" s="67">
        <v>1</v>
      </c>
      <c r="I300" s="67">
        <v>1</v>
      </c>
      <c r="K300" s="67">
        <v>280</v>
      </c>
      <c r="L300" s="67">
        <v>4</v>
      </c>
    </row>
    <row r="301" spans="6:12" x14ac:dyDescent="0.15">
      <c r="F301" s="67">
        <v>281</v>
      </c>
      <c r="G301" s="67">
        <v>0</v>
      </c>
      <c r="H301" s="67">
        <v>1</v>
      </c>
      <c r="I301" s="67">
        <v>0</v>
      </c>
      <c r="K301" s="67">
        <v>281</v>
      </c>
      <c r="L301" s="67">
        <v>5</v>
      </c>
    </row>
    <row r="302" spans="6:12" x14ac:dyDescent="0.15">
      <c r="F302" s="67">
        <v>282</v>
      </c>
      <c r="G302" s="67">
        <v>0</v>
      </c>
      <c r="H302" s="67">
        <v>1</v>
      </c>
      <c r="I302" s="67">
        <v>1</v>
      </c>
      <c r="K302" s="67">
        <v>282</v>
      </c>
      <c r="L302" s="67">
        <v>4</v>
      </c>
    </row>
    <row r="303" spans="6:12" x14ac:dyDescent="0.15">
      <c r="F303" s="67">
        <v>283</v>
      </c>
      <c r="G303" s="67">
        <v>0</v>
      </c>
      <c r="H303" s="67">
        <v>0</v>
      </c>
      <c r="I303" s="67">
        <v>0</v>
      </c>
      <c r="K303" s="67">
        <v>283</v>
      </c>
      <c r="L303" s="67">
        <v>3</v>
      </c>
    </row>
    <row r="304" spans="6:12" x14ac:dyDescent="0.15">
      <c r="F304" s="67">
        <v>284</v>
      </c>
      <c r="G304" s="67">
        <v>0</v>
      </c>
      <c r="H304" s="67">
        <v>1</v>
      </c>
      <c r="I304" s="67">
        <v>1</v>
      </c>
      <c r="K304" s="67">
        <v>284</v>
      </c>
      <c r="L304" s="67">
        <v>4</v>
      </c>
    </row>
    <row r="305" spans="6:12" x14ac:dyDescent="0.15">
      <c r="F305" s="67">
        <v>285</v>
      </c>
      <c r="G305" s="67">
        <v>0</v>
      </c>
      <c r="H305" s="67">
        <v>1</v>
      </c>
      <c r="I305" s="67">
        <v>1</v>
      </c>
      <c r="K305" s="67">
        <v>285</v>
      </c>
      <c r="L305" s="67">
        <v>3</v>
      </c>
    </row>
    <row r="306" spans="6:12" x14ac:dyDescent="0.15">
      <c r="F306" s="67">
        <v>286</v>
      </c>
      <c r="G306" s="67">
        <v>0</v>
      </c>
      <c r="H306" s="67">
        <v>0</v>
      </c>
      <c r="I306" s="67">
        <v>0</v>
      </c>
      <c r="K306" s="67">
        <v>286</v>
      </c>
      <c r="L306" s="67">
        <v>4</v>
      </c>
    </row>
    <row r="307" spans="6:12" x14ac:dyDescent="0.15">
      <c r="F307" s="67">
        <v>287</v>
      </c>
      <c r="G307" s="67">
        <v>0</v>
      </c>
      <c r="H307" s="67">
        <v>1</v>
      </c>
      <c r="I307" s="67">
        <v>1</v>
      </c>
      <c r="K307" s="67">
        <v>287</v>
      </c>
      <c r="L307" s="67">
        <v>4</v>
      </c>
    </row>
    <row r="308" spans="6:12" x14ac:dyDescent="0.15">
      <c r="F308" s="67">
        <v>288</v>
      </c>
      <c r="G308" s="67">
        <v>0</v>
      </c>
      <c r="H308" s="67">
        <v>1</v>
      </c>
      <c r="I308" s="67">
        <v>1</v>
      </c>
      <c r="K308" s="67">
        <v>288</v>
      </c>
      <c r="L308" s="67">
        <v>4</v>
      </c>
    </row>
    <row r="309" spans="6:12" x14ac:dyDescent="0.15">
      <c r="F309" s="67">
        <v>289</v>
      </c>
      <c r="G309" s="67">
        <v>0</v>
      </c>
      <c r="H309" s="67">
        <v>1</v>
      </c>
      <c r="I309" s="67">
        <v>0</v>
      </c>
      <c r="K309" s="67">
        <v>289</v>
      </c>
      <c r="L309" s="67">
        <v>3</v>
      </c>
    </row>
    <row r="310" spans="6:12" x14ac:dyDescent="0.15">
      <c r="F310" s="67">
        <v>290</v>
      </c>
      <c r="G310" s="67">
        <v>0</v>
      </c>
      <c r="H310" s="67">
        <v>1</v>
      </c>
      <c r="I310" s="67">
        <v>1</v>
      </c>
      <c r="K310" s="67">
        <v>290</v>
      </c>
      <c r="L310" s="67">
        <v>4</v>
      </c>
    </row>
    <row r="311" spans="6:12" x14ac:dyDescent="0.15">
      <c r="F311" s="67">
        <v>291</v>
      </c>
      <c r="G311" s="67">
        <v>0</v>
      </c>
      <c r="H311" s="67">
        <v>1</v>
      </c>
      <c r="I311" s="67">
        <v>1</v>
      </c>
      <c r="K311" s="67">
        <v>291</v>
      </c>
      <c r="L311" s="67">
        <v>4</v>
      </c>
    </row>
    <row r="312" spans="6:12" x14ac:dyDescent="0.15">
      <c r="F312" s="67">
        <v>292</v>
      </c>
      <c r="G312" s="67">
        <v>0</v>
      </c>
      <c r="H312" s="67">
        <v>0</v>
      </c>
      <c r="I312" s="67">
        <v>0</v>
      </c>
      <c r="K312" s="67">
        <v>292</v>
      </c>
      <c r="L312" s="67">
        <v>3</v>
      </c>
    </row>
    <row r="313" spans="6:12" x14ac:dyDescent="0.15">
      <c r="F313" s="67">
        <v>293</v>
      </c>
      <c r="G313" s="67">
        <v>0</v>
      </c>
      <c r="H313" s="67">
        <v>1</v>
      </c>
      <c r="I313" s="67">
        <v>0</v>
      </c>
      <c r="K313" s="67">
        <v>293</v>
      </c>
      <c r="L313" s="67">
        <v>4</v>
      </c>
    </row>
    <row r="314" spans="6:12" x14ac:dyDescent="0.15">
      <c r="F314" s="67">
        <v>294</v>
      </c>
      <c r="G314" s="67">
        <v>1</v>
      </c>
      <c r="H314" s="67">
        <v>0</v>
      </c>
      <c r="I314" s="67">
        <v>0</v>
      </c>
      <c r="K314" s="67">
        <v>294</v>
      </c>
      <c r="L314" s="67">
        <v>3</v>
      </c>
    </row>
    <row r="315" spans="6:12" x14ac:dyDescent="0.15">
      <c r="F315" s="67">
        <v>295</v>
      </c>
      <c r="G315" s="67">
        <v>0</v>
      </c>
      <c r="H315" s="67">
        <v>0</v>
      </c>
      <c r="I315" s="67">
        <v>0</v>
      </c>
      <c r="K315" s="67">
        <v>295</v>
      </c>
      <c r="L315" s="67">
        <v>4</v>
      </c>
    </row>
    <row r="316" spans="6:12" x14ac:dyDescent="0.15">
      <c r="F316" s="67">
        <v>296</v>
      </c>
      <c r="G316" s="67">
        <v>0</v>
      </c>
      <c r="H316" s="67">
        <v>1</v>
      </c>
      <c r="I316" s="67">
        <v>1</v>
      </c>
      <c r="K316" s="67">
        <v>296</v>
      </c>
      <c r="L316" s="67">
        <v>3</v>
      </c>
    </row>
    <row r="317" spans="6:12" x14ac:dyDescent="0.15">
      <c r="F317" s="67">
        <v>297</v>
      </c>
      <c r="G317" s="67">
        <v>0</v>
      </c>
      <c r="H317" s="67">
        <v>1</v>
      </c>
      <c r="I317" s="67">
        <v>1</v>
      </c>
      <c r="K317" s="67">
        <v>297</v>
      </c>
      <c r="L317" s="67">
        <v>5</v>
      </c>
    </row>
    <row r="318" spans="6:12" x14ac:dyDescent="0.15">
      <c r="F318" s="67">
        <v>298</v>
      </c>
      <c r="G318" s="67">
        <v>0</v>
      </c>
      <c r="H318" s="67">
        <v>1</v>
      </c>
      <c r="I318" s="67">
        <v>1</v>
      </c>
      <c r="K318" s="67">
        <v>298</v>
      </c>
      <c r="L318" s="67">
        <v>4</v>
      </c>
    </row>
    <row r="319" spans="6:12" x14ac:dyDescent="0.15">
      <c r="F319" s="67">
        <v>299</v>
      </c>
      <c r="G319" s="67">
        <v>0</v>
      </c>
      <c r="H319" s="67">
        <v>1</v>
      </c>
      <c r="I319" s="67">
        <v>1</v>
      </c>
      <c r="K319" s="67">
        <v>299</v>
      </c>
      <c r="L319" s="67">
        <v>5</v>
      </c>
    </row>
    <row r="320" spans="6:12" x14ac:dyDescent="0.15">
      <c r="F320" s="67">
        <v>300</v>
      </c>
      <c r="G320" s="67">
        <v>0</v>
      </c>
      <c r="H320" s="67">
        <v>0</v>
      </c>
      <c r="I320" s="67">
        <v>0</v>
      </c>
      <c r="K320" s="67">
        <v>300</v>
      </c>
      <c r="L320" s="67">
        <v>4</v>
      </c>
    </row>
    <row r="321" spans="6:12" x14ac:dyDescent="0.15">
      <c r="F321" s="67">
        <v>301</v>
      </c>
      <c r="G321" s="67">
        <v>0</v>
      </c>
      <c r="H321" s="67">
        <v>0</v>
      </c>
      <c r="I321" s="67">
        <v>0</v>
      </c>
      <c r="K321" s="67">
        <v>301</v>
      </c>
      <c r="L321" s="67">
        <v>4</v>
      </c>
    </row>
    <row r="322" spans="6:12" x14ac:dyDescent="0.15">
      <c r="F322" s="67">
        <v>302</v>
      </c>
      <c r="G322" s="67">
        <v>0</v>
      </c>
      <c r="H322" s="67">
        <v>0</v>
      </c>
      <c r="I322" s="67">
        <v>0</v>
      </c>
      <c r="K322" s="67">
        <v>302</v>
      </c>
      <c r="L322" s="67">
        <v>5</v>
      </c>
    </row>
    <row r="323" spans="6:12" x14ac:dyDescent="0.15">
      <c r="F323" s="67">
        <v>303</v>
      </c>
      <c r="G323" s="67">
        <v>0</v>
      </c>
      <c r="H323" s="67">
        <v>1</v>
      </c>
      <c r="I323" s="67">
        <v>0</v>
      </c>
      <c r="K323" s="67">
        <v>303</v>
      </c>
      <c r="L323" s="67">
        <v>3</v>
      </c>
    </row>
    <row r="324" spans="6:12" x14ac:dyDescent="0.15">
      <c r="F324" s="67">
        <v>304</v>
      </c>
      <c r="G324" s="67">
        <v>0</v>
      </c>
      <c r="H324" s="67">
        <v>0</v>
      </c>
      <c r="I324" s="67">
        <v>0</v>
      </c>
      <c r="K324" s="67">
        <v>304</v>
      </c>
      <c r="L324" s="67">
        <v>5</v>
      </c>
    </row>
    <row r="325" spans="6:12" x14ac:dyDescent="0.15">
      <c r="F325" s="67">
        <v>305</v>
      </c>
      <c r="G325" s="67">
        <v>0</v>
      </c>
      <c r="H325" s="67">
        <v>0</v>
      </c>
      <c r="I325" s="67">
        <v>0</v>
      </c>
      <c r="K325" s="67">
        <v>305</v>
      </c>
      <c r="L325" s="67">
        <v>4</v>
      </c>
    </row>
    <row r="326" spans="6:12" x14ac:dyDescent="0.15">
      <c r="F326" s="67">
        <v>306</v>
      </c>
      <c r="G326" s="67">
        <v>0</v>
      </c>
      <c r="H326" s="67">
        <v>0</v>
      </c>
      <c r="I326" s="67">
        <v>0</v>
      </c>
      <c r="K326" s="67">
        <v>306</v>
      </c>
      <c r="L326" s="67">
        <v>4</v>
      </c>
    </row>
    <row r="327" spans="6:12" x14ac:dyDescent="0.15">
      <c r="F327" s="67">
        <v>307</v>
      </c>
      <c r="G327" s="67">
        <v>0</v>
      </c>
      <c r="H327" s="67">
        <v>0</v>
      </c>
      <c r="I327" s="67">
        <v>0</v>
      </c>
      <c r="K327" s="67">
        <v>307</v>
      </c>
      <c r="L327" s="67">
        <v>4</v>
      </c>
    </row>
    <row r="328" spans="6:12" x14ac:dyDescent="0.15">
      <c r="F328" s="67">
        <v>308</v>
      </c>
      <c r="G328" s="67">
        <v>1</v>
      </c>
      <c r="H328" s="67">
        <v>0</v>
      </c>
      <c r="I328" s="67">
        <v>0</v>
      </c>
      <c r="K328" s="67">
        <v>308</v>
      </c>
      <c r="L328" s="67">
        <v>4</v>
      </c>
    </row>
    <row r="329" spans="6:12" x14ac:dyDescent="0.15">
      <c r="F329" s="67">
        <v>309</v>
      </c>
      <c r="G329" s="67">
        <v>0</v>
      </c>
      <c r="H329" s="67">
        <v>1</v>
      </c>
      <c r="I329" s="67">
        <v>1</v>
      </c>
      <c r="K329" s="67">
        <v>309</v>
      </c>
      <c r="L329" s="67">
        <v>5</v>
      </c>
    </row>
    <row r="330" spans="6:12" x14ac:dyDescent="0.15">
      <c r="F330" s="67">
        <v>310</v>
      </c>
      <c r="G330" s="67">
        <v>0</v>
      </c>
      <c r="H330" s="67">
        <v>0</v>
      </c>
      <c r="I330" s="67">
        <v>0</v>
      </c>
      <c r="K330" s="67">
        <v>310</v>
      </c>
      <c r="L330" s="67">
        <v>4</v>
      </c>
    </row>
    <row r="331" spans="6:12" x14ac:dyDescent="0.15">
      <c r="F331" s="67">
        <v>311</v>
      </c>
      <c r="G331" s="67">
        <v>1</v>
      </c>
      <c r="H331" s="67">
        <v>0</v>
      </c>
      <c r="I331" s="67">
        <v>0</v>
      </c>
      <c r="K331" s="67">
        <v>311</v>
      </c>
      <c r="L331" s="67">
        <v>4</v>
      </c>
    </row>
    <row r="332" spans="6:12" x14ac:dyDescent="0.15">
      <c r="F332" s="67">
        <v>312</v>
      </c>
      <c r="G332" s="67">
        <v>1</v>
      </c>
      <c r="H332" s="67">
        <v>0</v>
      </c>
      <c r="I332" s="67">
        <v>0</v>
      </c>
      <c r="K332" s="67">
        <v>312</v>
      </c>
      <c r="L332" s="67">
        <v>4</v>
      </c>
    </row>
    <row r="333" spans="6:12" x14ac:dyDescent="0.15">
      <c r="F333" s="67">
        <v>313</v>
      </c>
      <c r="G333" s="67">
        <v>0</v>
      </c>
      <c r="H333" s="67">
        <v>1</v>
      </c>
      <c r="I333" s="67">
        <v>1</v>
      </c>
      <c r="K333" s="67">
        <v>313</v>
      </c>
      <c r="L333" s="67">
        <v>4</v>
      </c>
    </row>
    <row r="334" spans="6:12" x14ac:dyDescent="0.15">
      <c r="F334" s="67">
        <v>314</v>
      </c>
      <c r="G334" s="67">
        <v>0</v>
      </c>
      <c r="H334" s="67">
        <v>1</v>
      </c>
      <c r="I334" s="67">
        <v>1</v>
      </c>
      <c r="K334" s="67">
        <v>314</v>
      </c>
      <c r="L334" s="67">
        <v>4</v>
      </c>
    </row>
    <row r="335" spans="6:12" x14ac:dyDescent="0.15">
      <c r="F335" s="67">
        <v>315</v>
      </c>
      <c r="G335" s="67">
        <v>0</v>
      </c>
      <c r="H335" s="67">
        <v>1</v>
      </c>
      <c r="I335" s="67">
        <v>1</v>
      </c>
      <c r="K335" s="67">
        <v>315</v>
      </c>
      <c r="L335" s="67">
        <v>4</v>
      </c>
    </row>
    <row r="336" spans="6:12" x14ac:dyDescent="0.15">
      <c r="F336" s="67">
        <v>316</v>
      </c>
      <c r="G336" s="67">
        <v>0</v>
      </c>
      <c r="H336" s="67">
        <v>1</v>
      </c>
      <c r="I336" s="67">
        <v>1</v>
      </c>
      <c r="K336" s="67">
        <v>316</v>
      </c>
      <c r="L336" s="67">
        <v>4</v>
      </c>
    </row>
    <row r="337" spans="6:12" x14ac:dyDescent="0.15">
      <c r="F337" s="67">
        <v>317</v>
      </c>
      <c r="G337" s="67">
        <v>0</v>
      </c>
      <c r="H337" s="67">
        <v>1</v>
      </c>
      <c r="I337" s="67">
        <v>1</v>
      </c>
      <c r="K337" s="67">
        <v>317</v>
      </c>
      <c r="L337" s="67">
        <v>4</v>
      </c>
    </row>
    <row r="338" spans="6:12" x14ac:dyDescent="0.15">
      <c r="F338" s="67">
        <v>318</v>
      </c>
      <c r="G338" s="67">
        <v>0</v>
      </c>
      <c r="H338" s="67">
        <v>0</v>
      </c>
      <c r="I338" s="67">
        <v>0</v>
      </c>
      <c r="K338" s="67">
        <v>318</v>
      </c>
      <c r="L338" s="67">
        <v>4</v>
      </c>
    </row>
    <row r="339" spans="6:12" x14ac:dyDescent="0.15">
      <c r="F339" s="67">
        <v>319</v>
      </c>
      <c r="G339" s="67">
        <v>0</v>
      </c>
      <c r="H339" s="67">
        <v>1</v>
      </c>
      <c r="I339" s="67">
        <v>1</v>
      </c>
      <c r="K339" s="67">
        <v>319</v>
      </c>
      <c r="L339" s="67">
        <v>4</v>
      </c>
    </row>
    <row r="340" spans="6:12" x14ac:dyDescent="0.15">
      <c r="F340" s="67">
        <v>320</v>
      </c>
      <c r="G340" s="67">
        <v>0</v>
      </c>
      <c r="H340" s="67">
        <v>0</v>
      </c>
      <c r="I340" s="67">
        <v>0</v>
      </c>
      <c r="K340" s="67">
        <v>320</v>
      </c>
      <c r="L340" s="67">
        <v>5</v>
      </c>
    </row>
    <row r="341" spans="6:12" x14ac:dyDescent="0.15">
      <c r="F341" s="67">
        <v>321</v>
      </c>
      <c r="G341" s="67">
        <v>0</v>
      </c>
      <c r="H341" s="67">
        <v>0</v>
      </c>
      <c r="I341" s="67">
        <v>0</v>
      </c>
      <c r="K341" s="67">
        <v>321</v>
      </c>
      <c r="L341" s="67">
        <v>5</v>
      </c>
    </row>
    <row r="342" spans="6:12" x14ac:dyDescent="0.15">
      <c r="F342" s="67">
        <v>322</v>
      </c>
      <c r="G342" s="67">
        <v>0</v>
      </c>
      <c r="H342" s="67">
        <v>1</v>
      </c>
      <c r="I342" s="67">
        <v>1</v>
      </c>
      <c r="K342" s="67">
        <v>322</v>
      </c>
      <c r="L342" s="67">
        <v>5</v>
      </c>
    </row>
    <row r="343" spans="6:12" x14ac:dyDescent="0.15">
      <c r="F343" s="67">
        <v>323</v>
      </c>
      <c r="G343" s="67">
        <v>0</v>
      </c>
      <c r="H343" s="67">
        <v>0</v>
      </c>
      <c r="I343" s="67">
        <v>0</v>
      </c>
      <c r="K343" s="67">
        <v>323</v>
      </c>
      <c r="L343" s="67">
        <v>3</v>
      </c>
    </row>
    <row r="344" spans="6:12" x14ac:dyDescent="0.15">
      <c r="F344" s="67">
        <v>324</v>
      </c>
      <c r="G344" s="67">
        <v>0</v>
      </c>
      <c r="H344" s="67">
        <v>0</v>
      </c>
      <c r="I344" s="67">
        <v>0</v>
      </c>
      <c r="K344" s="67">
        <v>324</v>
      </c>
      <c r="L344" s="67">
        <v>4</v>
      </c>
    </row>
    <row r="345" spans="6:12" x14ac:dyDescent="0.15">
      <c r="F345" s="67">
        <v>325</v>
      </c>
      <c r="G345" s="67">
        <v>0</v>
      </c>
      <c r="H345" s="67">
        <v>1</v>
      </c>
      <c r="I345" s="67">
        <v>1</v>
      </c>
      <c r="K345" s="67">
        <v>325</v>
      </c>
      <c r="L345" s="67">
        <v>5</v>
      </c>
    </row>
    <row r="346" spans="6:12" x14ac:dyDescent="0.15">
      <c r="F346" s="67">
        <v>326</v>
      </c>
      <c r="G346" s="67">
        <v>0</v>
      </c>
      <c r="H346" s="67">
        <v>1</v>
      </c>
      <c r="I346" s="67">
        <v>1</v>
      </c>
      <c r="K346" s="67">
        <v>326</v>
      </c>
      <c r="L346" s="67">
        <v>4</v>
      </c>
    </row>
    <row r="347" spans="6:12" x14ac:dyDescent="0.15">
      <c r="F347" s="67">
        <v>327</v>
      </c>
      <c r="G347" s="67">
        <v>0</v>
      </c>
      <c r="H347" s="67">
        <v>1</v>
      </c>
      <c r="I347" s="67">
        <v>1</v>
      </c>
      <c r="K347" s="67">
        <v>327</v>
      </c>
      <c r="L347" s="67">
        <v>5</v>
      </c>
    </row>
    <row r="348" spans="6:12" x14ac:dyDescent="0.15">
      <c r="F348" s="67">
        <v>328</v>
      </c>
      <c r="G348" s="67">
        <v>0</v>
      </c>
      <c r="H348" s="67">
        <v>0</v>
      </c>
      <c r="I348" s="67">
        <v>0</v>
      </c>
      <c r="K348" s="67">
        <v>328</v>
      </c>
      <c r="L348" s="67">
        <v>5</v>
      </c>
    </row>
    <row r="349" spans="6:12" x14ac:dyDescent="0.15">
      <c r="F349" s="67">
        <v>329</v>
      </c>
      <c r="G349" s="67">
        <v>0</v>
      </c>
      <c r="H349" s="67">
        <v>1</v>
      </c>
      <c r="I349" s="67">
        <v>1</v>
      </c>
      <c r="K349" s="67">
        <v>329</v>
      </c>
      <c r="L349" s="67">
        <v>5</v>
      </c>
    </row>
    <row r="350" spans="6:12" x14ac:dyDescent="0.15">
      <c r="F350" s="67">
        <v>330</v>
      </c>
      <c r="G350" s="67">
        <v>0</v>
      </c>
      <c r="H350" s="67">
        <v>0</v>
      </c>
      <c r="I350" s="67">
        <v>0</v>
      </c>
      <c r="K350" s="67">
        <v>330</v>
      </c>
      <c r="L350" s="67">
        <v>4</v>
      </c>
    </row>
    <row r="351" spans="6:12" x14ac:dyDescent="0.15">
      <c r="F351" s="67">
        <v>331</v>
      </c>
      <c r="G351" s="67">
        <v>1</v>
      </c>
      <c r="H351" s="67">
        <v>0</v>
      </c>
      <c r="I351" s="67">
        <v>0</v>
      </c>
      <c r="K351" s="67">
        <v>331</v>
      </c>
      <c r="L351" s="67">
        <v>5</v>
      </c>
    </row>
    <row r="352" spans="6:12" x14ac:dyDescent="0.15">
      <c r="F352" s="67">
        <v>332</v>
      </c>
      <c r="G352" s="67">
        <v>0</v>
      </c>
      <c r="H352" s="67">
        <v>1</v>
      </c>
      <c r="I352" s="67">
        <v>1</v>
      </c>
      <c r="K352" s="67">
        <v>332</v>
      </c>
      <c r="L352" s="67">
        <v>5</v>
      </c>
    </row>
    <row r="353" spans="6:12" x14ac:dyDescent="0.15">
      <c r="F353" s="67">
        <v>333</v>
      </c>
      <c r="G353" s="67">
        <v>0</v>
      </c>
      <c r="H353" s="67">
        <v>0</v>
      </c>
      <c r="I353" s="67">
        <v>0</v>
      </c>
      <c r="K353" s="67">
        <v>333</v>
      </c>
      <c r="L353" s="67">
        <v>5</v>
      </c>
    </row>
    <row r="354" spans="6:12" x14ac:dyDescent="0.15">
      <c r="F354" s="67">
        <v>334</v>
      </c>
      <c r="G354" s="67">
        <v>0</v>
      </c>
      <c r="H354" s="67">
        <v>1</v>
      </c>
      <c r="I354" s="67">
        <v>1</v>
      </c>
      <c r="K354" s="67">
        <v>334</v>
      </c>
      <c r="L354" s="67">
        <v>4</v>
      </c>
    </row>
    <row r="355" spans="6:12" x14ac:dyDescent="0.15">
      <c r="F355" s="67">
        <v>335</v>
      </c>
      <c r="G355" s="67">
        <v>0</v>
      </c>
      <c r="H355" s="67">
        <v>1</v>
      </c>
      <c r="I355" s="67">
        <v>1</v>
      </c>
      <c r="K355" s="67">
        <v>335</v>
      </c>
      <c r="L355" s="67">
        <v>3</v>
      </c>
    </row>
    <row r="356" spans="6:12" x14ac:dyDescent="0.15">
      <c r="F356" s="67">
        <v>336</v>
      </c>
      <c r="G356" s="67">
        <v>0</v>
      </c>
      <c r="H356" s="67">
        <v>1</v>
      </c>
      <c r="I356" s="67">
        <v>1</v>
      </c>
      <c r="K356" s="67">
        <v>336</v>
      </c>
      <c r="L356" s="67">
        <v>4</v>
      </c>
    </row>
    <row r="357" spans="6:12" x14ac:dyDescent="0.15">
      <c r="F357" s="67">
        <v>337</v>
      </c>
      <c r="G357" s="67">
        <v>0</v>
      </c>
      <c r="H357" s="67">
        <v>1</v>
      </c>
      <c r="I357" s="67">
        <v>1</v>
      </c>
      <c r="K357" s="67">
        <v>337</v>
      </c>
      <c r="L357" s="67">
        <v>4</v>
      </c>
    </row>
    <row r="358" spans="6:12" x14ac:dyDescent="0.15">
      <c r="F358" s="67">
        <v>338</v>
      </c>
      <c r="G358" s="67">
        <v>1</v>
      </c>
      <c r="H358" s="67">
        <v>0</v>
      </c>
      <c r="I358" s="67">
        <v>0</v>
      </c>
      <c r="K358" s="67">
        <v>338</v>
      </c>
      <c r="L358" s="67">
        <v>4</v>
      </c>
    </row>
    <row r="359" spans="6:12" x14ac:dyDescent="0.15">
      <c r="F359" s="67">
        <v>339</v>
      </c>
      <c r="G359" s="67">
        <v>0</v>
      </c>
      <c r="H359" s="67">
        <v>0</v>
      </c>
      <c r="I359" s="67">
        <v>0</v>
      </c>
      <c r="K359" s="67">
        <v>339</v>
      </c>
      <c r="L359" s="67">
        <v>4</v>
      </c>
    </row>
    <row r="360" spans="6:12" x14ac:dyDescent="0.15">
      <c r="F360" s="67">
        <v>340</v>
      </c>
      <c r="G360" s="67">
        <v>0</v>
      </c>
      <c r="H360" s="67">
        <v>0</v>
      </c>
      <c r="I360" s="67">
        <v>0</v>
      </c>
      <c r="K360" s="67">
        <v>340</v>
      </c>
      <c r="L360" s="67">
        <v>3</v>
      </c>
    </row>
    <row r="361" spans="6:12" x14ac:dyDescent="0.15">
      <c r="F361" s="67">
        <v>341</v>
      </c>
      <c r="G361" s="67">
        <v>0</v>
      </c>
      <c r="H361" s="67">
        <v>0</v>
      </c>
      <c r="I361" s="67">
        <v>0</v>
      </c>
      <c r="K361" s="67">
        <v>341</v>
      </c>
      <c r="L361" s="67">
        <v>3</v>
      </c>
    </row>
    <row r="362" spans="6:12" x14ac:dyDescent="0.15">
      <c r="F362" s="67">
        <v>342</v>
      </c>
      <c r="G362" s="67">
        <v>0</v>
      </c>
      <c r="H362" s="67">
        <v>1</v>
      </c>
      <c r="I362" s="67">
        <v>1</v>
      </c>
      <c r="K362" s="67">
        <v>342</v>
      </c>
      <c r="L362" s="67">
        <v>5</v>
      </c>
    </row>
    <row r="363" spans="6:12" x14ac:dyDescent="0.15">
      <c r="F363" s="67">
        <v>343</v>
      </c>
      <c r="G363" s="67">
        <v>0</v>
      </c>
      <c r="H363" s="67">
        <v>1</v>
      </c>
      <c r="I363" s="67">
        <v>1</v>
      </c>
      <c r="K363" s="67">
        <v>343</v>
      </c>
      <c r="L363" s="67">
        <v>5</v>
      </c>
    </row>
    <row r="364" spans="6:12" x14ac:dyDescent="0.15">
      <c r="F364" s="67">
        <v>344</v>
      </c>
      <c r="G364" s="67">
        <v>0</v>
      </c>
      <c r="H364" s="67">
        <v>0</v>
      </c>
      <c r="I364" s="67">
        <v>0</v>
      </c>
      <c r="K364" s="67">
        <v>344</v>
      </c>
      <c r="L364" s="67">
        <v>4</v>
      </c>
    </row>
    <row r="365" spans="6:12" x14ac:dyDescent="0.15">
      <c r="F365" s="67">
        <v>345</v>
      </c>
      <c r="G365" s="67">
        <v>1</v>
      </c>
      <c r="H365" s="67">
        <v>0</v>
      </c>
      <c r="I365" s="67">
        <v>0</v>
      </c>
      <c r="K365" s="67">
        <v>345</v>
      </c>
      <c r="L365" s="67">
        <v>3</v>
      </c>
    </row>
    <row r="366" spans="6:12" x14ac:dyDescent="0.15">
      <c r="F366" s="67">
        <v>346</v>
      </c>
      <c r="G366" s="67">
        <v>0</v>
      </c>
      <c r="H366" s="67">
        <v>1</v>
      </c>
      <c r="I366" s="67">
        <v>1</v>
      </c>
      <c r="K366" s="67">
        <v>346</v>
      </c>
      <c r="L366" s="67">
        <v>5</v>
      </c>
    </row>
    <row r="367" spans="6:12" x14ac:dyDescent="0.15">
      <c r="F367" s="67">
        <v>347</v>
      </c>
      <c r="G367" s="67">
        <v>0</v>
      </c>
      <c r="H367" s="67">
        <v>1</v>
      </c>
      <c r="I367" s="67">
        <v>0</v>
      </c>
      <c r="K367" s="67">
        <v>347</v>
      </c>
      <c r="L367" s="67">
        <v>4</v>
      </c>
    </row>
    <row r="368" spans="6:12" x14ac:dyDescent="0.15">
      <c r="F368" s="67">
        <v>348</v>
      </c>
      <c r="G368" s="67">
        <v>0</v>
      </c>
      <c r="H368" s="67">
        <v>1</v>
      </c>
      <c r="I368" s="67">
        <v>1</v>
      </c>
      <c r="K368" s="67">
        <v>348</v>
      </c>
      <c r="L368" s="67">
        <v>3</v>
      </c>
    </row>
    <row r="369" spans="6:12" x14ac:dyDescent="0.15">
      <c r="F369" s="67">
        <v>349</v>
      </c>
      <c r="G369" s="67">
        <v>0</v>
      </c>
      <c r="H369" s="67">
        <v>1</v>
      </c>
      <c r="I369" s="67">
        <v>0</v>
      </c>
      <c r="K369" s="67">
        <v>349</v>
      </c>
      <c r="L369" s="67">
        <v>5</v>
      </c>
    </row>
    <row r="370" spans="6:12" x14ac:dyDescent="0.15">
      <c r="F370" s="67">
        <v>350</v>
      </c>
      <c r="G370" s="67">
        <v>0</v>
      </c>
      <c r="H370" s="67">
        <v>1</v>
      </c>
      <c r="I370" s="67">
        <v>1</v>
      </c>
      <c r="K370" s="67">
        <v>350</v>
      </c>
      <c r="L370" s="67">
        <v>4</v>
      </c>
    </row>
    <row r="371" spans="6:12" x14ac:dyDescent="0.15">
      <c r="F371" s="67">
        <v>351</v>
      </c>
      <c r="G371" s="67">
        <v>0</v>
      </c>
      <c r="H371" s="67">
        <v>1</v>
      </c>
      <c r="I371" s="67">
        <v>1</v>
      </c>
      <c r="K371" s="67">
        <v>351</v>
      </c>
      <c r="L371" s="67">
        <v>5</v>
      </c>
    </row>
    <row r="372" spans="6:12" x14ac:dyDescent="0.15">
      <c r="F372" s="67">
        <v>352</v>
      </c>
      <c r="G372" s="67">
        <v>1</v>
      </c>
      <c r="H372" s="67">
        <v>0</v>
      </c>
      <c r="I372" s="67">
        <v>0</v>
      </c>
      <c r="K372" s="67">
        <v>352</v>
      </c>
      <c r="L372" s="67">
        <v>4</v>
      </c>
    </row>
    <row r="373" spans="6:12" x14ac:dyDescent="0.15">
      <c r="F373" s="67">
        <v>353</v>
      </c>
      <c r="G373" s="67">
        <v>0</v>
      </c>
      <c r="H373" s="67">
        <v>1</v>
      </c>
      <c r="I373" s="67">
        <v>0</v>
      </c>
      <c r="K373" s="67">
        <v>353</v>
      </c>
      <c r="L373" s="67">
        <v>4</v>
      </c>
    </row>
    <row r="374" spans="6:12" x14ac:dyDescent="0.15">
      <c r="F374" s="67">
        <v>354</v>
      </c>
      <c r="G374" s="67">
        <v>0</v>
      </c>
      <c r="H374" s="67">
        <v>1</v>
      </c>
      <c r="I374" s="67">
        <v>0</v>
      </c>
      <c r="K374" s="67">
        <v>354</v>
      </c>
      <c r="L374" s="67">
        <v>5</v>
      </c>
    </row>
    <row r="375" spans="6:12" x14ac:dyDescent="0.15">
      <c r="F375" s="67">
        <v>355</v>
      </c>
      <c r="G375" s="67">
        <v>0</v>
      </c>
      <c r="H375" s="67">
        <v>1</v>
      </c>
      <c r="I375" s="67">
        <v>1</v>
      </c>
      <c r="K375" s="67">
        <v>355</v>
      </c>
      <c r="L375" s="67">
        <v>3</v>
      </c>
    </row>
    <row r="376" spans="6:12" x14ac:dyDescent="0.15">
      <c r="F376" s="67">
        <v>356</v>
      </c>
      <c r="G376" s="67">
        <v>0</v>
      </c>
      <c r="H376" s="67">
        <v>0</v>
      </c>
      <c r="I376" s="67">
        <v>0</v>
      </c>
      <c r="K376" s="67">
        <v>356</v>
      </c>
      <c r="L376" s="67">
        <v>5</v>
      </c>
    </row>
    <row r="377" spans="6:12" x14ac:dyDescent="0.15">
      <c r="F377" s="67">
        <v>357</v>
      </c>
      <c r="G377" s="67">
        <v>0</v>
      </c>
      <c r="H377" s="67">
        <v>0</v>
      </c>
      <c r="I377" s="67">
        <v>0</v>
      </c>
      <c r="K377" s="67">
        <v>357</v>
      </c>
      <c r="L377" s="67">
        <v>3</v>
      </c>
    </row>
    <row r="378" spans="6:12" x14ac:dyDescent="0.15">
      <c r="F378" s="67">
        <v>358</v>
      </c>
      <c r="G378" s="67">
        <v>0</v>
      </c>
      <c r="H378" s="67">
        <v>1</v>
      </c>
      <c r="I378" s="67">
        <v>1</v>
      </c>
      <c r="K378" s="67">
        <v>358</v>
      </c>
      <c r="L378" s="67">
        <v>4</v>
      </c>
    </row>
    <row r="379" spans="6:12" x14ac:dyDescent="0.15">
      <c r="F379" s="67">
        <v>359</v>
      </c>
      <c r="G379" s="67">
        <v>0</v>
      </c>
      <c r="H379" s="67">
        <v>0</v>
      </c>
      <c r="I379" s="67">
        <v>0</v>
      </c>
      <c r="K379" s="67">
        <v>359</v>
      </c>
      <c r="L379" s="67">
        <v>5</v>
      </c>
    </row>
    <row r="380" spans="6:12" x14ac:dyDescent="0.15">
      <c r="F380" s="67">
        <v>360</v>
      </c>
      <c r="G380" s="67">
        <v>0</v>
      </c>
      <c r="H380" s="67">
        <v>1</v>
      </c>
      <c r="I380" s="67">
        <v>1</v>
      </c>
      <c r="K380" s="67">
        <v>360</v>
      </c>
      <c r="L380" s="67">
        <v>5</v>
      </c>
    </row>
    <row r="381" spans="6:12" x14ac:dyDescent="0.15">
      <c r="F381" s="67">
        <v>361</v>
      </c>
      <c r="G381" s="67">
        <v>1</v>
      </c>
      <c r="H381" s="67">
        <v>0</v>
      </c>
      <c r="I381" s="67">
        <v>0</v>
      </c>
      <c r="K381" s="67">
        <v>361</v>
      </c>
      <c r="L381" s="67">
        <v>3</v>
      </c>
    </row>
    <row r="382" spans="6:12" x14ac:dyDescent="0.15">
      <c r="F382" s="67">
        <v>362</v>
      </c>
      <c r="G382" s="67">
        <v>0</v>
      </c>
      <c r="H382" s="67">
        <v>0</v>
      </c>
      <c r="I382" s="67">
        <v>0</v>
      </c>
      <c r="K382" s="67">
        <v>362</v>
      </c>
      <c r="L382" s="67">
        <v>4</v>
      </c>
    </row>
    <row r="383" spans="6:12" x14ac:dyDescent="0.15">
      <c r="F383" s="67">
        <v>363</v>
      </c>
      <c r="G383" s="67">
        <v>1</v>
      </c>
      <c r="H383" s="67">
        <v>0</v>
      </c>
      <c r="I383" s="67">
        <v>0</v>
      </c>
      <c r="K383" s="67">
        <v>363</v>
      </c>
      <c r="L383" s="67">
        <v>4</v>
      </c>
    </row>
    <row r="384" spans="6:12" x14ac:dyDescent="0.15">
      <c r="F384" s="67">
        <v>364</v>
      </c>
      <c r="G384" s="67">
        <v>0</v>
      </c>
      <c r="H384" s="67">
        <v>1</v>
      </c>
      <c r="I384" s="67">
        <v>1</v>
      </c>
      <c r="K384" s="67">
        <v>364</v>
      </c>
      <c r="L384" s="67">
        <v>4</v>
      </c>
    </row>
    <row r="385" spans="6:12" x14ac:dyDescent="0.15">
      <c r="F385" s="67">
        <v>365</v>
      </c>
      <c r="G385" s="67">
        <v>0</v>
      </c>
      <c r="H385" s="67">
        <v>1</v>
      </c>
      <c r="I385" s="67">
        <v>1</v>
      </c>
      <c r="K385" s="67">
        <v>365</v>
      </c>
      <c r="L385" s="67">
        <v>4</v>
      </c>
    </row>
    <row r="386" spans="6:12" x14ac:dyDescent="0.15">
      <c r="F386" s="67">
        <v>366</v>
      </c>
      <c r="G386" s="67">
        <v>1</v>
      </c>
      <c r="H386" s="67">
        <v>0</v>
      </c>
      <c r="I386" s="67">
        <v>0</v>
      </c>
      <c r="K386" s="67">
        <v>366</v>
      </c>
      <c r="L386" s="67">
        <v>5</v>
      </c>
    </row>
    <row r="387" spans="6:12" x14ac:dyDescent="0.15">
      <c r="F387" s="67">
        <v>367</v>
      </c>
      <c r="G387" s="67">
        <v>0</v>
      </c>
      <c r="H387" s="67">
        <v>0</v>
      </c>
      <c r="I387" s="67">
        <v>0</v>
      </c>
      <c r="K387" s="67">
        <v>367</v>
      </c>
      <c r="L387" s="67">
        <v>4</v>
      </c>
    </row>
    <row r="388" spans="6:12" x14ac:dyDescent="0.15">
      <c r="F388" s="67">
        <v>368</v>
      </c>
      <c r="G388" s="67">
        <v>0</v>
      </c>
      <c r="H388" s="67">
        <v>1</v>
      </c>
      <c r="I388" s="67">
        <v>1</v>
      </c>
      <c r="K388" s="67">
        <v>368</v>
      </c>
      <c r="L388" s="67">
        <v>4</v>
      </c>
    </row>
    <row r="389" spans="6:12" x14ac:dyDescent="0.15">
      <c r="F389" s="67">
        <v>369</v>
      </c>
      <c r="G389" s="67">
        <v>0</v>
      </c>
      <c r="H389" s="67">
        <v>0</v>
      </c>
      <c r="I389" s="67">
        <v>0</v>
      </c>
      <c r="K389" s="67">
        <v>369</v>
      </c>
      <c r="L389" s="67">
        <v>5</v>
      </c>
    </row>
    <row r="390" spans="6:12" x14ac:dyDescent="0.15">
      <c r="F390" s="67">
        <v>370</v>
      </c>
      <c r="G390" s="67">
        <v>0</v>
      </c>
      <c r="H390" s="67">
        <v>0</v>
      </c>
      <c r="I390" s="67">
        <v>0</v>
      </c>
      <c r="K390" s="67">
        <v>370</v>
      </c>
      <c r="L390" s="67">
        <v>4</v>
      </c>
    </row>
    <row r="391" spans="6:12" x14ac:dyDescent="0.15">
      <c r="F391" s="67">
        <v>371</v>
      </c>
      <c r="G391" s="67">
        <v>0</v>
      </c>
      <c r="H391" s="67">
        <v>1</v>
      </c>
      <c r="I391" s="67">
        <v>1</v>
      </c>
      <c r="K391" s="67">
        <v>371</v>
      </c>
      <c r="L391" s="67">
        <v>4</v>
      </c>
    </row>
    <row r="392" spans="6:12" x14ac:dyDescent="0.15">
      <c r="F392" s="67">
        <v>372</v>
      </c>
      <c r="G392" s="67">
        <v>0</v>
      </c>
      <c r="H392" s="67">
        <v>1</v>
      </c>
      <c r="I392" s="67">
        <v>1</v>
      </c>
      <c r="K392" s="67">
        <v>372</v>
      </c>
      <c r="L392" s="67">
        <v>4</v>
      </c>
    </row>
    <row r="393" spans="6:12" x14ac:dyDescent="0.15">
      <c r="F393" s="67">
        <v>373</v>
      </c>
      <c r="G393" s="67">
        <v>0</v>
      </c>
      <c r="H393" s="67">
        <v>0</v>
      </c>
      <c r="I393" s="67">
        <v>0</v>
      </c>
      <c r="K393" s="67">
        <v>373</v>
      </c>
      <c r="L393" s="67">
        <v>4</v>
      </c>
    </row>
    <row r="394" spans="6:12" x14ac:dyDescent="0.15">
      <c r="F394" s="67">
        <v>374</v>
      </c>
      <c r="G394" s="67">
        <v>0</v>
      </c>
      <c r="H394" s="67">
        <v>1</v>
      </c>
      <c r="I394" s="67">
        <v>0</v>
      </c>
      <c r="K394" s="67">
        <v>374</v>
      </c>
      <c r="L394" s="67">
        <v>4</v>
      </c>
    </row>
    <row r="395" spans="6:12" x14ac:dyDescent="0.15">
      <c r="F395" s="67">
        <v>375</v>
      </c>
      <c r="G395" s="67">
        <v>1</v>
      </c>
      <c r="H395" s="67">
        <v>0</v>
      </c>
      <c r="I395" s="67">
        <v>0</v>
      </c>
      <c r="K395" s="67">
        <v>375</v>
      </c>
      <c r="L395" s="67">
        <v>4</v>
      </c>
    </row>
    <row r="396" spans="6:12" x14ac:dyDescent="0.15">
      <c r="F396" s="67">
        <v>376</v>
      </c>
      <c r="G396" s="67">
        <v>0</v>
      </c>
      <c r="H396" s="67">
        <v>1</v>
      </c>
      <c r="I396" s="67">
        <v>1</v>
      </c>
      <c r="K396" s="67">
        <v>376</v>
      </c>
      <c r="L396" s="67">
        <v>3</v>
      </c>
    </row>
    <row r="397" spans="6:12" x14ac:dyDescent="0.15">
      <c r="F397" s="67">
        <v>377</v>
      </c>
      <c r="G397" s="67">
        <v>0</v>
      </c>
      <c r="H397" s="67">
        <v>0</v>
      </c>
      <c r="I397" s="67">
        <v>0</v>
      </c>
      <c r="K397" s="67">
        <v>377</v>
      </c>
      <c r="L397" s="67">
        <v>3</v>
      </c>
    </row>
    <row r="398" spans="6:12" x14ac:dyDescent="0.15">
      <c r="F398" s="67">
        <v>378</v>
      </c>
      <c r="G398" s="67">
        <v>0</v>
      </c>
      <c r="H398" s="67">
        <v>1</v>
      </c>
      <c r="I398" s="67">
        <v>1</v>
      </c>
      <c r="K398" s="67">
        <v>378</v>
      </c>
      <c r="L398" s="67">
        <v>4</v>
      </c>
    </row>
    <row r="399" spans="6:12" x14ac:dyDescent="0.15">
      <c r="F399" s="67">
        <v>379</v>
      </c>
      <c r="G399" s="67">
        <v>0</v>
      </c>
      <c r="H399" s="67">
        <v>1</v>
      </c>
      <c r="I399" s="67">
        <v>1</v>
      </c>
      <c r="K399" s="67">
        <v>379</v>
      </c>
      <c r="L399" s="67">
        <v>3</v>
      </c>
    </row>
    <row r="400" spans="6:12" x14ac:dyDescent="0.15">
      <c r="F400" s="67">
        <v>380</v>
      </c>
      <c r="G400" s="67">
        <v>0</v>
      </c>
      <c r="H400" s="67">
        <v>1</v>
      </c>
      <c r="I400" s="67">
        <v>1</v>
      </c>
      <c r="K400" s="67">
        <v>380</v>
      </c>
      <c r="L400" s="67">
        <v>5</v>
      </c>
    </row>
    <row r="401" spans="6:12" x14ac:dyDescent="0.15">
      <c r="F401" s="67">
        <v>381</v>
      </c>
      <c r="G401" s="67">
        <v>0</v>
      </c>
      <c r="H401" s="67">
        <v>0</v>
      </c>
      <c r="I401" s="67">
        <v>0</v>
      </c>
      <c r="K401" s="67">
        <v>381</v>
      </c>
      <c r="L401" s="67">
        <v>3</v>
      </c>
    </row>
    <row r="402" spans="6:12" x14ac:dyDescent="0.15">
      <c r="F402" s="67">
        <v>382</v>
      </c>
      <c r="G402" s="67">
        <v>0</v>
      </c>
      <c r="H402" s="67">
        <v>0</v>
      </c>
      <c r="I402" s="67">
        <v>0</v>
      </c>
      <c r="K402" s="67">
        <v>382</v>
      </c>
      <c r="L402" s="67">
        <v>3</v>
      </c>
    </row>
    <row r="403" spans="6:12" x14ac:dyDescent="0.15">
      <c r="F403" s="67">
        <v>383</v>
      </c>
      <c r="G403" s="67">
        <v>0</v>
      </c>
      <c r="H403" s="67">
        <v>0</v>
      </c>
      <c r="I403" s="67">
        <v>0</v>
      </c>
      <c r="K403" s="67">
        <v>383</v>
      </c>
      <c r="L403" s="67">
        <v>3</v>
      </c>
    </row>
    <row r="404" spans="6:12" x14ac:dyDescent="0.15">
      <c r="F404" s="67">
        <v>384</v>
      </c>
      <c r="G404" s="67">
        <v>0</v>
      </c>
      <c r="H404" s="67">
        <v>1</v>
      </c>
      <c r="I404" s="67">
        <v>0</v>
      </c>
      <c r="K404" s="67">
        <v>384</v>
      </c>
      <c r="L404" s="67">
        <v>4</v>
      </c>
    </row>
    <row r="405" spans="6:12" x14ac:dyDescent="0.15">
      <c r="F405" s="67">
        <v>385</v>
      </c>
      <c r="G405" s="67">
        <v>0</v>
      </c>
      <c r="H405" s="67">
        <v>1</v>
      </c>
      <c r="I405" s="67">
        <v>1</v>
      </c>
      <c r="K405" s="67">
        <v>385</v>
      </c>
      <c r="L405" s="67">
        <v>4</v>
      </c>
    </row>
    <row r="406" spans="6:12" x14ac:dyDescent="0.15">
      <c r="F406" s="67">
        <v>386</v>
      </c>
      <c r="G406" s="67">
        <v>0</v>
      </c>
      <c r="H406" s="67">
        <v>1</v>
      </c>
      <c r="I406" s="67">
        <v>1</v>
      </c>
      <c r="K406" s="67">
        <v>386</v>
      </c>
      <c r="L406" s="67">
        <v>5</v>
      </c>
    </row>
    <row r="407" spans="6:12" x14ac:dyDescent="0.15">
      <c r="F407" s="67">
        <v>387</v>
      </c>
      <c r="G407" s="67">
        <v>0</v>
      </c>
      <c r="H407" s="67">
        <v>1</v>
      </c>
      <c r="I407" s="67">
        <v>0</v>
      </c>
      <c r="K407" s="67">
        <v>387</v>
      </c>
      <c r="L407" s="67">
        <v>5</v>
      </c>
    </row>
    <row r="408" spans="6:12" x14ac:dyDescent="0.15">
      <c r="F408" s="67">
        <v>388</v>
      </c>
      <c r="G408" s="67">
        <v>0</v>
      </c>
      <c r="H408" s="67">
        <v>1</v>
      </c>
      <c r="I408" s="67">
        <v>1</v>
      </c>
      <c r="K408" s="67">
        <v>388</v>
      </c>
      <c r="L408" s="67">
        <v>5</v>
      </c>
    </row>
    <row r="409" spans="6:12" x14ac:dyDescent="0.15">
      <c r="F409" s="67">
        <v>389</v>
      </c>
      <c r="G409" s="67">
        <v>0</v>
      </c>
      <c r="H409" s="67">
        <v>1</v>
      </c>
      <c r="I409" s="67">
        <v>0</v>
      </c>
      <c r="K409" s="67">
        <v>389</v>
      </c>
      <c r="L409" s="67">
        <v>5</v>
      </c>
    </row>
    <row r="410" spans="6:12" x14ac:dyDescent="0.15">
      <c r="F410" s="67">
        <v>390</v>
      </c>
      <c r="G410" s="67">
        <v>0</v>
      </c>
      <c r="H410" s="67">
        <v>0</v>
      </c>
      <c r="I410" s="67">
        <v>0</v>
      </c>
      <c r="K410" s="67">
        <v>390</v>
      </c>
      <c r="L410" s="67">
        <v>3</v>
      </c>
    </row>
    <row r="411" spans="6:12" x14ac:dyDescent="0.15">
      <c r="F411" s="67">
        <v>391</v>
      </c>
      <c r="G411" s="67">
        <v>0</v>
      </c>
      <c r="H411" s="67">
        <v>0</v>
      </c>
      <c r="I411" s="67">
        <v>0</v>
      </c>
      <c r="K411" s="67">
        <v>391</v>
      </c>
      <c r="L411" s="67">
        <v>4</v>
      </c>
    </row>
    <row r="412" spans="6:12" x14ac:dyDescent="0.15">
      <c r="F412" s="67">
        <v>392</v>
      </c>
      <c r="G412" s="67">
        <v>1</v>
      </c>
      <c r="H412" s="67">
        <v>0</v>
      </c>
      <c r="I412" s="67">
        <v>0</v>
      </c>
      <c r="K412" s="67">
        <v>392</v>
      </c>
      <c r="L412" s="67">
        <v>5</v>
      </c>
    </row>
    <row r="413" spans="6:12" x14ac:dyDescent="0.15">
      <c r="F413" s="67">
        <v>393</v>
      </c>
      <c r="G413" s="67">
        <v>0</v>
      </c>
      <c r="H413" s="67">
        <v>1</v>
      </c>
      <c r="I413" s="67">
        <v>1</v>
      </c>
      <c r="K413" s="67">
        <v>393</v>
      </c>
      <c r="L413" s="67">
        <v>4</v>
      </c>
    </row>
    <row r="414" spans="6:12" x14ac:dyDescent="0.15">
      <c r="F414" s="67">
        <v>394</v>
      </c>
      <c r="G414" s="67">
        <v>0</v>
      </c>
      <c r="H414" s="67">
        <v>1</v>
      </c>
      <c r="I414" s="67">
        <v>1</v>
      </c>
      <c r="K414" s="67">
        <v>394</v>
      </c>
      <c r="L414" s="67">
        <v>4</v>
      </c>
    </row>
    <row r="415" spans="6:12" x14ac:dyDescent="0.15">
      <c r="F415" s="67">
        <v>395</v>
      </c>
      <c r="G415" s="67">
        <v>0</v>
      </c>
      <c r="H415" s="67">
        <v>0</v>
      </c>
      <c r="I415" s="67">
        <v>0</v>
      </c>
      <c r="K415" s="67">
        <v>395</v>
      </c>
      <c r="L415" s="67">
        <v>4</v>
      </c>
    </row>
    <row r="416" spans="6:12" x14ac:dyDescent="0.15">
      <c r="F416" s="67">
        <v>396</v>
      </c>
      <c r="G416" s="67">
        <v>0</v>
      </c>
      <c r="H416" s="67">
        <v>1</v>
      </c>
      <c r="I416" s="67">
        <v>1</v>
      </c>
      <c r="K416" s="67">
        <v>396</v>
      </c>
      <c r="L416" s="67">
        <v>3</v>
      </c>
    </row>
    <row r="417" spans="6:12" x14ac:dyDescent="0.15">
      <c r="F417" s="67">
        <v>397</v>
      </c>
      <c r="G417" s="67">
        <v>0</v>
      </c>
      <c r="H417" s="67">
        <v>1</v>
      </c>
      <c r="I417" s="67">
        <v>0</v>
      </c>
      <c r="K417" s="67">
        <v>397</v>
      </c>
      <c r="L417" s="67">
        <v>4</v>
      </c>
    </row>
    <row r="418" spans="6:12" x14ac:dyDescent="0.15">
      <c r="F418" s="67">
        <v>398</v>
      </c>
      <c r="G418" s="67">
        <v>0</v>
      </c>
      <c r="H418" s="67">
        <v>1</v>
      </c>
      <c r="I418" s="67">
        <v>1</v>
      </c>
      <c r="K418" s="67">
        <v>398</v>
      </c>
      <c r="L418" s="67">
        <v>4</v>
      </c>
    </row>
    <row r="419" spans="6:12" x14ac:dyDescent="0.15">
      <c r="F419" s="67">
        <v>399</v>
      </c>
      <c r="G419" s="67">
        <v>0</v>
      </c>
      <c r="H419" s="67">
        <v>1</v>
      </c>
      <c r="I419" s="67">
        <v>1</v>
      </c>
      <c r="K419" s="67">
        <v>399</v>
      </c>
      <c r="L419" s="67">
        <v>4</v>
      </c>
    </row>
    <row r="420" spans="6:12" x14ac:dyDescent="0.15">
      <c r="F420" s="67">
        <v>400</v>
      </c>
      <c r="G420" s="67">
        <v>0</v>
      </c>
      <c r="H420" s="67">
        <v>1</v>
      </c>
      <c r="I420" s="67">
        <v>1</v>
      </c>
      <c r="K420" s="67">
        <v>400</v>
      </c>
      <c r="L420" s="67">
        <v>4</v>
      </c>
    </row>
    <row r="421" spans="6:12" x14ac:dyDescent="0.15">
      <c r="F421" s="67">
        <v>401</v>
      </c>
      <c r="G421" s="67">
        <v>0</v>
      </c>
      <c r="H421" s="67">
        <v>1</v>
      </c>
      <c r="I421" s="67">
        <v>0</v>
      </c>
      <c r="K421" s="67">
        <v>401</v>
      </c>
      <c r="L421" s="67">
        <v>4</v>
      </c>
    </row>
    <row r="422" spans="6:12" x14ac:dyDescent="0.15">
      <c r="F422" s="67">
        <v>402</v>
      </c>
      <c r="G422" s="67">
        <v>0</v>
      </c>
      <c r="H422" s="67">
        <v>1</v>
      </c>
      <c r="I422" s="67">
        <v>1</v>
      </c>
      <c r="K422" s="67">
        <v>402</v>
      </c>
      <c r="L422" s="67">
        <v>4</v>
      </c>
    </row>
    <row r="423" spans="6:12" x14ac:dyDescent="0.15">
      <c r="F423" s="67">
        <v>403</v>
      </c>
      <c r="G423" s="67">
        <v>1</v>
      </c>
      <c r="H423" s="67">
        <v>0</v>
      </c>
      <c r="I423" s="67">
        <v>0</v>
      </c>
      <c r="K423" s="67">
        <v>403</v>
      </c>
      <c r="L423" s="67">
        <v>5</v>
      </c>
    </row>
    <row r="424" spans="6:12" x14ac:dyDescent="0.15">
      <c r="F424" s="67">
        <v>404</v>
      </c>
      <c r="G424" s="67">
        <v>0</v>
      </c>
      <c r="H424" s="67">
        <v>0</v>
      </c>
      <c r="I424" s="67">
        <v>0</v>
      </c>
      <c r="K424" s="67">
        <v>404</v>
      </c>
      <c r="L424" s="67">
        <v>4</v>
      </c>
    </row>
    <row r="425" spans="6:12" x14ac:dyDescent="0.15">
      <c r="F425" s="67">
        <v>405</v>
      </c>
      <c r="G425" s="67">
        <v>0</v>
      </c>
      <c r="H425" s="67">
        <v>1</v>
      </c>
      <c r="I425" s="67">
        <v>0</v>
      </c>
      <c r="K425" s="67">
        <v>405</v>
      </c>
      <c r="L425" s="67">
        <v>5</v>
      </c>
    </row>
    <row r="426" spans="6:12" x14ac:dyDescent="0.15">
      <c r="F426" s="67">
        <v>406</v>
      </c>
      <c r="G426" s="67">
        <v>0</v>
      </c>
      <c r="H426" s="67">
        <v>1</v>
      </c>
      <c r="I426" s="67">
        <v>1</v>
      </c>
      <c r="K426" s="67">
        <v>406</v>
      </c>
      <c r="L426" s="67">
        <v>3</v>
      </c>
    </row>
    <row r="427" spans="6:12" x14ac:dyDescent="0.15">
      <c r="F427" s="67">
        <v>407</v>
      </c>
      <c r="G427" s="67">
        <v>0</v>
      </c>
      <c r="H427" s="67">
        <v>1</v>
      </c>
      <c r="I427" s="67">
        <v>1</v>
      </c>
      <c r="K427" s="67">
        <v>407</v>
      </c>
      <c r="L427" s="67">
        <v>4</v>
      </c>
    </row>
    <row r="428" spans="6:12" x14ac:dyDescent="0.15">
      <c r="F428" s="67">
        <v>408</v>
      </c>
      <c r="G428" s="67">
        <v>0</v>
      </c>
      <c r="H428" s="67">
        <v>0</v>
      </c>
      <c r="I428" s="67">
        <v>0</v>
      </c>
      <c r="K428" s="67">
        <v>408</v>
      </c>
      <c r="L428" s="67">
        <v>3</v>
      </c>
    </row>
    <row r="429" spans="6:12" x14ac:dyDescent="0.15">
      <c r="F429" s="67">
        <v>409</v>
      </c>
      <c r="G429" s="67">
        <v>0</v>
      </c>
      <c r="H429" s="67">
        <v>1</v>
      </c>
      <c r="I429" s="67">
        <v>0</v>
      </c>
      <c r="K429" s="67">
        <v>409</v>
      </c>
      <c r="L429" s="67">
        <v>4</v>
      </c>
    </row>
    <row r="430" spans="6:12" x14ac:dyDescent="0.15">
      <c r="F430" s="67">
        <v>410</v>
      </c>
      <c r="G430" s="67">
        <v>0</v>
      </c>
      <c r="H430" s="67">
        <v>1</v>
      </c>
      <c r="I430" s="67">
        <v>1</v>
      </c>
      <c r="K430" s="67">
        <v>410</v>
      </c>
      <c r="L430" s="67">
        <v>4</v>
      </c>
    </row>
    <row r="431" spans="6:12" x14ac:dyDescent="0.15">
      <c r="F431" s="67">
        <v>411</v>
      </c>
      <c r="G431" s="67">
        <v>0</v>
      </c>
      <c r="H431" s="67">
        <v>1</v>
      </c>
      <c r="I431" s="67">
        <v>1</v>
      </c>
      <c r="K431" s="67">
        <v>411</v>
      </c>
      <c r="L431" s="67">
        <v>4</v>
      </c>
    </row>
    <row r="432" spans="6:12" x14ac:dyDescent="0.15">
      <c r="F432" s="67">
        <v>412</v>
      </c>
      <c r="G432" s="67">
        <v>1</v>
      </c>
      <c r="H432" s="67">
        <v>0</v>
      </c>
      <c r="I432" s="67">
        <v>0</v>
      </c>
      <c r="K432" s="67">
        <v>412</v>
      </c>
      <c r="L432" s="67">
        <v>4</v>
      </c>
    </row>
    <row r="433" spans="6:12" x14ac:dyDescent="0.15">
      <c r="F433" s="67">
        <v>413</v>
      </c>
      <c r="G433" s="67">
        <v>0</v>
      </c>
      <c r="H433" s="67">
        <v>0</v>
      </c>
      <c r="I433" s="67">
        <v>0</v>
      </c>
      <c r="K433" s="67">
        <v>413</v>
      </c>
      <c r="L433" s="67">
        <v>4</v>
      </c>
    </row>
    <row r="434" spans="6:12" x14ac:dyDescent="0.15">
      <c r="F434" s="67">
        <v>414</v>
      </c>
      <c r="G434" s="67">
        <v>1</v>
      </c>
      <c r="H434" s="67">
        <v>0</v>
      </c>
      <c r="I434" s="67">
        <v>0</v>
      </c>
      <c r="K434" s="67">
        <v>414</v>
      </c>
      <c r="L434" s="67">
        <v>4</v>
      </c>
    </row>
    <row r="435" spans="6:12" x14ac:dyDescent="0.15">
      <c r="F435" s="67">
        <v>415</v>
      </c>
      <c r="G435" s="67">
        <v>1</v>
      </c>
      <c r="H435" s="67">
        <v>0</v>
      </c>
      <c r="I435" s="67">
        <v>0</v>
      </c>
      <c r="K435" s="67">
        <v>415</v>
      </c>
      <c r="L435" s="67">
        <v>5</v>
      </c>
    </row>
    <row r="436" spans="6:12" x14ac:dyDescent="0.15">
      <c r="F436" s="67">
        <v>416</v>
      </c>
      <c r="G436" s="67">
        <v>1</v>
      </c>
      <c r="H436" s="67">
        <v>0</v>
      </c>
      <c r="I436" s="67">
        <v>0</v>
      </c>
      <c r="K436" s="67">
        <v>416</v>
      </c>
      <c r="L436" s="67">
        <v>5</v>
      </c>
    </row>
    <row r="437" spans="6:12" x14ac:dyDescent="0.15">
      <c r="F437" s="67">
        <v>417</v>
      </c>
      <c r="G437" s="67">
        <v>0</v>
      </c>
      <c r="H437" s="67">
        <v>0</v>
      </c>
      <c r="I437" s="67">
        <v>0</v>
      </c>
      <c r="K437" s="67">
        <v>417</v>
      </c>
      <c r="L437" s="67">
        <v>4</v>
      </c>
    </row>
    <row r="438" spans="6:12" x14ac:dyDescent="0.15">
      <c r="F438" s="67">
        <v>418</v>
      </c>
      <c r="G438" s="67">
        <v>1</v>
      </c>
      <c r="H438" s="67">
        <v>0</v>
      </c>
      <c r="I438" s="67">
        <v>0</v>
      </c>
      <c r="K438" s="67">
        <v>418</v>
      </c>
      <c r="L438" s="67">
        <v>4</v>
      </c>
    </row>
    <row r="439" spans="6:12" x14ac:dyDescent="0.15">
      <c r="F439" s="67">
        <v>419</v>
      </c>
      <c r="G439" s="67">
        <v>0</v>
      </c>
      <c r="H439" s="67">
        <v>1</v>
      </c>
      <c r="I439" s="67">
        <v>1</v>
      </c>
      <c r="K439" s="67">
        <v>419</v>
      </c>
      <c r="L439" s="67">
        <v>4</v>
      </c>
    </row>
    <row r="440" spans="6:12" x14ac:dyDescent="0.15">
      <c r="F440" s="67">
        <v>420</v>
      </c>
      <c r="G440" s="67">
        <v>0</v>
      </c>
      <c r="H440" s="67">
        <v>1</v>
      </c>
      <c r="I440" s="67">
        <v>1</v>
      </c>
      <c r="K440" s="67">
        <v>420</v>
      </c>
      <c r="L440" s="67">
        <v>5</v>
      </c>
    </row>
    <row r="441" spans="6:12" x14ac:dyDescent="0.15">
      <c r="F441" s="67">
        <v>421</v>
      </c>
      <c r="G441" s="67">
        <v>0</v>
      </c>
      <c r="H441" s="67">
        <v>0</v>
      </c>
      <c r="I441" s="67">
        <v>0</v>
      </c>
      <c r="K441" s="67">
        <v>421</v>
      </c>
      <c r="L441" s="67">
        <v>4</v>
      </c>
    </row>
    <row r="442" spans="6:12" x14ac:dyDescent="0.15">
      <c r="F442" s="67">
        <v>422</v>
      </c>
      <c r="G442" s="67">
        <v>0</v>
      </c>
      <c r="H442" s="67">
        <v>1</v>
      </c>
      <c r="I442" s="67">
        <v>1</v>
      </c>
      <c r="K442" s="67">
        <v>422</v>
      </c>
      <c r="L442" s="67">
        <v>5</v>
      </c>
    </row>
    <row r="443" spans="6:12" x14ac:dyDescent="0.15">
      <c r="F443" s="67">
        <v>423</v>
      </c>
      <c r="G443" s="67">
        <v>1</v>
      </c>
      <c r="H443" s="67">
        <v>0</v>
      </c>
      <c r="I443" s="67">
        <v>0</v>
      </c>
      <c r="K443" s="67">
        <v>423</v>
      </c>
      <c r="L443" s="67">
        <v>5</v>
      </c>
    </row>
    <row r="444" spans="6:12" x14ac:dyDescent="0.15">
      <c r="F444" s="67">
        <v>424</v>
      </c>
      <c r="G444" s="67">
        <v>0</v>
      </c>
      <c r="H444" s="67">
        <v>0</v>
      </c>
      <c r="I444" s="67">
        <v>0</v>
      </c>
      <c r="K444" s="67">
        <v>424</v>
      </c>
      <c r="L444" s="67">
        <v>5</v>
      </c>
    </row>
    <row r="445" spans="6:12" x14ac:dyDescent="0.15">
      <c r="F445" s="67">
        <v>425</v>
      </c>
      <c r="G445" s="67">
        <v>1</v>
      </c>
      <c r="H445" s="67">
        <v>0</v>
      </c>
      <c r="I445" s="67">
        <v>0</v>
      </c>
      <c r="K445" s="67">
        <v>425</v>
      </c>
      <c r="L445" s="67">
        <v>4</v>
      </c>
    </row>
    <row r="446" spans="6:12" x14ac:dyDescent="0.15">
      <c r="F446" s="67">
        <v>426</v>
      </c>
      <c r="G446" s="67">
        <v>0</v>
      </c>
      <c r="H446" s="67">
        <v>1</v>
      </c>
      <c r="I446" s="67">
        <v>1</v>
      </c>
      <c r="K446" s="67">
        <v>426</v>
      </c>
      <c r="L446" s="67">
        <v>4</v>
      </c>
    </row>
    <row r="447" spans="6:12" x14ac:dyDescent="0.15">
      <c r="F447" s="67">
        <v>427</v>
      </c>
      <c r="G447" s="67">
        <v>0</v>
      </c>
      <c r="H447" s="67">
        <v>0</v>
      </c>
      <c r="I447" s="67">
        <v>0</v>
      </c>
      <c r="K447" s="67">
        <v>427</v>
      </c>
      <c r="L447" s="67">
        <v>4</v>
      </c>
    </row>
    <row r="448" spans="6:12" x14ac:dyDescent="0.15">
      <c r="F448" s="67">
        <v>428</v>
      </c>
      <c r="G448" s="67">
        <v>0</v>
      </c>
      <c r="H448" s="67">
        <v>1</v>
      </c>
      <c r="I448" s="67">
        <v>0</v>
      </c>
      <c r="K448" s="67">
        <v>428</v>
      </c>
      <c r="L448" s="67">
        <v>4</v>
      </c>
    </row>
    <row r="449" spans="6:12" x14ac:dyDescent="0.15">
      <c r="F449" s="67">
        <v>429</v>
      </c>
      <c r="G449" s="67">
        <v>0</v>
      </c>
      <c r="H449" s="67">
        <v>1</v>
      </c>
      <c r="I449" s="67">
        <v>1</v>
      </c>
      <c r="K449" s="67">
        <v>429</v>
      </c>
      <c r="L449" s="67">
        <v>4</v>
      </c>
    </row>
    <row r="450" spans="6:12" x14ac:dyDescent="0.15">
      <c r="F450" s="67">
        <v>430</v>
      </c>
      <c r="G450" s="67">
        <v>0</v>
      </c>
      <c r="H450" s="67">
        <v>0</v>
      </c>
      <c r="I450" s="67">
        <v>0</v>
      </c>
      <c r="K450" s="67">
        <v>430</v>
      </c>
      <c r="L450" s="67">
        <v>4</v>
      </c>
    </row>
    <row r="451" spans="6:12" x14ac:dyDescent="0.15">
      <c r="F451" s="67">
        <v>431</v>
      </c>
      <c r="G451" s="67">
        <v>0</v>
      </c>
      <c r="H451" s="67">
        <v>0</v>
      </c>
      <c r="I451" s="67">
        <v>0</v>
      </c>
      <c r="K451" s="67">
        <v>431</v>
      </c>
      <c r="L451" s="67">
        <v>3</v>
      </c>
    </row>
    <row r="452" spans="6:12" x14ac:dyDescent="0.15">
      <c r="F452" s="67">
        <v>432</v>
      </c>
      <c r="G452" s="67">
        <v>1</v>
      </c>
      <c r="H452" s="67">
        <v>0</v>
      </c>
      <c r="I452" s="67">
        <v>0</v>
      </c>
      <c r="K452" s="67">
        <v>432</v>
      </c>
      <c r="L452" s="67">
        <v>4</v>
      </c>
    </row>
    <row r="453" spans="6:12" x14ac:dyDescent="0.15">
      <c r="F453" s="67">
        <v>433</v>
      </c>
      <c r="G453" s="67">
        <v>0</v>
      </c>
      <c r="H453" s="67">
        <v>0</v>
      </c>
      <c r="I453" s="67">
        <v>0</v>
      </c>
      <c r="K453" s="67">
        <v>433</v>
      </c>
      <c r="L453" s="67">
        <v>4</v>
      </c>
    </row>
    <row r="454" spans="6:12" x14ac:dyDescent="0.15">
      <c r="F454" s="67">
        <v>434</v>
      </c>
      <c r="G454" s="67">
        <v>0</v>
      </c>
      <c r="H454" s="67">
        <v>1</v>
      </c>
      <c r="I454" s="67">
        <v>1</v>
      </c>
      <c r="K454" s="67">
        <v>434</v>
      </c>
      <c r="L454" s="67">
        <v>5</v>
      </c>
    </row>
    <row r="455" spans="6:12" x14ac:dyDescent="0.15">
      <c r="F455" s="67">
        <v>435</v>
      </c>
      <c r="G455" s="67">
        <v>0</v>
      </c>
      <c r="H455" s="67">
        <v>0</v>
      </c>
      <c r="I455" s="67">
        <v>0</v>
      </c>
      <c r="K455" s="67">
        <v>435</v>
      </c>
      <c r="L455" s="67">
        <v>4</v>
      </c>
    </row>
    <row r="456" spans="6:12" x14ac:dyDescent="0.15">
      <c r="F456" s="67">
        <v>436</v>
      </c>
      <c r="G456" s="67">
        <v>0</v>
      </c>
      <c r="H456" s="67">
        <v>1</v>
      </c>
      <c r="I456" s="67">
        <v>1</v>
      </c>
      <c r="K456" s="67">
        <v>436</v>
      </c>
      <c r="L456" s="67">
        <v>4</v>
      </c>
    </row>
    <row r="457" spans="6:12" x14ac:dyDescent="0.15">
      <c r="F457" s="67">
        <v>437</v>
      </c>
      <c r="G457" s="67">
        <v>0</v>
      </c>
      <c r="H457" s="67">
        <v>1</v>
      </c>
      <c r="I457" s="67">
        <v>1</v>
      </c>
      <c r="K457" s="67">
        <v>437</v>
      </c>
      <c r="L457" s="67">
        <v>4</v>
      </c>
    </row>
    <row r="458" spans="6:12" x14ac:dyDescent="0.15">
      <c r="F458" s="67">
        <v>438</v>
      </c>
      <c r="G458" s="67">
        <v>0</v>
      </c>
      <c r="H458" s="67">
        <v>1</v>
      </c>
      <c r="I458" s="67">
        <v>0</v>
      </c>
      <c r="K458" s="67">
        <v>438</v>
      </c>
      <c r="L458" s="67">
        <v>4</v>
      </c>
    </row>
    <row r="459" spans="6:12" x14ac:dyDescent="0.15">
      <c r="F459" s="67">
        <v>439</v>
      </c>
      <c r="G459" s="67">
        <v>0</v>
      </c>
      <c r="H459" s="67">
        <v>1</v>
      </c>
      <c r="I459" s="67">
        <v>1</v>
      </c>
      <c r="K459" s="67">
        <v>439</v>
      </c>
      <c r="L459" s="67">
        <v>3</v>
      </c>
    </row>
    <row r="460" spans="6:12" x14ac:dyDescent="0.15">
      <c r="F460" s="67">
        <v>440</v>
      </c>
      <c r="G460" s="67">
        <v>0</v>
      </c>
      <c r="H460" s="67">
        <v>1</v>
      </c>
      <c r="I460" s="67">
        <v>1</v>
      </c>
      <c r="K460" s="67">
        <v>440</v>
      </c>
      <c r="L460" s="67">
        <v>3</v>
      </c>
    </row>
    <row r="461" spans="6:12" x14ac:dyDescent="0.15">
      <c r="F461" s="67">
        <v>441</v>
      </c>
      <c r="G461" s="67">
        <v>0</v>
      </c>
      <c r="H461" s="67">
        <v>1</v>
      </c>
      <c r="I461" s="67">
        <v>1</v>
      </c>
      <c r="K461" s="67">
        <v>441</v>
      </c>
      <c r="L461" s="67">
        <v>3</v>
      </c>
    </row>
    <row r="462" spans="6:12" x14ac:dyDescent="0.15">
      <c r="F462" s="67">
        <v>442</v>
      </c>
      <c r="G462" s="67">
        <v>0</v>
      </c>
      <c r="H462" s="67">
        <v>1</v>
      </c>
      <c r="I462" s="67">
        <v>1</v>
      </c>
      <c r="K462" s="67">
        <v>442</v>
      </c>
      <c r="L462" s="67">
        <v>4</v>
      </c>
    </row>
    <row r="463" spans="6:12" x14ac:dyDescent="0.15">
      <c r="F463" s="67">
        <v>443</v>
      </c>
      <c r="G463" s="67">
        <v>0</v>
      </c>
      <c r="H463" s="67">
        <v>1</v>
      </c>
      <c r="I463" s="67">
        <v>1</v>
      </c>
      <c r="K463" s="67">
        <v>443</v>
      </c>
      <c r="L463" s="67">
        <v>3</v>
      </c>
    </row>
    <row r="464" spans="6:12" x14ac:dyDescent="0.15">
      <c r="F464" s="67">
        <v>444</v>
      </c>
      <c r="G464" s="67">
        <v>0</v>
      </c>
      <c r="H464" s="67">
        <v>1</v>
      </c>
      <c r="I464" s="67">
        <v>1</v>
      </c>
      <c r="K464" s="67">
        <v>444</v>
      </c>
      <c r="L464" s="67">
        <v>4</v>
      </c>
    </row>
    <row r="465" spans="6:12" x14ac:dyDescent="0.15">
      <c r="F465" s="67">
        <v>445</v>
      </c>
      <c r="G465" s="67">
        <v>0</v>
      </c>
      <c r="H465" s="67">
        <v>0</v>
      </c>
      <c r="I465" s="67">
        <v>0</v>
      </c>
      <c r="K465" s="67">
        <v>445</v>
      </c>
      <c r="L465" s="67">
        <v>4</v>
      </c>
    </row>
    <row r="466" spans="6:12" x14ac:dyDescent="0.15">
      <c r="F466" s="67">
        <v>446</v>
      </c>
      <c r="G466" s="67">
        <v>0</v>
      </c>
      <c r="H466" s="67">
        <v>1</v>
      </c>
      <c r="I466" s="67">
        <v>1</v>
      </c>
      <c r="K466" s="67">
        <v>446</v>
      </c>
      <c r="L466" s="67">
        <v>4</v>
      </c>
    </row>
    <row r="467" spans="6:12" x14ac:dyDescent="0.15">
      <c r="F467" s="67">
        <v>447</v>
      </c>
      <c r="G467" s="67">
        <v>0</v>
      </c>
      <c r="H467" s="67">
        <v>1</v>
      </c>
      <c r="I467" s="67">
        <v>1</v>
      </c>
      <c r="K467" s="67">
        <v>447</v>
      </c>
      <c r="L467" s="67">
        <v>5</v>
      </c>
    </row>
    <row r="468" spans="6:12" x14ac:dyDescent="0.15">
      <c r="F468" s="67">
        <v>448</v>
      </c>
      <c r="G468" s="67">
        <v>0</v>
      </c>
      <c r="H468" s="67">
        <v>0</v>
      </c>
      <c r="I468" s="67">
        <v>0</v>
      </c>
      <c r="K468" s="67">
        <v>448</v>
      </c>
      <c r="L468" s="67">
        <v>3</v>
      </c>
    </row>
    <row r="469" spans="6:12" x14ac:dyDescent="0.15">
      <c r="F469" s="67">
        <v>449</v>
      </c>
      <c r="G469" s="67">
        <v>1</v>
      </c>
      <c r="H469" s="67">
        <v>0</v>
      </c>
      <c r="I469" s="67">
        <v>0</v>
      </c>
      <c r="K469" s="67">
        <v>449</v>
      </c>
      <c r="L469" s="67">
        <v>4</v>
      </c>
    </row>
    <row r="470" spans="6:12" x14ac:dyDescent="0.15">
      <c r="F470" s="67">
        <v>450</v>
      </c>
      <c r="G470" s="67">
        <v>0</v>
      </c>
      <c r="H470" s="67">
        <v>1</v>
      </c>
      <c r="I470" s="67">
        <v>1</v>
      </c>
      <c r="K470" s="67">
        <v>450</v>
      </c>
      <c r="L470" s="67">
        <v>3</v>
      </c>
    </row>
    <row r="471" spans="6:12" x14ac:dyDescent="0.15">
      <c r="F471" s="67">
        <v>451</v>
      </c>
      <c r="G471" s="67">
        <v>0</v>
      </c>
      <c r="H471" s="67">
        <v>0</v>
      </c>
      <c r="I471" s="67">
        <v>0</v>
      </c>
      <c r="K471" s="67">
        <v>451</v>
      </c>
      <c r="L471" s="67">
        <v>5</v>
      </c>
    </row>
    <row r="472" spans="6:12" x14ac:dyDescent="0.15">
      <c r="F472" s="67">
        <v>452</v>
      </c>
      <c r="G472" s="67">
        <v>0</v>
      </c>
      <c r="H472" s="67">
        <v>0</v>
      </c>
      <c r="I472" s="67">
        <v>0</v>
      </c>
      <c r="K472" s="67">
        <v>452</v>
      </c>
      <c r="L472" s="67">
        <v>3</v>
      </c>
    </row>
    <row r="473" spans="6:12" x14ac:dyDescent="0.15">
      <c r="F473" s="67">
        <v>453</v>
      </c>
      <c r="G473" s="67">
        <v>0</v>
      </c>
      <c r="H473" s="67">
        <v>0</v>
      </c>
      <c r="I473" s="67">
        <v>0</v>
      </c>
      <c r="K473" s="67">
        <v>453</v>
      </c>
      <c r="L473" s="67">
        <v>4</v>
      </c>
    </row>
    <row r="474" spans="6:12" x14ac:dyDescent="0.15">
      <c r="F474" s="67">
        <v>454</v>
      </c>
      <c r="G474" s="67">
        <v>0</v>
      </c>
      <c r="H474" s="67">
        <v>0</v>
      </c>
      <c r="I474" s="67">
        <v>0</v>
      </c>
      <c r="K474" s="67">
        <v>454</v>
      </c>
      <c r="L474" s="67">
        <v>3</v>
      </c>
    </row>
    <row r="475" spans="6:12" x14ac:dyDescent="0.15">
      <c r="F475" s="67">
        <v>455</v>
      </c>
      <c r="G475" s="67">
        <v>0</v>
      </c>
      <c r="H475" s="67">
        <v>0</v>
      </c>
      <c r="I475" s="67">
        <v>0</v>
      </c>
      <c r="K475" s="67">
        <v>455</v>
      </c>
      <c r="L475" s="67">
        <v>4</v>
      </c>
    </row>
    <row r="476" spans="6:12" x14ac:dyDescent="0.15">
      <c r="F476" s="67">
        <v>456</v>
      </c>
      <c r="G476" s="67">
        <v>0</v>
      </c>
      <c r="H476" s="67">
        <v>0</v>
      </c>
      <c r="I476" s="67">
        <v>0</v>
      </c>
      <c r="K476" s="67">
        <v>456</v>
      </c>
      <c r="L476" s="67">
        <v>3</v>
      </c>
    </row>
    <row r="477" spans="6:12" x14ac:dyDescent="0.15">
      <c r="F477" s="67">
        <v>457</v>
      </c>
      <c r="G477" s="67">
        <v>0</v>
      </c>
      <c r="H477" s="67">
        <v>1</v>
      </c>
      <c r="I477" s="67">
        <v>1</v>
      </c>
      <c r="K477" s="67">
        <v>457</v>
      </c>
      <c r="L477" s="67">
        <v>4</v>
      </c>
    </row>
    <row r="478" spans="6:12" x14ac:dyDescent="0.15">
      <c r="F478" s="67">
        <v>458</v>
      </c>
      <c r="G478" s="67">
        <v>0</v>
      </c>
      <c r="H478" s="67">
        <v>1</v>
      </c>
      <c r="I478" s="67">
        <v>1</v>
      </c>
      <c r="K478" s="67">
        <v>458</v>
      </c>
      <c r="L478" s="67">
        <v>4</v>
      </c>
    </row>
    <row r="479" spans="6:12" x14ac:dyDescent="0.15">
      <c r="F479" s="67">
        <v>459</v>
      </c>
      <c r="G479" s="67">
        <v>1</v>
      </c>
      <c r="H479" s="67">
        <v>0</v>
      </c>
      <c r="I479" s="67">
        <v>0</v>
      </c>
      <c r="K479" s="67">
        <v>459</v>
      </c>
      <c r="L479" s="67">
        <v>4</v>
      </c>
    </row>
    <row r="480" spans="6:12" x14ac:dyDescent="0.15">
      <c r="F480" s="67">
        <v>460</v>
      </c>
      <c r="G480" s="67">
        <v>0</v>
      </c>
      <c r="H480" s="67">
        <v>1</v>
      </c>
      <c r="I480" s="67">
        <v>1</v>
      </c>
      <c r="K480" s="67">
        <v>460</v>
      </c>
      <c r="L480" s="67">
        <v>5</v>
      </c>
    </row>
    <row r="481" spans="6:12" x14ac:dyDescent="0.15">
      <c r="F481" s="67">
        <v>461</v>
      </c>
      <c r="G481" s="67">
        <v>0</v>
      </c>
      <c r="H481" s="67">
        <v>1</v>
      </c>
      <c r="I481" s="67">
        <v>1</v>
      </c>
      <c r="K481" s="67">
        <v>461</v>
      </c>
      <c r="L481" s="67">
        <v>4</v>
      </c>
    </row>
    <row r="482" spans="6:12" x14ac:dyDescent="0.15">
      <c r="F482" s="67">
        <v>462</v>
      </c>
      <c r="G482" s="67">
        <v>0</v>
      </c>
      <c r="H482" s="67">
        <v>0</v>
      </c>
      <c r="I482" s="67">
        <v>0</v>
      </c>
      <c r="K482" s="67">
        <v>462</v>
      </c>
      <c r="L482" s="67">
        <v>4</v>
      </c>
    </row>
    <row r="483" spans="6:12" x14ac:dyDescent="0.15">
      <c r="F483" s="67">
        <v>463</v>
      </c>
      <c r="G483" s="67">
        <v>1</v>
      </c>
      <c r="H483" s="67">
        <v>0</v>
      </c>
      <c r="I483" s="67">
        <v>0</v>
      </c>
      <c r="K483" s="67">
        <v>463</v>
      </c>
      <c r="L483" s="67">
        <v>3</v>
      </c>
    </row>
    <row r="484" spans="6:12" x14ac:dyDescent="0.15">
      <c r="F484" s="67">
        <v>464</v>
      </c>
      <c r="G484" s="67">
        <v>0</v>
      </c>
      <c r="H484" s="67">
        <v>1</v>
      </c>
      <c r="I484" s="67">
        <v>1</v>
      </c>
      <c r="K484" s="67">
        <v>464</v>
      </c>
      <c r="L484" s="67">
        <v>5</v>
      </c>
    </row>
    <row r="485" spans="6:12" x14ac:dyDescent="0.15">
      <c r="F485" s="67">
        <v>465</v>
      </c>
      <c r="G485" s="67">
        <v>0</v>
      </c>
      <c r="H485" s="67">
        <v>1</v>
      </c>
      <c r="I485" s="67">
        <v>1</v>
      </c>
      <c r="K485" s="67">
        <v>465</v>
      </c>
      <c r="L485" s="67">
        <v>3</v>
      </c>
    </row>
    <row r="486" spans="6:12" x14ac:dyDescent="0.15">
      <c r="F486" s="67">
        <v>466</v>
      </c>
      <c r="G486" s="67">
        <v>0</v>
      </c>
      <c r="H486" s="67">
        <v>1</v>
      </c>
      <c r="I486" s="67">
        <v>0</v>
      </c>
      <c r="K486" s="67">
        <v>466</v>
      </c>
      <c r="L486" s="67">
        <v>4</v>
      </c>
    </row>
    <row r="487" spans="6:12" x14ac:dyDescent="0.15">
      <c r="F487" s="67">
        <v>467</v>
      </c>
      <c r="G487" s="67">
        <v>0</v>
      </c>
      <c r="H487" s="67">
        <v>0</v>
      </c>
      <c r="I487" s="67">
        <v>0</v>
      </c>
      <c r="K487" s="67">
        <v>467</v>
      </c>
      <c r="L487" s="67">
        <v>3</v>
      </c>
    </row>
    <row r="488" spans="6:12" x14ac:dyDescent="0.15">
      <c r="F488" s="67">
        <v>468</v>
      </c>
      <c r="G488" s="67">
        <v>0</v>
      </c>
      <c r="H488" s="67">
        <v>0</v>
      </c>
      <c r="I488" s="67">
        <v>0</v>
      </c>
      <c r="K488" s="67">
        <v>468</v>
      </c>
      <c r="L488" s="67">
        <v>4</v>
      </c>
    </row>
    <row r="489" spans="6:12" x14ac:dyDescent="0.15">
      <c r="F489" s="67">
        <v>469</v>
      </c>
      <c r="G489" s="67">
        <v>0</v>
      </c>
      <c r="H489" s="67">
        <v>0</v>
      </c>
      <c r="I489" s="67">
        <v>0</v>
      </c>
      <c r="K489" s="67">
        <v>469</v>
      </c>
      <c r="L489" s="67">
        <v>4</v>
      </c>
    </row>
    <row r="490" spans="6:12" x14ac:dyDescent="0.15">
      <c r="F490" s="67">
        <v>470</v>
      </c>
      <c r="G490" s="67">
        <v>1</v>
      </c>
      <c r="H490" s="67">
        <v>0</v>
      </c>
      <c r="I490" s="67">
        <v>0</v>
      </c>
      <c r="K490" s="67">
        <v>470</v>
      </c>
      <c r="L490" s="67">
        <v>3</v>
      </c>
    </row>
    <row r="491" spans="6:12" x14ac:dyDescent="0.15">
      <c r="F491" s="67">
        <v>471</v>
      </c>
      <c r="G491" s="67">
        <v>0</v>
      </c>
      <c r="H491" s="67">
        <v>1</v>
      </c>
      <c r="I491" s="67">
        <v>1</v>
      </c>
      <c r="K491" s="67">
        <v>471</v>
      </c>
      <c r="L491" s="67">
        <v>3</v>
      </c>
    </row>
    <row r="492" spans="6:12" x14ac:dyDescent="0.15">
      <c r="F492" s="67">
        <v>472</v>
      </c>
      <c r="G492" s="67">
        <v>0</v>
      </c>
      <c r="H492" s="67">
        <v>0</v>
      </c>
      <c r="I492" s="67">
        <v>0</v>
      </c>
      <c r="K492" s="67">
        <v>472</v>
      </c>
      <c r="L492" s="67">
        <v>5</v>
      </c>
    </row>
    <row r="493" spans="6:12" x14ac:dyDescent="0.15">
      <c r="F493" s="67">
        <v>473</v>
      </c>
      <c r="G493" s="67">
        <v>0</v>
      </c>
      <c r="H493" s="67">
        <v>0</v>
      </c>
      <c r="I493" s="67">
        <v>0</v>
      </c>
      <c r="K493" s="67">
        <v>473</v>
      </c>
      <c r="L493" s="67">
        <v>4</v>
      </c>
    </row>
    <row r="494" spans="6:12" x14ac:dyDescent="0.15">
      <c r="F494" s="67">
        <v>474</v>
      </c>
      <c r="G494" s="67">
        <v>0</v>
      </c>
      <c r="H494" s="67">
        <v>1</v>
      </c>
      <c r="I494" s="67">
        <v>1</v>
      </c>
      <c r="K494" s="67">
        <v>474</v>
      </c>
      <c r="L494" s="67">
        <v>4</v>
      </c>
    </row>
    <row r="495" spans="6:12" x14ac:dyDescent="0.15">
      <c r="F495" s="67">
        <v>475</v>
      </c>
      <c r="G495" s="67">
        <v>1</v>
      </c>
      <c r="H495" s="67">
        <v>0</v>
      </c>
      <c r="I495" s="67">
        <v>0</v>
      </c>
      <c r="K495" s="67">
        <v>475</v>
      </c>
      <c r="L495" s="67">
        <v>5</v>
      </c>
    </row>
    <row r="496" spans="6:12" x14ac:dyDescent="0.15">
      <c r="F496" s="67">
        <v>476</v>
      </c>
      <c r="G496" s="67">
        <v>0</v>
      </c>
      <c r="H496" s="67">
        <v>0</v>
      </c>
      <c r="I496" s="67">
        <v>0</v>
      </c>
      <c r="K496" s="67">
        <v>476</v>
      </c>
      <c r="L496" s="67">
        <v>4</v>
      </c>
    </row>
    <row r="497" spans="6:12" x14ac:dyDescent="0.15">
      <c r="F497" s="67">
        <v>477</v>
      </c>
      <c r="G497" s="67">
        <v>0</v>
      </c>
      <c r="H497" s="67">
        <v>0</v>
      </c>
      <c r="I497" s="67">
        <v>0</v>
      </c>
      <c r="K497" s="67">
        <v>477</v>
      </c>
      <c r="L497" s="67">
        <v>4</v>
      </c>
    </row>
    <row r="498" spans="6:12" x14ac:dyDescent="0.15">
      <c r="F498" s="67">
        <v>478</v>
      </c>
      <c r="G498" s="67">
        <v>0</v>
      </c>
      <c r="H498" s="67">
        <v>1</v>
      </c>
      <c r="I498" s="67">
        <v>1</v>
      </c>
      <c r="K498" s="67">
        <v>478</v>
      </c>
      <c r="L498" s="67">
        <v>4</v>
      </c>
    </row>
    <row r="499" spans="6:12" x14ac:dyDescent="0.15">
      <c r="F499" s="67">
        <v>479</v>
      </c>
      <c r="G499" s="67">
        <v>0</v>
      </c>
      <c r="H499" s="67">
        <v>1</v>
      </c>
      <c r="I499" s="67">
        <v>0</v>
      </c>
      <c r="K499" s="67">
        <v>479</v>
      </c>
      <c r="L499" s="67">
        <v>4</v>
      </c>
    </row>
    <row r="500" spans="6:12" x14ac:dyDescent="0.15">
      <c r="F500" s="67">
        <v>480</v>
      </c>
      <c r="G500" s="67">
        <v>0</v>
      </c>
      <c r="H500" s="67">
        <v>1</v>
      </c>
      <c r="I500" s="67">
        <v>1</v>
      </c>
      <c r="K500" s="67">
        <v>480</v>
      </c>
      <c r="L500" s="67">
        <v>5</v>
      </c>
    </row>
    <row r="501" spans="6:12" x14ac:dyDescent="0.15">
      <c r="F501" s="67">
        <v>481</v>
      </c>
      <c r="G501" s="67">
        <v>0</v>
      </c>
      <c r="H501" s="67">
        <v>0</v>
      </c>
      <c r="I501" s="67">
        <v>0</v>
      </c>
      <c r="K501" s="67">
        <v>481</v>
      </c>
      <c r="L501" s="67">
        <v>4</v>
      </c>
    </row>
    <row r="502" spans="6:12" x14ac:dyDescent="0.15">
      <c r="F502" s="67">
        <v>482</v>
      </c>
      <c r="G502" s="67">
        <v>0</v>
      </c>
      <c r="H502" s="67">
        <v>0</v>
      </c>
      <c r="I502" s="67">
        <v>0</v>
      </c>
      <c r="K502" s="67">
        <v>482</v>
      </c>
      <c r="L502" s="67">
        <v>4</v>
      </c>
    </row>
    <row r="503" spans="6:12" x14ac:dyDescent="0.15">
      <c r="F503" s="67">
        <v>483</v>
      </c>
      <c r="G503" s="67">
        <v>0</v>
      </c>
      <c r="H503" s="67">
        <v>1</v>
      </c>
      <c r="I503" s="67">
        <v>1</v>
      </c>
      <c r="K503" s="67">
        <v>483</v>
      </c>
      <c r="L503" s="67">
        <v>4</v>
      </c>
    </row>
    <row r="504" spans="6:12" x14ac:dyDescent="0.15">
      <c r="F504" s="67">
        <v>484</v>
      </c>
      <c r="G504" s="67">
        <v>0</v>
      </c>
      <c r="H504" s="67">
        <v>0</v>
      </c>
      <c r="I504" s="67">
        <v>0</v>
      </c>
      <c r="K504" s="67">
        <v>484</v>
      </c>
      <c r="L504" s="67">
        <v>4</v>
      </c>
    </row>
    <row r="505" spans="6:12" x14ac:dyDescent="0.15">
      <c r="F505" s="67">
        <v>485</v>
      </c>
      <c r="G505" s="67">
        <v>0</v>
      </c>
      <c r="H505" s="67">
        <v>1</v>
      </c>
      <c r="I505" s="67">
        <v>1</v>
      </c>
      <c r="K505" s="67">
        <v>485</v>
      </c>
      <c r="L505" s="67">
        <v>3</v>
      </c>
    </row>
    <row r="506" spans="6:12" x14ac:dyDescent="0.15">
      <c r="F506" s="67">
        <v>486</v>
      </c>
      <c r="G506" s="67">
        <v>0</v>
      </c>
      <c r="H506" s="67">
        <v>0</v>
      </c>
      <c r="I506" s="67">
        <v>0</v>
      </c>
      <c r="K506" s="67">
        <v>486</v>
      </c>
      <c r="L506" s="67">
        <v>4</v>
      </c>
    </row>
    <row r="507" spans="6:12" x14ac:dyDescent="0.15">
      <c r="F507" s="67">
        <v>487</v>
      </c>
      <c r="G507" s="67">
        <v>0</v>
      </c>
      <c r="H507" s="67">
        <v>0</v>
      </c>
      <c r="I507" s="67">
        <v>0</v>
      </c>
      <c r="K507" s="67">
        <v>487</v>
      </c>
      <c r="L507" s="67">
        <v>4</v>
      </c>
    </row>
    <row r="508" spans="6:12" x14ac:dyDescent="0.15">
      <c r="F508" s="67">
        <v>488</v>
      </c>
      <c r="G508" s="67">
        <v>0</v>
      </c>
      <c r="H508" s="67">
        <v>1</v>
      </c>
      <c r="I508" s="67">
        <v>0</v>
      </c>
      <c r="K508" s="67">
        <v>488</v>
      </c>
      <c r="L508" s="67">
        <v>4</v>
      </c>
    </row>
    <row r="509" spans="6:12" x14ac:dyDescent="0.15">
      <c r="F509" s="67">
        <v>489</v>
      </c>
      <c r="G509" s="67">
        <v>0</v>
      </c>
      <c r="H509" s="67">
        <v>0</v>
      </c>
      <c r="I509" s="67">
        <v>0</v>
      </c>
      <c r="K509" s="67">
        <v>489</v>
      </c>
      <c r="L509" s="67">
        <v>3</v>
      </c>
    </row>
    <row r="510" spans="6:12" x14ac:dyDescent="0.15">
      <c r="F510" s="67">
        <v>490</v>
      </c>
      <c r="G510" s="67">
        <v>0</v>
      </c>
      <c r="H510" s="67">
        <v>1</v>
      </c>
      <c r="I510" s="67">
        <v>1</v>
      </c>
      <c r="K510" s="67">
        <v>490</v>
      </c>
      <c r="L510" s="67">
        <v>4</v>
      </c>
    </row>
    <row r="511" spans="6:12" x14ac:dyDescent="0.15">
      <c r="F511" s="67">
        <v>491</v>
      </c>
      <c r="G511" s="67">
        <v>0</v>
      </c>
      <c r="H511" s="67">
        <v>0</v>
      </c>
      <c r="I511" s="67">
        <v>0</v>
      </c>
      <c r="K511" s="67">
        <v>491</v>
      </c>
      <c r="L511" s="67">
        <v>4</v>
      </c>
    </row>
    <row r="512" spans="6:12" x14ac:dyDescent="0.15">
      <c r="F512" s="67">
        <v>492</v>
      </c>
      <c r="G512" s="67">
        <v>0</v>
      </c>
      <c r="H512" s="67">
        <v>1</v>
      </c>
      <c r="I512" s="67">
        <v>1</v>
      </c>
      <c r="K512" s="67">
        <v>492</v>
      </c>
      <c r="L512" s="67">
        <v>4</v>
      </c>
    </row>
    <row r="513" spans="6:12" x14ac:dyDescent="0.15">
      <c r="F513" s="67">
        <v>493</v>
      </c>
      <c r="G513" s="67">
        <v>0</v>
      </c>
      <c r="H513" s="67">
        <v>1</v>
      </c>
      <c r="I513" s="67">
        <v>1</v>
      </c>
      <c r="K513" s="67">
        <v>493</v>
      </c>
      <c r="L513" s="67">
        <v>4</v>
      </c>
    </row>
    <row r="514" spans="6:12" x14ac:dyDescent="0.15">
      <c r="F514" s="67">
        <v>494</v>
      </c>
      <c r="G514" s="67">
        <v>0</v>
      </c>
      <c r="H514" s="67">
        <v>1</v>
      </c>
      <c r="I514" s="67">
        <v>0</v>
      </c>
      <c r="K514" s="67">
        <v>494</v>
      </c>
      <c r="L514" s="67">
        <v>3</v>
      </c>
    </row>
    <row r="515" spans="6:12" x14ac:dyDescent="0.15">
      <c r="F515" s="67">
        <v>495</v>
      </c>
      <c r="G515" s="67">
        <v>0</v>
      </c>
      <c r="H515" s="67">
        <v>0</v>
      </c>
      <c r="I515" s="67">
        <v>0</v>
      </c>
      <c r="K515" s="67">
        <v>495</v>
      </c>
      <c r="L515" s="67">
        <v>5</v>
      </c>
    </row>
    <row r="516" spans="6:12" x14ac:dyDescent="0.15">
      <c r="F516" s="67">
        <v>496</v>
      </c>
      <c r="G516" s="67">
        <v>0</v>
      </c>
      <c r="H516" s="67">
        <v>1</v>
      </c>
      <c r="I516" s="67">
        <v>1</v>
      </c>
      <c r="K516" s="67">
        <v>496</v>
      </c>
      <c r="L516" s="67">
        <v>5</v>
      </c>
    </row>
    <row r="517" spans="6:12" x14ac:dyDescent="0.15">
      <c r="F517" s="67">
        <v>497</v>
      </c>
      <c r="G517" s="67">
        <v>0</v>
      </c>
      <c r="H517" s="67">
        <v>1</v>
      </c>
      <c r="I517" s="67">
        <v>1</v>
      </c>
      <c r="K517" s="67">
        <v>497</v>
      </c>
      <c r="L517" s="67">
        <v>3</v>
      </c>
    </row>
    <row r="518" spans="6:12" x14ac:dyDescent="0.15">
      <c r="F518" s="67">
        <v>498</v>
      </c>
      <c r="G518" s="67">
        <v>0</v>
      </c>
      <c r="H518" s="67">
        <v>1</v>
      </c>
      <c r="I518" s="67">
        <v>1</v>
      </c>
      <c r="K518" s="67">
        <v>498</v>
      </c>
      <c r="L518" s="67">
        <v>4</v>
      </c>
    </row>
    <row r="519" spans="6:12" x14ac:dyDescent="0.15">
      <c r="F519" s="67">
        <v>499</v>
      </c>
      <c r="G519" s="67">
        <v>0</v>
      </c>
      <c r="H519" s="67">
        <v>1</v>
      </c>
      <c r="I519" s="67">
        <v>1</v>
      </c>
      <c r="K519" s="67">
        <v>499</v>
      </c>
      <c r="L519" s="67">
        <v>4</v>
      </c>
    </row>
    <row r="520" spans="6:12" x14ac:dyDescent="0.15">
      <c r="F520" s="67">
        <v>500</v>
      </c>
      <c r="G520" s="67">
        <v>0</v>
      </c>
      <c r="H520" s="67">
        <v>1</v>
      </c>
      <c r="I520" s="67">
        <v>1</v>
      </c>
      <c r="K520" s="67">
        <v>500</v>
      </c>
      <c r="L520" s="67">
        <v>4</v>
      </c>
    </row>
  </sheetData>
  <phoneticPr fontId="1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514"/>
  <sheetViews>
    <sheetView tabSelected="1" workbookViewId="0">
      <selection activeCell="D11" sqref="D11"/>
    </sheetView>
  </sheetViews>
  <sheetFormatPr defaultColWidth="8.875" defaultRowHeight="13.5" x14ac:dyDescent="0.15"/>
  <cols>
    <col min="1" max="1" width="3.875" style="66" customWidth="1"/>
    <col min="2" max="2" width="12.75" style="66" customWidth="1"/>
    <col min="3" max="3" width="15" style="66" bestFit="1" customWidth="1"/>
    <col min="4" max="4" width="8.875" style="66"/>
    <col min="5" max="6" width="11" style="66" bestFit="1" customWidth="1"/>
    <col min="7" max="7" width="6.5" style="66" bestFit="1" customWidth="1"/>
    <col min="8" max="16" width="5.25" style="66" bestFit="1" customWidth="1"/>
    <col min="17" max="17" width="3.625" style="66" customWidth="1"/>
    <col min="18" max="18" width="8.875" style="66"/>
    <col min="19" max="19" width="5.25" style="66" bestFit="1" customWidth="1"/>
    <col min="20" max="16384" width="8.875" style="66"/>
  </cols>
  <sheetData>
    <row r="2" spans="2:19" ht="33.75" x14ac:dyDescent="0.15">
      <c r="B2" s="81" t="s">
        <v>132</v>
      </c>
    </row>
    <row r="4" spans="2:19" x14ac:dyDescent="0.15">
      <c r="B4" s="71" t="s">
        <v>131</v>
      </c>
      <c r="C4" s="80">
        <v>3</v>
      </c>
      <c r="F4" s="79" t="s">
        <v>124</v>
      </c>
      <c r="G4" s="78">
        <v>1</v>
      </c>
      <c r="H4" s="75">
        <v>2</v>
      </c>
      <c r="I4" s="75">
        <v>3</v>
      </c>
      <c r="J4" s="75">
        <v>4</v>
      </c>
      <c r="K4" s="75">
        <v>5</v>
      </c>
      <c r="L4" s="75">
        <v>6</v>
      </c>
      <c r="M4" s="75">
        <v>7</v>
      </c>
      <c r="N4" s="75">
        <v>8</v>
      </c>
      <c r="O4" s="75">
        <v>9</v>
      </c>
      <c r="P4" s="75">
        <v>10</v>
      </c>
    </row>
    <row r="5" spans="2:19" x14ac:dyDescent="0.15">
      <c r="B5" s="71" t="s">
        <v>130</v>
      </c>
      <c r="C5" s="80">
        <v>7</v>
      </c>
      <c r="F5" s="75" t="s">
        <v>123</v>
      </c>
      <c r="G5" s="75" t="s">
        <v>129</v>
      </c>
      <c r="H5" s="75" t="s">
        <v>129</v>
      </c>
      <c r="I5" s="75" t="s">
        <v>129</v>
      </c>
      <c r="J5" s="75" t="s">
        <v>128</v>
      </c>
      <c r="K5" s="75" t="s">
        <v>128</v>
      </c>
      <c r="L5" s="75" t="s">
        <v>128</v>
      </c>
      <c r="M5" s="75" t="s">
        <v>128</v>
      </c>
      <c r="N5" s="75" t="s">
        <v>128</v>
      </c>
      <c r="O5" s="75" t="s">
        <v>128</v>
      </c>
      <c r="P5" s="75" t="s">
        <v>128</v>
      </c>
      <c r="R5" s="77" t="s">
        <v>122</v>
      </c>
      <c r="S5" s="77" t="s">
        <v>121</v>
      </c>
    </row>
    <row r="6" spans="2:19" x14ac:dyDescent="0.15">
      <c r="B6" s="71" t="s">
        <v>127</v>
      </c>
      <c r="C6" s="80">
        <v>2</v>
      </c>
      <c r="E6" s="66" t="s">
        <v>126</v>
      </c>
      <c r="F6" s="76">
        <f ca="1">RANDBETWEEN(1,10)</f>
        <v>5</v>
      </c>
      <c r="G6" s="107" t="str">
        <f t="shared" ref="G6:P6" ca="1" si="0">IF($F$6=G4,IF(G5="黑色","白色","黑色"),G5)</f>
        <v>黑色</v>
      </c>
      <c r="H6" s="107" t="str">
        <f t="shared" ca="1" si="0"/>
        <v>黑色</v>
      </c>
      <c r="I6" s="107" t="str">
        <f t="shared" ca="1" si="0"/>
        <v>黑色</v>
      </c>
      <c r="J6" s="107" t="str">
        <f t="shared" ca="1" si="0"/>
        <v>白色</v>
      </c>
      <c r="K6" s="107" t="str">
        <f t="shared" ca="1" si="0"/>
        <v>黑色</v>
      </c>
      <c r="L6" s="107" t="str">
        <f t="shared" ca="1" si="0"/>
        <v>白色</v>
      </c>
      <c r="M6" s="107" t="str">
        <f t="shared" ca="1" si="0"/>
        <v>白色</v>
      </c>
      <c r="N6" s="107" t="str">
        <f t="shared" ca="1" si="0"/>
        <v>白色</v>
      </c>
      <c r="O6" s="107" t="str">
        <f t="shared" ca="1" si="0"/>
        <v>白色</v>
      </c>
      <c r="P6" s="107" t="str">
        <f t="shared" ca="1" si="0"/>
        <v>白色</v>
      </c>
      <c r="R6" s="67" t="str">
        <f ca="1">INDEX(G5:P5,F6)</f>
        <v>白色</v>
      </c>
      <c r="S6" s="67">
        <f ca="1">IF(R6="黑色",$C$6,$C$7)</f>
        <v>1</v>
      </c>
    </row>
    <row r="7" spans="2:19" x14ac:dyDescent="0.15">
      <c r="B7" s="71" t="s">
        <v>125</v>
      </c>
      <c r="C7" s="80">
        <v>1</v>
      </c>
      <c r="E7" s="66" t="s">
        <v>119</v>
      </c>
      <c r="F7" s="76">
        <f ca="1">RANDBETWEEN(1,10)</f>
        <v>3</v>
      </c>
      <c r="G7" s="107" t="str">
        <f ca="1">IF($F$7=G4,IF(G6="黑色","白色","黑色"),G6)</f>
        <v>黑色</v>
      </c>
      <c r="H7" s="107" t="str">
        <f t="shared" ref="H7:P7" ca="1" si="1">IF($F$7=H4,IF(H6="黑色","白色","黑色"),H6)</f>
        <v>黑色</v>
      </c>
      <c r="I7" s="107" t="str">
        <f t="shared" ca="1" si="1"/>
        <v>白色</v>
      </c>
      <c r="J7" s="107" t="str">
        <f t="shared" ca="1" si="1"/>
        <v>白色</v>
      </c>
      <c r="K7" s="107" t="str">
        <f t="shared" ca="1" si="1"/>
        <v>黑色</v>
      </c>
      <c r="L7" s="107" t="str">
        <f t="shared" ca="1" si="1"/>
        <v>白色</v>
      </c>
      <c r="M7" s="107" t="str">
        <f t="shared" ca="1" si="1"/>
        <v>白色</v>
      </c>
      <c r="N7" s="107" t="str">
        <f t="shared" ca="1" si="1"/>
        <v>白色</v>
      </c>
      <c r="O7" s="107" t="str">
        <f t="shared" ca="1" si="1"/>
        <v>白色</v>
      </c>
      <c r="P7" s="107" t="str">
        <f t="shared" ca="1" si="1"/>
        <v>白色</v>
      </c>
      <c r="R7" s="67" t="str">
        <f ca="1">INDEX(G6:P6,F7)</f>
        <v>黑色</v>
      </c>
      <c r="S7" s="67">
        <f ca="1">IF(R7="黑色",$C$6,$C$7)</f>
        <v>2</v>
      </c>
    </row>
    <row r="8" spans="2:19" x14ac:dyDescent="0.15">
      <c r="E8" s="66" t="s">
        <v>112</v>
      </c>
      <c r="F8" s="76">
        <f ca="1">RANDBETWEEN(1,10)</f>
        <v>10</v>
      </c>
      <c r="G8" s="107" t="str">
        <f ca="1">IF($F$8=G4,IF(G7="黑色","白色","黑色"),G7)</f>
        <v>黑色</v>
      </c>
      <c r="H8" s="107" t="str">
        <f t="shared" ref="H8:P8" ca="1" si="2">IF($F$8=H4,IF(H7="黑色","白色","黑色"),H7)</f>
        <v>黑色</v>
      </c>
      <c r="I8" s="107" t="str">
        <f t="shared" ca="1" si="2"/>
        <v>白色</v>
      </c>
      <c r="J8" s="107" t="str">
        <f t="shared" ca="1" si="2"/>
        <v>白色</v>
      </c>
      <c r="K8" s="107" t="str">
        <f t="shared" ca="1" si="2"/>
        <v>黑色</v>
      </c>
      <c r="L8" s="107" t="str">
        <f t="shared" ca="1" si="2"/>
        <v>白色</v>
      </c>
      <c r="M8" s="107" t="str">
        <f t="shared" ca="1" si="2"/>
        <v>白色</v>
      </c>
      <c r="N8" s="107" t="str">
        <f t="shared" ca="1" si="2"/>
        <v>白色</v>
      </c>
      <c r="O8" s="107" t="str">
        <f t="shared" ca="1" si="2"/>
        <v>白色</v>
      </c>
      <c r="P8" s="107" t="str">
        <f t="shared" ca="1" si="2"/>
        <v>黑色</v>
      </c>
      <c r="R8" s="67" t="str">
        <f ca="1">INDEX(G7:P7,F8)</f>
        <v>白色</v>
      </c>
      <c r="S8" s="67">
        <f ca="1">IF(R8="黑色",$C$6,$C$7)</f>
        <v>1</v>
      </c>
    </row>
    <row r="10" spans="2:19" ht="14.25" x14ac:dyDescent="0.15">
      <c r="B10" s="71" t="s">
        <v>120</v>
      </c>
      <c r="C10" s="70" t="str">
        <f ca="1">R6&amp;R7&amp;R8</f>
        <v>白色黑色白色</v>
      </c>
    </row>
    <row r="11" spans="2:19" ht="14.25" x14ac:dyDescent="0.15">
      <c r="B11" s="74" t="s">
        <v>118</v>
      </c>
      <c r="C11" s="70">
        <f ca="1">IF(C10="黑色白色白色",1,0)</f>
        <v>0</v>
      </c>
    </row>
    <row r="12" spans="2:19" ht="14.25" x14ac:dyDescent="0.15">
      <c r="B12" s="73" t="s">
        <v>109</v>
      </c>
      <c r="C12" s="72">
        <f>SUM(G15:G514)/500</f>
        <v>0.17199999999999999</v>
      </c>
    </row>
    <row r="13" spans="2:19" x14ac:dyDescent="0.15">
      <c r="O13" s="110" t="s">
        <v>153</v>
      </c>
      <c r="P13" s="110" t="s">
        <v>154</v>
      </c>
    </row>
    <row r="14" spans="2:19" ht="14.25" x14ac:dyDescent="0.15">
      <c r="B14" s="71" t="s">
        <v>113</v>
      </c>
      <c r="C14" s="70" t="str">
        <f ca="1">R6&amp;R7</f>
        <v>白色黑色</v>
      </c>
      <c r="G14" s="69">
        <f ca="1">C11</f>
        <v>0</v>
      </c>
      <c r="H14" s="69">
        <f ca="1">C15</f>
        <v>0</v>
      </c>
      <c r="I14" s="69">
        <f ca="1">C16</f>
        <v>0</v>
      </c>
      <c r="L14" s="69">
        <f ca="1">C19</f>
        <v>4</v>
      </c>
      <c r="N14" s="67">
        <v>3</v>
      </c>
      <c r="O14" s="67">
        <f>COUNTIF($L$15:$L$514,N14)</f>
        <v>104</v>
      </c>
      <c r="P14" s="68">
        <f>O14/$O$18</f>
        <v>0.20799999999999999</v>
      </c>
    </row>
    <row r="15" spans="2:19" ht="14.25" x14ac:dyDescent="0.15">
      <c r="B15" s="74" t="s">
        <v>111</v>
      </c>
      <c r="C15" s="70">
        <f ca="1">IF(R6=R7,1,0)</f>
        <v>0</v>
      </c>
      <c r="F15" s="67">
        <v>1</v>
      </c>
      <c r="G15" s="67">
        <f t="dataTable" ref="G15:I514" dt2D="0" dtr="0" r1="I2" ca="1"/>
        <v>0</v>
      </c>
      <c r="H15" s="67">
        <v>0</v>
      </c>
      <c r="I15" s="67">
        <v>0</v>
      </c>
      <c r="K15" s="67">
        <v>1</v>
      </c>
      <c r="L15" s="67">
        <f t="dataTable" ref="L15:L514" dt2D="0" dtr="0" r1="T2" ca="1"/>
        <v>4</v>
      </c>
      <c r="N15" s="67">
        <v>4</v>
      </c>
      <c r="O15" s="67">
        <f>COUNTIF($L$15:$L$514,N15)</f>
        <v>281</v>
      </c>
      <c r="P15" s="68">
        <f>O15/$O$18</f>
        <v>0.56200000000000006</v>
      </c>
    </row>
    <row r="16" spans="2:19" ht="14.25" x14ac:dyDescent="0.15">
      <c r="B16" s="74" t="s">
        <v>110</v>
      </c>
      <c r="C16" s="70">
        <f ca="1">IF(C14="白色白色",1,0)</f>
        <v>0</v>
      </c>
      <c r="F16" s="67">
        <v>2</v>
      </c>
      <c r="G16" s="67">
        <v>0</v>
      </c>
      <c r="H16" s="67">
        <v>0</v>
      </c>
      <c r="I16" s="67">
        <v>0</v>
      </c>
      <c r="K16" s="67">
        <v>2</v>
      </c>
      <c r="L16" s="67">
        <v>4</v>
      </c>
      <c r="N16" s="67">
        <v>5</v>
      </c>
      <c r="O16" s="67">
        <f>COUNTIF($L$15:$L$514,N16)</f>
        <v>110</v>
      </c>
      <c r="P16" s="68">
        <f>O16/$O$18</f>
        <v>0.22</v>
      </c>
    </row>
    <row r="17" spans="2:16" ht="14.25" x14ac:dyDescent="0.15">
      <c r="B17" s="73" t="s">
        <v>109</v>
      </c>
      <c r="C17" s="72">
        <f>SUM(I15:I514)/SUM(H15:H514)</f>
        <v>0.86885245901639341</v>
      </c>
      <c r="F17" s="67">
        <v>3</v>
      </c>
      <c r="G17" s="67">
        <v>0</v>
      </c>
      <c r="H17" s="67">
        <v>1</v>
      </c>
      <c r="I17" s="67">
        <v>1</v>
      </c>
      <c r="K17" s="67">
        <v>3</v>
      </c>
      <c r="L17" s="67">
        <v>3</v>
      </c>
      <c r="N17" s="67">
        <v>6</v>
      </c>
      <c r="O17" s="67">
        <f>COUNTIF($L$15:$L$514,N17)</f>
        <v>5</v>
      </c>
      <c r="P17" s="68">
        <f>O17/$O$18</f>
        <v>0.01</v>
      </c>
    </row>
    <row r="18" spans="2:16" x14ac:dyDescent="0.15">
      <c r="F18" s="67">
        <v>4</v>
      </c>
      <c r="G18" s="67">
        <v>0</v>
      </c>
      <c r="H18" s="67">
        <v>1</v>
      </c>
      <c r="I18" s="67">
        <v>1</v>
      </c>
      <c r="K18" s="67">
        <v>4</v>
      </c>
      <c r="L18" s="67">
        <v>3</v>
      </c>
      <c r="O18" s="67">
        <f>SUM(O14:O17)</f>
        <v>500</v>
      </c>
    </row>
    <row r="19" spans="2:16" ht="14.25" x14ac:dyDescent="0.15">
      <c r="B19" s="71" t="s">
        <v>108</v>
      </c>
      <c r="C19" s="70">
        <f ca="1">S6+S7+S8</f>
        <v>4</v>
      </c>
      <c r="F19" s="67">
        <v>5</v>
      </c>
      <c r="G19" s="67">
        <v>0</v>
      </c>
      <c r="H19" s="67">
        <v>1</v>
      </c>
      <c r="I19" s="67">
        <v>1</v>
      </c>
      <c r="K19" s="67">
        <v>5</v>
      </c>
      <c r="L19" s="67">
        <v>5</v>
      </c>
    </row>
    <row r="20" spans="2:16" x14ac:dyDescent="0.15">
      <c r="F20" s="67">
        <v>6</v>
      </c>
      <c r="G20" s="67">
        <v>0</v>
      </c>
      <c r="H20" s="67">
        <v>0</v>
      </c>
      <c r="I20" s="67">
        <v>0</v>
      </c>
      <c r="K20" s="67">
        <v>6</v>
      </c>
      <c r="L20" s="67">
        <v>5</v>
      </c>
    </row>
    <row r="21" spans="2:16" x14ac:dyDescent="0.15">
      <c r="F21" s="67">
        <v>7</v>
      </c>
      <c r="G21" s="67">
        <v>0</v>
      </c>
      <c r="H21" s="67">
        <v>0</v>
      </c>
      <c r="I21" s="67">
        <v>0</v>
      </c>
      <c r="K21" s="67">
        <v>7</v>
      </c>
      <c r="L21" s="67">
        <v>5</v>
      </c>
    </row>
    <row r="22" spans="2:16" x14ac:dyDescent="0.15">
      <c r="F22" s="67">
        <v>8</v>
      </c>
      <c r="G22" s="67">
        <v>0</v>
      </c>
      <c r="H22" s="67">
        <v>1</v>
      </c>
      <c r="I22" s="67">
        <v>1</v>
      </c>
      <c r="K22" s="67">
        <v>8</v>
      </c>
      <c r="L22" s="67">
        <v>5</v>
      </c>
    </row>
    <row r="23" spans="2:16" x14ac:dyDescent="0.15">
      <c r="F23" s="67">
        <v>9</v>
      </c>
      <c r="G23" s="67">
        <v>0</v>
      </c>
      <c r="H23" s="67">
        <v>0</v>
      </c>
      <c r="I23" s="67">
        <v>0</v>
      </c>
      <c r="K23" s="67">
        <v>9</v>
      </c>
      <c r="L23" s="67">
        <v>3</v>
      </c>
    </row>
    <row r="24" spans="2:16" x14ac:dyDescent="0.15">
      <c r="F24" s="67">
        <v>10</v>
      </c>
      <c r="G24" s="67">
        <v>1</v>
      </c>
      <c r="H24" s="67">
        <v>0</v>
      </c>
      <c r="I24" s="67">
        <v>0</v>
      </c>
      <c r="K24" s="67">
        <v>10</v>
      </c>
      <c r="L24" s="67">
        <v>4</v>
      </c>
    </row>
    <row r="25" spans="2:16" x14ac:dyDescent="0.15">
      <c r="F25" s="67">
        <v>11</v>
      </c>
      <c r="G25" s="67">
        <v>0</v>
      </c>
      <c r="H25" s="67">
        <v>0</v>
      </c>
      <c r="I25" s="67">
        <v>0</v>
      </c>
      <c r="K25" s="67">
        <v>11</v>
      </c>
      <c r="L25" s="67">
        <v>4</v>
      </c>
    </row>
    <row r="26" spans="2:16" x14ac:dyDescent="0.15">
      <c r="F26" s="67">
        <v>12</v>
      </c>
      <c r="G26" s="67">
        <v>0</v>
      </c>
      <c r="H26" s="67">
        <v>1</v>
      </c>
      <c r="I26" s="67">
        <v>1</v>
      </c>
      <c r="K26" s="67">
        <v>12</v>
      </c>
      <c r="L26" s="67">
        <v>4</v>
      </c>
    </row>
    <row r="27" spans="2:16" x14ac:dyDescent="0.15">
      <c r="F27" s="67">
        <v>13</v>
      </c>
      <c r="G27" s="67">
        <v>0</v>
      </c>
      <c r="H27" s="67">
        <v>1</v>
      </c>
      <c r="I27" s="67">
        <v>1</v>
      </c>
      <c r="K27" s="67">
        <v>13</v>
      </c>
      <c r="L27" s="67">
        <v>4</v>
      </c>
    </row>
    <row r="28" spans="2:16" x14ac:dyDescent="0.15">
      <c r="F28" s="67">
        <v>14</v>
      </c>
      <c r="G28" s="67">
        <v>0</v>
      </c>
      <c r="H28" s="67">
        <v>1</v>
      </c>
      <c r="I28" s="67">
        <v>1</v>
      </c>
      <c r="K28" s="67">
        <v>14</v>
      </c>
      <c r="L28" s="67">
        <v>5</v>
      </c>
    </row>
    <row r="29" spans="2:16" x14ac:dyDescent="0.15">
      <c r="F29" s="67">
        <v>15</v>
      </c>
      <c r="G29" s="67">
        <v>0</v>
      </c>
      <c r="H29" s="67">
        <v>1</v>
      </c>
      <c r="I29" s="67">
        <v>1</v>
      </c>
      <c r="K29" s="67">
        <v>15</v>
      </c>
      <c r="L29" s="67">
        <v>3</v>
      </c>
    </row>
    <row r="30" spans="2:16" x14ac:dyDescent="0.15">
      <c r="F30" s="67">
        <v>16</v>
      </c>
      <c r="G30" s="67">
        <v>1</v>
      </c>
      <c r="H30" s="67">
        <v>0</v>
      </c>
      <c r="I30" s="67">
        <v>0</v>
      </c>
      <c r="K30" s="67">
        <v>16</v>
      </c>
      <c r="L30" s="67">
        <v>5</v>
      </c>
    </row>
    <row r="31" spans="2:16" x14ac:dyDescent="0.15">
      <c r="F31" s="67">
        <v>17</v>
      </c>
      <c r="G31" s="67">
        <v>0</v>
      </c>
      <c r="H31" s="67">
        <v>0</v>
      </c>
      <c r="I31" s="67">
        <v>0</v>
      </c>
      <c r="K31" s="67">
        <v>17</v>
      </c>
      <c r="L31" s="67">
        <v>5</v>
      </c>
    </row>
    <row r="32" spans="2:16" x14ac:dyDescent="0.15">
      <c r="F32" s="67">
        <v>18</v>
      </c>
      <c r="G32" s="67">
        <v>0</v>
      </c>
      <c r="H32" s="67">
        <v>1</v>
      </c>
      <c r="I32" s="67">
        <v>1</v>
      </c>
      <c r="K32" s="67">
        <v>18</v>
      </c>
      <c r="L32" s="67">
        <v>4</v>
      </c>
    </row>
    <row r="33" spans="6:12" x14ac:dyDescent="0.15">
      <c r="F33" s="67">
        <v>19</v>
      </c>
      <c r="G33" s="67">
        <v>0</v>
      </c>
      <c r="H33" s="67">
        <v>1</v>
      </c>
      <c r="I33" s="67">
        <v>1</v>
      </c>
      <c r="K33" s="67">
        <v>19</v>
      </c>
      <c r="L33" s="67">
        <v>6</v>
      </c>
    </row>
    <row r="34" spans="6:12" x14ac:dyDescent="0.15">
      <c r="F34" s="67">
        <v>20</v>
      </c>
      <c r="G34" s="67">
        <v>0</v>
      </c>
      <c r="H34" s="67">
        <v>1</v>
      </c>
      <c r="I34" s="67">
        <v>1</v>
      </c>
      <c r="K34" s="67">
        <v>20</v>
      </c>
      <c r="L34" s="67">
        <v>4</v>
      </c>
    </row>
    <row r="35" spans="6:12" x14ac:dyDescent="0.15">
      <c r="F35" s="67">
        <v>21</v>
      </c>
      <c r="G35" s="67">
        <v>0</v>
      </c>
      <c r="H35" s="67">
        <v>1</v>
      </c>
      <c r="I35" s="67">
        <v>1</v>
      </c>
      <c r="K35" s="67">
        <v>21</v>
      </c>
      <c r="L35" s="67">
        <v>4</v>
      </c>
    </row>
    <row r="36" spans="6:12" x14ac:dyDescent="0.15">
      <c r="F36" s="67">
        <v>22</v>
      </c>
      <c r="G36" s="67">
        <v>0</v>
      </c>
      <c r="H36" s="67">
        <v>1</v>
      </c>
      <c r="I36" s="67">
        <v>1</v>
      </c>
      <c r="K36" s="67">
        <v>22</v>
      </c>
      <c r="L36" s="67">
        <v>5</v>
      </c>
    </row>
    <row r="37" spans="6:12" x14ac:dyDescent="0.15">
      <c r="F37" s="67">
        <v>23</v>
      </c>
      <c r="G37" s="67">
        <v>1</v>
      </c>
      <c r="H37" s="67">
        <v>0</v>
      </c>
      <c r="I37" s="67">
        <v>0</v>
      </c>
      <c r="K37" s="67">
        <v>23</v>
      </c>
      <c r="L37" s="67">
        <v>3</v>
      </c>
    </row>
    <row r="38" spans="6:12" x14ac:dyDescent="0.15">
      <c r="F38" s="67">
        <v>24</v>
      </c>
      <c r="G38" s="67">
        <v>0</v>
      </c>
      <c r="H38" s="67">
        <v>0</v>
      </c>
      <c r="I38" s="67">
        <v>0</v>
      </c>
      <c r="K38" s="67">
        <v>24</v>
      </c>
      <c r="L38" s="67">
        <v>4</v>
      </c>
    </row>
    <row r="39" spans="6:12" x14ac:dyDescent="0.15">
      <c r="F39" s="67">
        <v>25</v>
      </c>
      <c r="G39" s="67">
        <v>1</v>
      </c>
      <c r="H39" s="67">
        <v>0</v>
      </c>
      <c r="I39" s="67">
        <v>0</v>
      </c>
      <c r="K39" s="67">
        <v>25</v>
      </c>
      <c r="L39" s="67">
        <v>4</v>
      </c>
    </row>
    <row r="40" spans="6:12" x14ac:dyDescent="0.15">
      <c r="F40" s="67">
        <v>26</v>
      </c>
      <c r="G40" s="67">
        <v>0</v>
      </c>
      <c r="H40" s="67">
        <v>0</v>
      </c>
      <c r="I40" s="67">
        <v>0</v>
      </c>
      <c r="K40" s="67">
        <v>26</v>
      </c>
      <c r="L40" s="67">
        <v>5</v>
      </c>
    </row>
    <row r="41" spans="6:12" x14ac:dyDescent="0.15">
      <c r="F41" s="67">
        <v>27</v>
      </c>
      <c r="G41" s="67">
        <v>0</v>
      </c>
      <c r="H41" s="67">
        <v>1</v>
      </c>
      <c r="I41" s="67">
        <v>1</v>
      </c>
      <c r="K41" s="67">
        <v>27</v>
      </c>
      <c r="L41" s="67">
        <v>4</v>
      </c>
    </row>
    <row r="42" spans="6:12" x14ac:dyDescent="0.15">
      <c r="F42" s="67">
        <v>28</v>
      </c>
      <c r="G42" s="67">
        <v>0</v>
      </c>
      <c r="H42" s="67">
        <v>1</v>
      </c>
      <c r="I42" s="67">
        <v>1</v>
      </c>
      <c r="K42" s="67">
        <v>28</v>
      </c>
      <c r="L42" s="67">
        <v>5</v>
      </c>
    </row>
    <row r="43" spans="6:12" x14ac:dyDescent="0.15">
      <c r="F43" s="67">
        <v>29</v>
      </c>
      <c r="G43" s="67">
        <v>0</v>
      </c>
      <c r="H43" s="67">
        <v>0</v>
      </c>
      <c r="I43" s="67">
        <v>0</v>
      </c>
      <c r="K43" s="67">
        <v>29</v>
      </c>
      <c r="L43" s="67">
        <v>4</v>
      </c>
    </row>
    <row r="44" spans="6:12" x14ac:dyDescent="0.15">
      <c r="F44" s="67">
        <v>30</v>
      </c>
      <c r="G44" s="67">
        <v>0</v>
      </c>
      <c r="H44" s="67">
        <v>0</v>
      </c>
      <c r="I44" s="67">
        <v>0</v>
      </c>
      <c r="K44" s="67">
        <v>30</v>
      </c>
      <c r="L44" s="67">
        <v>4</v>
      </c>
    </row>
    <row r="45" spans="6:12" x14ac:dyDescent="0.15">
      <c r="F45" s="67">
        <v>31</v>
      </c>
      <c r="G45" s="67">
        <v>1</v>
      </c>
      <c r="H45" s="67">
        <v>0</v>
      </c>
      <c r="I45" s="67">
        <v>0</v>
      </c>
      <c r="K45" s="67">
        <v>31</v>
      </c>
      <c r="L45" s="67">
        <v>3</v>
      </c>
    </row>
    <row r="46" spans="6:12" x14ac:dyDescent="0.15">
      <c r="F46" s="67">
        <v>32</v>
      </c>
      <c r="G46" s="67">
        <v>0</v>
      </c>
      <c r="H46" s="67">
        <v>1</v>
      </c>
      <c r="I46" s="67">
        <v>1</v>
      </c>
      <c r="K46" s="67">
        <v>32</v>
      </c>
      <c r="L46" s="67">
        <v>4</v>
      </c>
    </row>
    <row r="47" spans="6:12" x14ac:dyDescent="0.15">
      <c r="F47" s="67">
        <v>33</v>
      </c>
      <c r="G47" s="67">
        <v>0</v>
      </c>
      <c r="H47" s="67">
        <v>1</v>
      </c>
      <c r="I47" s="67">
        <v>1</v>
      </c>
      <c r="K47" s="67">
        <v>33</v>
      </c>
      <c r="L47" s="67">
        <v>4</v>
      </c>
    </row>
    <row r="48" spans="6:12" x14ac:dyDescent="0.15">
      <c r="F48" s="67">
        <v>34</v>
      </c>
      <c r="G48" s="67">
        <v>0</v>
      </c>
      <c r="H48" s="67">
        <v>0</v>
      </c>
      <c r="I48" s="67">
        <v>0</v>
      </c>
      <c r="K48" s="67">
        <v>34</v>
      </c>
      <c r="L48" s="67">
        <v>3</v>
      </c>
    </row>
    <row r="49" spans="6:12" x14ac:dyDescent="0.15">
      <c r="F49" s="67">
        <v>35</v>
      </c>
      <c r="G49" s="67">
        <v>0</v>
      </c>
      <c r="H49" s="67">
        <v>0</v>
      </c>
      <c r="I49" s="67">
        <v>0</v>
      </c>
      <c r="K49" s="67">
        <v>35</v>
      </c>
      <c r="L49" s="67">
        <v>5</v>
      </c>
    </row>
    <row r="50" spans="6:12" x14ac:dyDescent="0.15">
      <c r="F50" s="67">
        <v>36</v>
      </c>
      <c r="G50" s="67">
        <v>1</v>
      </c>
      <c r="H50" s="67">
        <v>0</v>
      </c>
      <c r="I50" s="67">
        <v>0</v>
      </c>
      <c r="K50" s="67">
        <v>36</v>
      </c>
      <c r="L50" s="67">
        <v>3</v>
      </c>
    </row>
    <row r="51" spans="6:12" x14ac:dyDescent="0.15">
      <c r="F51" s="67">
        <v>37</v>
      </c>
      <c r="G51" s="67">
        <v>0</v>
      </c>
      <c r="H51" s="67">
        <v>1</v>
      </c>
      <c r="I51" s="67">
        <v>1</v>
      </c>
      <c r="K51" s="67">
        <v>37</v>
      </c>
      <c r="L51" s="67">
        <v>4</v>
      </c>
    </row>
    <row r="52" spans="6:12" x14ac:dyDescent="0.15">
      <c r="F52" s="67">
        <v>38</v>
      </c>
      <c r="G52" s="67">
        <v>0</v>
      </c>
      <c r="H52" s="67">
        <v>0</v>
      </c>
      <c r="I52" s="67">
        <v>0</v>
      </c>
      <c r="K52" s="67">
        <v>38</v>
      </c>
      <c r="L52" s="67">
        <v>3</v>
      </c>
    </row>
    <row r="53" spans="6:12" x14ac:dyDescent="0.15">
      <c r="F53" s="67">
        <v>39</v>
      </c>
      <c r="G53" s="67">
        <v>0</v>
      </c>
      <c r="H53" s="67">
        <v>1</v>
      </c>
      <c r="I53" s="67">
        <v>1</v>
      </c>
      <c r="K53" s="67">
        <v>39</v>
      </c>
      <c r="L53" s="67">
        <v>4</v>
      </c>
    </row>
    <row r="54" spans="6:12" x14ac:dyDescent="0.15">
      <c r="F54" s="67">
        <v>40</v>
      </c>
      <c r="G54" s="67">
        <v>0</v>
      </c>
      <c r="H54" s="67">
        <v>0</v>
      </c>
      <c r="I54" s="67">
        <v>0</v>
      </c>
      <c r="K54" s="67">
        <v>40</v>
      </c>
      <c r="L54" s="67">
        <v>4</v>
      </c>
    </row>
    <row r="55" spans="6:12" x14ac:dyDescent="0.15">
      <c r="F55" s="67">
        <v>41</v>
      </c>
      <c r="G55" s="67">
        <v>0</v>
      </c>
      <c r="H55" s="67">
        <v>1</v>
      </c>
      <c r="I55" s="67">
        <v>1</v>
      </c>
      <c r="K55" s="67">
        <v>41</v>
      </c>
      <c r="L55" s="67">
        <v>4</v>
      </c>
    </row>
    <row r="56" spans="6:12" x14ac:dyDescent="0.15">
      <c r="F56" s="67">
        <v>42</v>
      </c>
      <c r="G56" s="67">
        <v>0</v>
      </c>
      <c r="H56" s="67">
        <v>1</v>
      </c>
      <c r="I56" s="67">
        <v>1</v>
      </c>
      <c r="K56" s="67">
        <v>42</v>
      </c>
      <c r="L56" s="67">
        <v>5</v>
      </c>
    </row>
    <row r="57" spans="6:12" x14ac:dyDescent="0.15">
      <c r="F57" s="67">
        <v>43</v>
      </c>
      <c r="G57" s="67">
        <v>0</v>
      </c>
      <c r="H57" s="67">
        <v>1</v>
      </c>
      <c r="I57" s="67">
        <v>1</v>
      </c>
      <c r="K57" s="67">
        <v>43</v>
      </c>
      <c r="L57" s="67">
        <v>4</v>
      </c>
    </row>
    <row r="58" spans="6:12" x14ac:dyDescent="0.15">
      <c r="F58" s="67">
        <v>44</v>
      </c>
      <c r="G58" s="67">
        <v>0</v>
      </c>
      <c r="H58" s="67">
        <v>0</v>
      </c>
      <c r="I58" s="67">
        <v>0</v>
      </c>
      <c r="K58" s="67">
        <v>44</v>
      </c>
      <c r="L58" s="67">
        <v>4</v>
      </c>
    </row>
    <row r="59" spans="6:12" x14ac:dyDescent="0.15">
      <c r="F59" s="67">
        <v>45</v>
      </c>
      <c r="G59" s="67">
        <v>1</v>
      </c>
      <c r="H59" s="67">
        <v>0</v>
      </c>
      <c r="I59" s="67">
        <v>0</v>
      </c>
      <c r="K59" s="67">
        <v>45</v>
      </c>
      <c r="L59" s="67">
        <v>4</v>
      </c>
    </row>
    <row r="60" spans="6:12" x14ac:dyDescent="0.15">
      <c r="F60" s="67">
        <v>46</v>
      </c>
      <c r="G60" s="67">
        <v>0</v>
      </c>
      <c r="H60" s="67">
        <v>1</v>
      </c>
      <c r="I60" s="67">
        <v>1</v>
      </c>
      <c r="K60" s="67">
        <v>46</v>
      </c>
      <c r="L60" s="67">
        <v>4</v>
      </c>
    </row>
    <row r="61" spans="6:12" x14ac:dyDescent="0.15">
      <c r="F61" s="67">
        <v>47</v>
      </c>
      <c r="G61" s="67">
        <v>0</v>
      </c>
      <c r="H61" s="67">
        <v>1</v>
      </c>
      <c r="I61" s="67">
        <v>0</v>
      </c>
      <c r="K61" s="67">
        <v>47</v>
      </c>
      <c r="L61" s="67">
        <v>5</v>
      </c>
    </row>
    <row r="62" spans="6:12" x14ac:dyDescent="0.15">
      <c r="F62" s="67">
        <v>48</v>
      </c>
      <c r="G62" s="67">
        <v>0</v>
      </c>
      <c r="H62" s="67">
        <v>1</v>
      </c>
      <c r="I62" s="67">
        <v>1</v>
      </c>
      <c r="K62" s="67">
        <v>48</v>
      </c>
      <c r="L62" s="67">
        <v>4</v>
      </c>
    </row>
    <row r="63" spans="6:12" x14ac:dyDescent="0.15">
      <c r="F63" s="67">
        <v>49</v>
      </c>
      <c r="G63" s="67">
        <v>0</v>
      </c>
      <c r="H63" s="67">
        <v>1</v>
      </c>
      <c r="I63" s="67">
        <v>0</v>
      </c>
      <c r="K63" s="67">
        <v>49</v>
      </c>
      <c r="L63" s="67">
        <v>4</v>
      </c>
    </row>
    <row r="64" spans="6:12" x14ac:dyDescent="0.15">
      <c r="F64" s="67">
        <v>50</v>
      </c>
      <c r="G64" s="67">
        <v>0</v>
      </c>
      <c r="H64" s="67">
        <v>0</v>
      </c>
      <c r="I64" s="67">
        <v>0</v>
      </c>
      <c r="K64" s="67">
        <v>50</v>
      </c>
      <c r="L64" s="67">
        <v>5</v>
      </c>
    </row>
    <row r="65" spans="6:12" x14ac:dyDescent="0.15">
      <c r="F65" s="67">
        <v>51</v>
      </c>
      <c r="G65" s="67">
        <v>0</v>
      </c>
      <c r="H65" s="67">
        <v>1</v>
      </c>
      <c r="I65" s="67">
        <v>0</v>
      </c>
      <c r="K65" s="67">
        <v>51</v>
      </c>
      <c r="L65" s="67">
        <v>4</v>
      </c>
    </row>
    <row r="66" spans="6:12" x14ac:dyDescent="0.15">
      <c r="F66" s="67">
        <v>52</v>
      </c>
      <c r="G66" s="67">
        <v>0</v>
      </c>
      <c r="H66" s="67">
        <v>1</v>
      </c>
      <c r="I66" s="67">
        <v>1</v>
      </c>
      <c r="K66" s="67">
        <v>52</v>
      </c>
      <c r="L66" s="67">
        <v>3</v>
      </c>
    </row>
    <row r="67" spans="6:12" x14ac:dyDescent="0.15">
      <c r="F67" s="67">
        <v>53</v>
      </c>
      <c r="G67" s="67">
        <v>1</v>
      </c>
      <c r="H67" s="67">
        <v>0</v>
      </c>
      <c r="I67" s="67">
        <v>0</v>
      </c>
      <c r="K67" s="67">
        <v>53</v>
      </c>
      <c r="L67" s="67">
        <v>4</v>
      </c>
    </row>
    <row r="68" spans="6:12" x14ac:dyDescent="0.15">
      <c r="F68" s="67">
        <v>54</v>
      </c>
      <c r="G68" s="67">
        <v>0</v>
      </c>
      <c r="H68" s="67">
        <v>0</v>
      </c>
      <c r="I68" s="67">
        <v>0</v>
      </c>
      <c r="K68" s="67">
        <v>54</v>
      </c>
      <c r="L68" s="67">
        <v>3</v>
      </c>
    </row>
    <row r="69" spans="6:12" x14ac:dyDescent="0.15">
      <c r="F69" s="67">
        <v>55</v>
      </c>
      <c r="G69" s="67">
        <v>0</v>
      </c>
      <c r="H69" s="67">
        <v>1</v>
      </c>
      <c r="I69" s="67">
        <v>0</v>
      </c>
      <c r="K69" s="67">
        <v>55</v>
      </c>
      <c r="L69" s="67">
        <v>4</v>
      </c>
    </row>
    <row r="70" spans="6:12" x14ac:dyDescent="0.15">
      <c r="F70" s="67">
        <v>56</v>
      </c>
      <c r="G70" s="67">
        <v>0</v>
      </c>
      <c r="H70" s="67">
        <v>0</v>
      </c>
      <c r="I70" s="67">
        <v>0</v>
      </c>
      <c r="K70" s="67">
        <v>56</v>
      </c>
      <c r="L70" s="67">
        <v>3</v>
      </c>
    </row>
    <row r="71" spans="6:12" x14ac:dyDescent="0.15">
      <c r="F71" s="67">
        <v>57</v>
      </c>
      <c r="G71" s="67">
        <v>0</v>
      </c>
      <c r="H71" s="67">
        <v>1</v>
      </c>
      <c r="I71" s="67">
        <v>1</v>
      </c>
      <c r="K71" s="67">
        <v>57</v>
      </c>
      <c r="L71" s="67">
        <v>5</v>
      </c>
    </row>
    <row r="72" spans="6:12" x14ac:dyDescent="0.15">
      <c r="F72" s="67">
        <v>58</v>
      </c>
      <c r="G72" s="67">
        <v>0</v>
      </c>
      <c r="H72" s="67">
        <v>0</v>
      </c>
      <c r="I72" s="67">
        <v>0</v>
      </c>
      <c r="K72" s="67">
        <v>58</v>
      </c>
      <c r="L72" s="67">
        <v>5</v>
      </c>
    </row>
    <row r="73" spans="6:12" x14ac:dyDescent="0.15">
      <c r="F73" s="67">
        <v>59</v>
      </c>
      <c r="G73" s="67">
        <v>0</v>
      </c>
      <c r="H73" s="67">
        <v>1</v>
      </c>
      <c r="I73" s="67">
        <v>1</v>
      </c>
      <c r="K73" s="67">
        <v>59</v>
      </c>
      <c r="L73" s="67">
        <v>5</v>
      </c>
    </row>
    <row r="74" spans="6:12" x14ac:dyDescent="0.15">
      <c r="F74" s="67">
        <v>60</v>
      </c>
      <c r="G74" s="67">
        <v>0</v>
      </c>
      <c r="H74" s="67">
        <v>0</v>
      </c>
      <c r="I74" s="67">
        <v>0</v>
      </c>
      <c r="K74" s="67">
        <v>60</v>
      </c>
      <c r="L74" s="67">
        <v>4</v>
      </c>
    </row>
    <row r="75" spans="6:12" x14ac:dyDescent="0.15">
      <c r="F75" s="67">
        <v>61</v>
      </c>
      <c r="G75" s="67">
        <v>0</v>
      </c>
      <c r="H75" s="67">
        <v>0</v>
      </c>
      <c r="I75" s="67">
        <v>0</v>
      </c>
      <c r="K75" s="67">
        <v>61</v>
      </c>
      <c r="L75" s="67">
        <v>4</v>
      </c>
    </row>
    <row r="76" spans="6:12" x14ac:dyDescent="0.15">
      <c r="F76" s="67">
        <v>62</v>
      </c>
      <c r="G76" s="67">
        <v>0</v>
      </c>
      <c r="H76" s="67">
        <v>0</v>
      </c>
      <c r="I76" s="67">
        <v>0</v>
      </c>
      <c r="K76" s="67">
        <v>62</v>
      </c>
      <c r="L76" s="67">
        <v>4</v>
      </c>
    </row>
    <row r="77" spans="6:12" x14ac:dyDescent="0.15">
      <c r="F77" s="67">
        <v>63</v>
      </c>
      <c r="G77" s="67">
        <v>0</v>
      </c>
      <c r="H77" s="67">
        <v>0</v>
      </c>
      <c r="I77" s="67">
        <v>0</v>
      </c>
      <c r="K77" s="67">
        <v>63</v>
      </c>
      <c r="L77" s="67">
        <v>4</v>
      </c>
    </row>
    <row r="78" spans="6:12" x14ac:dyDescent="0.15">
      <c r="F78" s="67">
        <v>64</v>
      </c>
      <c r="G78" s="67">
        <v>0</v>
      </c>
      <c r="H78" s="67">
        <v>1</v>
      </c>
      <c r="I78" s="67">
        <v>1</v>
      </c>
      <c r="K78" s="67">
        <v>64</v>
      </c>
      <c r="L78" s="67">
        <v>4</v>
      </c>
    </row>
    <row r="79" spans="6:12" x14ac:dyDescent="0.15">
      <c r="F79" s="67">
        <v>65</v>
      </c>
      <c r="G79" s="67">
        <v>1</v>
      </c>
      <c r="H79" s="67">
        <v>0</v>
      </c>
      <c r="I79" s="67">
        <v>0</v>
      </c>
      <c r="K79" s="67">
        <v>65</v>
      </c>
      <c r="L79" s="67">
        <v>5</v>
      </c>
    </row>
    <row r="80" spans="6:12" x14ac:dyDescent="0.15">
      <c r="F80" s="67">
        <v>66</v>
      </c>
      <c r="G80" s="67">
        <v>0</v>
      </c>
      <c r="H80" s="67">
        <v>0</v>
      </c>
      <c r="I80" s="67">
        <v>0</v>
      </c>
      <c r="K80" s="67">
        <v>66</v>
      </c>
      <c r="L80" s="67">
        <v>4</v>
      </c>
    </row>
    <row r="81" spans="6:12" x14ac:dyDescent="0.15">
      <c r="F81" s="67">
        <v>67</v>
      </c>
      <c r="G81" s="67">
        <v>0</v>
      </c>
      <c r="H81" s="67">
        <v>0</v>
      </c>
      <c r="I81" s="67">
        <v>0</v>
      </c>
      <c r="K81" s="67">
        <v>67</v>
      </c>
      <c r="L81" s="67">
        <v>4</v>
      </c>
    </row>
    <row r="82" spans="6:12" x14ac:dyDescent="0.15">
      <c r="F82" s="67">
        <v>68</v>
      </c>
      <c r="G82" s="67">
        <v>1</v>
      </c>
      <c r="H82" s="67">
        <v>0</v>
      </c>
      <c r="I82" s="67">
        <v>0</v>
      </c>
      <c r="K82" s="67">
        <v>68</v>
      </c>
      <c r="L82" s="67">
        <v>4</v>
      </c>
    </row>
    <row r="83" spans="6:12" x14ac:dyDescent="0.15">
      <c r="F83" s="67">
        <v>69</v>
      </c>
      <c r="G83" s="67">
        <v>0</v>
      </c>
      <c r="H83" s="67">
        <v>1</v>
      </c>
      <c r="I83" s="67">
        <v>1</v>
      </c>
      <c r="K83" s="67">
        <v>69</v>
      </c>
      <c r="L83" s="67">
        <v>3</v>
      </c>
    </row>
    <row r="84" spans="6:12" x14ac:dyDescent="0.15">
      <c r="F84" s="67">
        <v>70</v>
      </c>
      <c r="G84" s="67">
        <v>0</v>
      </c>
      <c r="H84" s="67">
        <v>0</v>
      </c>
      <c r="I84" s="67">
        <v>0</v>
      </c>
      <c r="K84" s="67">
        <v>70</v>
      </c>
      <c r="L84" s="67">
        <v>4</v>
      </c>
    </row>
    <row r="85" spans="6:12" x14ac:dyDescent="0.15">
      <c r="F85" s="67">
        <v>71</v>
      </c>
      <c r="G85" s="67">
        <v>0</v>
      </c>
      <c r="H85" s="67">
        <v>1</v>
      </c>
      <c r="I85" s="67">
        <v>1</v>
      </c>
      <c r="K85" s="67">
        <v>71</v>
      </c>
      <c r="L85" s="67">
        <v>3</v>
      </c>
    </row>
    <row r="86" spans="6:12" x14ac:dyDescent="0.15">
      <c r="F86" s="67">
        <v>72</v>
      </c>
      <c r="G86" s="67">
        <v>0</v>
      </c>
      <c r="H86" s="67">
        <v>0</v>
      </c>
      <c r="I86" s="67">
        <v>0</v>
      </c>
      <c r="K86" s="67">
        <v>72</v>
      </c>
      <c r="L86" s="67">
        <v>3</v>
      </c>
    </row>
    <row r="87" spans="6:12" x14ac:dyDescent="0.15">
      <c r="F87" s="67">
        <v>73</v>
      </c>
      <c r="G87" s="67">
        <v>0</v>
      </c>
      <c r="H87" s="67">
        <v>0</v>
      </c>
      <c r="I87" s="67">
        <v>0</v>
      </c>
      <c r="K87" s="67">
        <v>73</v>
      </c>
      <c r="L87" s="67">
        <v>5</v>
      </c>
    </row>
    <row r="88" spans="6:12" x14ac:dyDescent="0.15">
      <c r="F88" s="67">
        <v>74</v>
      </c>
      <c r="G88" s="67">
        <v>0</v>
      </c>
      <c r="H88" s="67">
        <v>1</v>
      </c>
      <c r="I88" s="67">
        <v>1</v>
      </c>
      <c r="K88" s="67">
        <v>74</v>
      </c>
      <c r="L88" s="67">
        <v>4</v>
      </c>
    </row>
    <row r="89" spans="6:12" x14ac:dyDescent="0.15">
      <c r="F89" s="67">
        <v>75</v>
      </c>
      <c r="G89" s="67">
        <v>0</v>
      </c>
      <c r="H89" s="67">
        <v>0</v>
      </c>
      <c r="I89" s="67">
        <v>0</v>
      </c>
      <c r="K89" s="67">
        <v>75</v>
      </c>
      <c r="L89" s="67">
        <v>4</v>
      </c>
    </row>
    <row r="90" spans="6:12" x14ac:dyDescent="0.15">
      <c r="F90" s="67">
        <v>76</v>
      </c>
      <c r="G90" s="67">
        <v>1</v>
      </c>
      <c r="H90" s="67">
        <v>0</v>
      </c>
      <c r="I90" s="67">
        <v>0</v>
      </c>
      <c r="K90" s="67">
        <v>76</v>
      </c>
      <c r="L90" s="67">
        <v>5</v>
      </c>
    </row>
    <row r="91" spans="6:12" x14ac:dyDescent="0.15">
      <c r="F91" s="67">
        <v>77</v>
      </c>
      <c r="G91" s="67">
        <v>0</v>
      </c>
      <c r="H91" s="67">
        <v>1</v>
      </c>
      <c r="I91" s="67">
        <v>1</v>
      </c>
      <c r="K91" s="67">
        <v>77</v>
      </c>
      <c r="L91" s="67">
        <v>4</v>
      </c>
    </row>
    <row r="92" spans="6:12" x14ac:dyDescent="0.15">
      <c r="F92" s="67">
        <v>78</v>
      </c>
      <c r="G92" s="67">
        <v>1</v>
      </c>
      <c r="H92" s="67">
        <v>0</v>
      </c>
      <c r="I92" s="67">
        <v>0</v>
      </c>
      <c r="K92" s="67">
        <v>78</v>
      </c>
      <c r="L92" s="67">
        <v>4</v>
      </c>
    </row>
    <row r="93" spans="6:12" x14ac:dyDescent="0.15">
      <c r="F93" s="67">
        <v>79</v>
      </c>
      <c r="G93" s="67">
        <v>0</v>
      </c>
      <c r="H93" s="67">
        <v>0</v>
      </c>
      <c r="I93" s="67">
        <v>0</v>
      </c>
      <c r="K93" s="67">
        <v>79</v>
      </c>
      <c r="L93" s="67">
        <v>6</v>
      </c>
    </row>
    <row r="94" spans="6:12" x14ac:dyDescent="0.15">
      <c r="F94" s="67">
        <v>80</v>
      </c>
      <c r="G94" s="67">
        <v>0</v>
      </c>
      <c r="H94" s="67">
        <v>1</v>
      </c>
      <c r="I94" s="67">
        <v>1</v>
      </c>
      <c r="K94" s="67">
        <v>80</v>
      </c>
      <c r="L94" s="67">
        <v>4</v>
      </c>
    </row>
    <row r="95" spans="6:12" x14ac:dyDescent="0.15">
      <c r="F95" s="67">
        <v>81</v>
      </c>
      <c r="G95" s="67">
        <v>0</v>
      </c>
      <c r="H95" s="67">
        <v>0</v>
      </c>
      <c r="I95" s="67">
        <v>0</v>
      </c>
      <c r="K95" s="67">
        <v>81</v>
      </c>
      <c r="L95" s="67">
        <v>5</v>
      </c>
    </row>
    <row r="96" spans="6:12" x14ac:dyDescent="0.15">
      <c r="F96" s="67">
        <v>82</v>
      </c>
      <c r="G96" s="67">
        <v>0</v>
      </c>
      <c r="H96" s="67">
        <v>1</v>
      </c>
      <c r="I96" s="67">
        <v>1</v>
      </c>
      <c r="K96" s="67">
        <v>82</v>
      </c>
      <c r="L96" s="67">
        <v>4</v>
      </c>
    </row>
    <row r="97" spans="6:12" x14ac:dyDescent="0.15">
      <c r="F97" s="67">
        <v>83</v>
      </c>
      <c r="G97" s="67">
        <v>1</v>
      </c>
      <c r="H97" s="67">
        <v>0</v>
      </c>
      <c r="I97" s="67">
        <v>0</v>
      </c>
      <c r="K97" s="67">
        <v>83</v>
      </c>
      <c r="L97" s="67">
        <v>4</v>
      </c>
    </row>
    <row r="98" spans="6:12" x14ac:dyDescent="0.15">
      <c r="F98" s="67">
        <v>84</v>
      </c>
      <c r="G98" s="67">
        <v>0</v>
      </c>
      <c r="H98" s="67">
        <v>0</v>
      </c>
      <c r="I98" s="67">
        <v>0</v>
      </c>
      <c r="K98" s="67">
        <v>84</v>
      </c>
      <c r="L98" s="67">
        <v>5</v>
      </c>
    </row>
    <row r="99" spans="6:12" x14ac:dyDescent="0.15">
      <c r="F99" s="67">
        <v>85</v>
      </c>
      <c r="G99" s="67">
        <v>0</v>
      </c>
      <c r="H99" s="67">
        <v>0</v>
      </c>
      <c r="I99" s="67">
        <v>0</v>
      </c>
      <c r="K99" s="67">
        <v>85</v>
      </c>
      <c r="L99" s="67">
        <v>5</v>
      </c>
    </row>
    <row r="100" spans="6:12" x14ac:dyDescent="0.15">
      <c r="F100" s="67">
        <v>86</v>
      </c>
      <c r="G100" s="67">
        <v>0</v>
      </c>
      <c r="H100" s="67">
        <v>1</v>
      </c>
      <c r="I100" s="67">
        <v>1</v>
      </c>
      <c r="K100" s="67">
        <v>86</v>
      </c>
      <c r="L100" s="67">
        <v>5</v>
      </c>
    </row>
    <row r="101" spans="6:12" x14ac:dyDescent="0.15">
      <c r="F101" s="67">
        <v>87</v>
      </c>
      <c r="G101" s="67">
        <v>0</v>
      </c>
      <c r="H101" s="67">
        <v>0</v>
      </c>
      <c r="I101" s="67">
        <v>0</v>
      </c>
      <c r="K101" s="67">
        <v>87</v>
      </c>
      <c r="L101" s="67">
        <v>4</v>
      </c>
    </row>
    <row r="102" spans="6:12" x14ac:dyDescent="0.15">
      <c r="F102" s="67">
        <v>88</v>
      </c>
      <c r="G102" s="67">
        <v>0</v>
      </c>
      <c r="H102" s="67">
        <v>1</v>
      </c>
      <c r="I102" s="67">
        <v>0</v>
      </c>
      <c r="K102" s="67">
        <v>88</v>
      </c>
      <c r="L102" s="67">
        <v>5</v>
      </c>
    </row>
    <row r="103" spans="6:12" x14ac:dyDescent="0.15">
      <c r="F103" s="67">
        <v>89</v>
      </c>
      <c r="G103" s="67">
        <v>0</v>
      </c>
      <c r="H103" s="67">
        <v>1</v>
      </c>
      <c r="I103" s="67">
        <v>1</v>
      </c>
      <c r="K103" s="67">
        <v>89</v>
      </c>
      <c r="L103" s="67">
        <v>5</v>
      </c>
    </row>
    <row r="104" spans="6:12" x14ac:dyDescent="0.15">
      <c r="F104" s="67">
        <v>90</v>
      </c>
      <c r="G104" s="67">
        <v>0</v>
      </c>
      <c r="H104" s="67">
        <v>0</v>
      </c>
      <c r="I104" s="67">
        <v>0</v>
      </c>
      <c r="K104" s="67">
        <v>90</v>
      </c>
      <c r="L104" s="67">
        <v>5</v>
      </c>
    </row>
    <row r="105" spans="6:12" x14ac:dyDescent="0.15">
      <c r="F105" s="67">
        <v>91</v>
      </c>
      <c r="G105" s="67">
        <v>0</v>
      </c>
      <c r="H105" s="67">
        <v>0</v>
      </c>
      <c r="I105" s="67">
        <v>0</v>
      </c>
      <c r="K105" s="67">
        <v>91</v>
      </c>
      <c r="L105" s="67">
        <v>4</v>
      </c>
    </row>
    <row r="106" spans="6:12" x14ac:dyDescent="0.15">
      <c r="F106" s="67">
        <v>92</v>
      </c>
      <c r="G106" s="67">
        <v>0</v>
      </c>
      <c r="H106" s="67">
        <v>0</v>
      </c>
      <c r="I106" s="67">
        <v>0</v>
      </c>
      <c r="K106" s="67">
        <v>92</v>
      </c>
      <c r="L106" s="67">
        <v>4</v>
      </c>
    </row>
    <row r="107" spans="6:12" x14ac:dyDescent="0.15">
      <c r="F107" s="67">
        <v>93</v>
      </c>
      <c r="G107" s="67">
        <v>0</v>
      </c>
      <c r="H107" s="67">
        <v>1</v>
      </c>
      <c r="I107" s="67">
        <v>1</v>
      </c>
      <c r="K107" s="67">
        <v>93</v>
      </c>
      <c r="L107" s="67">
        <v>4</v>
      </c>
    </row>
    <row r="108" spans="6:12" x14ac:dyDescent="0.15">
      <c r="F108" s="67">
        <v>94</v>
      </c>
      <c r="G108" s="67">
        <v>0</v>
      </c>
      <c r="H108" s="67">
        <v>1</v>
      </c>
      <c r="I108" s="67">
        <v>1</v>
      </c>
      <c r="K108" s="67">
        <v>94</v>
      </c>
      <c r="L108" s="67">
        <v>4</v>
      </c>
    </row>
    <row r="109" spans="6:12" x14ac:dyDescent="0.15">
      <c r="F109" s="67">
        <v>95</v>
      </c>
      <c r="G109" s="67">
        <v>1</v>
      </c>
      <c r="H109" s="67">
        <v>0</v>
      </c>
      <c r="I109" s="67">
        <v>0</v>
      </c>
      <c r="K109" s="67">
        <v>95</v>
      </c>
      <c r="L109" s="67">
        <v>3</v>
      </c>
    </row>
    <row r="110" spans="6:12" x14ac:dyDescent="0.15">
      <c r="F110" s="67">
        <v>96</v>
      </c>
      <c r="G110" s="67">
        <v>0</v>
      </c>
      <c r="H110" s="67">
        <v>0</v>
      </c>
      <c r="I110" s="67">
        <v>0</v>
      </c>
      <c r="K110" s="67">
        <v>96</v>
      </c>
      <c r="L110" s="67">
        <v>5</v>
      </c>
    </row>
    <row r="111" spans="6:12" x14ac:dyDescent="0.15">
      <c r="F111" s="67">
        <v>97</v>
      </c>
      <c r="G111" s="67">
        <v>0</v>
      </c>
      <c r="H111" s="67">
        <v>0</v>
      </c>
      <c r="I111" s="67">
        <v>0</v>
      </c>
      <c r="K111" s="67">
        <v>97</v>
      </c>
      <c r="L111" s="67">
        <v>3</v>
      </c>
    </row>
    <row r="112" spans="6:12" x14ac:dyDescent="0.15">
      <c r="F112" s="67">
        <v>98</v>
      </c>
      <c r="G112" s="67">
        <v>0</v>
      </c>
      <c r="H112" s="67">
        <v>0</v>
      </c>
      <c r="I112" s="67">
        <v>0</v>
      </c>
      <c r="K112" s="67">
        <v>98</v>
      </c>
      <c r="L112" s="67">
        <v>3</v>
      </c>
    </row>
    <row r="113" spans="6:12" x14ac:dyDescent="0.15">
      <c r="F113" s="67">
        <v>99</v>
      </c>
      <c r="G113" s="67">
        <v>0</v>
      </c>
      <c r="H113" s="67">
        <v>0</v>
      </c>
      <c r="I113" s="67">
        <v>0</v>
      </c>
      <c r="K113" s="67">
        <v>99</v>
      </c>
      <c r="L113" s="67">
        <v>5</v>
      </c>
    </row>
    <row r="114" spans="6:12" x14ac:dyDescent="0.15">
      <c r="F114" s="67">
        <v>100</v>
      </c>
      <c r="G114" s="67">
        <v>0</v>
      </c>
      <c r="H114" s="67">
        <v>1</v>
      </c>
      <c r="I114" s="67">
        <v>1</v>
      </c>
      <c r="K114" s="67">
        <v>100</v>
      </c>
      <c r="L114" s="67">
        <v>4</v>
      </c>
    </row>
    <row r="115" spans="6:12" x14ac:dyDescent="0.15">
      <c r="F115" s="67">
        <v>101</v>
      </c>
      <c r="G115" s="67">
        <v>0</v>
      </c>
      <c r="H115" s="67">
        <v>0</v>
      </c>
      <c r="I115" s="67">
        <v>0</v>
      </c>
      <c r="K115" s="67">
        <v>101</v>
      </c>
      <c r="L115" s="67">
        <v>3</v>
      </c>
    </row>
    <row r="116" spans="6:12" x14ac:dyDescent="0.15">
      <c r="F116" s="67">
        <v>102</v>
      </c>
      <c r="G116" s="67">
        <v>0</v>
      </c>
      <c r="H116" s="67">
        <v>1</v>
      </c>
      <c r="I116" s="67">
        <v>1</v>
      </c>
      <c r="K116" s="67">
        <v>102</v>
      </c>
      <c r="L116" s="67">
        <v>4</v>
      </c>
    </row>
    <row r="117" spans="6:12" x14ac:dyDescent="0.15">
      <c r="F117" s="67">
        <v>103</v>
      </c>
      <c r="G117" s="67">
        <v>0</v>
      </c>
      <c r="H117" s="67">
        <v>1</v>
      </c>
      <c r="I117" s="67">
        <v>1</v>
      </c>
      <c r="K117" s="67">
        <v>103</v>
      </c>
      <c r="L117" s="67">
        <v>5</v>
      </c>
    </row>
    <row r="118" spans="6:12" x14ac:dyDescent="0.15">
      <c r="F118" s="67">
        <v>104</v>
      </c>
      <c r="G118" s="67">
        <v>0</v>
      </c>
      <c r="H118" s="67">
        <v>0</v>
      </c>
      <c r="I118" s="67">
        <v>0</v>
      </c>
      <c r="K118" s="67">
        <v>104</v>
      </c>
      <c r="L118" s="67">
        <v>4</v>
      </c>
    </row>
    <row r="119" spans="6:12" x14ac:dyDescent="0.15">
      <c r="F119" s="67">
        <v>105</v>
      </c>
      <c r="G119" s="67">
        <v>0</v>
      </c>
      <c r="H119" s="67">
        <v>1</v>
      </c>
      <c r="I119" s="67">
        <v>0</v>
      </c>
      <c r="K119" s="67">
        <v>105</v>
      </c>
      <c r="L119" s="67">
        <v>4</v>
      </c>
    </row>
    <row r="120" spans="6:12" x14ac:dyDescent="0.15">
      <c r="F120" s="67">
        <v>106</v>
      </c>
      <c r="G120" s="67">
        <v>0</v>
      </c>
      <c r="H120" s="67">
        <v>1</v>
      </c>
      <c r="I120" s="67">
        <v>1</v>
      </c>
      <c r="K120" s="67">
        <v>106</v>
      </c>
      <c r="L120" s="67">
        <v>4</v>
      </c>
    </row>
    <row r="121" spans="6:12" x14ac:dyDescent="0.15">
      <c r="F121" s="67">
        <v>107</v>
      </c>
      <c r="G121" s="67">
        <v>0</v>
      </c>
      <c r="H121" s="67">
        <v>1</v>
      </c>
      <c r="I121" s="67">
        <v>1</v>
      </c>
      <c r="K121" s="67">
        <v>107</v>
      </c>
      <c r="L121" s="67">
        <v>5</v>
      </c>
    </row>
    <row r="122" spans="6:12" x14ac:dyDescent="0.15">
      <c r="F122" s="67">
        <v>108</v>
      </c>
      <c r="G122" s="67">
        <v>1</v>
      </c>
      <c r="H122" s="67">
        <v>0</v>
      </c>
      <c r="I122" s="67">
        <v>0</v>
      </c>
      <c r="K122" s="67">
        <v>108</v>
      </c>
      <c r="L122" s="67">
        <v>3</v>
      </c>
    </row>
    <row r="123" spans="6:12" x14ac:dyDescent="0.15">
      <c r="F123" s="67">
        <v>109</v>
      </c>
      <c r="G123" s="67">
        <v>0</v>
      </c>
      <c r="H123" s="67">
        <v>0</v>
      </c>
      <c r="I123" s="67">
        <v>0</v>
      </c>
      <c r="K123" s="67">
        <v>109</v>
      </c>
      <c r="L123" s="67">
        <v>5</v>
      </c>
    </row>
    <row r="124" spans="6:12" x14ac:dyDescent="0.15">
      <c r="F124" s="67">
        <v>110</v>
      </c>
      <c r="G124" s="67">
        <v>0</v>
      </c>
      <c r="H124" s="67">
        <v>0</v>
      </c>
      <c r="I124" s="67">
        <v>0</v>
      </c>
      <c r="K124" s="67">
        <v>110</v>
      </c>
      <c r="L124" s="67">
        <v>4</v>
      </c>
    </row>
    <row r="125" spans="6:12" x14ac:dyDescent="0.15">
      <c r="F125" s="67">
        <v>111</v>
      </c>
      <c r="G125" s="67">
        <v>0</v>
      </c>
      <c r="H125" s="67">
        <v>1</v>
      </c>
      <c r="I125" s="67">
        <v>1</v>
      </c>
      <c r="K125" s="67">
        <v>111</v>
      </c>
      <c r="L125" s="67">
        <v>4</v>
      </c>
    </row>
    <row r="126" spans="6:12" x14ac:dyDescent="0.15">
      <c r="F126" s="67">
        <v>112</v>
      </c>
      <c r="G126" s="67">
        <v>0</v>
      </c>
      <c r="H126" s="67">
        <v>1</v>
      </c>
      <c r="I126" s="67">
        <v>1</v>
      </c>
      <c r="K126" s="67">
        <v>112</v>
      </c>
      <c r="L126" s="67">
        <v>4</v>
      </c>
    </row>
    <row r="127" spans="6:12" x14ac:dyDescent="0.15">
      <c r="F127" s="67">
        <v>113</v>
      </c>
      <c r="G127" s="67">
        <v>1</v>
      </c>
      <c r="H127" s="67">
        <v>0</v>
      </c>
      <c r="I127" s="67">
        <v>0</v>
      </c>
      <c r="K127" s="67">
        <v>113</v>
      </c>
      <c r="L127" s="67">
        <v>4</v>
      </c>
    </row>
    <row r="128" spans="6:12" x14ac:dyDescent="0.15">
      <c r="F128" s="67">
        <v>114</v>
      </c>
      <c r="G128" s="67">
        <v>0</v>
      </c>
      <c r="H128" s="67">
        <v>0</v>
      </c>
      <c r="I128" s="67">
        <v>0</v>
      </c>
      <c r="K128" s="67">
        <v>114</v>
      </c>
      <c r="L128" s="67">
        <v>4</v>
      </c>
    </row>
    <row r="129" spans="6:12" x14ac:dyDescent="0.15">
      <c r="F129" s="67">
        <v>115</v>
      </c>
      <c r="G129" s="67">
        <v>1</v>
      </c>
      <c r="H129" s="67">
        <v>0</v>
      </c>
      <c r="I129" s="67">
        <v>0</v>
      </c>
      <c r="K129" s="67">
        <v>115</v>
      </c>
      <c r="L129" s="67">
        <v>4</v>
      </c>
    </row>
    <row r="130" spans="6:12" x14ac:dyDescent="0.15">
      <c r="F130" s="67">
        <v>116</v>
      </c>
      <c r="G130" s="67">
        <v>1</v>
      </c>
      <c r="H130" s="67">
        <v>0</v>
      </c>
      <c r="I130" s="67">
        <v>0</v>
      </c>
      <c r="K130" s="67">
        <v>116</v>
      </c>
      <c r="L130" s="67">
        <v>4</v>
      </c>
    </row>
    <row r="131" spans="6:12" x14ac:dyDescent="0.15">
      <c r="F131" s="67">
        <v>117</v>
      </c>
      <c r="G131" s="67">
        <v>0</v>
      </c>
      <c r="H131" s="67">
        <v>1</v>
      </c>
      <c r="I131" s="67">
        <v>1</v>
      </c>
      <c r="K131" s="67">
        <v>117</v>
      </c>
      <c r="L131" s="67">
        <v>4</v>
      </c>
    </row>
    <row r="132" spans="6:12" x14ac:dyDescent="0.15">
      <c r="F132" s="67">
        <v>118</v>
      </c>
      <c r="G132" s="67">
        <v>0</v>
      </c>
      <c r="H132" s="67">
        <v>1</v>
      </c>
      <c r="I132" s="67">
        <v>1</v>
      </c>
      <c r="K132" s="67">
        <v>118</v>
      </c>
      <c r="L132" s="67">
        <v>3</v>
      </c>
    </row>
    <row r="133" spans="6:12" x14ac:dyDescent="0.15">
      <c r="F133" s="67">
        <v>119</v>
      </c>
      <c r="G133" s="67">
        <v>1</v>
      </c>
      <c r="H133" s="67">
        <v>0</v>
      </c>
      <c r="I133" s="67">
        <v>0</v>
      </c>
      <c r="K133" s="67">
        <v>119</v>
      </c>
      <c r="L133" s="67">
        <v>3</v>
      </c>
    </row>
    <row r="134" spans="6:12" x14ac:dyDescent="0.15">
      <c r="F134" s="67">
        <v>120</v>
      </c>
      <c r="G134" s="67">
        <v>0</v>
      </c>
      <c r="H134" s="67">
        <v>1</v>
      </c>
      <c r="I134" s="67">
        <v>1</v>
      </c>
      <c r="K134" s="67">
        <v>120</v>
      </c>
      <c r="L134" s="67">
        <v>5</v>
      </c>
    </row>
    <row r="135" spans="6:12" x14ac:dyDescent="0.15">
      <c r="F135" s="67">
        <v>121</v>
      </c>
      <c r="G135" s="67">
        <v>0</v>
      </c>
      <c r="H135" s="67">
        <v>0</v>
      </c>
      <c r="I135" s="67">
        <v>0</v>
      </c>
      <c r="K135" s="67">
        <v>121</v>
      </c>
      <c r="L135" s="67">
        <v>4</v>
      </c>
    </row>
    <row r="136" spans="6:12" x14ac:dyDescent="0.15">
      <c r="F136" s="67">
        <v>122</v>
      </c>
      <c r="G136" s="67">
        <v>0</v>
      </c>
      <c r="H136" s="67">
        <v>1</v>
      </c>
      <c r="I136" s="67">
        <v>1</v>
      </c>
      <c r="K136" s="67">
        <v>122</v>
      </c>
      <c r="L136" s="67">
        <v>3</v>
      </c>
    </row>
    <row r="137" spans="6:12" x14ac:dyDescent="0.15">
      <c r="F137" s="67">
        <v>123</v>
      </c>
      <c r="G137" s="67">
        <v>0</v>
      </c>
      <c r="H137" s="67">
        <v>1</v>
      </c>
      <c r="I137" s="67">
        <v>1</v>
      </c>
      <c r="K137" s="67">
        <v>123</v>
      </c>
      <c r="L137" s="67">
        <v>3</v>
      </c>
    </row>
    <row r="138" spans="6:12" x14ac:dyDescent="0.15">
      <c r="F138" s="67">
        <v>124</v>
      </c>
      <c r="G138" s="67">
        <v>0</v>
      </c>
      <c r="H138" s="67">
        <v>1</v>
      </c>
      <c r="I138" s="67">
        <v>1</v>
      </c>
      <c r="K138" s="67">
        <v>124</v>
      </c>
      <c r="L138" s="67">
        <v>4</v>
      </c>
    </row>
    <row r="139" spans="6:12" x14ac:dyDescent="0.15">
      <c r="F139" s="67">
        <v>125</v>
      </c>
      <c r="G139" s="67">
        <v>1</v>
      </c>
      <c r="H139" s="67">
        <v>0</v>
      </c>
      <c r="I139" s="67">
        <v>0</v>
      </c>
      <c r="K139" s="67">
        <v>125</v>
      </c>
      <c r="L139" s="67">
        <v>3</v>
      </c>
    </row>
    <row r="140" spans="6:12" x14ac:dyDescent="0.15">
      <c r="F140" s="67">
        <v>126</v>
      </c>
      <c r="G140" s="67">
        <v>0</v>
      </c>
      <c r="H140" s="67">
        <v>1</v>
      </c>
      <c r="I140" s="67">
        <v>0</v>
      </c>
      <c r="K140" s="67">
        <v>126</v>
      </c>
      <c r="L140" s="67">
        <v>4</v>
      </c>
    </row>
    <row r="141" spans="6:12" x14ac:dyDescent="0.15">
      <c r="F141" s="67">
        <v>127</v>
      </c>
      <c r="G141" s="67">
        <v>0</v>
      </c>
      <c r="H141" s="67">
        <v>1</v>
      </c>
      <c r="I141" s="67">
        <v>0</v>
      </c>
      <c r="K141" s="67">
        <v>127</v>
      </c>
      <c r="L141" s="67">
        <v>3</v>
      </c>
    </row>
    <row r="142" spans="6:12" x14ac:dyDescent="0.15">
      <c r="F142" s="67">
        <v>128</v>
      </c>
      <c r="G142" s="67">
        <v>0</v>
      </c>
      <c r="H142" s="67">
        <v>1</v>
      </c>
      <c r="I142" s="67">
        <v>1</v>
      </c>
      <c r="K142" s="67">
        <v>128</v>
      </c>
      <c r="L142" s="67">
        <v>5</v>
      </c>
    </row>
    <row r="143" spans="6:12" x14ac:dyDescent="0.15">
      <c r="F143" s="67">
        <v>129</v>
      </c>
      <c r="G143" s="67">
        <v>1</v>
      </c>
      <c r="H143" s="67">
        <v>0</v>
      </c>
      <c r="I143" s="67">
        <v>0</v>
      </c>
      <c r="K143" s="67">
        <v>129</v>
      </c>
      <c r="L143" s="67">
        <v>4</v>
      </c>
    </row>
    <row r="144" spans="6:12" x14ac:dyDescent="0.15">
      <c r="F144" s="67">
        <v>130</v>
      </c>
      <c r="G144" s="67">
        <v>0</v>
      </c>
      <c r="H144" s="67">
        <v>1</v>
      </c>
      <c r="I144" s="67">
        <v>1</v>
      </c>
      <c r="K144" s="67">
        <v>130</v>
      </c>
      <c r="L144" s="67">
        <v>3</v>
      </c>
    </row>
    <row r="145" spans="6:12" x14ac:dyDescent="0.15">
      <c r="F145" s="67">
        <v>131</v>
      </c>
      <c r="G145" s="67">
        <v>0</v>
      </c>
      <c r="H145" s="67">
        <v>1</v>
      </c>
      <c r="I145" s="67">
        <v>1</v>
      </c>
      <c r="K145" s="67">
        <v>131</v>
      </c>
      <c r="L145" s="67">
        <v>3</v>
      </c>
    </row>
    <row r="146" spans="6:12" x14ac:dyDescent="0.15">
      <c r="F146" s="67">
        <v>132</v>
      </c>
      <c r="G146" s="67">
        <v>0</v>
      </c>
      <c r="H146" s="67">
        <v>1</v>
      </c>
      <c r="I146" s="67">
        <v>1</v>
      </c>
      <c r="K146" s="67">
        <v>132</v>
      </c>
      <c r="L146" s="67">
        <v>4</v>
      </c>
    </row>
    <row r="147" spans="6:12" x14ac:dyDescent="0.15">
      <c r="F147" s="67">
        <v>133</v>
      </c>
      <c r="G147" s="67">
        <v>0</v>
      </c>
      <c r="H147" s="67">
        <v>1</v>
      </c>
      <c r="I147" s="67">
        <v>1</v>
      </c>
      <c r="K147" s="67">
        <v>133</v>
      </c>
      <c r="L147" s="67">
        <v>3</v>
      </c>
    </row>
    <row r="148" spans="6:12" x14ac:dyDescent="0.15">
      <c r="F148" s="67">
        <v>134</v>
      </c>
      <c r="G148" s="67">
        <v>0</v>
      </c>
      <c r="H148" s="67">
        <v>1</v>
      </c>
      <c r="I148" s="67">
        <v>0</v>
      </c>
      <c r="K148" s="67">
        <v>134</v>
      </c>
      <c r="L148" s="67">
        <v>4</v>
      </c>
    </row>
    <row r="149" spans="6:12" x14ac:dyDescent="0.15">
      <c r="F149" s="67">
        <v>135</v>
      </c>
      <c r="G149" s="67">
        <v>0</v>
      </c>
      <c r="H149" s="67">
        <v>1</v>
      </c>
      <c r="I149" s="67">
        <v>1</v>
      </c>
      <c r="K149" s="67">
        <v>135</v>
      </c>
      <c r="L149" s="67">
        <v>3</v>
      </c>
    </row>
    <row r="150" spans="6:12" x14ac:dyDescent="0.15">
      <c r="F150" s="67">
        <v>136</v>
      </c>
      <c r="G150" s="67">
        <v>0</v>
      </c>
      <c r="H150" s="67">
        <v>0</v>
      </c>
      <c r="I150" s="67">
        <v>0</v>
      </c>
      <c r="K150" s="67">
        <v>136</v>
      </c>
      <c r="L150" s="67">
        <v>4</v>
      </c>
    </row>
    <row r="151" spans="6:12" x14ac:dyDescent="0.15">
      <c r="F151" s="67">
        <v>137</v>
      </c>
      <c r="G151" s="67">
        <v>0</v>
      </c>
      <c r="H151" s="67">
        <v>1</v>
      </c>
      <c r="I151" s="67">
        <v>1</v>
      </c>
      <c r="K151" s="67">
        <v>137</v>
      </c>
      <c r="L151" s="67">
        <v>4</v>
      </c>
    </row>
    <row r="152" spans="6:12" x14ac:dyDescent="0.15">
      <c r="F152" s="67">
        <v>138</v>
      </c>
      <c r="G152" s="67">
        <v>0</v>
      </c>
      <c r="H152" s="67">
        <v>0</v>
      </c>
      <c r="I152" s="67">
        <v>0</v>
      </c>
      <c r="K152" s="67">
        <v>138</v>
      </c>
      <c r="L152" s="67">
        <v>4</v>
      </c>
    </row>
    <row r="153" spans="6:12" x14ac:dyDescent="0.15">
      <c r="F153" s="67">
        <v>139</v>
      </c>
      <c r="G153" s="67">
        <v>0</v>
      </c>
      <c r="H153" s="67">
        <v>1</v>
      </c>
      <c r="I153" s="67">
        <v>1</v>
      </c>
      <c r="K153" s="67">
        <v>139</v>
      </c>
      <c r="L153" s="67">
        <v>4</v>
      </c>
    </row>
    <row r="154" spans="6:12" x14ac:dyDescent="0.15">
      <c r="F154" s="67">
        <v>140</v>
      </c>
      <c r="G154" s="67">
        <v>1</v>
      </c>
      <c r="H154" s="67">
        <v>0</v>
      </c>
      <c r="I154" s="67">
        <v>0</v>
      </c>
      <c r="K154" s="67">
        <v>140</v>
      </c>
      <c r="L154" s="67">
        <v>4</v>
      </c>
    </row>
    <row r="155" spans="6:12" x14ac:dyDescent="0.15">
      <c r="F155" s="67">
        <v>141</v>
      </c>
      <c r="G155" s="67">
        <v>0</v>
      </c>
      <c r="H155" s="67">
        <v>1</v>
      </c>
      <c r="I155" s="67">
        <v>1</v>
      </c>
      <c r="K155" s="67">
        <v>141</v>
      </c>
      <c r="L155" s="67">
        <v>4</v>
      </c>
    </row>
    <row r="156" spans="6:12" x14ac:dyDescent="0.15">
      <c r="F156" s="67">
        <v>142</v>
      </c>
      <c r="G156" s="67">
        <v>0</v>
      </c>
      <c r="H156" s="67">
        <v>0</v>
      </c>
      <c r="I156" s="67">
        <v>0</v>
      </c>
      <c r="K156" s="67">
        <v>142</v>
      </c>
      <c r="L156" s="67">
        <v>6</v>
      </c>
    </row>
    <row r="157" spans="6:12" x14ac:dyDescent="0.15">
      <c r="F157" s="67">
        <v>143</v>
      </c>
      <c r="G157" s="67">
        <v>1</v>
      </c>
      <c r="H157" s="67">
        <v>0</v>
      </c>
      <c r="I157" s="67">
        <v>0</v>
      </c>
      <c r="K157" s="67">
        <v>143</v>
      </c>
      <c r="L157" s="67">
        <v>3</v>
      </c>
    </row>
    <row r="158" spans="6:12" x14ac:dyDescent="0.15">
      <c r="F158" s="67">
        <v>144</v>
      </c>
      <c r="G158" s="67">
        <v>0</v>
      </c>
      <c r="H158" s="67">
        <v>1</v>
      </c>
      <c r="I158" s="67">
        <v>1</v>
      </c>
      <c r="K158" s="67">
        <v>144</v>
      </c>
      <c r="L158" s="67">
        <v>6</v>
      </c>
    </row>
    <row r="159" spans="6:12" x14ac:dyDescent="0.15">
      <c r="F159" s="67">
        <v>145</v>
      </c>
      <c r="G159" s="67">
        <v>0</v>
      </c>
      <c r="H159" s="67">
        <v>1</v>
      </c>
      <c r="I159" s="67">
        <v>1</v>
      </c>
      <c r="K159" s="67">
        <v>145</v>
      </c>
      <c r="L159" s="67">
        <v>4</v>
      </c>
    </row>
    <row r="160" spans="6:12" x14ac:dyDescent="0.15">
      <c r="F160" s="67">
        <v>146</v>
      </c>
      <c r="G160" s="67">
        <v>0</v>
      </c>
      <c r="H160" s="67">
        <v>1</v>
      </c>
      <c r="I160" s="67">
        <v>1</v>
      </c>
      <c r="K160" s="67">
        <v>146</v>
      </c>
      <c r="L160" s="67">
        <v>4</v>
      </c>
    </row>
    <row r="161" spans="6:12" x14ac:dyDescent="0.15">
      <c r="F161" s="67">
        <v>147</v>
      </c>
      <c r="G161" s="67">
        <v>0</v>
      </c>
      <c r="H161" s="67">
        <v>1</v>
      </c>
      <c r="I161" s="67">
        <v>0</v>
      </c>
      <c r="K161" s="67">
        <v>147</v>
      </c>
      <c r="L161" s="67">
        <v>5</v>
      </c>
    </row>
    <row r="162" spans="6:12" x14ac:dyDescent="0.15">
      <c r="F162" s="67">
        <v>148</v>
      </c>
      <c r="G162" s="67">
        <v>0</v>
      </c>
      <c r="H162" s="67">
        <v>1</v>
      </c>
      <c r="I162" s="67">
        <v>1</v>
      </c>
      <c r="K162" s="67">
        <v>148</v>
      </c>
      <c r="L162" s="67">
        <v>5</v>
      </c>
    </row>
    <row r="163" spans="6:12" x14ac:dyDescent="0.15">
      <c r="F163" s="67">
        <v>149</v>
      </c>
      <c r="G163" s="67">
        <v>1</v>
      </c>
      <c r="H163" s="67">
        <v>0</v>
      </c>
      <c r="I163" s="67">
        <v>0</v>
      </c>
      <c r="K163" s="67">
        <v>149</v>
      </c>
      <c r="L163" s="67">
        <v>3</v>
      </c>
    </row>
    <row r="164" spans="6:12" x14ac:dyDescent="0.15">
      <c r="F164" s="67">
        <v>150</v>
      </c>
      <c r="G164" s="67">
        <v>0</v>
      </c>
      <c r="H164" s="67">
        <v>0</v>
      </c>
      <c r="I164" s="67">
        <v>0</v>
      </c>
      <c r="K164" s="67">
        <v>150</v>
      </c>
      <c r="L164" s="67">
        <v>4</v>
      </c>
    </row>
    <row r="165" spans="6:12" x14ac:dyDescent="0.15">
      <c r="F165" s="67">
        <v>151</v>
      </c>
      <c r="G165" s="67">
        <v>0</v>
      </c>
      <c r="H165" s="67">
        <v>1</v>
      </c>
      <c r="I165" s="67">
        <v>1</v>
      </c>
      <c r="K165" s="67">
        <v>151</v>
      </c>
      <c r="L165" s="67">
        <v>4</v>
      </c>
    </row>
    <row r="166" spans="6:12" x14ac:dyDescent="0.15">
      <c r="F166" s="67">
        <v>152</v>
      </c>
      <c r="G166" s="67">
        <v>1</v>
      </c>
      <c r="H166" s="67">
        <v>0</v>
      </c>
      <c r="I166" s="67">
        <v>0</v>
      </c>
      <c r="K166" s="67">
        <v>152</v>
      </c>
      <c r="L166" s="67">
        <v>4</v>
      </c>
    </row>
    <row r="167" spans="6:12" x14ac:dyDescent="0.15">
      <c r="F167" s="67">
        <v>153</v>
      </c>
      <c r="G167" s="67">
        <v>0</v>
      </c>
      <c r="H167" s="67">
        <v>0</v>
      </c>
      <c r="I167" s="67">
        <v>0</v>
      </c>
      <c r="K167" s="67">
        <v>153</v>
      </c>
      <c r="L167" s="67">
        <v>4</v>
      </c>
    </row>
    <row r="168" spans="6:12" x14ac:dyDescent="0.15">
      <c r="F168" s="67">
        <v>154</v>
      </c>
      <c r="G168" s="67">
        <v>0</v>
      </c>
      <c r="H168" s="67">
        <v>1</v>
      </c>
      <c r="I168" s="67">
        <v>1</v>
      </c>
      <c r="K168" s="67">
        <v>154</v>
      </c>
      <c r="L168" s="67">
        <v>4</v>
      </c>
    </row>
    <row r="169" spans="6:12" x14ac:dyDescent="0.15">
      <c r="F169" s="67">
        <v>155</v>
      </c>
      <c r="G169" s="67">
        <v>0</v>
      </c>
      <c r="H169" s="67">
        <v>1</v>
      </c>
      <c r="I169" s="67">
        <v>1</v>
      </c>
      <c r="K169" s="67">
        <v>155</v>
      </c>
      <c r="L169" s="67">
        <v>3</v>
      </c>
    </row>
    <row r="170" spans="6:12" x14ac:dyDescent="0.15">
      <c r="F170" s="67">
        <v>156</v>
      </c>
      <c r="G170" s="67">
        <v>0</v>
      </c>
      <c r="H170" s="67">
        <v>0</v>
      </c>
      <c r="I170" s="67">
        <v>0</v>
      </c>
      <c r="K170" s="67">
        <v>156</v>
      </c>
      <c r="L170" s="67">
        <v>3</v>
      </c>
    </row>
    <row r="171" spans="6:12" x14ac:dyDescent="0.15">
      <c r="F171" s="67">
        <v>157</v>
      </c>
      <c r="G171" s="67">
        <v>0</v>
      </c>
      <c r="H171" s="67">
        <v>0</v>
      </c>
      <c r="I171" s="67">
        <v>0</v>
      </c>
      <c r="K171" s="67">
        <v>157</v>
      </c>
      <c r="L171" s="67">
        <v>3</v>
      </c>
    </row>
    <row r="172" spans="6:12" x14ac:dyDescent="0.15">
      <c r="F172" s="67">
        <v>158</v>
      </c>
      <c r="G172" s="67">
        <v>0</v>
      </c>
      <c r="H172" s="67">
        <v>0</v>
      </c>
      <c r="I172" s="67">
        <v>0</v>
      </c>
      <c r="K172" s="67">
        <v>158</v>
      </c>
      <c r="L172" s="67">
        <v>4</v>
      </c>
    </row>
    <row r="173" spans="6:12" x14ac:dyDescent="0.15">
      <c r="F173" s="67">
        <v>159</v>
      </c>
      <c r="G173" s="67">
        <v>0</v>
      </c>
      <c r="H173" s="67">
        <v>1</v>
      </c>
      <c r="I173" s="67">
        <v>1</v>
      </c>
      <c r="K173" s="67">
        <v>159</v>
      </c>
      <c r="L173" s="67">
        <v>4</v>
      </c>
    </row>
    <row r="174" spans="6:12" x14ac:dyDescent="0.15">
      <c r="F174" s="67">
        <v>160</v>
      </c>
      <c r="G174" s="67">
        <v>0</v>
      </c>
      <c r="H174" s="67">
        <v>1</v>
      </c>
      <c r="I174" s="67">
        <v>1</v>
      </c>
      <c r="K174" s="67">
        <v>160</v>
      </c>
      <c r="L174" s="67">
        <v>5</v>
      </c>
    </row>
    <row r="175" spans="6:12" x14ac:dyDescent="0.15">
      <c r="F175" s="67">
        <v>161</v>
      </c>
      <c r="G175" s="67">
        <v>0</v>
      </c>
      <c r="H175" s="67">
        <v>1</v>
      </c>
      <c r="I175" s="67">
        <v>1</v>
      </c>
      <c r="K175" s="67">
        <v>161</v>
      </c>
      <c r="L175" s="67">
        <v>4</v>
      </c>
    </row>
    <row r="176" spans="6:12" x14ac:dyDescent="0.15">
      <c r="F176" s="67">
        <v>162</v>
      </c>
      <c r="G176" s="67">
        <v>0</v>
      </c>
      <c r="H176" s="67">
        <v>1</v>
      </c>
      <c r="I176" s="67">
        <v>1</v>
      </c>
      <c r="K176" s="67">
        <v>162</v>
      </c>
      <c r="L176" s="67">
        <v>3</v>
      </c>
    </row>
    <row r="177" spans="6:12" x14ac:dyDescent="0.15">
      <c r="F177" s="67">
        <v>163</v>
      </c>
      <c r="G177" s="67">
        <v>0</v>
      </c>
      <c r="H177" s="67">
        <v>1</v>
      </c>
      <c r="I177" s="67">
        <v>1</v>
      </c>
      <c r="K177" s="67">
        <v>163</v>
      </c>
      <c r="L177" s="67">
        <v>4</v>
      </c>
    </row>
    <row r="178" spans="6:12" x14ac:dyDescent="0.15">
      <c r="F178" s="67">
        <v>164</v>
      </c>
      <c r="G178" s="67">
        <v>0</v>
      </c>
      <c r="H178" s="67">
        <v>1</v>
      </c>
      <c r="I178" s="67">
        <v>1</v>
      </c>
      <c r="K178" s="67">
        <v>164</v>
      </c>
      <c r="L178" s="67">
        <v>4</v>
      </c>
    </row>
    <row r="179" spans="6:12" x14ac:dyDescent="0.15">
      <c r="F179" s="67">
        <v>165</v>
      </c>
      <c r="G179" s="67">
        <v>0</v>
      </c>
      <c r="H179" s="67">
        <v>1</v>
      </c>
      <c r="I179" s="67">
        <v>1</v>
      </c>
      <c r="K179" s="67">
        <v>165</v>
      </c>
      <c r="L179" s="67">
        <v>5</v>
      </c>
    </row>
    <row r="180" spans="6:12" x14ac:dyDescent="0.15">
      <c r="F180" s="67">
        <v>166</v>
      </c>
      <c r="G180" s="67">
        <v>0</v>
      </c>
      <c r="H180" s="67">
        <v>1</v>
      </c>
      <c r="I180" s="67">
        <v>1</v>
      </c>
      <c r="K180" s="67">
        <v>166</v>
      </c>
      <c r="L180" s="67">
        <v>4</v>
      </c>
    </row>
    <row r="181" spans="6:12" x14ac:dyDescent="0.15">
      <c r="F181" s="67">
        <v>167</v>
      </c>
      <c r="G181" s="67">
        <v>0</v>
      </c>
      <c r="H181" s="67">
        <v>1</v>
      </c>
      <c r="I181" s="67">
        <v>1</v>
      </c>
      <c r="K181" s="67">
        <v>167</v>
      </c>
      <c r="L181" s="67">
        <v>4</v>
      </c>
    </row>
    <row r="182" spans="6:12" x14ac:dyDescent="0.15">
      <c r="F182" s="67">
        <v>168</v>
      </c>
      <c r="G182" s="67">
        <v>1</v>
      </c>
      <c r="H182" s="67">
        <v>0</v>
      </c>
      <c r="I182" s="67">
        <v>0</v>
      </c>
      <c r="K182" s="67">
        <v>168</v>
      </c>
      <c r="L182" s="67">
        <v>5</v>
      </c>
    </row>
    <row r="183" spans="6:12" x14ac:dyDescent="0.15">
      <c r="F183" s="67">
        <v>169</v>
      </c>
      <c r="G183" s="67">
        <v>0</v>
      </c>
      <c r="H183" s="67">
        <v>0</v>
      </c>
      <c r="I183" s="67">
        <v>0</v>
      </c>
      <c r="K183" s="67">
        <v>169</v>
      </c>
      <c r="L183" s="67">
        <v>3</v>
      </c>
    </row>
    <row r="184" spans="6:12" x14ac:dyDescent="0.15">
      <c r="F184" s="67">
        <v>170</v>
      </c>
      <c r="G184" s="67">
        <v>0</v>
      </c>
      <c r="H184" s="67">
        <v>0</v>
      </c>
      <c r="I184" s="67">
        <v>0</v>
      </c>
      <c r="K184" s="67">
        <v>170</v>
      </c>
      <c r="L184" s="67">
        <v>4</v>
      </c>
    </row>
    <row r="185" spans="6:12" x14ac:dyDescent="0.15">
      <c r="F185" s="67">
        <v>171</v>
      </c>
      <c r="G185" s="67">
        <v>0</v>
      </c>
      <c r="H185" s="67">
        <v>1</v>
      </c>
      <c r="I185" s="67">
        <v>1</v>
      </c>
      <c r="K185" s="67">
        <v>171</v>
      </c>
      <c r="L185" s="67">
        <v>5</v>
      </c>
    </row>
    <row r="186" spans="6:12" x14ac:dyDescent="0.15">
      <c r="F186" s="67">
        <v>172</v>
      </c>
      <c r="G186" s="67">
        <v>1</v>
      </c>
      <c r="H186" s="67">
        <v>0</v>
      </c>
      <c r="I186" s="67">
        <v>0</v>
      </c>
      <c r="K186" s="67">
        <v>172</v>
      </c>
      <c r="L186" s="67">
        <v>5</v>
      </c>
    </row>
    <row r="187" spans="6:12" x14ac:dyDescent="0.15">
      <c r="F187" s="67">
        <v>173</v>
      </c>
      <c r="G187" s="67">
        <v>0</v>
      </c>
      <c r="H187" s="67">
        <v>0</v>
      </c>
      <c r="I187" s="67">
        <v>0</v>
      </c>
      <c r="K187" s="67">
        <v>173</v>
      </c>
      <c r="L187" s="67">
        <v>4</v>
      </c>
    </row>
    <row r="188" spans="6:12" x14ac:dyDescent="0.15">
      <c r="F188" s="67">
        <v>174</v>
      </c>
      <c r="G188" s="67">
        <v>0</v>
      </c>
      <c r="H188" s="67">
        <v>1</v>
      </c>
      <c r="I188" s="67">
        <v>1</v>
      </c>
      <c r="K188" s="67">
        <v>174</v>
      </c>
      <c r="L188" s="67">
        <v>3</v>
      </c>
    </row>
    <row r="189" spans="6:12" x14ac:dyDescent="0.15">
      <c r="F189" s="67">
        <v>175</v>
      </c>
      <c r="G189" s="67">
        <v>0</v>
      </c>
      <c r="H189" s="67">
        <v>0</v>
      </c>
      <c r="I189" s="67">
        <v>0</v>
      </c>
      <c r="K189" s="67">
        <v>175</v>
      </c>
      <c r="L189" s="67">
        <v>5</v>
      </c>
    </row>
    <row r="190" spans="6:12" x14ac:dyDescent="0.15">
      <c r="F190" s="67">
        <v>176</v>
      </c>
      <c r="G190" s="67">
        <v>0</v>
      </c>
      <c r="H190" s="67">
        <v>1</v>
      </c>
      <c r="I190" s="67">
        <v>1</v>
      </c>
      <c r="K190" s="67">
        <v>176</v>
      </c>
      <c r="L190" s="67">
        <v>3</v>
      </c>
    </row>
    <row r="191" spans="6:12" x14ac:dyDescent="0.15">
      <c r="F191" s="67">
        <v>177</v>
      </c>
      <c r="G191" s="67">
        <v>0</v>
      </c>
      <c r="H191" s="67">
        <v>1</v>
      </c>
      <c r="I191" s="67">
        <v>0</v>
      </c>
      <c r="K191" s="67">
        <v>177</v>
      </c>
      <c r="L191" s="67">
        <v>5</v>
      </c>
    </row>
    <row r="192" spans="6:12" x14ac:dyDescent="0.15">
      <c r="F192" s="67">
        <v>178</v>
      </c>
      <c r="G192" s="67">
        <v>1</v>
      </c>
      <c r="H192" s="67">
        <v>0</v>
      </c>
      <c r="I192" s="67">
        <v>0</v>
      </c>
      <c r="K192" s="67">
        <v>178</v>
      </c>
      <c r="L192" s="67">
        <v>3</v>
      </c>
    </row>
    <row r="193" spans="6:12" x14ac:dyDescent="0.15">
      <c r="F193" s="67">
        <v>179</v>
      </c>
      <c r="G193" s="67">
        <v>1</v>
      </c>
      <c r="H193" s="67">
        <v>0</v>
      </c>
      <c r="I193" s="67">
        <v>0</v>
      </c>
      <c r="K193" s="67">
        <v>179</v>
      </c>
      <c r="L193" s="67">
        <v>3</v>
      </c>
    </row>
    <row r="194" spans="6:12" x14ac:dyDescent="0.15">
      <c r="F194" s="67">
        <v>180</v>
      </c>
      <c r="G194" s="67">
        <v>0</v>
      </c>
      <c r="H194" s="67">
        <v>1</v>
      </c>
      <c r="I194" s="67">
        <v>0</v>
      </c>
      <c r="K194" s="67">
        <v>180</v>
      </c>
      <c r="L194" s="67">
        <v>4</v>
      </c>
    </row>
    <row r="195" spans="6:12" x14ac:dyDescent="0.15">
      <c r="F195" s="67">
        <v>181</v>
      </c>
      <c r="G195" s="67">
        <v>0</v>
      </c>
      <c r="H195" s="67">
        <v>1</v>
      </c>
      <c r="I195" s="67">
        <v>1</v>
      </c>
      <c r="K195" s="67">
        <v>181</v>
      </c>
      <c r="L195" s="67">
        <v>4</v>
      </c>
    </row>
    <row r="196" spans="6:12" x14ac:dyDescent="0.15">
      <c r="F196" s="67">
        <v>182</v>
      </c>
      <c r="G196" s="67">
        <v>0</v>
      </c>
      <c r="H196" s="67">
        <v>1</v>
      </c>
      <c r="I196" s="67">
        <v>1</v>
      </c>
      <c r="K196" s="67">
        <v>182</v>
      </c>
      <c r="L196" s="67">
        <v>4</v>
      </c>
    </row>
    <row r="197" spans="6:12" x14ac:dyDescent="0.15">
      <c r="F197" s="67">
        <v>183</v>
      </c>
      <c r="G197" s="67">
        <v>0</v>
      </c>
      <c r="H197" s="67">
        <v>1</v>
      </c>
      <c r="I197" s="67">
        <v>1</v>
      </c>
      <c r="K197" s="67">
        <v>183</v>
      </c>
      <c r="L197" s="67">
        <v>3</v>
      </c>
    </row>
    <row r="198" spans="6:12" x14ac:dyDescent="0.15">
      <c r="F198" s="67">
        <v>184</v>
      </c>
      <c r="G198" s="67">
        <v>0</v>
      </c>
      <c r="H198" s="67">
        <v>0</v>
      </c>
      <c r="I198" s="67">
        <v>0</v>
      </c>
      <c r="K198" s="67">
        <v>184</v>
      </c>
      <c r="L198" s="67">
        <v>4</v>
      </c>
    </row>
    <row r="199" spans="6:12" x14ac:dyDescent="0.15">
      <c r="F199" s="67">
        <v>185</v>
      </c>
      <c r="G199" s="67">
        <v>0</v>
      </c>
      <c r="H199" s="67">
        <v>0</v>
      </c>
      <c r="I199" s="67">
        <v>0</v>
      </c>
      <c r="K199" s="67">
        <v>185</v>
      </c>
      <c r="L199" s="67">
        <v>3</v>
      </c>
    </row>
    <row r="200" spans="6:12" x14ac:dyDescent="0.15">
      <c r="F200" s="67">
        <v>186</v>
      </c>
      <c r="G200" s="67">
        <v>0</v>
      </c>
      <c r="H200" s="67">
        <v>0</v>
      </c>
      <c r="I200" s="67">
        <v>0</v>
      </c>
      <c r="K200" s="67">
        <v>186</v>
      </c>
      <c r="L200" s="67">
        <v>4</v>
      </c>
    </row>
    <row r="201" spans="6:12" x14ac:dyDescent="0.15">
      <c r="F201" s="67">
        <v>187</v>
      </c>
      <c r="G201" s="67">
        <v>1</v>
      </c>
      <c r="H201" s="67">
        <v>0</v>
      </c>
      <c r="I201" s="67">
        <v>0</v>
      </c>
      <c r="K201" s="67">
        <v>187</v>
      </c>
      <c r="L201" s="67">
        <v>4</v>
      </c>
    </row>
    <row r="202" spans="6:12" x14ac:dyDescent="0.15">
      <c r="F202" s="67">
        <v>188</v>
      </c>
      <c r="G202" s="67">
        <v>1</v>
      </c>
      <c r="H202" s="67">
        <v>0</v>
      </c>
      <c r="I202" s="67">
        <v>0</v>
      </c>
      <c r="K202" s="67">
        <v>188</v>
      </c>
      <c r="L202" s="67">
        <v>4</v>
      </c>
    </row>
    <row r="203" spans="6:12" x14ac:dyDescent="0.15">
      <c r="F203" s="67">
        <v>189</v>
      </c>
      <c r="G203" s="67">
        <v>0</v>
      </c>
      <c r="H203" s="67">
        <v>1</v>
      </c>
      <c r="I203" s="67">
        <v>1</v>
      </c>
      <c r="K203" s="67">
        <v>189</v>
      </c>
      <c r="L203" s="67">
        <v>5</v>
      </c>
    </row>
    <row r="204" spans="6:12" x14ac:dyDescent="0.15">
      <c r="F204" s="67">
        <v>190</v>
      </c>
      <c r="G204" s="67">
        <v>0</v>
      </c>
      <c r="H204" s="67">
        <v>0</v>
      </c>
      <c r="I204" s="67">
        <v>0</v>
      </c>
      <c r="K204" s="67">
        <v>190</v>
      </c>
      <c r="L204" s="67">
        <v>5</v>
      </c>
    </row>
    <row r="205" spans="6:12" x14ac:dyDescent="0.15">
      <c r="F205" s="67">
        <v>191</v>
      </c>
      <c r="G205" s="67">
        <v>0</v>
      </c>
      <c r="H205" s="67">
        <v>1</v>
      </c>
      <c r="I205" s="67">
        <v>1</v>
      </c>
      <c r="K205" s="67">
        <v>191</v>
      </c>
      <c r="L205" s="67">
        <v>5</v>
      </c>
    </row>
    <row r="206" spans="6:12" x14ac:dyDescent="0.15">
      <c r="F206" s="67">
        <v>192</v>
      </c>
      <c r="G206" s="67">
        <v>0</v>
      </c>
      <c r="H206" s="67">
        <v>1</v>
      </c>
      <c r="I206" s="67">
        <v>1</v>
      </c>
      <c r="K206" s="67">
        <v>192</v>
      </c>
      <c r="L206" s="67">
        <v>5</v>
      </c>
    </row>
    <row r="207" spans="6:12" x14ac:dyDescent="0.15">
      <c r="F207" s="67">
        <v>193</v>
      </c>
      <c r="G207" s="67">
        <v>0</v>
      </c>
      <c r="H207" s="67">
        <v>1</v>
      </c>
      <c r="I207" s="67">
        <v>1</v>
      </c>
      <c r="K207" s="67">
        <v>193</v>
      </c>
      <c r="L207" s="67">
        <v>4</v>
      </c>
    </row>
    <row r="208" spans="6:12" x14ac:dyDescent="0.15">
      <c r="F208" s="67">
        <v>194</v>
      </c>
      <c r="G208" s="67">
        <v>1</v>
      </c>
      <c r="H208" s="67">
        <v>0</v>
      </c>
      <c r="I208" s="67">
        <v>0</v>
      </c>
      <c r="K208" s="67">
        <v>194</v>
      </c>
      <c r="L208" s="67">
        <v>4</v>
      </c>
    </row>
    <row r="209" spans="6:12" x14ac:dyDescent="0.15">
      <c r="F209" s="67">
        <v>195</v>
      </c>
      <c r="G209" s="67">
        <v>0</v>
      </c>
      <c r="H209" s="67">
        <v>0</v>
      </c>
      <c r="I209" s="67">
        <v>0</v>
      </c>
      <c r="K209" s="67">
        <v>195</v>
      </c>
      <c r="L209" s="67">
        <v>4</v>
      </c>
    </row>
    <row r="210" spans="6:12" x14ac:dyDescent="0.15">
      <c r="F210" s="67">
        <v>196</v>
      </c>
      <c r="G210" s="67">
        <v>0</v>
      </c>
      <c r="H210" s="67">
        <v>0</v>
      </c>
      <c r="I210" s="67">
        <v>0</v>
      </c>
      <c r="K210" s="67">
        <v>196</v>
      </c>
      <c r="L210" s="67">
        <v>4</v>
      </c>
    </row>
    <row r="211" spans="6:12" x14ac:dyDescent="0.15">
      <c r="F211" s="67">
        <v>197</v>
      </c>
      <c r="G211" s="67">
        <v>0</v>
      </c>
      <c r="H211" s="67">
        <v>1</v>
      </c>
      <c r="I211" s="67">
        <v>1</v>
      </c>
      <c r="K211" s="67">
        <v>197</v>
      </c>
      <c r="L211" s="67">
        <v>3</v>
      </c>
    </row>
    <row r="212" spans="6:12" x14ac:dyDescent="0.15">
      <c r="F212" s="67">
        <v>198</v>
      </c>
      <c r="G212" s="67">
        <v>0</v>
      </c>
      <c r="H212" s="67">
        <v>0</v>
      </c>
      <c r="I212" s="67">
        <v>0</v>
      </c>
      <c r="K212" s="67">
        <v>198</v>
      </c>
      <c r="L212" s="67">
        <v>4</v>
      </c>
    </row>
    <row r="213" spans="6:12" x14ac:dyDescent="0.15">
      <c r="F213" s="67">
        <v>199</v>
      </c>
      <c r="G213" s="67">
        <v>0</v>
      </c>
      <c r="H213" s="67">
        <v>1</v>
      </c>
      <c r="I213" s="67">
        <v>1</v>
      </c>
      <c r="K213" s="67">
        <v>199</v>
      </c>
      <c r="L213" s="67">
        <v>4</v>
      </c>
    </row>
    <row r="214" spans="6:12" x14ac:dyDescent="0.15">
      <c r="F214" s="67">
        <v>200</v>
      </c>
      <c r="G214" s="67">
        <v>0</v>
      </c>
      <c r="H214" s="67">
        <v>1</v>
      </c>
      <c r="I214" s="67">
        <v>1</v>
      </c>
      <c r="K214" s="67">
        <v>200</v>
      </c>
      <c r="L214" s="67">
        <v>4</v>
      </c>
    </row>
    <row r="215" spans="6:12" x14ac:dyDescent="0.15">
      <c r="F215" s="67">
        <v>201</v>
      </c>
      <c r="G215" s="67">
        <v>0</v>
      </c>
      <c r="H215" s="67">
        <v>0</v>
      </c>
      <c r="I215" s="67">
        <v>0</v>
      </c>
      <c r="K215" s="67">
        <v>201</v>
      </c>
      <c r="L215" s="67">
        <v>5</v>
      </c>
    </row>
    <row r="216" spans="6:12" x14ac:dyDescent="0.15">
      <c r="F216" s="67">
        <v>202</v>
      </c>
      <c r="G216" s="67">
        <v>0</v>
      </c>
      <c r="H216" s="67">
        <v>1</v>
      </c>
      <c r="I216" s="67">
        <v>0</v>
      </c>
      <c r="K216" s="67">
        <v>202</v>
      </c>
      <c r="L216" s="67">
        <v>4</v>
      </c>
    </row>
    <row r="217" spans="6:12" x14ac:dyDescent="0.15">
      <c r="F217" s="67">
        <v>203</v>
      </c>
      <c r="G217" s="67">
        <v>0</v>
      </c>
      <c r="H217" s="67">
        <v>1</v>
      </c>
      <c r="I217" s="67">
        <v>1</v>
      </c>
      <c r="K217" s="67">
        <v>203</v>
      </c>
      <c r="L217" s="67">
        <v>4</v>
      </c>
    </row>
    <row r="218" spans="6:12" x14ac:dyDescent="0.15">
      <c r="F218" s="67">
        <v>204</v>
      </c>
      <c r="G218" s="67">
        <v>0</v>
      </c>
      <c r="H218" s="67">
        <v>1</v>
      </c>
      <c r="I218" s="67">
        <v>1</v>
      </c>
      <c r="K218" s="67">
        <v>204</v>
      </c>
      <c r="L218" s="67">
        <v>4</v>
      </c>
    </row>
    <row r="219" spans="6:12" x14ac:dyDescent="0.15">
      <c r="F219" s="67">
        <v>205</v>
      </c>
      <c r="G219" s="67">
        <v>0</v>
      </c>
      <c r="H219" s="67">
        <v>1</v>
      </c>
      <c r="I219" s="67">
        <v>1</v>
      </c>
      <c r="K219" s="67">
        <v>205</v>
      </c>
      <c r="L219" s="67">
        <v>5</v>
      </c>
    </row>
    <row r="220" spans="6:12" x14ac:dyDescent="0.15">
      <c r="F220" s="67">
        <v>206</v>
      </c>
      <c r="G220" s="67">
        <v>0</v>
      </c>
      <c r="H220" s="67">
        <v>1</v>
      </c>
      <c r="I220" s="67">
        <v>1</v>
      </c>
      <c r="K220" s="67">
        <v>206</v>
      </c>
      <c r="L220" s="67">
        <v>5</v>
      </c>
    </row>
    <row r="221" spans="6:12" x14ac:dyDescent="0.15">
      <c r="F221" s="67">
        <v>207</v>
      </c>
      <c r="G221" s="67">
        <v>0</v>
      </c>
      <c r="H221" s="67">
        <v>1</v>
      </c>
      <c r="I221" s="67">
        <v>1</v>
      </c>
      <c r="K221" s="67">
        <v>207</v>
      </c>
      <c r="L221" s="67">
        <v>4</v>
      </c>
    </row>
    <row r="222" spans="6:12" x14ac:dyDescent="0.15">
      <c r="F222" s="67">
        <v>208</v>
      </c>
      <c r="G222" s="67">
        <v>0</v>
      </c>
      <c r="H222" s="67">
        <v>1</v>
      </c>
      <c r="I222" s="67">
        <v>1</v>
      </c>
      <c r="K222" s="67">
        <v>208</v>
      </c>
      <c r="L222" s="67">
        <v>4</v>
      </c>
    </row>
    <row r="223" spans="6:12" x14ac:dyDescent="0.15">
      <c r="F223" s="67">
        <v>209</v>
      </c>
      <c r="G223" s="67">
        <v>0</v>
      </c>
      <c r="H223" s="67">
        <v>0</v>
      </c>
      <c r="I223" s="67">
        <v>0</v>
      </c>
      <c r="K223" s="67">
        <v>209</v>
      </c>
      <c r="L223" s="67">
        <v>6</v>
      </c>
    </row>
    <row r="224" spans="6:12" x14ac:dyDescent="0.15">
      <c r="F224" s="67">
        <v>210</v>
      </c>
      <c r="G224" s="67">
        <v>0</v>
      </c>
      <c r="H224" s="67">
        <v>0</v>
      </c>
      <c r="I224" s="67">
        <v>0</v>
      </c>
      <c r="K224" s="67">
        <v>210</v>
      </c>
      <c r="L224" s="67">
        <v>4</v>
      </c>
    </row>
    <row r="225" spans="6:12" x14ac:dyDescent="0.15">
      <c r="F225" s="67">
        <v>211</v>
      </c>
      <c r="G225" s="67">
        <v>0</v>
      </c>
      <c r="H225" s="67">
        <v>1</v>
      </c>
      <c r="I225" s="67">
        <v>1</v>
      </c>
      <c r="K225" s="67">
        <v>211</v>
      </c>
      <c r="L225" s="67">
        <v>4</v>
      </c>
    </row>
    <row r="226" spans="6:12" x14ac:dyDescent="0.15">
      <c r="F226" s="67">
        <v>212</v>
      </c>
      <c r="G226" s="67">
        <v>0</v>
      </c>
      <c r="H226" s="67">
        <v>0</v>
      </c>
      <c r="I226" s="67">
        <v>0</v>
      </c>
      <c r="K226" s="67">
        <v>212</v>
      </c>
      <c r="L226" s="67">
        <v>4</v>
      </c>
    </row>
    <row r="227" spans="6:12" x14ac:dyDescent="0.15">
      <c r="F227" s="67">
        <v>213</v>
      </c>
      <c r="G227" s="67">
        <v>0</v>
      </c>
      <c r="H227" s="67">
        <v>1</v>
      </c>
      <c r="I227" s="67">
        <v>1</v>
      </c>
      <c r="K227" s="67">
        <v>213</v>
      </c>
      <c r="L227" s="67">
        <v>3</v>
      </c>
    </row>
    <row r="228" spans="6:12" x14ac:dyDescent="0.15">
      <c r="F228" s="67">
        <v>214</v>
      </c>
      <c r="G228" s="67">
        <v>0</v>
      </c>
      <c r="H228" s="67">
        <v>1</v>
      </c>
      <c r="I228" s="67">
        <v>1</v>
      </c>
      <c r="K228" s="67">
        <v>214</v>
      </c>
      <c r="L228" s="67">
        <v>4</v>
      </c>
    </row>
    <row r="229" spans="6:12" x14ac:dyDescent="0.15">
      <c r="F229" s="67">
        <v>215</v>
      </c>
      <c r="G229" s="67">
        <v>0</v>
      </c>
      <c r="H229" s="67">
        <v>1</v>
      </c>
      <c r="I229" s="67">
        <v>1</v>
      </c>
      <c r="K229" s="67">
        <v>215</v>
      </c>
      <c r="L229" s="67">
        <v>5</v>
      </c>
    </row>
    <row r="230" spans="6:12" x14ac:dyDescent="0.15">
      <c r="F230" s="67">
        <v>216</v>
      </c>
      <c r="G230" s="67">
        <v>0</v>
      </c>
      <c r="H230" s="67">
        <v>1</v>
      </c>
      <c r="I230" s="67">
        <v>1</v>
      </c>
      <c r="K230" s="67">
        <v>216</v>
      </c>
      <c r="L230" s="67">
        <v>4</v>
      </c>
    </row>
    <row r="231" spans="6:12" x14ac:dyDescent="0.15">
      <c r="F231" s="67">
        <v>217</v>
      </c>
      <c r="G231" s="67">
        <v>0</v>
      </c>
      <c r="H231" s="67">
        <v>0</v>
      </c>
      <c r="I231" s="67">
        <v>0</v>
      </c>
      <c r="K231" s="67">
        <v>217</v>
      </c>
      <c r="L231" s="67">
        <v>4</v>
      </c>
    </row>
    <row r="232" spans="6:12" x14ac:dyDescent="0.15">
      <c r="F232" s="67">
        <v>218</v>
      </c>
      <c r="G232" s="67">
        <v>1</v>
      </c>
      <c r="H232" s="67">
        <v>0</v>
      </c>
      <c r="I232" s="67">
        <v>0</v>
      </c>
      <c r="K232" s="67">
        <v>218</v>
      </c>
      <c r="L232" s="67">
        <v>3</v>
      </c>
    </row>
    <row r="233" spans="6:12" x14ac:dyDescent="0.15">
      <c r="F233" s="67">
        <v>219</v>
      </c>
      <c r="G233" s="67">
        <v>0</v>
      </c>
      <c r="H233" s="67">
        <v>1</v>
      </c>
      <c r="I233" s="67">
        <v>1</v>
      </c>
      <c r="K233" s="67">
        <v>219</v>
      </c>
      <c r="L233" s="67">
        <v>3</v>
      </c>
    </row>
    <row r="234" spans="6:12" x14ac:dyDescent="0.15">
      <c r="F234" s="67">
        <v>220</v>
      </c>
      <c r="G234" s="67">
        <v>1</v>
      </c>
      <c r="H234" s="67">
        <v>0</v>
      </c>
      <c r="I234" s="67">
        <v>0</v>
      </c>
      <c r="K234" s="67">
        <v>220</v>
      </c>
      <c r="L234" s="67">
        <v>4</v>
      </c>
    </row>
    <row r="235" spans="6:12" x14ac:dyDescent="0.15">
      <c r="F235" s="67">
        <v>221</v>
      </c>
      <c r="G235" s="67">
        <v>0</v>
      </c>
      <c r="H235" s="67">
        <v>1</v>
      </c>
      <c r="I235" s="67">
        <v>1</v>
      </c>
      <c r="K235" s="67">
        <v>221</v>
      </c>
      <c r="L235" s="67">
        <v>3</v>
      </c>
    </row>
    <row r="236" spans="6:12" x14ac:dyDescent="0.15">
      <c r="F236" s="67">
        <v>222</v>
      </c>
      <c r="G236" s="67">
        <v>0</v>
      </c>
      <c r="H236" s="67">
        <v>1</v>
      </c>
      <c r="I236" s="67">
        <v>0</v>
      </c>
      <c r="K236" s="67">
        <v>222</v>
      </c>
      <c r="L236" s="67">
        <v>4</v>
      </c>
    </row>
    <row r="237" spans="6:12" x14ac:dyDescent="0.15">
      <c r="F237" s="67">
        <v>223</v>
      </c>
      <c r="G237" s="67">
        <v>0</v>
      </c>
      <c r="H237" s="67">
        <v>1</v>
      </c>
      <c r="I237" s="67">
        <v>1</v>
      </c>
      <c r="K237" s="67">
        <v>223</v>
      </c>
      <c r="L237" s="67">
        <v>4</v>
      </c>
    </row>
    <row r="238" spans="6:12" x14ac:dyDescent="0.15">
      <c r="F238" s="67">
        <v>224</v>
      </c>
      <c r="G238" s="67">
        <v>0</v>
      </c>
      <c r="H238" s="67">
        <v>0</v>
      </c>
      <c r="I238" s="67">
        <v>0</v>
      </c>
      <c r="K238" s="67">
        <v>224</v>
      </c>
      <c r="L238" s="67">
        <v>5</v>
      </c>
    </row>
    <row r="239" spans="6:12" x14ac:dyDescent="0.15">
      <c r="F239" s="67">
        <v>225</v>
      </c>
      <c r="G239" s="67">
        <v>0</v>
      </c>
      <c r="H239" s="67">
        <v>0</v>
      </c>
      <c r="I239" s="67">
        <v>0</v>
      </c>
      <c r="K239" s="67">
        <v>225</v>
      </c>
      <c r="L239" s="67">
        <v>4</v>
      </c>
    </row>
    <row r="240" spans="6:12" x14ac:dyDescent="0.15">
      <c r="F240" s="67">
        <v>226</v>
      </c>
      <c r="G240" s="67">
        <v>0</v>
      </c>
      <c r="H240" s="67">
        <v>1</v>
      </c>
      <c r="I240" s="67">
        <v>1</v>
      </c>
      <c r="K240" s="67">
        <v>226</v>
      </c>
      <c r="L240" s="67">
        <v>4</v>
      </c>
    </row>
    <row r="241" spans="6:12" x14ac:dyDescent="0.15">
      <c r="F241" s="67">
        <v>227</v>
      </c>
      <c r="G241" s="67">
        <v>0</v>
      </c>
      <c r="H241" s="67">
        <v>1</v>
      </c>
      <c r="I241" s="67">
        <v>1</v>
      </c>
      <c r="K241" s="67">
        <v>227</v>
      </c>
      <c r="L241" s="67">
        <v>4</v>
      </c>
    </row>
    <row r="242" spans="6:12" x14ac:dyDescent="0.15">
      <c r="F242" s="67">
        <v>228</v>
      </c>
      <c r="G242" s="67">
        <v>1</v>
      </c>
      <c r="H242" s="67">
        <v>0</v>
      </c>
      <c r="I242" s="67">
        <v>0</v>
      </c>
      <c r="K242" s="67">
        <v>228</v>
      </c>
      <c r="L242" s="67">
        <v>4</v>
      </c>
    </row>
    <row r="243" spans="6:12" x14ac:dyDescent="0.15">
      <c r="F243" s="67">
        <v>229</v>
      </c>
      <c r="G243" s="67">
        <v>0</v>
      </c>
      <c r="H243" s="67">
        <v>1</v>
      </c>
      <c r="I243" s="67">
        <v>1</v>
      </c>
      <c r="K243" s="67">
        <v>229</v>
      </c>
      <c r="L243" s="67">
        <v>4</v>
      </c>
    </row>
    <row r="244" spans="6:12" x14ac:dyDescent="0.15">
      <c r="F244" s="67">
        <v>230</v>
      </c>
      <c r="G244" s="67">
        <v>0</v>
      </c>
      <c r="H244" s="67">
        <v>1</v>
      </c>
      <c r="I244" s="67">
        <v>1</v>
      </c>
      <c r="K244" s="67">
        <v>230</v>
      </c>
      <c r="L244" s="67">
        <v>5</v>
      </c>
    </row>
    <row r="245" spans="6:12" x14ac:dyDescent="0.15">
      <c r="F245" s="67">
        <v>231</v>
      </c>
      <c r="G245" s="67">
        <v>1</v>
      </c>
      <c r="H245" s="67">
        <v>0</v>
      </c>
      <c r="I245" s="67">
        <v>0</v>
      </c>
      <c r="K245" s="67">
        <v>231</v>
      </c>
      <c r="L245" s="67">
        <v>4</v>
      </c>
    </row>
    <row r="246" spans="6:12" x14ac:dyDescent="0.15">
      <c r="F246" s="67">
        <v>232</v>
      </c>
      <c r="G246" s="67">
        <v>0</v>
      </c>
      <c r="H246" s="67">
        <v>0</v>
      </c>
      <c r="I246" s="67">
        <v>0</v>
      </c>
      <c r="K246" s="67">
        <v>232</v>
      </c>
      <c r="L246" s="67">
        <v>4</v>
      </c>
    </row>
    <row r="247" spans="6:12" x14ac:dyDescent="0.15">
      <c r="F247" s="67">
        <v>233</v>
      </c>
      <c r="G247" s="67">
        <v>0</v>
      </c>
      <c r="H247" s="67">
        <v>1</v>
      </c>
      <c r="I247" s="67">
        <v>1</v>
      </c>
      <c r="K247" s="67">
        <v>233</v>
      </c>
      <c r="L247" s="67">
        <v>5</v>
      </c>
    </row>
    <row r="248" spans="6:12" x14ac:dyDescent="0.15">
      <c r="F248" s="67">
        <v>234</v>
      </c>
      <c r="G248" s="67">
        <v>0</v>
      </c>
      <c r="H248" s="67">
        <v>1</v>
      </c>
      <c r="I248" s="67">
        <v>1</v>
      </c>
      <c r="K248" s="67">
        <v>234</v>
      </c>
      <c r="L248" s="67">
        <v>3</v>
      </c>
    </row>
    <row r="249" spans="6:12" x14ac:dyDescent="0.15">
      <c r="F249" s="67">
        <v>235</v>
      </c>
      <c r="G249" s="67">
        <v>0</v>
      </c>
      <c r="H249" s="67">
        <v>0</v>
      </c>
      <c r="I249" s="67">
        <v>0</v>
      </c>
      <c r="K249" s="67">
        <v>235</v>
      </c>
      <c r="L249" s="67">
        <v>5</v>
      </c>
    </row>
    <row r="250" spans="6:12" x14ac:dyDescent="0.15">
      <c r="F250" s="67">
        <v>236</v>
      </c>
      <c r="G250" s="67">
        <v>0</v>
      </c>
      <c r="H250" s="67">
        <v>0</v>
      </c>
      <c r="I250" s="67">
        <v>0</v>
      </c>
      <c r="K250" s="67">
        <v>236</v>
      </c>
      <c r="L250" s="67">
        <v>5</v>
      </c>
    </row>
    <row r="251" spans="6:12" x14ac:dyDescent="0.15">
      <c r="F251" s="67">
        <v>237</v>
      </c>
      <c r="G251" s="67">
        <v>0</v>
      </c>
      <c r="H251" s="67">
        <v>1</v>
      </c>
      <c r="I251" s="67">
        <v>1</v>
      </c>
      <c r="K251" s="67">
        <v>237</v>
      </c>
      <c r="L251" s="67">
        <v>4</v>
      </c>
    </row>
    <row r="252" spans="6:12" x14ac:dyDescent="0.15">
      <c r="F252" s="67">
        <v>238</v>
      </c>
      <c r="G252" s="67">
        <v>0</v>
      </c>
      <c r="H252" s="67">
        <v>1</v>
      </c>
      <c r="I252" s="67">
        <v>0</v>
      </c>
      <c r="K252" s="67">
        <v>238</v>
      </c>
      <c r="L252" s="67">
        <v>4</v>
      </c>
    </row>
    <row r="253" spans="6:12" x14ac:dyDescent="0.15">
      <c r="F253" s="67">
        <v>239</v>
      </c>
      <c r="G253" s="67">
        <v>0</v>
      </c>
      <c r="H253" s="67">
        <v>0</v>
      </c>
      <c r="I253" s="67">
        <v>0</v>
      </c>
      <c r="K253" s="67">
        <v>239</v>
      </c>
      <c r="L253" s="67">
        <v>4</v>
      </c>
    </row>
    <row r="254" spans="6:12" x14ac:dyDescent="0.15">
      <c r="F254" s="67">
        <v>240</v>
      </c>
      <c r="G254" s="67">
        <v>1</v>
      </c>
      <c r="H254" s="67">
        <v>0</v>
      </c>
      <c r="I254" s="67">
        <v>0</v>
      </c>
      <c r="K254" s="67">
        <v>240</v>
      </c>
      <c r="L254" s="67">
        <v>3</v>
      </c>
    </row>
    <row r="255" spans="6:12" x14ac:dyDescent="0.15">
      <c r="F255" s="67">
        <v>241</v>
      </c>
      <c r="G255" s="67">
        <v>0</v>
      </c>
      <c r="H255" s="67">
        <v>1</v>
      </c>
      <c r="I255" s="67">
        <v>1</v>
      </c>
      <c r="K255" s="67">
        <v>241</v>
      </c>
      <c r="L255" s="67">
        <v>4</v>
      </c>
    </row>
    <row r="256" spans="6:12" x14ac:dyDescent="0.15">
      <c r="F256" s="67">
        <v>242</v>
      </c>
      <c r="G256" s="67">
        <v>0</v>
      </c>
      <c r="H256" s="67">
        <v>1</v>
      </c>
      <c r="I256" s="67">
        <v>0</v>
      </c>
      <c r="K256" s="67">
        <v>242</v>
      </c>
      <c r="L256" s="67">
        <v>4</v>
      </c>
    </row>
    <row r="257" spans="6:12" x14ac:dyDescent="0.15">
      <c r="F257" s="67">
        <v>243</v>
      </c>
      <c r="G257" s="67">
        <v>1</v>
      </c>
      <c r="H257" s="67">
        <v>0</v>
      </c>
      <c r="I257" s="67">
        <v>0</v>
      </c>
      <c r="K257" s="67">
        <v>243</v>
      </c>
      <c r="L257" s="67">
        <v>4</v>
      </c>
    </row>
    <row r="258" spans="6:12" x14ac:dyDescent="0.15">
      <c r="F258" s="67">
        <v>244</v>
      </c>
      <c r="G258" s="67">
        <v>1</v>
      </c>
      <c r="H258" s="67">
        <v>0</v>
      </c>
      <c r="I258" s="67">
        <v>0</v>
      </c>
      <c r="K258" s="67">
        <v>244</v>
      </c>
      <c r="L258" s="67">
        <v>4</v>
      </c>
    </row>
    <row r="259" spans="6:12" x14ac:dyDescent="0.15">
      <c r="F259" s="67">
        <v>245</v>
      </c>
      <c r="G259" s="67">
        <v>0</v>
      </c>
      <c r="H259" s="67">
        <v>1</v>
      </c>
      <c r="I259" s="67">
        <v>1</v>
      </c>
      <c r="K259" s="67">
        <v>245</v>
      </c>
      <c r="L259" s="67">
        <v>4</v>
      </c>
    </row>
    <row r="260" spans="6:12" x14ac:dyDescent="0.15">
      <c r="F260" s="67">
        <v>246</v>
      </c>
      <c r="G260" s="67">
        <v>1</v>
      </c>
      <c r="H260" s="67">
        <v>0</v>
      </c>
      <c r="I260" s="67">
        <v>0</v>
      </c>
      <c r="K260" s="67">
        <v>246</v>
      </c>
      <c r="L260" s="67">
        <v>3</v>
      </c>
    </row>
    <row r="261" spans="6:12" x14ac:dyDescent="0.15">
      <c r="F261" s="67">
        <v>247</v>
      </c>
      <c r="G261" s="67">
        <v>0</v>
      </c>
      <c r="H261" s="67">
        <v>0</v>
      </c>
      <c r="I261" s="67">
        <v>0</v>
      </c>
      <c r="K261" s="67">
        <v>247</v>
      </c>
      <c r="L261" s="67">
        <v>3</v>
      </c>
    </row>
    <row r="262" spans="6:12" x14ac:dyDescent="0.15">
      <c r="F262" s="67">
        <v>248</v>
      </c>
      <c r="G262" s="67">
        <v>0</v>
      </c>
      <c r="H262" s="67">
        <v>0</v>
      </c>
      <c r="I262" s="67">
        <v>0</v>
      </c>
      <c r="K262" s="67">
        <v>248</v>
      </c>
      <c r="L262" s="67">
        <v>4</v>
      </c>
    </row>
    <row r="263" spans="6:12" x14ac:dyDescent="0.15">
      <c r="F263" s="67">
        <v>249</v>
      </c>
      <c r="G263" s="67">
        <v>1</v>
      </c>
      <c r="H263" s="67">
        <v>0</v>
      </c>
      <c r="I263" s="67">
        <v>0</v>
      </c>
      <c r="K263" s="67">
        <v>249</v>
      </c>
      <c r="L263" s="67">
        <v>3</v>
      </c>
    </row>
    <row r="264" spans="6:12" x14ac:dyDescent="0.15">
      <c r="F264" s="67">
        <v>250</v>
      </c>
      <c r="G264" s="67">
        <v>0</v>
      </c>
      <c r="H264" s="67">
        <v>0</v>
      </c>
      <c r="I264" s="67">
        <v>0</v>
      </c>
      <c r="K264" s="67">
        <v>250</v>
      </c>
      <c r="L264" s="67">
        <v>4</v>
      </c>
    </row>
    <row r="265" spans="6:12" x14ac:dyDescent="0.15">
      <c r="F265" s="67">
        <v>251</v>
      </c>
      <c r="G265" s="67">
        <v>0</v>
      </c>
      <c r="H265" s="67">
        <v>0</v>
      </c>
      <c r="I265" s="67">
        <v>0</v>
      </c>
      <c r="K265" s="67">
        <v>251</v>
      </c>
      <c r="L265" s="67">
        <v>4</v>
      </c>
    </row>
    <row r="266" spans="6:12" x14ac:dyDescent="0.15">
      <c r="F266" s="67">
        <v>252</v>
      </c>
      <c r="G266" s="67">
        <v>0</v>
      </c>
      <c r="H266" s="67">
        <v>1</v>
      </c>
      <c r="I266" s="67">
        <v>1</v>
      </c>
      <c r="K266" s="67">
        <v>252</v>
      </c>
      <c r="L266" s="67">
        <v>4</v>
      </c>
    </row>
    <row r="267" spans="6:12" x14ac:dyDescent="0.15">
      <c r="F267" s="67">
        <v>253</v>
      </c>
      <c r="G267" s="67">
        <v>0</v>
      </c>
      <c r="H267" s="67">
        <v>0</v>
      </c>
      <c r="I267" s="67">
        <v>0</v>
      </c>
      <c r="K267" s="67">
        <v>253</v>
      </c>
      <c r="L267" s="67">
        <v>4</v>
      </c>
    </row>
    <row r="268" spans="6:12" x14ac:dyDescent="0.15">
      <c r="F268" s="67">
        <v>254</v>
      </c>
      <c r="G268" s="67">
        <v>0</v>
      </c>
      <c r="H268" s="67">
        <v>1</v>
      </c>
      <c r="I268" s="67">
        <v>1</v>
      </c>
      <c r="K268" s="67">
        <v>254</v>
      </c>
      <c r="L268" s="67">
        <v>4</v>
      </c>
    </row>
    <row r="269" spans="6:12" x14ac:dyDescent="0.15">
      <c r="F269" s="67">
        <v>255</v>
      </c>
      <c r="G269" s="67">
        <v>0</v>
      </c>
      <c r="H269" s="67">
        <v>0</v>
      </c>
      <c r="I269" s="67">
        <v>0</v>
      </c>
      <c r="K269" s="67">
        <v>255</v>
      </c>
      <c r="L269" s="67">
        <v>4</v>
      </c>
    </row>
    <row r="270" spans="6:12" x14ac:dyDescent="0.15">
      <c r="F270" s="67">
        <v>256</v>
      </c>
      <c r="G270" s="67">
        <v>0</v>
      </c>
      <c r="H270" s="67">
        <v>1</v>
      </c>
      <c r="I270" s="67">
        <v>1</v>
      </c>
      <c r="K270" s="67">
        <v>256</v>
      </c>
      <c r="L270" s="67">
        <v>5</v>
      </c>
    </row>
    <row r="271" spans="6:12" x14ac:dyDescent="0.15">
      <c r="F271" s="67">
        <v>257</v>
      </c>
      <c r="G271" s="67">
        <v>0</v>
      </c>
      <c r="H271" s="67">
        <v>1</v>
      </c>
      <c r="I271" s="67">
        <v>1</v>
      </c>
      <c r="K271" s="67">
        <v>257</v>
      </c>
      <c r="L271" s="67">
        <v>4</v>
      </c>
    </row>
    <row r="272" spans="6:12" x14ac:dyDescent="0.15">
      <c r="F272" s="67">
        <v>258</v>
      </c>
      <c r="G272" s="67">
        <v>0</v>
      </c>
      <c r="H272" s="67">
        <v>1</v>
      </c>
      <c r="I272" s="67">
        <v>1</v>
      </c>
      <c r="K272" s="67">
        <v>258</v>
      </c>
      <c r="L272" s="67">
        <v>4</v>
      </c>
    </row>
    <row r="273" spans="6:12" x14ac:dyDescent="0.15">
      <c r="F273" s="67">
        <v>259</v>
      </c>
      <c r="G273" s="67">
        <v>0</v>
      </c>
      <c r="H273" s="67">
        <v>0</v>
      </c>
      <c r="I273" s="67">
        <v>0</v>
      </c>
      <c r="K273" s="67">
        <v>259</v>
      </c>
      <c r="L273" s="67">
        <v>4</v>
      </c>
    </row>
    <row r="274" spans="6:12" x14ac:dyDescent="0.15">
      <c r="F274" s="67">
        <v>260</v>
      </c>
      <c r="G274" s="67">
        <v>0</v>
      </c>
      <c r="H274" s="67">
        <v>1</v>
      </c>
      <c r="I274" s="67">
        <v>1</v>
      </c>
      <c r="K274" s="67">
        <v>260</v>
      </c>
      <c r="L274" s="67">
        <v>4</v>
      </c>
    </row>
    <row r="275" spans="6:12" x14ac:dyDescent="0.15">
      <c r="F275" s="67">
        <v>261</v>
      </c>
      <c r="G275" s="67">
        <v>0</v>
      </c>
      <c r="H275" s="67">
        <v>0</v>
      </c>
      <c r="I275" s="67">
        <v>0</v>
      </c>
      <c r="K275" s="67">
        <v>261</v>
      </c>
      <c r="L275" s="67">
        <v>4</v>
      </c>
    </row>
    <row r="276" spans="6:12" x14ac:dyDescent="0.15">
      <c r="F276" s="67">
        <v>262</v>
      </c>
      <c r="G276" s="67">
        <v>0</v>
      </c>
      <c r="H276" s="67">
        <v>0</v>
      </c>
      <c r="I276" s="67">
        <v>0</v>
      </c>
      <c r="K276" s="67">
        <v>262</v>
      </c>
      <c r="L276" s="67">
        <v>4</v>
      </c>
    </row>
    <row r="277" spans="6:12" x14ac:dyDescent="0.15">
      <c r="F277" s="67">
        <v>263</v>
      </c>
      <c r="G277" s="67">
        <v>0</v>
      </c>
      <c r="H277" s="67">
        <v>0</v>
      </c>
      <c r="I277" s="67">
        <v>0</v>
      </c>
      <c r="K277" s="67">
        <v>263</v>
      </c>
      <c r="L277" s="67">
        <v>4</v>
      </c>
    </row>
    <row r="278" spans="6:12" x14ac:dyDescent="0.15">
      <c r="F278" s="67">
        <v>264</v>
      </c>
      <c r="G278" s="67">
        <v>0</v>
      </c>
      <c r="H278" s="67">
        <v>0</v>
      </c>
      <c r="I278" s="67">
        <v>0</v>
      </c>
      <c r="K278" s="67">
        <v>264</v>
      </c>
      <c r="L278" s="67">
        <v>5</v>
      </c>
    </row>
    <row r="279" spans="6:12" x14ac:dyDescent="0.15">
      <c r="F279" s="67">
        <v>265</v>
      </c>
      <c r="G279" s="67">
        <v>1</v>
      </c>
      <c r="H279" s="67">
        <v>0</v>
      </c>
      <c r="I279" s="67">
        <v>0</v>
      </c>
      <c r="K279" s="67">
        <v>265</v>
      </c>
      <c r="L279" s="67">
        <v>3</v>
      </c>
    </row>
    <row r="280" spans="6:12" x14ac:dyDescent="0.15">
      <c r="F280" s="67">
        <v>266</v>
      </c>
      <c r="G280" s="67">
        <v>0</v>
      </c>
      <c r="H280" s="67">
        <v>1</v>
      </c>
      <c r="I280" s="67">
        <v>1</v>
      </c>
      <c r="K280" s="67">
        <v>266</v>
      </c>
      <c r="L280" s="67">
        <v>4</v>
      </c>
    </row>
    <row r="281" spans="6:12" x14ac:dyDescent="0.15">
      <c r="F281" s="67">
        <v>267</v>
      </c>
      <c r="G281" s="67">
        <v>0</v>
      </c>
      <c r="H281" s="67">
        <v>1</v>
      </c>
      <c r="I281" s="67">
        <v>0</v>
      </c>
      <c r="K281" s="67">
        <v>267</v>
      </c>
      <c r="L281" s="67">
        <v>5</v>
      </c>
    </row>
    <row r="282" spans="6:12" x14ac:dyDescent="0.15">
      <c r="F282" s="67">
        <v>268</v>
      </c>
      <c r="G282" s="67">
        <v>0</v>
      </c>
      <c r="H282" s="67">
        <v>1</v>
      </c>
      <c r="I282" s="67">
        <v>1</v>
      </c>
      <c r="K282" s="67">
        <v>268</v>
      </c>
      <c r="L282" s="67">
        <v>4</v>
      </c>
    </row>
    <row r="283" spans="6:12" x14ac:dyDescent="0.15">
      <c r="F283" s="67">
        <v>269</v>
      </c>
      <c r="G283" s="67">
        <v>1</v>
      </c>
      <c r="H283" s="67">
        <v>0</v>
      </c>
      <c r="I283" s="67">
        <v>0</v>
      </c>
      <c r="K283" s="67">
        <v>269</v>
      </c>
      <c r="L283" s="67">
        <v>4</v>
      </c>
    </row>
    <row r="284" spans="6:12" x14ac:dyDescent="0.15">
      <c r="F284" s="67">
        <v>270</v>
      </c>
      <c r="G284" s="67">
        <v>0</v>
      </c>
      <c r="H284" s="67">
        <v>1</v>
      </c>
      <c r="I284" s="67">
        <v>1</v>
      </c>
      <c r="K284" s="67">
        <v>270</v>
      </c>
      <c r="L284" s="67">
        <v>5</v>
      </c>
    </row>
    <row r="285" spans="6:12" x14ac:dyDescent="0.15">
      <c r="F285" s="67">
        <v>271</v>
      </c>
      <c r="G285" s="67">
        <v>1</v>
      </c>
      <c r="H285" s="67">
        <v>0</v>
      </c>
      <c r="I285" s="67">
        <v>0</v>
      </c>
      <c r="K285" s="67">
        <v>271</v>
      </c>
      <c r="L285" s="67">
        <v>5</v>
      </c>
    </row>
    <row r="286" spans="6:12" x14ac:dyDescent="0.15">
      <c r="F286" s="67">
        <v>272</v>
      </c>
      <c r="G286" s="67">
        <v>0</v>
      </c>
      <c r="H286" s="67">
        <v>0</v>
      </c>
      <c r="I286" s="67">
        <v>0</v>
      </c>
      <c r="K286" s="67">
        <v>272</v>
      </c>
      <c r="L286" s="67">
        <v>4</v>
      </c>
    </row>
    <row r="287" spans="6:12" x14ac:dyDescent="0.15">
      <c r="F287" s="67">
        <v>273</v>
      </c>
      <c r="G287" s="67">
        <v>1</v>
      </c>
      <c r="H287" s="67">
        <v>0</v>
      </c>
      <c r="I287" s="67">
        <v>0</v>
      </c>
      <c r="K287" s="67">
        <v>273</v>
      </c>
      <c r="L287" s="67">
        <v>5</v>
      </c>
    </row>
    <row r="288" spans="6:12" x14ac:dyDescent="0.15">
      <c r="F288" s="67">
        <v>274</v>
      </c>
      <c r="G288" s="67">
        <v>0</v>
      </c>
      <c r="H288" s="67">
        <v>1</v>
      </c>
      <c r="I288" s="67">
        <v>0</v>
      </c>
      <c r="K288" s="67">
        <v>274</v>
      </c>
      <c r="L288" s="67">
        <v>4</v>
      </c>
    </row>
    <row r="289" spans="6:12" x14ac:dyDescent="0.15">
      <c r="F289" s="67">
        <v>275</v>
      </c>
      <c r="G289" s="67">
        <v>0</v>
      </c>
      <c r="H289" s="67">
        <v>0</v>
      </c>
      <c r="I289" s="67">
        <v>0</v>
      </c>
      <c r="K289" s="67">
        <v>275</v>
      </c>
      <c r="L289" s="67">
        <v>4</v>
      </c>
    </row>
    <row r="290" spans="6:12" x14ac:dyDescent="0.15">
      <c r="F290" s="67">
        <v>276</v>
      </c>
      <c r="G290" s="67">
        <v>0</v>
      </c>
      <c r="H290" s="67">
        <v>1</v>
      </c>
      <c r="I290" s="67">
        <v>0</v>
      </c>
      <c r="K290" s="67">
        <v>276</v>
      </c>
      <c r="L290" s="67">
        <v>3</v>
      </c>
    </row>
    <row r="291" spans="6:12" x14ac:dyDescent="0.15">
      <c r="F291" s="67">
        <v>277</v>
      </c>
      <c r="G291" s="67">
        <v>0</v>
      </c>
      <c r="H291" s="67">
        <v>1</v>
      </c>
      <c r="I291" s="67">
        <v>1</v>
      </c>
      <c r="K291" s="67">
        <v>277</v>
      </c>
      <c r="L291" s="67">
        <v>4</v>
      </c>
    </row>
    <row r="292" spans="6:12" x14ac:dyDescent="0.15">
      <c r="F292" s="67">
        <v>278</v>
      </c>
      <c r="G292" s="67">
        <v>0</v>
      </c>
      <c r="H292" s="67">
        <v>0</v>
      </c>
      <c r="I292" s="67">
        <v>0</v>
      </c>
      <c r="K292" s="67">
        <v>278</v>
      </c>
      <c r="L292" s="67">
        <v>5</v>
      </c>
    </row>
    <row r="293" spans="6:12" x14ac:dyDescent="0.15">
      <c r="F293" s="67">
        <v>279</v>
      </c>
      <c r="G293" s="67">
        <v>0</v>
      </c>
      <c r="H293" s="67">
        <v>1</v>
      </c>
      <c r="I293" s="67">
        <v>0</v>
      </c>
      <c r="K293" s="67">
        <v>279</v>
      </c>
      <c r="L293" s="67">
        <v>4</v>
      </c>
    </row>
    <row r="294" spans="6:12" x14ac:dyDescent="0.15">
      <c r="F294" s="67">
        <v>280</v>
      </c>
      <c r="G294" s="67">
        <v>0</v>
      </c>
      <c r="H294" s="67">
        <v>1</v>
      </c>
      <c r="I294" s="67">
        <v>1</v>
      </c>
      <c r="K294" s="67">
        <v>280</v>
      </c>
      <c r="L294" s="67">
        <v>4</v>
      </c>
    </row>
    <row r="295" spans="6:12" x14ac:dyDescent="0.15">
      <c r="F295" s="67">
        <v>281</v>
      </c>
      <c r="G295" s="67">
        <v>1</v>
      </c>
      <c r="H295" s="67">
        <v>0</v>
      </c>
      <c r="I295" s="67">
        <v>0</v>
      </c>
      <c r="K295" s="67">
        <v>281</v>
      </c>
      <c r="L295" s="67">
        <v>4</v>
      </c>
    </row>
    <row r="296" spans="6:12" x14ac:dyDescent="0.15">
      <c r="F296" s="67">
        <v>282</v>
      </c>
      <c r="G296" s="67">
        <v>0</v>
      </c>
      <c r="H296" s="67">
        <v>0</v>
      </c>
      <c r="I296" s="67">
        <v>0</v>
      </c>
      <c r="K296" s="67">
        <v>282</v>
      </c>
      <c r="L296" s="67">
        <v>4</v>
      </c>
    </row>
    <row r="297" spans="6:12" x14ac:dyDescent="0.15">
      <c r="F297" s="67">
        <v>283</v>
      </c>
      <c r="G297" s="67">
        <v>0</v>
      </c>
      <c r="H297" s="67">
        <v>1</v>
      </c>
      <c r="I297" s="67">
        <v>1</v>
      </c>
      <c r="K297" s="67">
        <v>283</v>
      </c>
      <c r="L297" s="67">
        <v>4</v>
      </c>
    </row>
    <row r="298" spans="6:12" x14ac:dyDescent="0.15">
      <c r="F298" s="67">
        <v>284</v>
      </c>
      <c r="G298" s="67">
        <v>0</v>
      </c>
      <c r="H298" s="67">
        <v>1</v>
      </c>
      <c r="I298" s="67">
        <v>1</v>
      </c>
      <c r="K298" s="67">
        <v>284</v>
      </c>
      <c r="L298" s="67">
        <v>4</v>
      </c>
    </row>
    <row r="299" spans="6:12" x14ac:dyDescent="0.15">
      <c r="F299" s="67">
        <v>285</v>
      </c>
      <c r="G299" s="67">
        <v>0</v>
      </c>
      <c r="H299" s="67">
        <v>0</v>
      </c>
      <c r="I299" s="67">
        <v>0</v>
      </c>
      <c r="K299" s="67">
        <v>285</v>
      </c>
      <c r="L299" s="67">
        <v>4</v>
      </c>
    </row>
    <row r="300" spans="6:12" x14ac:dyDescent="0.15">
      <c r="F300" s="67">
        <v>286</v>
      </c>
      <c r="G300" s="67">
        <v>1</v>
      </c>
      <c r="H300" s="67">
        <v>0</v>
      </c>
      <c r="I300" s="67">
        <v>0</v>
      </c>
      <c r="K300" s="67">
        <v>286</v>
      </c>
      <c r="L300" s="67">
        <v>4</v>
      </c>
    </row>
    <row r="301" spans="6:12" x14ac:dyDescent="0.15">
      <c r="F301" s="67">
        <v>287</v>
      </c>
      <c r="G301" s="67">
        <v>0</v>
      </c>
      <c r="H301" s="67">
        <v>1</v>
      </c>
      <c r="I301" s="67">
        <v>1</v>
      </c>
      <c r="K301" s="67">
        <v>287</v>
      </c>
      <c r="L301" s="67">
        <v>5</v>
      </c>
    </row>
    <row r="302" spans="6:12" x14ac:dyDescent="0.15">
      <c r="F302" s="67">
        <v>288</v>
      </c>
      <c r="G302" s="67">
        <v>1</v>
      </c>
      <c r="H302" s="67">
        <v>0</v>
      </c>
      <c r="I302" s="67">
        <v>0</v>
      </c>
      <c r="K302" s="67">
        <v>288</v>
      </c>
      <c r="L302" s="67">
        <v>5</v>
      </c>
    </row>
    <row r="303" spans="6:12" x14ac:dyDescent="0.15">
      <c r="F303" s="67">
        <v>289</v>
      </c>
      <c r="G303" s="67">
        <v>0</v>
      </c>
      <c r="H303" s="67">
        <v>0</v>
      </c>
      <c r="I303" s="67">
        <v>0</v>
      </c>
      <c r="K303" s="67">
        <v>289</v>
      </c>
      <c r="L303" s="67">
        <v>4</v>
      </c>
    </row>
    <row r="304" spans="6:12" x14ac:dyDescent="0.15">
      <c r="F304" s="67">
        <v>290</v>
      </c>
      <c r="G304" s="67">
        <v>0</v>
      </c>
      <c r="H304" s="67">
        <v>1</v>
      </c>
      <c r="I304" s="67">
        <v>1</v>
      </c>
      <c r="K304" s="67">
        <v>290</v>
      </c>
      <c r="L304" s="67">
        <v>4</v>
      </c>
    </row>
    <row r="305" spans="6:12" x14ac:dyDescent="0.15">
      <c r="F305" s="67">
        <v>291</v>
      </c>
      <c r="G305" s="67">
        <v>1</v>
      </c>
      <c r="H305" s="67">
        <v>0</v>
      </c>
      <c r="I305" s="67">
        <v>0</v>
      </c>
      <c r="K305" s="67">
        <v>291</v>
      </c>
      <c r="L305" s="67">
        <v>3</v>
      </c>
    </row>
    <row r="306" spans="6:12" x14ac:dyDescent="0.15">
      <c r="F306" s="67">
        <v>292</v>
      </c>
      <c r="G306" s="67">
        <v>0</v>
      </c>
      <c r="H306" s="67">
        <v>1</v>
      </c>
      <c r="I306" s="67">
        <v>1</v>
      </c>
      <c r="K306" s="67">
        <v>292</v>
      </c>
      <c r="L306" s="67">
        <v>4</v>
      </c>
    </row>
    <row r="307" spans="6:12" x14ac:dyDescent="0.15">
      <c r="F307" s="67">
        <v>293</v>
      </c>
      <c r="G307" s="67">
        <v>0</v>
      </c>
      <c r="H307" s="67">
        <v>1</v>
      </c>
      <c r="I307" s="67">
        <v>1</v>
      </c>
      <c r="K307" s="67">
        <v>293</v>
      </c>
      <c r="L307" s="67">
        <v>4</v>
      </c>
    </row>
    <row r="308" spans="6:12" x14ac:dyDescent="0.15">
      <c r="F308" s="67">
        <v>294</v>
      </c>
      <c r="G308" s="67">
        <v>0</v>
      </c>
      <c r="H308" s="67">
        <v>1</v>
      </c>
      <c r="I308" s="67">
        <v>1</v>
      </c>
      <c r="K308" s="67">
        <v>294</v>
      </c>
      <c r="L308" s="67">
        <v>4</v>
      </c>
    </row>
    <row r="309" spans="6:12" x14ac:dyDescent="0.15">
      <c r="F309" s="67">
        <v>295</v>
      </c>
      <c r="G309" s="67">
        <v>0</v>
      </c>
      <c r="H309" s="67">
        <v>0</v>
      </c>
      <c r="I309" s="67">
        <v>0</v>
      </c>
      <c r="K309" s="67">
        <v>295</v>
      </c>
      <c r="L309" s="67">
        <v>4</v>
      </c>
    </row>
    <row r="310" spans="6:12" x14ac:dyDescent="0.15">
      <c r="F310" s="67">
        <v>296</v>
      </c>
      <c r="G310" s="67">
        <v>0</v>
      </c>
      <c r="H310" s="67">
        <v>1</v>
      </c>
      <c r="I310" s="67">
        <v>1</v>
      </c>
      <c r="K310" s="67">
        <v>296</v>
      </c>
      <c r="L310" s="67">
        <v>5</v>
      </c>
    </row>
    <row r="311" spans="6:12" x14ac:dyDescent="0.15">
      <c r="F311" s="67">
        <v>297</v>
      </c>
      <c r="G311" s="67">
        <v>1</v>
      </c>
      <c r="H311" s="67">
        <v>0</v>
      </c>
      <c r="I311" s="67">
        <v>0</v>
      </c>
      <c r="K311" s="67">
        <v>297</v>
      </c>
      <c r="L311" s="67">
        <v>4</v>
      </c>
    </row>
    <row r="312" spans="6:12" x14ac:dyDescent="0.15">
      <c r="F312" s="67">
        <v>298</v>
      </c>
      <c r="G312" s="67">
        <v>0</v>
      </c>
      <c r="H312" s="67">
        <v>1</v>
      </c>
      <c r="I312" s="67">
        <v>1</v>
      </c>
      <c r="K312" s="67">
        <v>298</v>
      </c>
      <c r="L312" s="67">
        <v>4</v>
      </c>
    </row>
    <row r="313" spans="6:12" x14ac:dyDescent="0.15">
      <c r="F313" s="67">
        <v>299</v>
      </c>
      <c r="G313" s="67">
        <v>0</v>
      </c>
      <c r="H313" s="67">
        <v>0</v>
      </c>
      <c r="I313" s="67">
        <v>0</v>
      </c>
      <c r="K313" s="67">
        <v>299</v>
      </c>
      <c r="L313" s="67">
        <v>4</v>
      </c>
    </row>
    <row r="314" spans="6:12" x14ac:dyDescent="0.15">
      <c r="F314" s="67">
        <v>300</v>
      </c>
      <c r="G314" s="67">
        <v>0</v>
      </c>
      <c r="H314" s="67">
        <v>1</v>
      </c>
      <c r="I314" s="67">
        <v>1</v>
      </c>
      <c r="K314" s="67">
        <v>300</v>
      </c>
      <c r="L314" s="67">
        <v>4</v>
      </c>
    </row>
    <row r="315" spans="6:12" x14ac:dyDescent="0.15">
      <c r="F315" s="67">
        <v>301</v>
      </c>
      <c r="G315" s="67">
        <v>1</v>
      </c>
      <c r="H315" s="67">
        <v>0</v>
      </c>
      <c r="I315" s="67">
        <v>0</v>
      </c>
      <c r="K315" s="67">
        <v>301</v>
      </c>
      <c r="L315" s="67">
        <v>4</v>
      </c>
    </row>
    <row r="316" spans="6:12" x14ac:dyDescent="0.15">
      <c r="F316" s="67">
        <v>302</v>
      </c>
      <c r="G316" s="67">
        <v>0</v>
      </c>
      <c r="H316" s="67">
        <v>1</v>
      </c>
      <c r="I316" s="67">
        <v>1</v>
      </c>
      <c r="K316" s="67">
        <v>302</v>
      </c>
      <c r="L316" s="67">
        <v>3</v>
      </c>
    </row>
    <row r="317" spans="6:12" x14ac:dyDescent="0.15">
      <c r="F317" s="67">
        <v>303</v>
      </c>
      <c r="G317" s="67">
        <v>1</v>
      </c>
      <c r="H317" s="67">
        <v>0</v>
      </c>
      <c r="I317" s="67">
        <v>0</v>
      </c>
      <c r="K317" s="67">
        <v>303</v>
      </c>
      <c r="L317" s="67">
        <v>4</v>
      </c>
    </row>
    <row r="318" spans="6:12" x14ac:dyDescent="0.15">
      <c r="F318" s="67">
        <v>304</v>
      </c>
      <c r="G318" s="67">
        <v>0</v>
      </c>
      <c r="H318" s="67">
        <v>0</v>
      </c>
      <c r="I318" s="67">
        <v>0</v>
      </c>
      <c r="K318" s="67">
        <v>304</v>
      </c>
      <c r="L318" s="67">
        <v>5</v>
      </c>
    </row>
    <row r="319" spans="6:12" x14ac:dyDescent="0.15">
      <c r="F319" s="67">
        <v>305</v>
      </c>
      <c r="G319" s="67">
        <v>0</v>
      </c>
      <c r="H319" s="67">
        <v>1</v>
      </c>
      <c r="I319" s="67">
        <v>1</v>
      </c>
      <c r="K319" s="67">
        <v>305</v>
      </c>
      <c r="L319" s="67">
        <v>4</v>
      </c>
    </row>
    <row r="320" spans="6:12" x14ac:dyDescent="0.15">
      <c r="F320" s="67">
        <v>306</v>
      </c>
      <c r="G320" s="67">
        <v>0</v>
      </c>
      <c r="H320" s="67">
        <v>1</v>
      </c>
      <c r="I320" s="67">
        <v>1</v>
      </c>
      <c r="K320" s="67">
        <v>306</v>
      </c>
      <c r="L320" s="67">
        <v>5</v>
      </c>
    </row>
    <row r="321" spans="6:12" x14ac:dyDescent="0.15">
      <c r="F321" s="67">
        <v>307</v>
      </c>
      <c r="G321" s="67">
        <v>0</v>
      </c>
      <c r="H321" s="67">
        <v>1</v>
      </c>
      <c r="I321" s="67">
        <v>1</v>
      </c>
      <c r="K321" s="67">
        <v>307</v>
      </c>
      <c r="L321" s="67">
        <v>3</v>
      </c>
    </row>
    <row r="322" spans="6:12" x14ac:dyDescent="0.15">
      <c r="F322" s="67">
        <v>308</v>
      </c>
      <c r="G322" s="67">
        <v>0</v>
      </c>
      <c r="H322" s="67">
        <v>0</v>
      </c>
      <c r="I322" s="67">
        <v>0</v>
      </c>
      <c r="K322" s="67">
        <v>308</v>
      </c>
      <c r="L322" s="67">
        <v>3</v>
      </c>
    </row>
    <row r="323" spans="6:12" x14ac:dyDescent="0.15">
      <c r="F323" s="67">
        <v>309</v>
      </c>
      <c r="G323" s="67">
        <v>0</v>
      </c>
      <c r="H323" s="67">
        <v>1</v>
      </c>
      <c r="I323" s="67">
        <v>1</v>
      </c>
      <c r="K323" s="67">
        <v>309</v>
      </c>
      <c r="L323" s="67">
        <v>4</v>
      </c>
    </row>
    <row r="324" spans="6:12" x14ac:dyDescent="0.15">
      <c r="F324" s="67">
        <v>310</v>
      </c>
      <c r="G324" s="67">
        <v>0</v>
      </c>
      <c r="H324" s="67">
        <v>0</v>
      </c>
      <c r="I324" s="67">
        <v>0</v>
      </c>
      <c r="K324" s="67">
        <v>310</v>
      </c>
      <c r="L324" s="67">
        <v>4</v>
      </c>
    </row>
    <row r="325" spans="6:12" x14ac:dyDescent="0.15">
      <c r="F325" s="67">
        <v>311</v>
      </c>
      <c r="G325" s="67">
        <v>0</v>
      </c>
      <c r="H325" s="67">
        <v>1</v>
      </c>
      <c r="I325" s="67">
        <v>1</v>
      </c>
      <c r="K325" s="67">
        <v>311</v>
      </c>
      <c r="L325" s="67">
        <v>4</v>
      </c>
    </row>
    <row r="326" spans="6:12" x14ac:dyDescent="0.15">
      <c r="F326" s="67">
        <v>312</v>
      </c>
      <c r="G326" s="67">
        <v>0</v>
      </c>
      <c r="H326" s="67">
        <v>1</v>
      </c>
      <c r="I326" s="67">
        <v>1</v>
      </c>
      <c r="K326" s="67">
        <v>312</v>
      </c>
      <c r="L326" s="67">
        <v>5</v>
      </c>
    </row>
    <row r="327" spans="6:12" x14ac:dyDescent="0.15">
      <c r="F327" s="67">
        <v>313</v>
      </c>
      <c r="G327" s="67">
        <v>0</v>
      </c>
      <c r="H327" s="67">
        <v>1</v>
      </c>
      <c r="I327" s="67">
        <v>0</v>
      </c>
      <c r="K327" s="67">
        <v>313</v>
      </c>
      <c r="L327" s="67">
        <v>4</v>
      </c>
    </row>
    <row r="328" spans="6:12" x14ac:dyDescent="0.15">
      <c r="F328" s="67">
        <v>314</v>
      </c>
      <c r="G328" s="67">
        <v>1</v>
      </c>
      <c r="H328" s="67">
        <v>0</v>
      </c>
      <c r="I328" s="67">
        <v>0</v>
      </c>
      <c r="K328" s="67">
        <v>314</v>
      </c>
      <c r="L328" s="67">
        <v>5</v>
      </c>
    </row>
    <row r="329" spans="6:12" x14ac:dyDescent="0.15">
      <c r="F329" s="67">
        <v>315</v>
      </c>
      <c r="G329" s="67">
        <v>0</v>
      </c>
      <c r="H329" s="67">
        <v>1</v>
      </c>
      <c r="I329" s="67">
        <v>1</v>
      </c>
      <c r="K329" s="67">
        <v>315</v>
      </c>
      <c r="L329" s="67">
        <v>3</v>
      </c>
    </row>
    <row r="330" spans="6:12" x14ac:dyDescent="0.15">
      <c r="F330" s="67">
        <v>316</v>
      </c>
      <c r="G330" s="67">
        <v>0</v>
      </c>
      <c r="H330" s="67">
        <v>1</v>
      </c>
      <c r="I330" s="67">
        <v>1</v>
      </c>
      <c r="K330" s="67">
        <v>316</v>
      </c>
      <c r="L330" s="67">
        <v>4</v>
      </c>
    </row>
    <row r="331" spans="6:12" x14ac:dyDescent="0.15">
      <c r="F331" s="67">
        <v>317</v>
      </c>
      <c r="G331" s="67">
        <v>0</v>
      </c>
      <c r="H331" s="67">
        <v>1</v>
      </c>
      <c r="I331" s="67">
        <v>1</v>
      </c>
      <c r="K331" s="67">
        <v>317</v>
      </c>
      <c r="L331" s="67">
        <v>3</v>
      </c>
    </row>
    <row r="332" spans="6:12" x14ac:dyDescent="0.15">
      <c r="F332" s="67">
        <v>318</v>
      </c>
      <c r="G332" s="67">
        <v>1</v>
      </c>
      <c r="H332" s="67">
        <v>0</v>
      </c>
      <c r="I332" s="67">
        <v>0</v>
      </c>
      <c r="K332" s="67">
        <v>318</v>
      </c>
      <c r="L332" s="67">
        <v>3</v>
      </c>
    </row>
    <row r="333" spans="6:12" x14ac:dyDescent="0.15">
      <c r="F333" s="67">
        <v>319</v>
      </c>
      <c r="G333" s="67">
        <v>0</v>
      </c>
      <c r="H333" s="67">
        <v>1</v>
      </c>
      <c r="I333" s="67">
        <v>1</v>
      </c>
      <c r="K333" s="67">
        <v>319</v>
      </c>
      <c r="L333" s="67">
        <v>4</v>
      </c>
    </row>
    <row r="334" spans="6:12" x14ac:dyDescent="0.15">
      <c r="F334" s="67">
        <v>320</v>
      </c>
      <c r="G334" s="67">
        <v>0</v>
      </c>
      <c r="H334" s="67">
        <v>1</v>
      </c>
      <c r="I334" s="67">
        <v>1</v>
      </c>
      <c r="K334" s="67">
        <v>320</v>
      </c>
      <c r="L334" s="67">
        <v>4</v>
      </c>
    </row>
    <row r="335" spans="6:12" x14ac:dyDescent="0.15">
      <c r="F335" s="67">
        <v>321</v>
      </c>
      <c r="G335" s="67">
        <v>0</v>
      </c>
      <c r="H335" s="67">
        <v>0</v>
      </c>
      <c r="I335" s="67">
        <v>0</v>
      </c>
      <c r="K335" s="67">
        <v>321</v>
      </c>
      <c r="L335" s="67">
        <v>4</v>
      </c>
    </row>
    <row r="336" spans="6:12" x14ac:dyDescent="0.15">
      <c r="F336" s="67">
        <v>322</v>
      </c>
      <c r="G336" s="67">
        <v>0</v>
      </c>
      <c r="H336" s="67">
        <v>0</v>
      </c>
      <c r="I336" s="67">
        <v>0</v>
      </c>
      <c r="K336" s="67">
        <v>322</v>
      </c>
      <c r="L336" s="67">
        <v>3</v>
      </c>
    </row>
    <row r="337" spans="6:12" x14ac:dyDescent="0.15">
      <c r="F337" s="67">
        <v>323</v>
      </c>
      <c r="G337" s="67">
        <v>1</v>
      </c>
      <c r="H337" s="67">
        <v>0</v>
      </c>
      <c r="I337" s="67">
        <v>0</v>
      </c>
      <c r="K337" s="67">
        <v>323</v>
      </c>
      <c r="L337" s="67">
        <v>4</v>
      </c>
    </row>
    <row r="338" spans="6:12" x14ac:dyDescent="0.15">
      <c r="F338" s="67">
        <v>324</v>
      </c>
      <c r="G338" s="67">
        <v>0</v>
      </c>
      <c r="H338" s="67">
        <v>0</v>
      </c>
      <c r="I338" s="67">
        <v>0</v>
      </c>
      <c r="K338" s="67">
        <v>324</v>
      </c>
      <c r="L338" s="67">
        <v>5</v>
      </c>
    </row>
    <row r="339" spans="6:12" x14ac:dyDescent="0.15">
      <c r="F339" s="67">
        <v>325</v>
      </c>
      <c r="G339" s="67">
        <v>0</v>
      </c>
      <c r="H339" s="67">
        <v>1</v>
      </c>
      <c r="I339" s="67">
        <v>1</v>
      </c>
      <c r="K339" s="67">
        <v>325</v>
      </c>
      <c r="L339" s="67">
        <v>3</v>
      </c>
    </row>
    <row r="340" spans="6:12" x14ac:dyDescent="0.15">
      <c r="F340" s="67">
        <v>326</v>
      </c>
      <c r="G340" s="67">
        <v>0</v>
      </c>
      <c r="H340" s="67">
        <v>0</v>
      </c>
      <c r="I340" s="67">
        <v>0</v>
      </c>
      <c r="K340" s="67">
        <v>326</v>
      </c>
      <c r="L340" s="67">
        <v>5</v>
      </c>
    </row>
    <row r="341" spans="6:12" x14ac:dyDescent="0.15">
      <c r="F341" s="67">
        <v>327</v>
      </c>
      <c r="G341" s="67">
        <v>1</v>
      </c>
      <c r="H341" s="67">
        <v>0</v>
      </c>
      <c r="I341" s="67">
        <v>0</v>
      </c>
      <c r="K341" s="67">
        <v>327</v>
      </c>
      <c r="L341" s="67">
        <v>4</v>
      </c>
    </row>
    <row r="342" spans="6:12" x14ac:dyDescent="0.15">
      <c r="F342" s="67">
        <v>328</v>
      </c>
      <c r="G342" s="67">
        <v>0</v>
      </c>
      <c r="H342" s="67">
        <v>0</v>
      </c>
      <c r="I342" s="67">
        <v>0</v>
      </c>
      <c r="K342" s="67">
        <v>328</v>
      </c>
      <c r="L342" s="67">
        <v>3</v>
      </c>
    </row>
    <row r="343" spans="6:12" x14ac:dyDescent="0.15">
      <c r="F343" s="67">
        <v>329</v>
      </c>
      <c r="G343" s="67">
        <v>0</v>
      </c>
      <c r="H343" s="67">
        <v>1</v>
      </c>
      <c r="I343" s="67">
        <v>1</v>
      </c>
      <c r="K343" s="67">
        <v>329</v>
      </c>
      <c r="L343" s="67">
        <v>3</v>
      </c>
    </row>
    <row r="344" spans="6:12" x14ac:dyDescent="0.15">
      <c r="F344" s="67">
        <v>330</v>
      </c>
      <c r="G344" s="67">
        <v>0</v>
      </c>
      <c r="H344" s="67">
        <v>0</v>
      </c>
      <c r="I344" s="67">
        <v>0</v>
      </c>
      <c r="K344" s="67">
        <v>330</v>
      </c>
      <c r="L344" s="67">
        <v>4</v>
      </c>
    </row>
    <row r="345" spans="6:12" x14ac:dyDescent="0.15">
      <c r="F345" s="67">
        <v>331</v>
      </c>
      <c r="G345" s="67">
        <v>0</v>
      </c>
      <c r="H345" s="67">
        <v>1</v>
      </c>
      <c r="I345" s="67">
        <v>1</v>
      </c>
      <c r="K345" s="67">
        <v>331</v>
      </c>
      <c r="L345" s="67">
        <v>3</v>
      </c>
    </row>
    <row r="346" spans="6:12" x14ac:dyDescent="0.15">
      <c r="F346" s="67">
        <v>332</v>
      </c>
      <c r="G346" s="67">
        <v>0</v>
      </c>
      <c r="H346" s="67">
        <v>1</v>
      </c>
      <c r="I346" s="67">
        <v>1</v>
      </c>
      <c r="K346" s="67">
        <v>332</v>
      </c>
      <c r="L346" s="67">
        <v>4</v>
      </c>
    </row>
    <row r="347" spans="6:12" x14ac:dyDescent="0.15">
      <c r="F347" s="67">
        <v>333</v>
      </c>
      <c r="G347" s="67">
        <v>0</v>
      </c>
      <c r="H347" s="67">
        <v>1</v>
      </c>
      <c r="I347" s="67">
        <v>1</v>
      </c>
      <c r="K347" s="67">
        <v>333</v>
      </c>
      <c r="L347" s="67">
        <v>4</v>
      </c>
    </row>
    <row r="348" spans="6:12" x14ac:dyDescent="0.15">
      <c r="F348" s="67">
        <v>334</v>
      </c>
      <c r="G348" s="67">
        <v>0</v>
      </c>
      <c r="H348" s="67">
        <v>1</v>
      </c>
      <c r="I348" s="67">
        <v>0</v>
      </c>
      <c r="K348" s="67">
        <v>334</v>
      </c>
      <c r="L348" s="67">
        <v>4</v>
      </c>
    </row>
    <row r="349" spans="6:12" x14ac:dyDescent="0.15">
      <c r="F349" s="67">
        <v>335</v>
      </c>
      <c r="G349" s="67">
        <v>0</v>
      </c>
      <c r="H349" s="67">
        <v>1</v>
      </c>
      <c r="I349" s="67">
        <v>1</v>
      </c>
      <c r="K349" s="67">
        <v>335</v>
      </c>
      <c r="L349" s="67">
        <v>4</v>
      </c>
    </row>
    <row r="350" spans="6:12" x14ac:dyDescent="0.15">
      <c r="F350" s="67">
        <v>336</v>
      </c>
      <c r="G350" s="67">
        <v>0</v>
      </c>
      <c r="H350" s="67">
        <v>1</v>
      </c>
      <c r="I350" s="67">
        <v>1</v>
      </c>
      <c r="K350" s="67">
        <v>336</v>
      </c>
      <c r="L350" s="67">
        <v>3</v>
      </c>
    </row>
    <row r="351" spans="6:12" x14ac:dyDescent="0.15">
      <c r="F351" s="67">
        <v>337</v>
      </c>
      <c r="G351" s="67">
        <v>1</v>
      </c>
      <c r="H351" s="67">
        <v>0</v>
      </c>
      <c r="I351" s="67">
        <v>0</v>
      </c>
      <c r="K351" s="67">
        <v>337</v>
      </c>
      <c r="L351" s="67">
        <v>4</v>
      </c>
    </row>
    <row r="352" spans="6:12" x14ac:dyDescent="0.15">
      <c r="F352" s="67">
        <v>338</v>
      </c>
      <c r="G352" s="67">
        <v>0</v>
      </c>
      <c r="H352" s="67">
        <v>0</v>
      </c>
      <c r="I352" s="67">
        <v>0</v>
      </c>
      <c r="K352" s="67">
        <v>338</v>
      </c>
      <c r="L352" s="67">
        <v>5</v>
      </c>
    </row>
    <row r="353" spans="6:12" x14ac:dyDescent="0.15">
      <c r="F353" s="67">
        <v>339</v>
      </c>
      <c r="G353" s="67">
        <v>0</v>
      </c>
      <c r="H353" s="67">
        <v>1</v>
      </c>
      <c r="I353" s="67">
        <v>1</v>
      </c>
      <c r="K353" s="67">
        <v>339</v>
      </c>
      <c r="L353" s="67">
        <v>5</v>
      </c>
    </row>
    <row r="354" spans="6:12" x14ac:dyDescent="0.15">
      <c r="F354" s="67">
        <v>340</v>
      </c>
      <c r="G354" s="67">
        <v>0</v>
      </c>
      <c r="H354" s="67">
        <v>0</v>
      </c>
      <c r="I354" s="67">
        <v>0</v>
      </c>
      <c r="K354" s="67">
        <v>340</v>
      </c>
      <c r="L354" s="67">
        <v>3</v>
      </c>
    </row>
    <row r="355" spans="6:12" x14ac:dyDescent="0.15">
      <c r="F355" s="67">
        <v>341</v>
      </c>
      <c r="G355" s="67">
        <v>0</v>
      </c>
      <c r="H355" s="67">
        <v>1</v>
      </c>
      <c r="I355" s="67">
        <v>1</v>
      </c>
      <c r="K355" s="67">
        <v>341</v>
      </c>
      <c r="L355" s="67">
        <v>4</v>
      </c>
    </row>
    <row r="356" spans="6:12" x14ac:dyDescent="0.15">
      <c r="F356" s="67">
        <v>342</v>
      </c>
      <c r="G356" s="67">
        <v>1</v>
      </c>
      <c r="H356" s="67">
        <v>0</v>
      </c>
      <c r="I356" s="67">
        <v>0</v>
      </c>
      <c r="K356" s="67">
        <v>342</v>
      </c>
      <c r="L356" s="67">
        <v>4</v>
      </c>
    </row>
    <row r="357" spans="6:12" x14ac:dyDescent="0.15">
      <c r="F357" s="67">
        <v>343</v>
      </c>
      <c r="G357" s="67">
        <v>0</v>
      </c>
      <c r="H357" s="67">
        <v>1</v>
      </c>
      <c r="I357" s="67">
        <v>1</v>
      </c>
      <c r="K357" s="67">
        <v>343</v>
      </c>
      <c r="L357" s="67">
        <v>4</v>
      </c>
    </row>
    <row r="358" spans="6:12" x14ac:dyDescent="0.15">
      <c r="F358" s="67">
        <v>344</v>
      </c>
      <c r="G358" s="67">
        <v>0</v>
      </c>
      <c r="H358" s="67">
        <v>0</v>
      </c>
      <c r="I358" s="67">
        <v>0</v>
      </c>
      <c r="K358" s="67">
        <v>344</v>
      </c>
      <c r="L358" s="67">
        <v>4</v>
      </c>
    </row>
    <row r="359" spans="6:12" x14ac:dyDescent="0.15">
      <c r="F359" s="67">
        <v>345</v>
      </c>
      <c r="G359" s="67">
        <v>0</v>
      </c>
      <c r="H359" s="67">
        <v>1</v>
      </c>
      <c r="I359" s="67">
        <v>1</v>
      </c>
      <c r="K359" s="67">
        <v>345</v>
      </c>
      <c r="L359" s="67">
        <v>5</v>
      </c>
    </row>
    <row r="360" spans="6:12" x14ac:dyDescent="0.15">
      <c r="F360" s="67">
        <v>346</v>
      </c>
      <c r="G360" s="67">
        <v>0</v>
      </c>
      <c r="H360" s="67">
        <v>0</v>
      </c>
      <c r="I360" s="67">
        <v>0</v>
      </c>
      <c r="K360" s="67">
        <v>346</v>
      </c>
      <c r="L360" s="67">
        <v>4</v>
      </c>
    </row>
    <row r="361" spans="6:12" x14ac:dyDescent="0.15">
      <c r="F361" s="67">
        <v>347</v>
      </c>
      <c r="G361" s="67">
        <v>0</v>
      </c>
      <c r="H361" s="67">
        <v>0</v>
      </c>
      <c r="I361" s="67">
        <v>0</v>
      </c>
      <c r="K361" s="67">
        <v>347</v>
      </c>
      <c r="L361" s="67">
        <v>4</v>
      </c>
    </row>
    <row r="362" spans="6:12" x14ac:dyDescent="0.15">
      <c r="F362" s="67">
        <v>348</v>
      </c>
      <c r="G362" s="67">
        <v>0</v>
      </c>
      <c r="H362" s="67">
        <v>0</v>
      </c>
      <c r="I362" s="67">
        <v>0</v>
      </c>
      <c r="K362" s="67">
        <v>348</v>
      </c>
      <c r="L362" s="67">
        <v>3</v>
      </c>
    </row>
    <row r="363" spans="6:12" x14ac:dyDescent="0.15">
      <c r="F363" s="67">
        <v>349</v>
      </c>
      <c r="G363" s="67">
        <v>0</v>
      </c>
      <c r="H363" s="67">
        <v>0</v>
      </c>
      <c r="I363" s="67">
        <v>0</v>
      </c>
      <c r="K363" s="67">
        <v>349</v>
      </c>
      <c r="L363" s="67">
        <v>3</v>
      </c>
    </row>
    <row r="364" spans="6:12" x14ac:dyDescent="0.15">
      <c r="F364" s="67">
        <v>350</v>
      </c>
      <c r="G364" s="67">
        <v>0</v>
      </c>
      <c r="H364" s="67">
        <v>1</v>
      </c>
      <c r="I364" s="67">
        <v>1</v>
      </c>
      <c r="K364" s="67">
        <v>350</v>
      </c>
      <c r="L364" s="67">
        <v>4</v>
      </c>
    </row>
    <row r="365" spans="6:12" x14ac:dyDescent="0.15">
      <c r="F365" s="67">
        <v>351</v>
      </c>
      <c r="G365" s="67">
        <v>0</v>
      </c>
      <c r="H365" s="67">
        <v>0</v>
      </c>
      <c r="I365" s="67">
        <v>0</v>
      </c>
      <c r="K365" s="67">
        <v>351</v>
      </c>
      <c r="L365" s="67">
        <v>5</v>
      </c>
    </row>
    <row r="366" spans="6:12" x14ac:dyDescent="0.15">
      <c r="F366" s="67">
        <v>352</v>
      </c>
      <c r="G366" s="67">
        <v>1</v>
      </c>
      <c r="H366" s="67">
        <v>0</v>
      </c>
      <c r="I366" s="67">
        <v>0</v>
      </c>
      <c r="K366" s="67">
        <v>352</v>
      </c>
      <c r="L366" s="67">
        <v>4</v>
      </c>
    </row>
    <row r="367" spans="6:12" x14ac:dyDescent="0.15">
      <c r="F367" s="67">
        <v>353</v>
      </c>
      <c r="G367" s="67">
        <v>0</v>
      </c>
      <c r="H367" s="67">
        <v>1</v>
      </c>
      <c r="I367" s="67">
        <v>0</v>
      </c>
      <c r="K367" s="67">
        <v>353</v>
      </c>
      <c r="L367" s="67">
        <v>4</v>
      </c>
    </row>
    <row r="368" spans="6:12" x14ac:dyDescent="0.15">
      <c r="F368" s="67">
        <v>354</v>
      </c>
      <c r="G368" s="67">
        <v>0</v>
      </c>
      <c r="H368" s="67">
        <v>0</v>
      </c>
      <c r="I368" s="67">
        <v>0</v>
      </c>
      <c r="K368" s="67">
        <v>354</v>
      </c>
      <c r="L368" s="67">
        <v>4</v>
      </c>
    </row>
    <row r="369" spans="6:12" x14ac:dyDescent="0.15">
      <c r="F369" s="67">
        <v>355</v>
      </c>
      <c r="G369" s="67">
        <v>0</v>
      </c>
      <c r="H369" s="67">
        <v>1</v>
      </c>
      <c r="I369" s="67">
        <v>0</v>
      </c>
      <c r="K369" s="67">
        <v>355</v>
      </c>
      <c r="L369" s="67">
        <v>5</v>
      </c>
    </row>
    <row r="370" spans="6:12" x14ac:dyDescent="0.15">
      <c r="F370" s="67">
        <v>356</v>
      </c>
      <c r="G370" s="67">
        <v>0</v>
      </c>
      <c r="H370" s="67">
        <v>0</v>
      </c>
      <c r="I370" s="67">
        <v>0</v>
      </c>
      <c r="K370" s="67">
        <v>356</v>
      </c>
      <c r="L370" s="67">
        <v>4</v>
      </c>
    </row>
    <row r="371" spans="6:12" x14ac:dyDescent="0.15">
      <c r="F371" s="67">
        <v>357</v>
      </c>
      <c r="G371" s="67">
        <v>0</v>
      </c>
      <c r="H371" s="67">
        <v>1</v>
      </c>
      <c r="I371" s="67">
        <v>1</v>
      </c>
      <c r="K371" s="67">
        <v>357</v>
      </c>
      <c r="L371" s="67">
        <v>4</v>
      </c>
    </row>
    <row r="372" spans="6:12" x14ac:dyDescent="0.15">
      <c r="F372" s="67">
        <v>358</v>
      </c>
      <c r="G372" s="67">
        <v>0</v>
      </c>
      <c r="H372" s="67">
        <v>1</v>
      </c>
      <c r="I372" s="67">
        <v>1</v>
      </c>
      <c r="K372" s="67">
        <v>358</v>
      </c>
      <c r="L372" s="67">
        <v>5</v>
      </c>
    </row>
    <row r="373" spans="6:12" x14ac:dyDescent="0.15">
      <c r="F373" s="67">
        <v>359</v>
      </c>
      <c r="G373" s="67">
        <v>0</v>
      </c>
      <c r="H373" s="67">
        <v>0</v>
      </c>
      <c r="I373" s="67">
        <v>0</v>
      </c>
      <c r="K373" s="67">
        <v>359</v>
      </c>
      <c r="L373" s="67">
        <v>3</v>
      </c>
    </row>
    <row r="374" spans="6:12" x14ac:dyDescent="0.15">
      <c r="F374" s="67">
        <v>360</v>
      </c>
      <c r="G374" s="67">
        <v>1</v>
      </c>
      <c r="H374" s="67">
        <v>0</v>
      </c>
      <c r="I374" s="67">
        <v>0</v>
      </c>
      <c r="K374" s="67">
        <v>360</v>
      </c>
      <c r="L374" s="67">
        <v>4</v>
      </c>
    </row>
    <row r="375" spans="6:12" x14ac:dyDescent="0.15">
      <c r="F375" s="67">
        <v>361</v>
      </c>
      <c r="G375" s="67">
        <v>1</v>
      </c>
      <c r="H375" s="67">
        <v>0</v>
      </c>
      <c r="I375" s="67">
        <v>0</v>
      </c>
      <c r="K375" s="67">
        <v>361</v>
      </c>
      <c r="L375" s="67">
        <v>3</v>
      </c>
    </row>
    <row r="376" spans="6:12" x14ac:dyDescent="0.15">
      <c r="F376" s="67">
        <v>362</v>
      </c>
      <c r="G376" s="67">
        <v>0</v>
      </c>
      <c r="H376" s="67">
        <v>1</v>
      </c>
      <c r="I376" s="67">
        <v>0</v>
      </c>
      <c r="K376" s="67">
        <v>362</v>
      </c>
      <c r="L376" s="67">
        <v>3</v>
      </c>
    </row>
    <row r="377" spans="6:12" x14ac:dyDescent="0.15">
      <c r="F377" s="67">
        <v>363</v>
      </c>
      <c r="G377" s="67">
        <v>0</v>
      </c>
      <c r="H377" s="67">
        <v>1</v>
      </c>
      <c r="I377" s="67">
        <v>1</v>
      </c>
      <c r="K377" s="67">
        <v>363</v>
      </c>
      <c r="L377" s="67">
        <v>4</v>
      </c>
    </row>
    <row r="378" spans="6:12" x14ac:dyDescent="0.15">
      <c r="F378" s="67">
        <v>364</v>
      </c>
      <c r="G378" s="67">
        <v>0</v>
      </c>
      <c r="H378" s="67">
        <v>1</v>
      </c>
      <c r="I378" s="67">
        <v>1</v>
      </c>
      <c r="K378" s="67">
        <v>364</v>
      </c>
      <c r="L378" s="67">
        <v>4</v>
      </c>
    </row>
    <row r="379" spans="6:12" x14ac:dyDescent="0.15">
      <c r="F379" s="67">
        <v>365</v>
      </c>
      <c r="G379" s="67">
        <v>0</v>
      </c>
      <c r="H379" s="67">
        <v>0</v>
      </c>
      <c r="I379" s="67">
        <v>0</v>
      </c>
      <c r="K379" s="67">
        <v>365</v>
      </c>
      <c r="L379" s="67">
        <v>3</v>
      </c>
    </row>
    <row r="380" spans="6:12" x14ac:dyDescent="0.15">
      <c r="F380" s="67">
        <v>366</v>
      </c>
      <c r="G380" s="67">
        <v>0</v>
      </c>
      <c r="H380" s="67">
        <v>0</v>
      </c>
      <c r="I380" s="67">
        <v>0</v>
      </c>
      <c r="K380" s="67">
        <v>366</v>
      </c>
      <c r="L380" s="67">
        <v>4</v>
      </c>
    </row>
    <row r="381" spans="6:12" x14ac:dyDescent="0.15">
      <c r="F381" s="67">
        <v>367</v>
      </c>
      <c r="G381" s="67">
        <v>0</v>
      </c>
      <c r="H381" s="67">
        <v>0</v>
      </c>
      <c r="I381" s="67">
        <v>0</v>
      </c>
      <c r="K381" s="67">
        <v>367</v>
      </c>
      <c r="L381" s="67">
        <v>3</v>
      </c>
    </row>
    <row r="382" spans="6:12" x14ac:dyDescent="0.15">
      <c r="F382" s="67">
        <v>368</v>
      </c>
      <c r="G382" s="67">
        <v>0</v>
      </c>
      <c r="H382" s="67">
        <v>0</v>
      </c>
      <c r="I382" s="67">
        <v>0</v>
      </c>
      <c r="K382" s="67">
        <v>368</v>
      </c>
      <c r="L382" s="67">
        <v>4</v>
      </c>
    </row>
    <row r="383" spans="6:12" x14ac:dyDescent="0.15">
      <c r="F383" s="67">
        <v>369</v>
      </c>
      <c r="G383" s="67">
        <v>1</v>
      </c>
      <c r="H383" s="67">
        <v>0</v>
      </c>
      <c r="I383" s="67">
        <v>0</v>
      </c>
      <c r="K383" s="67">
        <v>369</v>
      </c>
      <c r="L383" s="67">
        <v>5</v>
      </c>
    </row>
    <row r="384" spans="6:12" x14ac:dyDescent="0.15">
      <c r="F384" s="67">
        <v>370</v>
      </c>
      <c r="G384" s="67">
        <v>0</v>
      </c>
      <c r="H384" s="67">
        <v>0</v>
      </c>
      <c r="I384" s="67">
        <v>0</v>
      </c>
      <c r="K384" s="67">
        <v>370</v>
      </c>
      <c r="L384" s="67">
        <v>3</v>
      </c>
    </row>
    <row r="385" spans="6:12" x14ac:dyDescent="0.15">
      <c r="F385" s="67">
        <v>371</v>
      </c>
      <c r="G385" s="67">
        <v>0</v>
      </c>
      <c r="H385" s="67">
        <v>1</v>
      </c>
      <c r="I385" s="67">
        <v>1</v>
      </c>
      <c r="K385" s="67">
        <v>371</v>
      </c>
      <c r="L385" s="67">
        <v>4</v>
      </c>
    </row>
    <row r="386" spans="6:12" x14ac:dyDescent="0.15">
      <c r="F386" s="67">
        <v>372</v>
      </c>
      <c r="G386" s="67">
        <v>0</v>
      </c>
      <c r="H386" s="67">
        <v>1</v>
      </c>
      <c r="I386" s="67">
        <v>1</v>
      </c>
      <c r="K386" s="67">
        <v>372</v>
      </c>
      <c r="L386" s="67">
        <v>3</v>
      </c>
    </row>
    <row r="387" spans="6:12" x14ac:dyDescent="0.15">
      <c r="F387" s="67">
        <v>373</v>
      </c>
      <c r="G387" s="67">
        <v>0</v>
      </c>
      <c r="H387" s="67">
        <v>1</v>
      </c>
      <c r="I387" s="67">
        <v>1</v>
      </c>
      <c r="K387" s="67">
        <v>373</v>
      </c>
      <c r="L387" s="67">
        <v>4</v>
      </c>
    </row>
    <row r="388" spans="6:12" x14ac:dyDescent="0.15">
      <c r="F388" s="67">
        <v>374</v>
      </c>
      <c r="G388" s="67">
        <v>0</v>
      </c>
      <c r="H388" s="67">
        <v>0</v>
      </c>
      <c r="I388" s="67">
        <v>0</v>
      </c>
      <c r="K388" s="67">
        <v>374</v>
      </c>
      <c r="L388" s="67">
        <v>3</v>
      </c>
    </row>
    <row r="389" spans="6:12" x14ac:dyDescent="0.15">
      <c r="F389" s="67">
        <v>375</v>
      </c>
      <c r="G389" s="67">
        <v>0</v>
      </c>
      <c r="H389" s="67">
        <v>0</v>
      </c>
      <c r="I389" s="67">
        <v>0</v>
      </c>
      <c r="K389" s="67">
        <v>375</v>
      </c>
      <c r="L389" s="67">
        <v>3</v>
      </c>
    </row>
    <row r="390" spans="6:12" x14ac:dyDescent="0.15">
      <c r="F390" s="67">
        <v>376</v>
      </c>
      <c r="G390" s="67">
        <v>0</v>
      </c>
      <c r="H390" s="67">
        <v>0</v>
      </c>
      <c r="I390" s="67">
        <v>0</v>
      </c>
      <c r="K390" s="67">
        <v>376</v>
      </c>
      <c r="L390" s="67">
        <v>3</v>
      </c>
    </row>
    <row r="391" spans="6:12" x14ac:dyDescent="0.15">
      <c r="F391" s="67">
        <v>377</v>
      </c>
      <c r="G391" s="67">
        <v>1</v>
      </c>
      <c r="H391" s="67">
        <v>0</v>
      </c>
      <c r="I391" s="67">
        <v>0</v>
      </c>
      <c r="K391" s="67">
        <v>377</v>
      </c>
      <c r="L391" s="67">
        <v>4</v>
      </c>
    </row>
    <row r="392" spans="6:12" x14ac:dyDescent="0.15">
      <c r="F392" s="67">
        <v>378</v>
      </c>
      <c r="G392" s="67">
        <v>1</v>
      </c>
      <c r="H392" s="67">
        <v>0</v>
      </c>
      <c r="I392" s="67">
        <v>0</v>
      </c>
      <c r="K392" s="67">
        <v>378</v>
      </c>
      <c r="L392" s="67">
        <v>4</v>
      </c>
    </row>
    <row r="393" spans="6:12" x14ac:dyDescent="0.15">
      <c r="F393" s="67">
        <v>379</v>
      </c>
      <c r="G393" s="67">
        <v>0</v>
      </c>
      <c r="H393" s="67">
        <v>1</v>
      </c>
      <c r="I393" s="67">
        <v>1</v>
      </c>
      <c r="K393" s="67">
        <v>379</v>
      </c>
      <c r="L393" s="67">
        <v>5</v>
      </c>
    </row>
    <row r="394" spans="6:12" x14ac:dyDescent="0.15">
      <c r="F394" s="67">
        <v>380</v>
      </c>
      <c r="G394" s="67">
        <v>0</v>
      </c>
      <c r="H394" s="67">
        <v>1</v>
      </c>
      <c r="I394" s="67">
        <v>0</v>
      </c>
      <c r="K394" s="67">
        <v>380</v>
      </c>
      <c r="L394" s="67">
        <v>3</v>
      </c>
    </row>
    <row r="395" spans="6:12" x14ac:dyDescent="0.15">
      <c r="F395" s="67">
        <v>381</v>
      </c>
      <c r="G395" s="67">
        <v>0</v>
      </c>
      <c r="H395" s="67">
        <v>1</v>
      </c>
      <c r="I395" s="67">
        <v>1</v>
      </c>
      <c r="K395" s="67">
        <v>381</v>
      </c>
      <c r="L395" s="67">
        <v>4</v>
      </c>
    </row>
    <row r="396" spans="6:12" x14ac:dyDescent="0.15">
      <c r="F396" s="67">
        <v>382</v>
      </c>
      <c r="G396" s="67">
        <v>0</v>
      </c>
      <c r="H396" s="67">
        <v>1</v>
      </c>
      <c r="I396" s="67">
        <v>1</v>
      </c>
      <c r="K396" s="67">
        <v>382</v>
      </c>
      <c r="L396" s="67">
        <v>5</v>
      </c>
    </row>
    <row r="397" spans="6:12" x14ac:dyDescent="0.15">
      <c r="F397" s="67">
        <v>383</v>
      </c>
      <c r="G397" s="67">
        <v>0</v>
      </c>
      <c r="H397" s="67">
        <v>1</v>
      </c>
      <c r="I397" s="67">
        <v>1</v>
      </c>
      <c r="K397" s="67">
        <v>383</v>
      </c>
      <c r="L397" s="67">
        <v>5</v>
      </c>
    </row>
    <row r="398" spans="6:12" x14ac:dyDescent="0.15">
      <c r="F398" s="67">
        <v>384</v>
      </c>
      <c r="G398" s="67">
        <v>0</v>
      </c>
      <c r="H398" s="67">
        <v>1</v>
      </c>
      <c r="I398" s="67">
        <v>0</v>
      </c>
      <c r="K398" s="67">
        <v>384</v>
      </c>
      <c r="L398" s="67">
        <v>4</v>
      </c>
    </row>
    <row r="399" spans="6:12" x14ac:dyDescent="0.15">
      <c r="F399" s="67">
        <v>385</v>
      </c>
      <c r="G399" s="67">
        <v>0</v>
      </c>
      <c r="H399" s="67">
        <v>1</v>
      </c>
      <c r="I399" s="67">
        <v>1</v>
      </c>
      <c r="K399" s="67">
        <v>385</v>
      </c>
      <c r="L399" s="67">
        <v>4</v>
      </c>
    </row>
    <row r="400" spans="6:12" x14ac:dyDescent="0.15">
      <c r="F400" s="67">
        <v>386</v>
      </c>
      <c r="G400" s="67">
        <v>0</v>
      </c>
      <c r="H400" s="67">
        <v>1</v>
      </c>
      <c r="I400" s="67">
        <v>0</v>
      </c>
      <c r="K400" s="67">
        <v>386</v>
      </c>
      <c r="L400" s="67">
        <v>4</v>
      </c>
    </row>
    <row r="401" spans="6:12" x14ac:dyDescent="0.15">
      <c r="F401" s="67">
        <v>387</v>
      </c>
      <c r="G401" s="67">
        <v>1</v>
      </c>
      <c r="H401" s="67">
        <v>0</v>
      </c>
      <c r="I401" s="67">
        <v>0</v>
      </c>
      <c r="K401" s="67">
        <v>387</v>
      </c>
      <c r="L401" s="67">
        <v>4</v>
      </c>
    </row>
    <row r="402" spans="6:12" x14ac:dyDescent="0.15">
      <c r="F402" s="67">
        <v>388</v>
      </c>
      <c r="G402" s="67">
        <v>0</v>
      </c>
      <c r="H402" s="67">
        <v>0</v>
      </c>
      <c r="I402" s="67">
        <v>0</v>
      </c>
      <c r="K402" s="67">
        <v>388</v>
      </c>
      <c r="L402" s="67">
        <v>4</v>
      </c>
    </row>
    <row r="403" spans="6:12" x14ac:dyDescent="0.15">
      <c r="F403" s="67">
        <v>389</v>
      </c>
      <c r="G403" s="67">
        <v>0</v>
      </c>
      <c r="H403" s="67">
        <v>1</v>
      </c>
      <c r="I403" s="67">
        <v>1</v>
      </c>
      <c r="K403" s="67">
        <v>389</v>
      </c>
      <c r="L403" s="67">
        <v>3</v>
      </c>
    </row>
    <row r="404" spans="6:12" x14ac:dyDescent="0.15">
      <c r="F404" s="67">
        <v>390</v>
      </c>
      <c r="G404" s="67">
        <v>0</v>
      </c>
      <c r="H404" s="67">
        <v>1</v>
      </c>
      <c r="I404" s="67">
        <v>1</v>
      </c>
      <c r="K404" s="67">
        <v>390</v>
      </c>
      <c r="L404" s="67">
        <v>5</v>
      </c>
    </row>
    <row r="405" spans="6:12" x14ac:dyDescent="0.15">
      <c r="F405" s="67">
        <v>391</v>
      </c>
      <c r="G405" s="67">
        <v>0</v>
      </c>
      <c r="H405" s="67">
        <v>1</v>
      </c>
      <c r="I405" s="67">
        <v>1</v>
      </c>
      <c r="K405" s="67">
        <v>391</v>
      </c>
      <c r="L405" s="67">
        <v>5</v>
      </c>
    </row>
    <row r="406" spans="6:12" x14ac:dyDescent="0.15">
      <c r="F406" s="67">
        <v>392</v>
      </c>
      <c r="G406" s="67">
        <v>0</v>
      </c>
      <c r="H406" s="67">
        <v>1</v>
      </c>
      <c r="I406" s="67">
        <v>1</v>
      </c>
      <c r="K406" s="67">
        <v>392</v>
      </c>
      <c r="L406" s="67">
        <v>4</v>
      </c>
    </row>
    <row r="407" spans="6:12" x14ac:dyDescent="0.15">
      <c r="F407" s="67">
        <v>393</v>
      </c>
      <c r="G407" s="67">
        <v>1</v>
      </c>
      <c r="H407" s="67">
        <v>0</v>
      </c>
      <c r="I407" s="67">
        <v>0</v>
      </c>
      <c r="K407" s="67">
        <v>393</v>
      </c>
      <c r="L407" s="67">
        <v>4</v>
      </c>
    </row>
    <row r="408" spans="6:12" x14ac:dyDescent="0.15">
      <c r="F408" s="67">
        <v>394</v>
      </c>
      <c r="G408" s="67">
        <v>1</v>
      </c>
      <c r="H408" s="67">
        <v>0</v>
      </c>
      <c r="I408" s="67">
        <v>0</v>
      </c>
      <c r="K408" s="67">
        <v>394</v>
      </c>
      <c r="L408" s="67">
        <v>3</v>
      </c>
    </row>
    <row r="409" spans="6:12" x14ac:dyDescent="0.15">
      <c r="F409" s="67">
        <v>395</v>
      </c>
      <c r="G409" s="67">
        <v>1</v>
      </c>
      <c r="H409" s="67">
        <v>0</v>
      </c>
      <c r="I409" s="67">
        <v>0</v>
      </c>
      <c r="K409" s="67">
        <v>395</v>
      </c>
      <c r="L409" s="67">
        <v>5</v>
      </c>
    </row>
    <row r="410" spans="6:12" x14ac:dyDescent="0.15">
      <c r="F410" s="67">
        <v>396</v>
      </c>
      <c r="G410" s="67">
        <v>1</v>
      </c>
      <c r="H410" s="67">
        <v>0</v>
      </c>
      <c r="I410" s="67">
        <v>0</v>
      </c>
      <c r="K410" s="67">
        <v>396</v>
      </c>
      <c r="L410" s="67">
        <v>5</v>
      </c>
    </row>
    <row r="411" spans="6:12" x14ac:dyDescent="0.15">
      <c r="F411" s="67">
        <v>397</v>
      </c>
      <c r="G411" s="67">
        <v>0</v>
      </c>
      <c r="H411" s="67">
        <v>1</v>
      </c>
      <c r="I411" s="67">
        <v>1</v>
      </c>
      <c r="K411" s="67">
        <v>397</v>
      </c>
      <c r="L411" s="67">
        <v>4</v>
      </c>
    </row>
    <row r="412" spans="6:12" x14ac:dyDescent="0.15">
      <c r="F412" s="67">
        <v>398</v>
      </c>
      <c r="G412" s="67">
        <v>0</v>
      </c>
      <c r="H412" s="67">
        <v>1</v>
      </c>
      <c r="I412" s="67">
        <v>0</v>
      </c>
      <c r="K412" s="67">
        <v>398</v>
      </c>
      <c r="L412" s="67">
        <v>4</v>
      </c>
    </row>
    <row r="413" spans="6:12" x14ac:dyDescent="0.15">
      <c r="F413" s="67">
        <v>399</v>
      </c>
      <c r="G413" s="67">
        <v>1</v>
      </c>
      <c r="H413" s="67">
        <v>0</v>
      </c>
      <c r="I413" s="67">
        <v>0</v>
      </c>
      <c r="K413" s="67">
        <v>399</v>
      </c>
      <c r="L413" s="67">
        <v>3</v>
      </c>
    </row>
    <row r="414" spans="6:12" x14ac:dyDescent="0.15">
      <c r="F414" s="67">
        <v>400</v>
      </c>
      <c r="G414" s="67">
        <v>1</v>
      </c>
      <c r="H414" s="67">
        <v>0</v>
      </c>
      <c r="I414" s="67">
        <v>0</v>
      </c>
      <c r="K414" s="67">
        <v>400</v>
      </c>
      <c r="L414" s="67">
        <v>5</v>
      </c>
    </row>
    <row r="415" spans="6:12" x14ac:dyDescent="0.15">
      <c r="F415" s="67">
        <v>401</v>
      </c>
      <c r="G415" s="67">
        <v>0</v>
      </c>
      <c r="H415" s="67">
        <v>0</v>
      </c>
      <c r="I415" s="67">
        <v>0</v>
      </c>
      <c r="K415" s="67">
        <v>401</v>
      </c>
      <c r="L415" s="67">
        <v>4</v>
      </c>
    </row>
    <row r="416" spans="6:12" x14ac:dyDescent="0.15">
      <c r="F416" s="67">
        <v>402</v>
      </c>
      <c r="G416" s="67">
        <v>0</v>
      </c>
      <c r="H416" s="67">
        <v>1</v>
      </c>
      <c r="I416" s="67">
        <v>1</v>
      </c>
      <c r="K416" s="67">
        <v>402</v>
      </c>
      <c r="L416" s="67">
        <v>4</v>
      </c>
    </row>
    <row r="417" spans="6:12" x14ac:dyDescent="0.15">
      <c r="F417" s="67">
        <v>403</v>
      </c>
      <c r="G417" s="67">
        <v>0</v>
      </c>
      <c r="H417" s="67">
        <v>0</v>
      </c>
      <c r="I417" s="67">
        <v>0</v>
      </c>
      <c r="K417" s="67">
        <v>403</v>
      </c>
      <c r="L417" s="67">
        <v>4</v>
      </c>
    </row>
    <row r="418" spans="6:12" x14ac:dyDescent="0.15">
      <c r="F418" s="67">
        <v>404</v>
      </c>
      <c r="G418" s="67">
        <v>0</v>
      </c>
      <c r="H418" s="67">
        <v>0</v>
      </c>
      <c r="I418" s="67">
        <v>0</v>
      </c>
      <c r="K418" s="67">
        <v>404</v>
      </c>
      <c r="L418" s="67">
        <v>5</v>
      </c>
    </row>
    <row r="419" spans="6:12" x14ac:dyDescent="0.15">
      <c r="F419" s="67">
        <v>405</v>
      </c>
      <c r="G419" s="67">
        <v>0</v>
      </c>
      <c r="H419" s="67">
        <v>1</v>
      </c>
      <c r="I419" s="67">
        <v>0</v>
      </c>
      <c r="K419" s="67">
        <v>405</v>
      </c>
      <c r="L419" s="67">
        <v>5</v>
      </c>
    </row>
    <row r="420" spans="6:12" x14ac:dyDescent="0.15">
      <c r="F420" s="67">
        <v>406</v>
      </c>
      <c r="G420" s="67">
        <v>1</v>
      </c>
      <c r="H420" s="67">
        <v>0</v>
      </c>
      <c r="I420" s="67">
        <v>0</v>
      </c>
      <c r="K420" s="67">
        <v>406</v>
      </c>
      <c r="L420" s="67">
        <v>5</v>
      </c>
    </row>
    <row r="421" spans="6:12" x14ac:dyDescent="0.15">
      <c r="F421" s="67">
        <v>407</v>
      </c>
      <c r="G421" s="67">
        <v>0</v>
      </c>
      <c r="H421" s="67">
        <v>0</v>
      </c>
      <c r="I421" s="67">
        <v>0</v>
      </c>
      <c r="K421" s="67">
        <v>407</v>
      </c>
      <c r="L421" s="67">
        <v>4</v>
      </c>
    </row>
    <row r="422" spans="6:12" x14ac:dyDescent="0.15">
      <c r="F422" s="67">
        <v>408</v>
      </c>
      <c r="G422" s="67">
        <v>0</v>
      </c>
      <c r="H422" s="67">
        <v>0</v>
      </c>
      <c r="I422" s="67">
        <v>0</v>
      </c>
      <c r="K422" s="67">
        <v>408</v>
      </c>
      <c r="L422" s="67">
        <v>5</v>
      </c>
    </row>
    <row r="423" spans="6:12" x14ac:dyDescent="0.15">
      <c r="F423" s="67">
        <v>409</v>
      </c>
      <c r="G423" s="67">
        <v>0</v>
      </c>
      <c r="H423" s="67">
        <v>0</v>
      </c>
      <c r="I423" s="67">
        <v>0</v>
      </c>
      <c r="K423" s="67">
        <v>409</v>
      </c>
      <c r="L423" s="67">
        <v>4</v>
      </c>
    </row>
    <row r="424" spans="6:12" x14ac:dyDescent="0.15">
      <c r="F424" s="67">
        <v>410</v>
      </c>
      <c r="G424" s="67">
        <v>0</v>
      </c>
      <c r="H424" s="67">
        <v>1</v>
      </c>
      <c r="I424" s="67">
        <v>1</v>
      </c>
      <c r="K424" s="67">
        <v>410</v>
      </c>
      <c r="L424" s="67">
        <v>4</v>
      </c>
    </row>
    <row r="425" spans="6:12" x14ac:dyDescent="0.15">
      <c r="F425" s="67">
        <v>411</v>
      </c>
      <c r="G425" s="67">
        <v>0</v>
      </c>
      <c r="H425" s="67">
        <v>0</v>
      </c>
      <c r="I425" s="67">
        <v>0</v>
      </c>
      <c r="K425" s="67">
        <v>411</v>
      </c>
      <c r="L425" s="67">
        <v>5</v>
      </c>
    </row>
    <row r="426" spans="6:12" x14ac:dyDescent="0.15">
      <c r="F426" s="67">
        <v>412</v>
      </c>
      <c r="G426" s="67">
        <v>0</v>
      </c>
      <c r="H426" s="67">
        <v>0</v>
      </c>
      <c r="I426" s="67">
        <v>0</v>
      </c>
      <c r="K426" s="67">
        <v>412</v>
      </c>
      <c r="L426" s="67">
        <v>5</v>
      </c>
    </row>
    <row r="427" spans="6:12" x14ac:dyDescent="0.15">
      <c r="F427" s="67">
        <v>413</v>
      </c>
      <c r="G427" s="67">
        <v>0</v>
      </c>
      <c r="H427" s="67">
        <v>0</v>
      </c>
      <c r="I427" s="67">
        <v>0</v>
      </c>
      <c r="K427" s="67">
        <v>413</v>
      </c>
      <c r="L427" s="67">
        <v>3</v>
      </c>
    </row>
    <row r="428" spans="6:12" x14ac:dyDescent="0.15">
      <c r="F428" s="67">
        <v>414</v>
      </c>
      <c r="G428" s="67">
        <v>1</v>
      </c>
      <c r="H428" s="67">
        <v>0</v>
      </c>
      <c r="I428" s="67">
        <v>0</v>
      </c>
      <c r="K428" s="67">
        <v>414</v>
      </c>
      <c r="L428" s="67">
        <v>4</v>
      </c>
    </row>
    <row r="429" spans="6:12" x14ac:dyDescent="0.15">
      <c r="F429" s="67">
        <v>415</v>
      </c>
      <c r="G429" s="67">
        <v>0</v>
      </c>
      <c r="H429" s="67">
        <v>0</v>
      </c>
      <c r="I429" s="67">
        <v>0</v>
      </c>
      <c r="K429" s="67">
        <v>415</v>
      </c>
      <c r="L429" s="67">
        <v>5</v>
      </c>
    </row>
    <row r="430" spans="6:12" x14ac:dyDescent="0.15">
      <c r="F430" s="67">
        <v>416</v>
      </c>
      <c r="G430" s="67">
        <v>0</v>
      </c>
      <c r="H430" s="67">
        <v>1</v>
      </c>
      <c r="I430" s="67">
        <v>1</v>
      </c>
      <c r="K430" s="67">
        <v>416</v>
      </c>
      <c r="L430" s="67">
        <v>4</v>
      </c>
    </row>
    <row r="431" spans="6:12" x14ac:dyDescent="0.15">
      <c r="F431" s="67">
        <v>417</v>
      </c>
      <c r="G431" s="67">
        <v>0</v>
      </c>
      <c r="H431" s="67">
        <v>0</v>
      </c>
      <c r="I431" s="67">
        <v>0</v>
      </c>
      <c r="K431" s="67">
        <v>417</v>
      </c>
      <c r="L431" s="67">
        <v>4</v>
      </c>
    </row>
    <row r="432" spans="6:12" x14ac:dyDescent="0.15">
      <c r="F432" s="67">
        <v>418</v>
      </c>
      <c r="G432" s="67">
        <v>0</v>
      </c>
      <c r="H432" s="67">
        <v>1</v>
      </c>
      <c r="I432" s="67">
        <v>1</v>
      </c>
      <c r="K432" s="67">
        <v>418</v>
      </c>
      <c r="L432" s="67">
        <v>5</v>
      </c>
    </row>
    <row r="433" spans="6:12" x14ac:dyDescent="0.15">
      <c r="F433" s="67">
        <v>419</v>
      </c>
      <c r="G433" s="67">
        <v>0</v>
      </c>
      <c r="H433" s="67">
        <v>1</v>
      </c>
      <c r="I433" s="67">
        <v>1</v>
      </c>
      <c r="K433" s="67">
        <v>419</v>
      </c>
      <c r="L433" s="67">
        <v>4</v>
      </c>
    </row>
    <row r="434" spans="6:12" x14ac:dyDescent="0.15">
      <c r="F434" s="67">
        <v>420</v>
      </c>
      <c r="G434" s="67">
        <v>0</v>
      </c>
      <c r="H434" s="67">
        <v>0</v>
      </c>
      <c r="I434" s="67">
        <v>0</v>
      </c>
      <c r="K434" s="67">
        <v>420</v>
      </c>
      <c r="L434" s="67">
        <v>3</v>
      </c>
    </row>
    <row r="435" spans="6:12" x14ac:dyDescent="0.15">
      <c r="F435" s="67">
        <v>421</v>
      </c>
      <c r="G435" s="67">
        <v>0</v>
      </c>
      <c r="H435" s="67">
        <v>0</v>
      </c>
      <c r="I435" s="67">
        <v>0</v>
      </c>
      <c r="K435" s="67">
        <v>421</v>
      </c>
      <c r="L435" s="67">
        <v>4</v>
      </c>
    </row>
    <row r="436" spans="6:12" x14ac:dyDescent="0.15">
      <c r="F436" s="67">
        <v>422</v>
      </c>
      <c r="G436" s="67">
        <v>0</v>
      </c>
      <c r="H436" s="67">
        <v>0</v>
      </c>
      <c r="I436" s="67">
        <v>0</v>
      </c>
      <c r="K436" s="67">
        <v>422</v>
      </c>
      <c r="L436" s="67">
        <v>3</v>
      </c>
    </row>
    <row r="437" spans="6:12" x14ac:dyDescent="0.15">
      <c r="F437" s="67">
        <v>423</v>
      </c>
      <c r="G437" s="67">
        <v>0</v>
      </c>
      <c r="H437" s="67">
        <v>1</v>
      </c>
      <c r="I437" s="67">
        <v>1</v>
      </c>
      <c r="K437" s="67">
        <v>423</v>
      </c>
      <c r="L437" s="67">
        <v>3</v>
      </c>
    </row>
    <row r="438" spans="6:12" x14ac:dyDescent="0.15">
      <c r="F438" s="67">
        <v>424</v>
      </c>
      <c r="G438" s="67">
        <v>0</v>
      </c>
      <c r="H438" s="67">
        <v>1</v>
      </c>
      <c r="I438" s="67">
        <v>0</v>
      </c>
      <c r="K438" s="67">
        <v>424</v>
      </c>
      <c r="L438" s="67">
        <v>3</v>
      </c>
    </row>
    <row r="439" spans="6:12" x14ac:dyDescent="0.15">
      <c r="F439" s="67">
        <v>425</v>
      </c>
      <c r="G439" s="67">
        <v>0</v>
      </c>
      <c r="H439" s="67">
        <v>0</v>
      </c>
      <c r="I439" s="67">
        <v>0</v>
      </c>
      <c r="K439" s="67">
        <v>425</v>
      </c>
      <c r="L439" s="67">
        <v>3</v>
      </c>
    </row>
    <row r="440" spans="6:12" x14ac:dyDescent="0.15">
      <c r="F440" s="67">
        <v>426</v>
      </c>
      <c r="G440" s="67">
        <v>0</v>
      </c>
      <c r="H440" s="67">
        <v>1</v>
      </c>
      <c r="I440" s="67">
        <v>1</v>
      </c>
      <c r="K440" s="67">
        <v>426</v>
      </c>
      <c r="L440" s="67">
        <v>4</v>
      </c>
    </row>
    <row r="441" spans="6:12" x14ac:dyDescent="0.15">
      <c r="F441" s="67">
        <v>427</v>
      </c>
      <c r="G441" s="67">
        <v>0</v>
      </c>
      <c r="H441" s="67">
        <v>0</v>
      </c>
      <c r="I441" s="67">
        <v>0</v>
      </c>
      <c r="K441" s="67">
        <v>427</v>
      </c>
      <c r="L441" s="67">
        <v>3</v>
      </c>
    </row>
    <row r="442" spans="6:12" x14ac:dyDescent="0.15">
      <c r="F442" s="67">
        <v>428</v>
      </c>
      <c r="G442" s="67">
        <v>0</v>
      </c>
      <c r="H442" s="67">
        <v>0</v>
      </c>
      <c r="I442" s="67">
        <v>0</v>
      </c>
      <c r="K442" s="67">
        <v>428</v>
      </c>
      <c r="L442" s="67">
        <v>4</v>
      </c>
    </row>
    <row r="443" spans="6:12" x14ac:dyDescent="0.15">
      <c r="F443" s="67">
        <v>429</v>
      </c>
      <c r="G443" s="67">
        <v>0</v>
      </c>
      <c r="H443" s="67">
        <v>0</v>
      </c>
      <c r="I443" s="67">
        <v>0</v>
      </c>
      <c r="K443" s="67">
        <v>429</v>
      </c>
      <c r="L443" s="67">
        <v>4</v>
      </c>
    </row>
    <row r="444" spans="6:12" x14ac:dyDescent="0.15">
      <c r="F444" s="67">
        <v>430</v>
      </c>
      <c r="G444" s="67">
        <v>1</v>
      </c>
      <c r="H444" s="67">
        <v>0</v>
      </c>
      <c r="I444" s="67">
        <v>0</v>
      </c>
      <c r="K444" s="67">
        <v>430</v>
      </c>
      <c r="L444" s="67">
        <v>5</v>
      </c>
    </row>
    <row r="445" spans="6:12" x14ac:dyDescent="0.15">
      <c r="F445" s="67">
        <v>431</v>
      </c>
      <c r="G445" s="67">
        <v>0</v>
      </c>
      <c r="H445" s="67">
        <v>1</v>
      </c>
      <c r="I445" s="67">
        <v>1</v>
      </c>
      <c r="K445" s="67">
        <v>431</v>
      </c>
      <c r="L445" s="67">
        <v>3</v>
      </c>
    </row>
    <row r="446" spans="6:12" x14ac:dyDescent="0.15">
      <c r="F446" s="67">
        <v>432</v>
      </c>
      <c r="G446" s="67">
        <v>0</v>
      </c>
      <c r="H446" s="67">
        <v>1</v>
      </c>
      <c r="I446" s="67">
        <v>1</v>
      </c>
      <c r="K446" s="67">
        <v>432</v>
      </c>
      <c r="L446" s="67">
        <v>4</v>
      </c>
    </row>
    <row r="447" spans="6:12" x14ac:dyDescent="0.15">
      <c r="F447" s="67">
        <v>433</v>
      </c>
      <c r="G447" s="67">
        <v>0</v>
      </c>
      <c r="H447" s="67">
        <v>0</v>
      </c>
      <c r="I447" s="67">
        <v>0</v>
      </c>
      <c r="K447" s="67">
        <v>433</v>
      </c>
      <c r="L447" s="67">
        <v>4</v>
      </c>
    </row>
    <row r="448" spans="6:12" x14ac:dyDescent="0.15">
      <c r="F448" s="67">
        <v>434</v>
      </c>
      <c r="G448" s="67">
        <v>0</v>
      </c>
      <c r="H448" s="67">
        <v>0</v>
      </c>
      <c r="I448" s="67">
        <v>0</v>
      </c>
      <c r="K448" s="67">
        <v>434</v>
      </c>
      <c r="L448" s="67">
        <v>5</v>
      </c>
    </row>
    <row r="449" spans="6:12" x14ac:dyDescent="0.15">
      <c r="F449" s="67">
        <v>435</v>
      </c>
      <c r="G449" s="67">
        <v>0</v>
      </c>
      <c r="H449" s="67">
        <v>1</v>
      </c>
      <c r="I449" s="67">
        <v>1</v>
      </c>
      <c r="K449" s="67">
        <v>435</v>
      </c>
      <c r="L449" s="67">
        <v>3</v>
      </c>
    </row>
    <row r="450" spans="6:12" x14ac:dyDescent="0.15">
      <c r="F450" s="67">
        <v>436</v>
      </c>
      <c r="G450" s="67">
        <v>0</v>
      </c>
      <c r="H450" s="67">
        <v>1</v>
      </c>
      <c r="I450" s="67">
        <v>1</v>
      </c>
      <c r="K450" s="67">
        <v>436</v>
      </c>
      <c r="L450" s="67">
        <v>4</v>
      </c>
    </row>
    <row r="451" spans="6:12" x14ac:dyDescent="0.15">
      <c r="F451" s="67">
        <v>437</v>
      </c>
      <c r="G451" s="67">
        <v>0</v>
      </c>
      <c r="H451" s="67">
        <v>1</v>
      </c>
      <c r="I451" s="67">
        <v>1</v>
      </c>
      <c r="K451" s="67">
        <v>437</v>
      </c>
      <c r="L451" s="67">
        <v>4</v>
      </c>
    </row>
    <row r="452" spans="6:12" x14ac:dyDescent="0.15">
      <c r="F452" s="67">
        <v>438</v>
      </c>
      <c r="G452" s="67">
        <v>0</v>
      </c>
      <c r="H452" s="67">
        <v>1</v>
      </c>
      <c r="I452" s="67">
        <v>1</v>
      </c>
      <c r="K452" s="67">
        <v>438</v>
      </c>
      <c r="L452" s="67">
        <v>4</v>
      </c>
    </row>
    <row r="453" spans="6:12" x14ac:dyDescent="0.15">
      <c r="F453" s="67">
        <v>439</v>
      </c>
      <c r="G453" s="67">
        <v>0</v>
      </c>
      <c r="H453" s="67">
        <v>1</v>
      </c>
      <c r="I453" s="67">
        <v>1</v>
      </c>
      <c r="K453" s="67">
        <v>439</v>
      </c>
      <c r="L453" s="67">
        <v>5</v>
      </c>
    </row>
    <row r="454" spans="6:12" x14ac:dyDescent="0.15">
      <c r="F454" s="67">
        <v>440</v>
      </c>
      <c r="G454" s="67">
        <v>0</v>
      </c>
      <c r="H454" s="67">
        <v>0</v>
      </c>
      <c r="I454" s="67">
        <v>0</v>
      </c>
      <c r="K454" s="67">
        <v>440</v>
      </c>
      <c r="L454" s="67">
        <v>4</v>
      </c>
    </row>
    <row r="455" spans="6:12" x14ac:dyDescent="0.15">
      <c r="F455" s="67">
        <v>441</v>
      </c>
      <c r="G455" s="67">
        <v>0</v>
      </c>
      <c r="H455" s="67">
        <v>0</v>
      </c>
      <c r="I455" s="67">
        <v>0</v>
      </c>
      <c r="K455" s="67">
        <v>441</v>
      </c>
      <c r="L455" s="67">
        <v>5</v>
      </c>
    </row>
    <row r="456" spans="6:12" x14ac:dyDescent="0.15">
      <c r="F456" s="67">
        <v>442</v>
      </c>
      <c r="G456" s="67">
        <v>0</v>
      </c>
      <c r="H456" s="67">
        <v>1</v>
      </c>
      <c r="I456" s="67">
        <v>1</v>
      </c>
      <c r="K456" s="67">
        <v>442</v>
      </c>
      <c r="L456" s="67">
        <v>4</v>
      </c>
    </row>
    <row r="457" spans="6:12" x14ac:dyDescent="0.15">
      <c r="F457" s="67">
        <v>443</v>
      </c>
      <c r="G457" s="67">
        <v>0</v>
      </c>
      <c r="H457" s="67">
        <v>1</v>
      </c>
      <c r="I457" s="67">
        <v>1</v>
      </c>
      <c r="K457" s="67">
        <v>443</v>
      </c>
      <c r="L457" s="67">
        <v>4</v>
      </c>
    </row>
    <row r="458" spans="6:12" x14ac:dyDescent="0.15">
      <c r="F458" s="67">
        <v>444</v>
      </c>
      <c r="G458" s="67">
        <v>1</v>
      </c>
      <c r="H458" s="67">
        <v>0</v>
      </c>
      <c r="I458" s="67">
        <v>0</v>
      </c>
      <c r="K458" s="67">
        <v>444</v>
      </c>
      <c r="L458" s="67">
        <v>5</v>
      </c>
    </row>
    <row r="459" spans="6:12" x14ac:dyDescent="0.15">
      <c r="F459" s="67">
        <v>445</v>
      </c>
      <c r="G459" s="67">
        <v>0</v>
      </c>
      <c r="H459" s="67">
        <v>1</v>
      </c>
      <c r="I459" s="67">
        <v>1</v>
      </c>
      <c r="K459" s="67">
        <v>445</v>
      </c>
      <c r="L459" s="67">
        <v>4</v>
      </c>
    </row>
    <row r="460" spans="6:12" x14ac:dyDescent="0.15">
      <c r="F460" s="67">
        <v>446</v>
      </c>
      <c r="G460" s="67">
        <v>0</v>
      </c>
      <c r="H460" s="67">
        <v>1</v>
      </c>
      <c r="I460" s="67">
        <v>1</v>
      </c>
      <c r="K460" s="67">
        <v>446</v>
      </c>
      <c r="L460" s="67">
        <v>4</v>
      </c>
    </row>
    <row r="461" spans="6:12" x14ac:dyDescent="0.15">
      <c r="F461" s="67">
        <v>447</v>
      </c>
      <c r="G461" s="67">
        <v>0</v>
      </c>
      <c r="H461" s="67">
        <v>0</v>
      </c>
      <c r="I461" s="67">
        <v>0</v>
      </c>
      <c r="K461" s="67">
        <v>447</v>
      </c>
      <c r="L461" s="67">
        <v>4</v>
      </c>
    </row>
    <row r="462" spans="6:12" x14ac:dyDescent="0.15">
      <c r="F462" s="67">
        <v>448</v>
      </c>
      <c r="G462" s="67">
        <v>0</v>
      </c>
      <c r="H462" s="67">
        <v>0</v>
      </c>
      <c r="I462" s="67">
        <v>0</v>
      </c>
      <c r="K462" s="67">
        <v>448</v>
      </c>
      <c r="L462" s="67">
        <v>4</v>
      </c>
    </row>
    <row r="463" spans="6:12" x14ac:dyDescent="0.15">
      <c r="F463" s="67">
        <v>449</v>
      </c>
      <c r="G463" s="67">
        <v>0</v>
      </c>
      <c r="H463" s="67">
        <v>1</v>
      </c>
      <c r="I463" s="67">
        <v>1</v>
      </c>
      <c r="K463" s="67">
        <v>449</v>
      </c>
      <c r="L463" s="67">
        <v>3</v>
      </c>
    </row>
    <row r="464" spans="6:12" x14ac:dyDescent="0.15">
      <c r="F464" s="67">
        <v>450</v>
      </c>
      <c r="G464" s="67">
        <v>0</v>
      </c>
      <c r="H464" s="67">
        <v>0</v>
      </c>
      <c r="I464" s="67">
        <v>0</v>
      </c>
      <c r="K464" s="67">
        <v>450</v>
      </c>
      <c r="L464" s="67">
        <v>4</v>
      </c>
    </row>
    <row r="465" spans="6:12" x14ac:dyDescent="0.15">
      <c r="F465" s="67">
        <v>451</v>
      </c>
      <c r="G465" s="67">
        <v>0</v>
      </c>
      <c r="H465" s="67">
        <v>0</v>
      </c>
      <c r="I465" s="67">
        <v>0</v>
      </c>
      <c r="K465" s="67">
        <v>451</v>
      </c>
      <c r="L465" s="67">
        <v>5</v>
      </c>
    </row>
    <row r="466" spans="6:12" x14ac:dyDescent="0.15">
      <c r="F466" s="67">
        <v>452</v>
      </c>
      <c r="G466" s="67">
        <v>0</v>
      </c>
      <c r="H466" s="67">
        <v>1</v>
      </c>
      <c r="I466" s="67">
        <v>1</v>
      </c>
      <c r="K466" s="67">
        <v>452</v>
      </c>
      <c r="L466" s="67">
        <v>4</v>
      </c>
    </row>
    <row r="467" spans="6:12" x14ac:dyDescent="0.15">
      <c r="F467" s="67">
        <v>453</v>
      </c>
      <c r="G467" s="67">
        <v>0</v>
      </c>
      <c r="H467" s="67">
        <v>0</v>
      </c>
      <c r="I467" s="67">
        <v>0</v>
      </c>
      <c r="K467" s="67">
        <v>453</v>
      </c>
      <c r="L467" s="67">
        <v>5</v>
      </c>
    </row>
    <row r="468" spans="6:12" x14ac:dyDescent="0.15">
      <c r="F468" s="67">
        <v>454</v>
      </c>
      <c r="G468" s="67">
        <v>0</v>
      </c>
      <c r="H468" s="67">
        <v>0</v>
      </c>
      <c r="I468" s="67">
        <v>0</v>
      </c>
      <c r="K468" s="67">
        <v>454</v>
      </c>
      <c r="L468" s="67">
        <v>3</v>
      </c>
    </row>
    <row r="469" spans="6:12" x14ac:dyDescent="0.15">
      <c r="F469" s="67">
        <v>455</v>
      </c>
      <c r="G469" s="67">
        <v>0</v>
      </c>
      <c r="H469" s="67">
        <v>0</v>
      </c>
      <c r="I469" s="67">
        <v>0</v>
      </c>
      <c r="K469" s="67">
        <v>455</v>
      </c>
      <c r="L469" s="67">
        <v>5</v>
      </c>
    </row>
    <row r="470" spans="6:12" x14ac:dyDescent="0.15">
      <c r="F470" s="67">
        <v>456</v>
      </c>
      <c r="G470" s="67">
        <v>0</v>
      </c>
      <c r="H470" s="67">
        <v>0</v>
      </c>
      <c r="I470" s="67">
        <v>0</v>
      </c>
      <c r="K470" s="67">
        <v>456</v>
      </c>
      <c r="L470" s="67">
        <v>4</v>
      </c>
    </row>
    <row r="471" spans="6:12" x14ac:dyDescent="0.15">
      <c r="F471" s="67">
        <v>457</v>
      </c>
      <c r="G471" s="67">
        <v>0</v>
      </c>
      <c r="H471" s="67">
        <v>1</v>
      </c>
      <c r="I471" s="67">
        <v>1</v>
      </c>
      <c r="K471" s="67">
        <v>457</v>
      </c>
      <c r="L471" s="67">
        <v>4</v>
      </c>
    </row>
    <row r="472" spans="6:12" x14ac:dyDescent="0.15">
      <c r="F472" s="67">
        <v>458</v>
      </c>
      <c r="G472" s="67">
        <v>0</v>
      </c>
      <c r="H472" s="67">
        <v>0</v>
      </c>
      <c r="I472" s="67">
        <v>0</v>
      </c>
      <c r="K472" s="67">
        <v>458</v>
      </c>
      <c r="L472" s="67">
        <v>4</v>
      </c>
    </row>
    <row r="473" spans="6:12" x14ac:dyDescent="0.15">
      <c r="F473" s="67">
        <v>459</v>
      </c>
      <c r="G473" s="67">
        <v>0</v>
      </c>
      <c r="H473" s="67">
        <v>1</v>
      </c>
      <c r="I473" s="67">
        <v>1</v>
      </c>
      <c r="K473" s="67">
        <v>459</v>
      </c>
      <c r="L473" s="67">
        <v>4</v>
      </c>
    </row>
    <row r="474" spans="6:12" x14ac:dyDescent="0.15">
      <c r="F474" s="67">
        <v>460</v>
      </c>
      <c r="G474" s="67">
        <v>0</v>
      </c>
      <c r="H474" s="67">
        <v>0</v>
      </c>
      <c r="I474" s="67">
        <v>0</v>
      </c>
      <c r="K474" s="67">
        <v>460</v>
      </c>
      <c r="L474" s="67">
        <v>4</v>
      </c>
    </row>
    <row r="475" spans="6:12" x14ac:dyDescent="0.15">
      <c r="F475" s="67">
        <v>461</v>
      </c>
      <c r="G475" s="67">
        <v>0</v>
      </c>
      <c r="H475" s="67">
        <v>1</v>
      </c>
      <c r="I475" s="67">
        <v>1</v>
      </c>
      <c r="K475" s="67">
        <v>461</v>
      </c>
      <c r="L475" s="67">
        <v>3</v>
      </c>
    </row>
    <row r="476" spans="6:12" x14ac:dyDescent="0.15">
      <c r="F476" s="67">
        <v>462</v>
      </c>
      <c r="G476" s="67">
        <v>0</v>
      </c>
      <c r="H476" s="67">
        <v>1</v>
      </c>
      <c r="I476" s="67">
        <v>1</v>
      </c>
      <c r="K476" s="67">
        <v>462</v>
      </c>
      <c r="L476" s="67">
        <v>4</v>
      </c>
    </row>
    <row r="477" spans="6:12" x14ac:dyDescent="0.15">
      <c r="F477" s="67">
        <v>463</v>
      </c>
      <c r="G477" s="67">
        <v>0</v>
      </c>
      <c r="H477" s="67">
        <v>1</v>
      </c>
      <c r="I477" s="67">
        <v>1</v>
      </c>
      <c r="K477" s="67">
        <v>463</v>
      </c>
      <c r="L477" s="67">
        <v>4</v>
      </c>
    </row>
    <row r="478" spans="6:12" x14ac:dyDescent="0.15">
      <c r="F478" s="67">
        <v>464</v>
      </c>
      <c r="G478" s="67">
        <v>0</v>
      </c>
      <c r="H478" s="67">
        <v>1</v>
      </c>
      <c r="I478" s="67">
        <v>1</v>
      </c>
      <c r="K478" s="67">
        <v>464</v>
      </c>
      <c r="L478" s="67">
        <v>4</v>
      </c>
    </row>
    <row r="479" spans="6:12" x14ac:dyDescent="0.15">
      <c r="F479" s="67">
        <v>465</v>
      </c>
      <c r="G479" s="67">
        <v>0</v>
      </c>
      <c r="H479" s="67">
        <v>0</v>
      </c>
      <c r="I479" s="67">
        <v>0</v>
      </c>
      <c r="K479" s="67">
        <v>465</v>
      </c>
      <c r="L479" s="67">
        <v>4</v>
      </c>
    </row>
    <row r="480" spans="6:12" x14ac:dyDescent="0.15">
      <c r="F480" s="67">
        <v>466</v>
      </c>
      <c r="G480" s="67">
        <v>0</v>
      </c>
      <c r="H480" s="67">
        <v>1</v>
      </c>
      <c r="I480" s="67">
        <v>1</v>
      </c>
      <c r="K480" s="67">
        <v>466</v>
      </c>
      <c r="L480" s="67">
        <v>5</v>
      </c>
    </row>
    <row r="481" spans="6:12" x14ac:dyDescent="0.15">
      <c r="F481" s="67">
        <v>467</v>
      </c>
      <c r="G481" s="67">
        <v>1</v>
      </c>
      <c r="H481" s="67">
        <v>0</v>
      </c>
      <c r="I481" s="67">
        <v>0</v>
      </c>
      <c r="K481" s="67">
        <v>467</v>
      </c>
      <c r="L481" s="67">
        <v>4</v>
      </c>
    </row>
    <row r="482" spans="6:12" x14ac:dyDescent="0.15">
      <c r="F482" s="67">
        <v>468</v>
      </c>
      <c r="G482" s="67">
        <v>0</v>
      </c>
      <c r="H482" s="67">
        <v>1</v>
      </c>
      <c r="I482" s="67">
        <v>0</v>
      </c>
      <c r="K482" s="67">
        <v>468</v>
      </c>
      <c r="L482" s="67">
        <v>5</v>
      </c>
    </row>
    <row r="483" spans="6:12" x14ac:dyDescent="0.15">
      <c r="F483" s="67">
        <v>469</v>
      </c>
      <c r="G483" s="67">
        <v>0</v>
      </c>
      <c r="H483" s="67">
        <v>0</v>
      </c>
      <c r="I483" s="67">
        <v>0</v>
      </c>
      <c r="K483" s="67">
        <v>469</v>
      </c>
      <c r="L483" s="67">
        <v>4</v>
      </c>
    </row>
    <row r="484" spans="6:12" x14ac:dyDescent="0.15">
      <c r="F484" s="67">
        <v>470</v>
      </c>
      <c r="G484" s="67">
        <v>1</v>
      </c>
      <c r="H484" s="67">
        <v>0</v>
      </c>
      <c r="I484" s="67">
        <v>0</v>
      </c>
      <c r="K484" s="67">
        <v>470</v>
      </c>
      <c r="L484" s="67">
        <v>3</v>
      </c>
    </row>
    <row r="485" spans="6:12" x14ac:dyDescent="0.15">
      <c r="F485" s="67">
        <v>471</v>
      </c>
      <c r="G485" s="67">
        <v>1</v>
      </c>
      <c r="H485" s="67">
        <v>0</v>
      </c>
      <c r="I485" s="67">
        <v>0</v>
      </c>
      <c r="K485" s="67">
        <v>471</v>
      </c>
      <c r="L485" s="67">
        <v>4</v>
      </c>
    </row>
    <row r="486" spans="6:12" x14ac:dyDescent="0.15">
      <c r="F486" s="67">
        <v>472</v>
      </c>
      <c r="G486" s="67">
        <v>0</v>
      </c>
      <c r="H486" s="67">
        <v>1</v>
      </c>
      <c r="I486" s="67">
        <v>1</v>
      </c>
      <c r="K486" s="67">
        <v>472</v>
      </c>
      <c r="L486" s="67">
        <v>4</v>
      </c>
    </row>
    <row r="487" spans="6:12" x14ac:dyDescent="0.15">
      <c r="F487" s="67">
        <v>473</v>
      </c>
      <c r="G487" s="67">
        <v>0</v>
      </c>
      <c r="H487" s="67">
        <v>0</v>
      </c>
      <c r="I487" s="67">
        <v>0</v>
      </c>
      <c r="K487" s="67">
        <v>473</v>
      </c>
      <c r="L487" s="67">
        <v>5</v>
      </c>
    </row>
    <row r="488" spans="6:12" x14ac:dyDescent="0.15">
      <c r="F488" s="67">
        <v>474</v>
      </c>
      <c r="G488" s="67">
        <v>0</v>
      </c>
      <c r="H488" s="67">
        <v>0</v>
      </c>
      <c r="I488" s="67">
        <v>0</v>
      </c>
      <c r="K488" s="67">
        <v>474</v>
      </c>
      <c r="L488" s="67">
        <v>4</v>
      </c>
    </row>
    <row r="489" spans="6:12" x14ac:dyDescent="0.15">
      <c r="F489" s="67">
        <v>475</v>
      </c>
      <c r="G489" s="67">
        <v>0</v>
      </c>
      <c r="H489" s="67">
        <v>1</v>
      </c>
      <c r="I489" s="67">
        <v>1</v>
      </c>
      <c r="K489" s="67">
        <v>475</v>
      </c>
      <c r="L489" s="67">
        <v>4</v>
      </c>
    </row>
    <row r="490" spans="6:12" x14ac:dyDescent="0.15">
      <c r="F490" s="67">
        <v>476</v>
      </c>
      <c r="G490" s="67">
        <v>0</v>
      </c>
      <c r="H490" s="67">
        <v>1</v>
      </c>
      <c r="I490" s="67">
        <v>1</v>
      </c>
      <c r="K490" s="67">
        <v>476</v>
      </c>
      <c r="L490" s="67">
        <v>4</v>
      </c>
    </row>
    <row r="491" spans="6:12" x14ac:dyDescent="0.15">
      <c r="F491" s="67">
        <v>477</v>
      </c>
      <c r="G491" s="67">
        <v>0</v>
      </c>
      <c r="H491" s="67">
        <v>1</v>
      </c>
      <c r="I491" s="67">
        <v>1</v>
      </c>
      <c r="K491" s="67">
        <v>477</v>
      </c>
      <c r="L491" s="67">
        <v>4</v>
      </c>
    </row>
    <row r="492" spans="6:12" x14ac:dyDescent="0.15">
      <c r="F492" s="67">
        <v>478</v>
      </c>
      <c r="G492" s="67">
        <v>0</v>
      </c>
      <c r="H492" s="67">
        <v>0</v>
      </c>
      <c r="I492" s="67">
        <v>0</v>
      </c>
      <c r="K492" s="67">
        <v>478</v>
      </c>
      <c r="L492" s="67">
        <v>3</v>
      </c>
    </row>
    <row r="493" spans="6:12" x14ac:dyDescent="0.15">
      <c r="F493" s="67">
        <v>479</v>
      </c>
      <c r="G493" s="67">
        <v>0</v>
      </c>
      <c r="H493" s="67">
        <v>1</v>
      </c>
      <c r="I493" s="67">
        <v>1</v>
      </c>
      <c r="K493" s="67">
        <v>479</v>
      </c>
      <c r="L493" s="67">
        <v>5</v>
      </c>
    </row>
    <row r="494" spans="6:12" x14ac:dyDescent="0.15">
      <c r="F494" s="67">
        <v>480</v>
      </c>
      <c r="G494" s="67">
        <v>0</v>
      </c>
      <c r="H494" s="67">
        <v>1</v>
      </c>
      <c r="I494" s="67">
        <v>1</v>
      </c>
      <c r="K494" s="67">
        <v>480</v>
      </c>
      <c r="L494" s="67">
        <v>4</v>
      </c>
    </row>
    <row r="495" spans="6:12" x14ac:dyDescent="0.15">
      <c r="F495" s="67">
        <v>481</v>
      </c>
      <c r="G495" s="67">
        <v>0</v>
      </c>
      <c r="H495" s="67">
        <v>0</v>
      </c>
      <c r="I495" s="67">
        <v>0</v>
      </c>
      <c r="K495" s="67">
        <v>481</v>
      </c>
      <c r="L495" s="67">
        <v>4</v>
      </c>
    </row>
    <row r="496" spans="6:12" x14ac:dyDescent="0.15">
      <c r="F496" s="67">
        <v>482</v>
      </c>
      <c r="G496" s="67">
        <v>0</v>
      </c>
      <c r="H496" s="67">
        <v>1</v>
      </c>
      <c r="I496" s="67">
        <v>1</v>
      </c>
      <c r="K496" s="67">
        <v>482</v>
      </c>
      <c r="L496" s="67">
        <v>3</v>
      </c>
    </row>
    <row r="497" spans="6:12" x14ac:dyDescent="0.15">
      <c r="F497" s="67">
        <v>483</v>
      </c>
      <c r="G497" s="67">
        <v>1</v>
      </c>
      <c r="H497" s="67">
        <v>0</v>
      </c>
      <c r="I497" s="67">
        <v>0</v>
      </c>
      <c r="K497" s="67">
        <v>483</v>
      </c>
      <c r="L497" s="67">
        <v>5</v>
      </c>
    </row>
    <row r="498" spans="6:12" x14ac:dyDescent="0.15">
      <c r="F498" s="67">
        <v>484</v>
      </c>
      <c r="G498" s="67">
        <v>1</v>
      </c>
      <c r="H498" s="67">
        <v>0</v>
      </c>
      <c r="I498" s="67">
        <v>0</v>
      </c>
      <c r="K498" s="67">
        <v>484</v>
      </c>
      <c r="L498" s="67">
        <v>4</v>
      </c>
    </row>
    <row r="499" spans="6:12" x14ac:dyDescent="0.15">
      <c r="F499" s="67">
        <v>485</v>
      </c>
      <c r="G499" s="67">
        <v>0</v>
      </c>
      <c r="H499" s="67">
        <v>1</v>
      </c>
      <c r="I499" s="67">
        <v>1</v>
      </c>
      <c r="K499" s="67">
        <v>485</v>
      </c>
      <c r="L499" s="67">
        <v>3</v>
      </c>
    </row>
    <row r="500" spans="6:12" x14ac:dyDescent="0.15">
      <c r="F500" s="67">
        <v>486</v>
      </c>
      <c r="G500" s="67">
        <v>0</v>
      </c>
      <c r="H500" s="67">
        <v>0</v>
      </c>
      <c r="I500" s="67">
        <v>0</v>
      </c>
      <c r="K500" s="67">
        <v>486</v>
      </c>
      <c r="L500" s="67">
        <v>4</v>
      </c>
    </row>
    <row r="501" spans="6:12" x14ac:dyDescent="0.15">
      <c r="F501" s="67">
        <v>487</v>
      </c>
      <c r="G501" s="67">
        <v>0</v>
      </c>
      <c r="H501" s="67">
        <v>0</v>
      </c>
      <c r="I501" s="67">
        <v>0</v>
      </c>
      <c r="K501" s="67">
        <v>487</v>
      </c>
      <c r="L501" s="67">
        <v>4</v>
      </c>
    </row>
    <row r="502" spans="6:12" x14ac:dyDescent="0.15">
      <c r="F502" s="67">
        <v>488</v>
      </c>
      <c r="G502" s="67">
        <v>1</v>
      </c>
      <c r="H502" s="67">
        <v>0</v>
      </c>
      <c r="I502" s="67">
        <v>0</v>
      </c>
      <c r="K502" s="67">
        <v>488</v>
      </c>
      <c r="L502" s="67">
        <v>4</v>
      </c>
    </row>
    <row r="503" spans="6:12" x14ac:dyDescent="0.15">
      <c r="F503" s="67">
        <v>489</v>
      </c>
      <c r="G503" s="67">
        <v>1</v>
      </c>
      <c r="H503" s="67">
        <v>0</v>
      </c>
      <c r="I503" s="67">
        <v>0</v>
      </c>
      <c r="K503" s="67">
        <v>489</v>
      </c>
      <c r="L503" s="67">
        <v>5</v>
      </c>
    </row>
    <row r="504" spans="6:12" x14ac:dyDescent="0.15">
      <c r="F504" s="67">
        <v>490</v>
      </c>
      <c r="G504" s="67">
        <v>1</v>
      </c>
      <c r="H504" s="67">
        <v>0</v>
      </c>
      <c r="I504" s="67">
        <v>0</v>
      </c>
      <c r="K504" s="67">
        <v>490</v>
      </c>
      <c r="L504" s="67">
        <v>4</v>
      </c>
    </row>
    <row r="505" spans="6:12" x14ac:dyDescent="0.15">
      <c r="F505" s="67">
        <v>491</v>
      </c>
      <c r="G505" s="67">
        <v>1</v>
      </c>
      <c r="H505" s="67">
        <v>0</v>
      </c>
      <c r="I505" s="67">
        <v>0</v>
      </c>
      <c r="K505" s="67">
        <v>491</v>
      </c>
      <c r="L505" s="67">
        <v>4</v>
      </c>
    </row>
    <row r="506" spans="6:12" x14ac:dyDescent="0.15">
      <c r="F506" s="67">
        <v>492</v>
      </c>
      <c r="G506" s="67">
        <v>0</v>
      </c>
      <c r="H506" s="67">
        <v>0</v>
      </c>
      <c r="I506" s="67">
        <v>0</v>
      </c>
      <c r="K506" s="67">
        <v>492</v>
      </c>
      <c r="L506" s="67">
        <v>5</v>
      </c>
    </row>
    <row r="507" spans="6:12" x14ac:dyDescent="0.15">
      <c r="F507" s="67">
        <v>493</v>
      </c>
      <c r="G507" s="67">
        <v>0</v>
      </c>
      <c r="H507" s="67">
        <v>0</v>
      </c>
      <c r="I507" s="67">
        <v>0</v>
      </c>
      <c r="K507" s="67">
        <v>493</v>
      </c>
      <c r="L507" s="67">
        <v>4</v>
      </c>
    </row>
    <row r="508" spans="6:12" x14ac:dyDescent="0.15">
      <c r="F508" s="67">
        <v>494</v>
      </c>
      <c r="G508" s="67">
        <v>0</v>
      </c>
      <c r="H508" s="67">
        <v>1</v>
      </c>
      <c r="I508" s="67">
        <v>1</v>
      </c>
      <c r="K508" s="67">
        <v>494</v>
      </c>
      <c r="L508" s="67">
        <v>3</v>
      </c>
    </row>
    <row r="509" spans="6:12" x14ac:dyDescent="0.15">
      <c r="F509" s="67">
        <v>495</v>
      </c>
      <c r="G509" s="67">
        <v>0</v>
      </c>
      <c r="H509" s="67">
        <v>0</v>
      </c>
      <c r="I509" s="67">
        <v>0</v>
      </c>
      <c r="K509" s="67">
        <v>495</v>
      </c>
      <c r="L509" s="67">
        <v>3</v>
      </c>
    </row>
    <row r="510" spans="6:12" x14ac:dyDescent="0.15">
      <c r="F510" s="67">
        <v>496</v>
      </c>
      <c r="G510" s="67">
        <v>1</v>
      </c>
      <c r="H510" s="67">
        <v>0</v>
      </c>
      <c r="I510" s="67">
        <v>0</v>
      </c>
      <c r="K510" s="67">
        <v>496</v>
      </c>
      <c r="L510" s="67">
        <v>4</v>
      </c>
    </row>
    <row r="511" spans="6:12" x14ac:dyDescent="0.15">
      <c r="F511" s="67">
        <v>497</v>
      </c>
      <c r="G511" s="67">
        <v>0</v>
      </c>
      <c r="H511" s="67">
        <v>1</v>
      </c>
      <c r="I511" s="67">
        <v>1</v>
      </c>
      <c r="K511" s="67">
        <v>497</v>
      </c>
      <c r="L511" s="67">
        <v>4</v>
      </c>
    </row>
    <row r="512" spans="6:12" x14ac:dyDescent="0.15">
      <c r="F512" s="67">
        <v>498</v>
      </c>
      <c r="G512" s="67">
        <v>0</v>
      </c>
      <c r="H512" s="67">
        <v>0</v>
      </c>
      <c r="I512" s="67">
        <v>0</v>
      </c>
      <c r="K512" s="67">
        <v>498</v>
      </c>
      <c r="L512" s="67">
        <v>4</v>
      </c>
    </row>
    <row r="513" spans="6:12" x14ac:dyDescent="0.15">
      <c r="F513" s="67">
        <v>499</v>
      </c>
      <c r="G513" s="67">
        <v>0</v>
      </c>
      <c r="H513" s="67">
        <v>1</v>
      </c>
      <c r="I513" s="67">
        <v>1</v>
      </c>
      <c r="K513" s="67">
        <v>499</v>
      </c>
      <c r="L513" s="67">
        <v>3</v>
      </c>
    </row>
    <row r="514" spans="6:12" x14ac:dyDescent="0.15">
      <c r="F514" s="67">
        <v>500</v>
      </c>
      <c r="G514" s="67">
        <v>1</v>
      </c>
      <c r="H514" s="67">
        <v>0</v>
      </c>
      <c r="I514" s="67">
        <v>0</v>
      </c>
      <c r="K514" s="67">
        <v>500</v>
      </c>
      <c r="L514" s="67">
        <v>4</v>
      </c>
    </row>
  </sheetData>
  <phoneticPr fontId="1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24" sqref="H24"/>
    </sheetView>
  </sheetViews>
  <sheetFormatPr defaultRowHeight="13.5" x14ac:dyDescent="0.15"/>
  <sheetData/>
  <phoneticPr fontId="1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514"/>
  <sheetViews>
    <sheetView topLeftCell="A4" workbookViewId="0">
      <selection activeCell="H24" sqref="H24"/>
    </sheetView>
  </sheetViews>
  <sheetFormatPr defaultColWidth="8.875" defaultRowHeight="13.5" x14ac:dyDescent="0.15"/>
  <cols>
    <col min="1" max="1" width="3.875" style="66" customWidth="1"/>
    <col min="2" max="2" width="12.75" style="66" customWidth="1"/>
    <col min="3" max="3" width="15" style="66" bestFit="1" customWidth="1"/>
    <col min="4" max="4" width="8.875" style="66"/>
    <col min="5" max="6" width="11" style="66" bestFit="1" customWidth="1"/>
    <col min="7" max="7" width="6.5" style="66" bestFit="1" customWidth="1"/>
    <col min="8" max="16" width="5.25" style="66" bestFit="1" customWidth="1"/>
    <col min="17" max="17" width="3.625" style="66" customWidth="1"/>
    <col min="18" max="18" width="8.875" style="66"/>
    <col min="19" max="19" width="5.25" style="66" bestFit="1" customWidth="1"/>
    <col min="20" max="16384" width="8.875" style="66"/>
  </cols>
  <sheetData>
    <row r="2" spans="2:19" ht="33.75" x14ac:dyDescent="0.15">
      <c r="B2" s="81" t="s">
        <v>132</v>
      </c>
    </row>
    <row r="4" spans="2:19" x14ac:dyDescent="0.15">
      <c r="B4" s="71" t="s">
        <v>131</v>
      </c>
      <c r="C4" s="80">
        <v>3</v>
      </c>
      <c r="F4" s="79" t="s">
        <v>124</v>
      </c>
      <c r="G4" s="78">
        <v>1</v>
      </c>
      <c r="H4" s="75">
        <v>2</v>
      </c>
      <c r="I4" s="75">
        <v>3</v>
      </c>
      <c r="J4" s="75">
        <v>4</v>
      </c>
      <c r="K4" s="75">
        <v>5</v>
      </c>
      <c r="L4" s="75">
        <v>6</v>
      </c>
      <c r="M4" s="75">
        <v>7</v>
      </c>
      <c r="N4" s="75">
        <v>8</v>
      </c>
      <c r="O4" s="75">
        <v>9</v>
      </c>
      <c r="P4" s="75">
        <v>10</v>
      </c>
    </row>
    <row r="5" spans="2:19" x14ac:dyDescent="0.15">
      <c r="B5" s="71" t="s">
        <v>130</v>
      </c>
      <c r="C5" s="80">
        <v>7</v>
      </c>
      <c r="F5" s="75" t="s">
        <v>123</v>
      </c>
      <c r="G5" s="75" t="s">
        <v>129</v>
      </c>
      <c r="H5" s="75" t="s">
        <v>129</v>
      </c>
      <c r="I5" s="75" t="s">
        <v>129</v>
      </c>
      <c r="J5" s="75" t="s">
        <v>128</v>
      </c>
      <c r="K5" s="75" t="s">
        <v>128</v>
      </c>
      <c r="L5" s="75" t="s">
        <v>128</v>
      </c>
      <c r="M5" s="75" t="s">
        <v>128</v>
      </c>
      <c r="N5" s="75" t="s">
        <v>128</v>
      </c>
      <c r="O5" s="75" t="s">
        <v>128</v>
      </c>
      <c r="P5" s="75" t="s">
        <v>128</v>
      </c>
      <c r="R5" s="77" t="s">
        <v>122</v>
      </c>
      <c r="S5" s="77" t="s">
        <v>121</v>
      </c>
    </row>
    <row r="6" spans="2:19" x14ac:dyDescent="0.15">
      <c r="B6" s="71" t="s">
        <v>127</v>
      </c>
      <c r="C6" s="80">
        <v>2</v>
      </c>
      <c r="E6" s="66" t="s">
        <v>126</v>
      </c>
      <c r="F6" s="76"/>
      <c r="G6" s="107"/>
      <c r="H6" s="107"/>
      <c r="I6" s="107"/>
      <c r="J6" s="107"/>
      <c r="K6" s="107"/>
      <c r="L6" s="107"/>
      <c r="M6" s="107"/>
      <c r="N6" s="107"/>
      <c r="O6" s="107"/>
      <c r="P6" s="107"/>
      <c r="R6" s="67"/>
      <c r="S6" s="67"/>
    </row>
    <row r="7" spans="2:19" x14ac:dyDescent="0.15">
      <c r="B7" s="71" t="s">
        <v>125</v>
      </c>
      <c r="C7" s="80">
        <v>1</v>
      </c>
      <c r="E7" s="66" t="s">
        <v>119</v>
      </c>
      <c r="F7" s="76"/>
      <c r="G7" s="107"/>
      <c r="H7" s="107"/>
      <c r="I7" s="107"/>
      <c r="J7" s="107"/>
      <c r="K7" s="107"/>
      <c r="L7" s="107"/>
      <c r="M7" s="107"/>
      <c r="N7" s="107"/>
      <c r="O7" s="107"/>
      <c r="P7" s="107"/>
      <c r="R7" s="67"/>
      <c r="S7" s="67"/>
    </row>
    <row r="8" spans="2:19" x14ac:dyDescent="0.15">
      <c r="E8" s="66" t="s">
        <v>112</v>
      </c>
      <c r="F8" s="76"/>
      <c r="G8" s="107"/>
      <c r="H8" s="107"/>
      <c r="I8" s="107"/>
      <c r="J8" s="107"/>
      <c r="K8" s="107"/>
      <c r="L8" s="107"/>
      <c r="M8" s="107"/>
      <c r="N8" s="107"/>
      <c r="O8" s="107"/>
      <c r="P8" s="107"/>
      <c r="R8" s="67"/>
      <c r="S8" s="67"/>
    </row>
    <row r="10" spans="2:19" ht="14.25" x14ac:dyDescent="0.15">
      <c r="B10" s="71" t="s">
        <v>120</v>
      </c>
      <c r="C10" s="70" t="str">
        <f>R6&amp;R7&amp;R8</f>
        <v/>
      </c>
    </row>
    <row r="11" spans="2:19" ht="14.25" x14ac:dyDescent="0.15">
      <c r="B11" s="74" t="s">
        <v>118</v>
      </c>
      <c r="C11" s="70">
        <f>IF(C10="黑色白色白色",1,0)</f>
        <v>0</v>
      </c>
    </row>
    <row r="12" spans="2:19" ht="14.25" x14ac:dyDescent="0.15">
      <c r="B12" s="73" t="s">
        <v>109</v>
      </c>
      <c r="C12" s="72">
        <f>SUM(G15:G514)/500</f>
        <v>0</v>
      </c>
    </row>
    <row r="13" spans="2:19" x14ac:dyDescent="0.15">
      <c r="O13" s="110" t="s">
        <v>153</v>
      </c>
      <c r="P13" s="110" t="s">
        <v>154</v>
      </c>
    </row>
    <row r="14" spans="2:19" ht="14.25" x14ac:dyDescent="0.15">
      <c r="B14" s="71" t="s">
        <v>113</v>
      </c>
      <c r="C14" s="70" t="str">
        <f>R6&amp;R7</f>
        <v/>
      </c>
      <c r="G14" s="69"/>
      <c r="H14" s="69"/>
      <c r="I14" s="69"/>
      <c r="L14" s="69"/>
      <c r="N14" s="67">
        <v>3</v>
      </c>
      <c r="O14" s="67"/>
      <c r="P14" s="68"/>
    </row>
    <row r="15" spans="2:19" ht="14.25" x14ac:dyDescent="0.15">
      <c r="B15" s="74" t="s">
        <v>111</v>
      </c>
      <c r="C15" s="70">
        <f>IF(R6=R7,1,0)</f>
        <v>1</v>
      </c>
      <c r="F15" s="67">
        <v>1</v>
      </c>
      <c r="G15" s="67"/>
      <c r="H15" s="67"/>
      <c r="I15" s="67"/>
      <c r="K15" s="67">
        <v>1</v>
      </c>
      <c r="L15" s="67"/>
      <c r="N15" s="67">
        <v>4</v>
      </c>
      <c r="O15" s="67"/>
      <c r="P15" s="68"/>
    </row>
    <row r="16" spans="2:19" ht="14.25" x14ac:dyDescent="0.15">
      <c r="B16" s="74" t="s">
        <v>110</v>
      </c>
      <c r="C16" s="70">
        <f>IF(C14="白色白色",1,0)</f>
        <v>0</v>
      </c>
      <c r="F16" s="67">
        <v>2</v>
      </c>
      <c r="G16" s="67"/>
      <c r="H16" s="67"/>
      <c r="I16" s="67"/>
      <c r="K16" s="67">
        <v>2</v>
      </c>
      <c r="L16" s="67"/>
      <c r="N16" s="67">
        <v>5</v>
      </c>
      <c r="O16" s="67"/>
      <c r="P16" s="68"/>
    </row>
    <row r="17" spans="2:16" ht="14.25" x14ac:dyDescent="0.15">
      <c r="B17" s="73" t="s">
        <v>109</v>
      </c>
      <c r="C17" s="72" t="e">
        <f>SUM(I15:I514)/SUM(H15:H514)</f>
        <v>#DIV/0!</v>
      </c>
      <c r="F17" s="67">
        <v>3</v>
      </c>
      <c r="G17" s="67"/>
      <c r="H17" s="67"/>
      <c r="I17" s="67"/>
      <c r="K17" s="67">
        <v>3</v>
      </c>
      <c r="L17" s="67"/>
      <c r="N17" s="67">
        <v>6</v>
      </c>
      <c r="O17" s="67"/>
      <c r="P17" s="68"/>
    </row>
    <row r="18" spans="2:16" x14ac:dyDescent="0.15">
      <c r="F18" s="67">
        <v>4</v>
      </c>
      <c r="G18" s="67"/>
      <c r="H18" s="67"/>
      <c r="I18" s="67"/>
      <c r="K18" s="67">
        <v>4</v>
      </c>
      <c r="L18" s="67"/>
      <c r="O18" s="67">
        <f>SUM(O14:O17)</f>
        <v>0</v>
      </c>
    </row>
    <row r="19" spans="2:16" ht="14.25" x14ac:dyDescent="0.15">
      <c r="B19" s="71" t="s">
        <v>108</v>
      </c>
      <c r="C19" s="70"/>
      <c r="F19" s="67">
        <v>5</v>
      </c>
      <c r="G19" s="67"/>
      <c r="H19" s="67"/>
      <c r="I19" s="67"/>
      <c r="K19" s="67">
        <v>5</v>
      </c>
      <c r="L19" s="67"/>
    </row>
    <row r="20" spans="2:16" x14ac:dyDescent="0.15">
      <c r="F20" s="67">
        <v>6</v>
      </c>
      <c r="G20" s="67"/>
      <c r="H20" s="67"/>
      <c r="I20" s="67"/>
      <c r="K20" s="67">
        <v>6</v>
      </c>
      <c r="L20" s="67"/>
    </row>
    <row r="21" spans="2:16" x14ac:dyDescent="0.15">
      <c r="F21" s="67">
        <v>7</v>
      </c>
      <c r="G21" s="67"/>
      <c r="H21" s="67"/>
      <c r="I21" s="67"/>
      <c r="K21" s="67">
        <v>7</v>
      </c>
      <c r="L21" s="67"/>
    </row>
    <row r="22" spans="2:16" x14ac:dyDescent="0.15">
      <c r="F22" s="67">
        <v>8</v>
      </c>
      <c r="G22" s="67"/>
      <c r="H22" s="67"/>
      <c r="I22" s="67"/>
      <c r="K22" s="67">
        <v>8</v>
      </c>
      <c r="L22" s="67"/>
    </row>
    <row r="23" spans="2:16" x14ac:dyDescent="0.15">
      <c r="F23" s="67">
        <v>9</v>
      </c>
      <c r="G23" s="67"/>
      <c r="H23" s="67"/>
      <c r="I23" s="67"/>
      <c r="K23" s="67">
        <v>9</v>
      </c>
      <c r="L23" s="67"/>
    </row>
    <row r="24" spans="2:16" x14ac:dyDescent="0.15">
      <c r="F24" s="67">
        <v>10</v>
      </c>
      <c r="G24" s="67"/>
      <c r="H24" s="67"/>
      <c r="I24" s="67"/>
      <c r="K24" s="67">
        <v>10</v>
      </c>
      <c r="L24" s="67"/>
    </row>
    <row r="25" spans="2:16" x14ac:dyDescent="0.15">
      <c r="F25" s="67">
        <v>11</v>
      </c>
      <c r="G25" s="67"/>
      <c r="H25" s="67"/>
      <c r="I25" s="67"/>
      <c r="K25" s="67">
        <v>11</v>
      </c>
      <c r="L25" s="67"/>
    </row>
    <row r="26" spans="2:16" x14ac:dyDescent="0.15">
      <c r="F26" s="67">
        <v>12</v>
      </c>
      <c r="G26" s="67"/>
      <c r="H26" s="67"/>
      <c r="I26" s="67"/>
      <c r="K26" s="67">
        <v>12</v>
      </c>
      <c r="L26" s="67"/>
    </row>
    <row r="27" spans="2:16" x14ac:dyDescent="0.15">
      <c r="F27" s="67">
        <v>13</v>
      </c>
      <c r="G27" s="67"/>
      <c r="H27" s="67"/>
      <c r="I27" s="67"/>
      <c r="K27" s="67">
        <v>13</v>
      </c>
      <c r="L27" s="67"/>
    </row>
    <row r="28" spans="2:16" x14ac:dyDescent="0.15">
      <c r="F28" s="67">
        <v>14</v>
      </c>
      <c r="G28" s="67"/>
      <c r="H28" s="67"/>
      <c r="I28" s="67"/>
      <c r="K28" s="67">
        <v>14</v>
      </c>
      <c r="L28" s="67"/>
    </row>
    <row r="29" spans="2:16" x14ac:dyDescent="0.15">
      <c r="F29" s="67">
        <v>15</v>
      </c>
      <c r="G29" s="67"/>
      <c r="H29" s="67"/>
      <c r="I29" s="67"/>
      <c r="K29" s="67">
        <v>15</v>
      </c>
      <c r="L29" s="67"/>
    </row>
    <row r="30" spans="2:16" x14ac:dyDescent="0.15">
      <c r="F30" s="67">
        <v>16</v>
      </c>
      <c r="G30" s="67"/>
      <c r="H30" s="67"/>
      <c r="I30" s="67"/>
      <c r="K30" s="67">
        <v>16</v>
      </c>
      <c r="L30" s="67"/>
    </row>
    <row r="31" spans="2:16" x14ac:dyDescent="0.15">
      <c r="F31" s="67">
        <v>17</v>
      </c>
      <c r="G31" s="67"/>
      <c r="H31" s="67"/>
      <c r="I31" s="67"/>
      <c r="K31" s="67">
        <v>17</v>
      </c>
      <c r="L31" s="67"/>
    </row>
    <row r="32" spans="2:16" x14ac:dyDescent="0.15">
      <c r="F32" s="67">
        <v>18</v>
      </c>
      <c r="G32" s="67"/>
      <c r="H32" s="67"/>
      <c r="I32" s="67"/>
      <c r="K32" s="67">
        <v>18</v>
      </c>
      <c r="L32" s="67"/>
    </row>
    <row r="33" spans="6:12" x14ac:dyDescent="0.15">
      <c r="F33" s="67">
        <v>19</v>
      </c>
      <c r="G33" s="67"/>
      <c r="H33" s="67"/>
      <c r="I33" s="67"/>
      <c r="K33" s="67">
        <v>19</v>
      </c>
      <c r="L33" s="67"/>
    </row>
    <row r="34" spans="6:12" x14ac:dyDescent="0.15">
      <c r="F34" s="67">
        <v>20</v>
      </c>
      <c r="G34" s="67"/>
      <c r="H34" s="67"/>
      <c r="I34" s="67"/>
      <c r="K34" s="67">
        <v>20</v>
      </c>
      <c r="L34" s="67"/>
    </row>
    <row r="35" spans="6:12" x14ac:dyDescent="0.15">
      <c r="F35" s="67">
        <v>21</v>
      </c>
      <c r="G35" s="67"/>
      <c r="H35" s="67"/>
      <c r="I35" s="67"/>
      <c r="K35" s="67">
        <v>21</v>
      </c>
      <c r="L35" s="67"/>
    </row>
    <row r="36" spans="6:12" x14ac:dyDescent="0.15">
      <c r="F36" s="67">
        <v>22</v>
      </c>
      <c r="G36" s="67"/>
      <c r="H36" s="67"/>
      <c r="I36" s="67"/>
      <c r="K36" s="67">
        <v>22</v>
      </c>
      <c r="L36" s="67"/>
    </row>
    <row r="37" spans="6:12" x14ac:dyDescent="0.15">
      <c r="F37" s="67">
        <v>23</v>
      </c>
      <c r="G37" s="67"/>
      <c r="H37" s="67"/>
      <c r="I37" s="67"/>
      <c r="K37" s="67">
        <v>23</v>
      </c>
      <c r="L37" s="67"/>
    </row>
    <row r="38" spans="6:12" x14ac:dyDescent="0.15">
      <c r="F38" s="67">
        <v>24</v>
      </c>
      <c r="G38" s="67"/>
      <c r="H38" s="67"/>
      <c r="I38" s="67"/>
      <c r="K38" s="67">
        <v>24</v>
      </c>
      <c r="L38" s="67"/>
    </row>
    <row r="39" spans="6:12" x14ac:dyDescent="0.15">
      <c r="F39" s="67">
        <v>25</v>
      </c>
      <c r="G39" s="67"/>
      <c r="H39" s="67"/>
      <c r="I39" s="67"/>
      <c r="K39" s="67">
        <v>25</v>
      </c>
      <c r="L39" s="67"/>
    </row>
    <row r="40" spans="6:12" x14ac:dyDescent="0.15">
      <c r="F40" s="67">
        <v>26</v>
      </c>
      <c r="G40" s="67"/>
      <c r="H40" s="67"/>
      <c r="I40" s="67"/>
      <c r="K40" s="67">
        <v>26</v>
      </c>
      <c r="L40" s="67"/>
    </row>
    <row r="41" spans="6:12" x14ac:dyDescent="0.15">
      <c r="F41" s="67">
        <v>27</v>
      </c>
      <c r="G41" s="67"/>
      <c r="H41" s="67"/>
      <c r="I41" s="67"/>
      <c r="K41" s="67">
        <v>27</v>
      </c>
      <c r="L41" s="67"/>
    </row>
    <row r="42" spans="6:12" x14ac:dyDescent="0.15">
      <c r="F42" s="67">
        <v>28</v>
      </c>
      <c r="G42" s="67"/>
      <c r="H42" s="67"/>
      <c r="I42" s="67"/>
      <c r="K42" s="67">
        <v>28</v>
      </c>
      <c r="L42" s="67"/>
    </row>
    <row r="43" spans="6:12" x14ac:dyDescent="0.15">
      <c r="F43" s="67">
        <v>29</v>
      </c>
      <c r="G43" s="67"/>
      <c r="H43" s="67"/>
      <c r="I43" s="67"/>
      <c r="K43" s="67">
        <v>29</v>
      </c>
      <c r="L43" s="67"/>
    </row>
    <row r="44" spans="6:12" x14ac:dyDescent="0.15">
      <c r="F44" s="67">
        <v>30</v>
      </c>
      <c r="G44" s="67"/>
      <c r="H44" s="67"/>
      <c r="I44" s="67"/>
      <c r="K44" s="67">
        <v>30</v>
      </c>
      <c r="L44" s="67"/>
    </row>
    <row r="45" spans="6:12" x14ac:dyDescent="0.15">
      <c r="F45" s="67">
        <v>31</v>
      </c>
      <c r="G45" s="67"/>
      <c r="H45" s="67"/>
      <c r="I45" s="67"/>
      <c r="K45" s="67">
        <v>31</v>
      </c>
      <c r="L45" s="67"/>
    </row>
    <row r="46" spans="6:12" x14ac:dyDescent="0.15">
      <c r="F46" s="67">
        <v>32</v>
      </c>
      <c r="G46" s="67"/>
      <c r="H46" s="67"/>
      <c r="I46" s="67"/>
      <c r="K46" s="67">
        <v>32</v>
      </c>
      <c r="L46" s="67"/>
    </row>
    <row r="47" spans="6:12" x14ac:dyDescent="0.15">
      <c r="F47" s="67">
        <v>33</v>
      </c>
      <c r="G47" s="67"/>
      <c r="H47" s="67"/>
      <c r="I47" s="67"/>
      <c r="K47" s="67">
        <v>33</v>
      </c>
      <c r="L47" s="67"/>
    </row>
    <row r="48" spans="6:12" x14ac:dyDescent="0.15">
      <c r="F48" s="67">
        <v>34</v>
      </c>
      <c r="G48" s="67"/>
      <c r="H48" s="67"/>
      <c r="I48" s="67"/>
      <c r="K48" s="67">
        <v>34</v>
      </c>
      <c r="L48" s="67"/>
    </row>
    <row r="49" spans="6:12" x14ac:dyDescent="0.15">
      <c r="F49" s="67">
        <v>35</v>
      </c>
      <c r="G49" s="67"/>
      <c r="H49" s="67"/>
      <c r="I49" s="67"/>
      <c r="K49" s="67">
        <v>35</v>
      </c>
      <c r="L49" s="67"/>
    </row>
    <row r="50" spans="6:12" x14ac:dyDescent="0.15">
      <c r="F50" s="67">
        <v>36</v>
      </c>
      <c r="G50" s="67"/>
      <c r="H50" s="67"/>
      <c r="I50" s="67"/>
      <c r="K50" s="67">
        <v>36</v>
      </c>
      <c r="L50" s="67"/>
    </row>
    <row r="51" spans="6:12" x14ac:dyDescent="0.15">
      <c r="F51" s="67">
        <v>37</v>
      </c>
      <c r="G51" s="67"/>
      <c r="H51" s="67"/>
      <c r="I51" s="67"/>
      <c r="K51" s="67">
        <v>37</v>
      </c>
      <c r="L51" s="67"/>
    </row>
    <row r="52" spans="6:12" x14ac:dyDescent="0.15">
      <c r="F52" s="67">
        <v>38</v>
      </c>
      <c r="G52" s="67"/>
      <c r="H52" s="67"/>
      <c r="I52" s="67"/>
      <c r="K52" s="67">
        <v>38</v>
      </c>
      <c r="L52" s="67"/>
    </row>
    <row r="53" spans="6:12" x14ac:dyDescent="0.15">
      <c r="F53" s="67">
        <v>39</v>
      </c>
      <c r="G53" s="67"/>
      <c r="H53" s="67"/>
      <c r="I53" s="67"/>
      <c r="K53" s="67">
        <v>39</v>
      </c>
      <c r="L53" s="67"/>
    </row>
    <row r="54" spans="6:12" x14ac:dyDescent="0.15">
      <c r="F54" s="67">
        <v>40</v>
      </c>
      <c r="G54" s="67"/>
      <c r="H54" s="67"/>
      <c r="I54" s="67"/>
      <c r="K54" s="67">
        <v>40</v>
      </c>
      <c r="L54" s="67"/>
    </row>
    <row r="55" spans="6:12" x14ac:dyDescent="0.15">
      <c r="F55" s="67">
        <v>41</v>
      </c>
      <c r="G55" s="67"/>
      <c r="H55" s="67"/>
      <c r="I55" s="67"/>
      <c r="K55" s="67">
        <v>41</v>
      </c>
      <c r="L55" s="67"/>
    </row>
    <row r="56" spans="6:12" x14ac:dyDescent="0.15">
      <c r="F56" s="67">
        <v>42</v>
      </c>
      <c r="G56" s="67"/>
      <c r="H56" s="67"/>
      <c r="I56" s="67"/>
      <c r="K56" s="67">
        <v>42</v>
      </c>
      <c r="L56" s="67"/>
    </row>
    <row r="57" spans="6:12" x14ac:dyDescent="0.15">
      <c r="F57" s="67">
        <v>43</v>
      </c>
      <c r="G57" s="67"/>
      <c r="H57" s="67"/>
      <c r="I57" s="67"/>
      <c r="K57" s="67">
        <v>43</v>
      </c>
      <c r="L57" s="67"/>
    </row>
    <row r="58" spans="6:12" x14ac:dyDescent="0.15">
      <c r="F58" s="67">
        <v>44</v>
      </c>
      <c r="G58" s="67"/>
      <c r="H58" s="67"/>
      <c r="I58" s="67"/>
      <c r="K58" s="67">
        <v>44</v>
      </c>
      <c r="L58" s="67"/>
    </row>
    <row r="59" spans="6:12" x14ac:dyDescent="0.15">
      <c r="F59" s="67">
        <v>45</v>
      </c>
      <c r="G59" s="67"/>
      <c r="H59" s="67"/>
      <c r="I59" s="67"/>
      <c r="K59" s="67">
        <v>45</v>
      </c>
      <c r="L59" s="67"/>
    </row>
    <row r="60" spans="6:12" x14ac:dyDescent="0.15">
      <c r="F60" s="67">
        <v>46</v>
      </c>
      <c r="G60" s="67"/>
      <c r="H60" s="67"/>
      <c r="I60" s="67"/>
      <c r="K60" s="67">
        <v>46</v>
      </c>
      <c r="L60" s="67"/>
    </row>
    <row r="61" spans="6:12" x14ac:dyDescent="0.15">
      <c r="F61" s="67">
        <v>47</v>
      </c>
      <c r="G61" s="67"/>
      <c r="H61" s="67"/>
      <c r="I61" s="67"/>
      <c r="K61" s="67">
        <v>47</v>
      </c>
      <c r="L61" s="67"/>
    </row>
    <row r="62" spans="6:12" x14ac:dyDescent="0.15">
      <c r="F62" s="67">
        <v>48</v>
      </c>
      <c r="G62" s="67"/>
      <c r="H62" s="67"/>
      <c r="I62" s="67"/>
      <c r="K62" s="67">
        <v>48</v>
      </c>
      <c r="L62" s="67"/>
    </row>
    <row r="63" spans="6:12" x14ac:dyDescent="0.15">
      <c r="F63" s="67">
        <v>49</v>
      </c>
      <c r="G63" s="67"/>
      <c r="H63" s="67"/>
      <c r="I63" s="67"/>
      <c r="K63" s="67">
        <v>49</v>
      </c>
      <c r="L63" s="67"/>
    </row>
    <row r="64" spans="6:12" x14ac:dyDescent="0.15">
      <c r="F64" s="67">
        <v>50</v>
      </c>
      <c r="G64" s="67"/>
      <c r="H64" s="67"/>
      <c r="I64" s="67"/>
      <c r="K64" s="67">
        <v>50</v>
      </c>
      <c r="L64" s="67"/>
    </row>
    <row r="65" spans="6:12" x14ac:dyDescent="0.15">
      <c r="F65" s="67">
        <v>51</v>
      </c>
      <c r="G65" s="67"/>
      <c r="H65" s="67"/>
      <c r="I65" s="67"/>
      <c r="K65" s="67">
        <v>51</v>
      </c>
      <c r="L65" s="67"/>
    </row>
    <row r="66" spans="6:12" x14ac:dyDescent="0.15">
      <c r="F66" s="67">
        <v>52</v>
      </c>
      <c r="G66" s="67"/>
      <c r="H66" s="67"/>
      <c r="I66" s="67"/>
      <c r="K66" s="67">
        <v>52</v>
      </c>
      <c r="L66" s="67"/>
    </row>
    <row r="67" spans="6:12" x14ac:dyDescent="0.15">
      <c r="F67" s="67">
        <v>53</v>
      </c>
      <c r="G67" s="67"/>
      <c r="H67" s="67"/>
      <c r="I67" s="67"/>
      <c r="K67" s="67">
        <v>53</v>
      </c>
      <c r="L67" s="67"/>
    </row>
    <row r="68" spans="6:12" x14ac:dyDescent="0.15">
      <c r="F68" s="67">
        <v>54</v>
      </c>
      <c r="G68" s="67"/>
      <c r="H68" s="67"/>
      <c r="I68" s="67"/>
      <c r="K68" s="67">
        <v>54</v>
      </c>
      <c r="L68" s="67"/>
    </row>
    <row r="69" spans="6:12" x14ac:dyDescent="0.15">
      <c r="F69" s="67">
        <v>55</v>
      </c>
      <c r="G69" s="67"/>
      <c r="H69" s="67"/>
      <c r="I69" s="67"/>
      <c r="K69" s="67">
        <v>55</v>
      </c>
      <c r="L69" s="67"/>
    </row>
    <row r="70" spans="6:12" x14ac:dyDescent="0.15">
      <c r="F70" s="67">
        <v>56</v>
      </c>
      <c r="G70" s="67"/>
      <c r="H70" s="67"/>
      <c r="I70" s="67"/>
      <c r="K70" s="67">
        <v>56</v>
      </c>
      <c r="L70" s="67"/>
    </row>
    <row r="71" spans="6:12" x14ac:dyDescent="0.15">
      <c r="F71" s="67">
        <v>57</v>
      </c>
      <c r="G71" s="67"/>
      <c r="H71" s="67"/>
      <c r="I71" s="67"/>
      <c r="K71" s="67">
        <v>57</v>
      </c>
      <c r="L71" s="67"/>
    </row>
    <row r="72" spans="6:12" x14ac:dyDescent="0.15">
      <c r="F72" s="67">
        <v>58</v>
      </c>
      <c r="G72" s="67"/>
      <c r="H72" s="67"/>
      <c r="I72" s="67"/>
      <c r="K72" s="67">
        <v>58</v>
      </c>
      <c r="L72" s="67"/>
    </row>
    <row r="73" spans="6:12" x14ac:dyDescent="0.15">
      <c r="F73" s="67">
        <v>59</v>
      </c>
      <c r="G73" s="67"/>
      <c r="H73" s="67"/>
      <c r="I73" s="67"/>
      <c r="K73" s="67">
        <v>59</v>
      </c>
      <c r="L73" s="67"/>
    </row>
    <row r="74" spans="6:12" x14ac:dyDescent="0.15">
      <c r="F74" s="67">
        <v>60</v>
      </c>
      <c r="G74" s="67"/>
      <c r="H74" s="67"/>
      <c r="I74" s="67"/>
      <c r="K74" s="67">
        <v>60</v>
      </c>
      <c r="L74" s="67"/>
    </row>
    <row r="75" spans="6:12" x14ac:dyDescent="0.15">
      <c r="F75" s="67">
        <v>61</v>
      </c>
      <c r="G75" s="67"/>
      <c r="H75" s="67"/>
      <c r="I75" s="67"/>
      <c r="K75" s="67">
        <v>61</v>
      </c>
      <c r="L75" s="67"/>
    </row>
    <row r="76" spans="6:12" x14ac:dyDescent="0.15">
      <c r="F76" s="67">
        <v>62</v>
      </c>
      <c r="G76" s="67"/>
      <c r="H76" s="67"/>
      <c r="I76" s="67"/>
      <c r="K76" s="67">
        <v>62</v>
      </c>
      <c r="L76" s="67"/>
    </row>
    <row r="77" spans="6:12" x14ac:dyDescent="0.15">
      <c r="F77" s="67">
        <v>63</v>
      </c>
      <c r="G77" s="67"/>
      <c r="H77" s="67"/>
      <c r="I77" s="67"/>
      <c r="K77" s="67">
        <v>63</v>
      </c>
      <c r="L77" s="67"/>
    </row>
    <row r="78" spans="6:12" x14ac:dyDescent="0.15">
      <c r="F78" s="67">
        <v>64</v>
      </c>
      <c r="G78" s="67"/>
      <c r="H78" s="67"/>
      <c r="I78" s="67"/>
      <c r="K78" s="67">
        <v>64</v>
      </c>
      <c r="L78" s="67"/>
    </row>
    <row r="79" spans="6:12" x14ac:dyDescent="0.15">
      <c r="F79" s="67">
        <v>65</v>
      </c>
      <c r="G79" s="67"/>
      <c r="H79" s="67"/>
      <c r="I79" s="67"/>
      <c r="K79" s="67">
        <v>65</v>
      </c>
      <c r="L79" s="67"/>
    </row>
    <row r="80" spans="6:12" x14ac:dyDescent="0.15">
      <c r="F80" s="67">
        <v>66</v>
      </c>
      <c r="G80" s="67"/>
      <c r="H80" s="67"/>
      <c r="I80" s="67"/>
      <c r="K80" s="67">
        <v>66</v>
      </c>
      <c r="L80" s="67"/>
    </row>
    <row r="81" spans="6:12" x14ac:dyDescent="0.15">
      <c r="F81" s="67">
        <v>67</v>
      </c>
      <c r="G81" s="67"/>
      <c r="H81" s="67"/>
      <c r="I81" s="67"/>
      <c r="K81" s="67">
        <v>67</v>
      </c>
      <c r="L81" s="67"/>
    </row>
    <row r="82" spans="6:12" x14ac:dyDescent="0.15">
      <c r="F82" s="67">
        <v>68</v>
      </c>
      <c r="G82" s="67"/>
      <c r="H82" s="67"/>
      <c r="I82" s="67"/>
      <c r="K82" s="67">
        <v>68</v>
      </c>
      <c r="L82" s="67"/>
    </row>
    <row r="83" spans="6:12" x14ac:dyDescent="0.15">
      <c r="F83" s="67">
        <v>69</v>
      </c>
      <c r="G83" s="67"/>
      <c r="H83" s="67"/>
      <c r="I83" s="67"/>
      <c r="K83" s="67">
        <v>69</v>
      </c>
      <c r="L83" s="67"/>
    </row>
    <row r="84" spans="6:12" x14ac:dyDescent="0.15">
      <c r="F84" s="67">
        <v>70</v>
      </c>
      <c r="G84" s="67"/>
      <c r="H84" s="67"/>
      <c r="I84" s="67"/>
      <c r="K84" s="67">
        <v>70</v>
      </c>
      <c r="L84" s="67"/>
    </row>
    <row r="85" spans="6:12" x14ac:dyDescent="0.15">
      <c r="F85" s="67">
        <v>71</v>
      </c>
      <c r="G85" s="67"/>
      <c r="H85" s="67"/>
      <c r="I85" s="67"/>
      <c r="K85" s="67">
        <v>71</v>
      </c>
      <c r="L85" s="67"/>
    </row>
    <row r="86" spans="6:12" x14ac:dyDescent="0.15">
      <c r="F86" s="67">
        <v>72</v>
      </c>
      <c r="G86" s="67"/>
      <c r="H86" s="67"/>
      <c r="I86" s="67"/>
      <c r="K86" s="67">
        <v>72</v>
      </c>
      <c r="L86" s="67"/>
    </row>
    <row r="87" spans="6:12" x14ac:dyDescent="0.15">
      <c r="F87" s="67">
        <v>73</v>
      </c>
      <c r="G87" s="67"/>
      <c r="H87" s="67"/>
      <c r="I87" s="67"/>
      <c r="K87" s="67">
        <v>73</v>
      </c>
      <c r="L87" s="67"/>
    </row>
    <row r="88" spans="6:12" x14ac:dyDescent="0.15">
      <c r="F88" s="67">
        <v>74</v>
      </c>
      <c r="G88" s="67"/>
      <c r="H88" s="67"/>
      <c r="I88" s="67"/>
      <c r="K88" s="67">
        <v>74</v>
      </c>
      <c r="L88" s="67"/>
    </row>
    <row r="89" spans="6:12" x14ac:dyDescent="0.15">
      <c r="F89" s="67">
        <v>75</v>
      </c>
      <c r="G89" s="67"/>
      <c r="H89" s="67"/>
      <c r="I89" s="67"/>
      <c r="K89" s="67">
        <v>75</v>
      </c>
      <c r="L89" s="67"/>
    </row>
    <row r="90" spans="6:12" x14ac:dyDescent="0.15">
      <c r="F90" s="67">
        <v>76</v>
      </c>
      <c r="G90" s="67"/>
      <c r="H90" s="67"/>
      <c r="I90" s="67"/>
      <c r="K90" s="67">
        <v>76</v>
      </c>
      <c r="L90" s="67"/>
    </row>
    <row r="91" spans="6:12" x14ac:dyDescent="0.15">
      <c r="F91" s="67">
        <v>77</v>
      </c>
      <c r="G91" s="67"/>
      <c r="H91" s="67"/>
      <c r="I91" s="67"/>
      <c r="K91" s="67">
        <v>77</v>
      </c>
      <c r="L91" s="67"/>
    </row>
    <row r="92" spans="6:12" x14ac:dyDescent="0.15">
      <c r="F92" s="67">
        <v>78</v>
      </c>
      <c r="G92" s="67"/>
      <c r="H92" s="67"/>
      <c r="I92" s="67"/>
      <c r="K92" s="67">
        <v>78</v>
      </c>
      <c r="L92" s="67"/>
    </row>
    <row r="93" spans="6:12" x14ac:dyDescent="0.15">
      <c r="F93" s="67">
        <v>79</v>
      </c>
      <c r="G93" s="67"/>
      <c r="H93" s="67"/>
      <c r="I93" s="67"/>
      <c r="K93" s="67">
        <v>79</v>
      </c>
      <c r="L93" s="67"/>
    </row>
    <row r="94" spans="6:12" x14ac:dyDescent="0.15">
      <c r="F94" s="67">
        <v>80</v>
      </c>
      <c r="G94" s="67"/>
      <c r="H94" s="67"/>
      <c r="I94" s="67"/>
      <c r="K94" s="67">
        <v>80</v>
      </c>
      <c r="L94" s="67"/>
    </row>
    <row r="95" spans="6:12" x14ac:dyDescent="0.15">
      <c r="F95" s="67">
        <v>81</v>
      </c>
      <c r="G95" s="67"/>
      <c r="H95" s="67"/>
      <c r="I95" s="67"/>
      <c r="K95" s="67">
        <v>81</v>
      </c>
      <c r="L95" s="67"/>
    </row>
    <row r="96" spans="6:12" x14ac:dyDescent="0.15">
      <c r="F96" s="67">
        <v>82</v>
      </c>
      <c r="G96" s="67"/>
      <c r="H96" s="67"/>
      <c r="I96" s="67"/>
      <c r="K96" s="67">
        <v>82</v>
      </c>
      <c r="L96" s="67"/>
    </row>
    <row r="97" spans="6:12" x14ac:dyDescent="0.15">
      <c r="F97" s="67">
        <v>83</v>
      </c>
      <c r="G97" s="67"/>
      <c r="H97" s="67"/>
      <c r="I97" s="67"/>
      <c r="K97" s="67">
        <v>83</v>
      </c>
      <c r="L97" s="67"/>
    </row>
    <row r="98" spans="6:12" x14ac:dyDescent="0.15">
      <c r="F98" s="67">
        <v>84</v>
      </c>
      <c r="G98" s="67"/>
      <c r="H98" s="67"/>
      <c r="I98" s="67"/>
      <c r="K98" s="67">
        <v>84</v>
      </c>
      <c r="L98" s="67"/>
    </row>
    <row r="99" spans="6:12" x14ac:dyDescent="0.15">
      <c r="F99" s="67">
        <v>85</v>
      </c>
      <c r="G99" s="67"/>
      <c r="H99" s="67"/>
      <c r="I99" s="67"/>
      <c r="K99" s="67">
        <v>85</v>
      </c>
      <c r="L99" s="67"/>
    </row>
    <row r="100" spans="6:12" x14ac:dyDescent="0.15">
      <c r="F100" s="67">
        <v>86</v>
      </c>
      <c r="G100" s="67"/>
      <c r="H100" s="67"/>
      <c r="I100" s="67"/>
      <c r="K100" s="67">
        <v>86</v>
      </c>
      <c r="L100" s="67"/>
    </row>
    <row r="101" spans="6:12" x14ac:dyDescent="0.15">
      <c r="F101" s="67">
        <v>87</v>
      </c>
      <c r="G101" s="67"/>
      <c r="H101" s="67"/>
      <c r="I101" s="67"/>
      <c r="K101" s="67">
        <v>87</v>
      </c>
      <c r="L101" s="67"/>
    </row>
    <row r="102" spans="6:12" x14ac:dyDescent="0.15">
      <c r="F102" s="67">
        <v>88</v>
      </c>
      <c r="G102" s="67"/>
      <c r="H102" s="67"/>
      <c r="I102" s="67"/>
      <c r="K102" s="67">
        <v>88</v>
      </c>
      <c r="L102" s="67"/>
    </row>
    <row r="103" spans="6:12" x14ac:dyDescent="0.15">
      <c r="F103" s="67">
        <v>89</v>
      </c>
      <c r="G103" s="67"/>
      <c r="H103" s="67"/>
      <c r="I103" s="67"/>
      <c r="K103" s="67">
        <v>89</v>
      </c>
      <c r="L103" s="67"/>
    </row>
    <row r="104" spans="6:12" x14ac:dyDescent="0.15">
      <c r="F104" s="67">
        <v>90</v>
      </c>
      <c r="G104" s="67"/>
      <c r="H104" s="67"/>
      <c r="I104" s="67"/>
      <c r="K104" s="67">
        <v>90</v>
      </c>
      <c r="L104" s="67"/>
    </row>
    <row r="105" spans="6:12" x14ac:dyDescent="0.15">
      <c r="F105" s="67">
        <v>91</v>
      </c>
      <c r="G105" s="67"/>
      <c r="H105" s="67"/>
      <c r="I105" s="67"/>
      <c r="K105" s="67">
        <v>91</v>
      </c>
      <c r="L105" s="67"/>
    </row>
    <row r="106" spans="6:12" x14ac:dyDescent="0.15">
      <c r="F106" s="67">
        <v>92</v>
      </c>
      <c r="G106" s="67"/>
      <c r="H106" s="67"/>
      <c r="I106" s="67"/>
      <c r="K106" s="67">
        <v>92</v>
      </c>
      <c r="L106" s="67"/>
    </row>
    <row r="107" spans="6:12" x14ac:dyDescent="0.15">
      <c r="F107" s="67">
        <v>93</v>
      </c>
      <c r="G107" s="67"/>
      <c r="H107" s="67"/>
      <c r="I107" s="67"/>
      <c r="K107" s="67">
        <v>93</v>
      </c>
      <c r="L107" s="67"/>
    </row>
    <row r="108" spans="6:12" x14ac:dyDescent="0.15">
      <c r="F108" s="67">
        <v>94</v>
      </c>
      <c r="G108" s="67"/>
      <c r="H108" s="67"/>
      <c r="I108" s="67"/>
      <c r="K108" s="67">
        <v>94</v>
      </c>
      <c r="L108" s="67"/>
    </row>
    <row r="109" spans="6:12" x14ac:dyDescent="0.15">
      <c r="F109" s="67">
        <v>95</v>
      </c>
      <c r="G109" s="67"/>
      <c r="H109" s="67"/>
      <c r="I109" s="67"/>
      <c r="K109" s="67">
        <v>95</v>
      </c>
      <c r="L109" s="67"/>
    </row>
    <row r="110" spans="6:12" x14ac:dyDescent="0.15">
      <c r="F110" s="67">
        <v>96</v>
      </c>
      <c r="G110" s="67"/>
      <c r="H110" s="67"/>
      <c r="I110" s="67"/>
      <c r="K110" s="67">
        <v>96</v>
      </c>
      <c r="L110" s="67"/>
    </row>
    <row r="111" spans="6:12" x14ac:dyDescent="0.15">
      <c r="F111" s="67">
        <v>97</v>
      </c>
      <c r="G111" s="67"/>
      <c r="H111" s="67"/>
      <c r="I111" s="67"/>
      <c r="K111" s="67">
        <v>97</v>
      </c>
      <c r="L111" s="67"/>
    </row>
    <row r="112" spans="6:12" x14ac:dyDescent="0.15">
      <c r="F112" s="67">
        <v>98</v>
      </c>
      <c r="G112" s="67"/>
      <c r="H112" s="67"/>
      <c r="I112" s="67"/>
      <c r="K112" s="67">
        <v>98</v>
      </c>
      <c r="L112" s="67"/>
    </row>
    <row r="113" spans="6:12" x14ac:dyDescent="0.15">
      <c r="F113" s="67">
        <v>99</v>
      </c>
      <c r="G113" s="67"/>
      <c r="H113" s="67"/>
      <c r="I113" s="67"/>
      <c r="K113" s="67">
        <v>99</v>
      </c>
      <c r="L113" s="67"/>
    </row>
    <row r="114" spans="6:12" x14ac:dyDescent="0.15">
      <c r="F114" s="67">
        <v>100</v>
      </c>
      <c r="G114" s="67"/>
      <c r="H114" s="67"/>
      <c r="I114" s="67"/>
      <c r="K114" s="67">
        <v>100</v>
      </c>
      <c r="L114" s="67"/>
    </row>
    <row r="115" spans="6:12" x14ac:dyDescent="0.15">
      <c r="F115" s="67">
        <v>101</v>
      </c>
      <c r="G115" s="67"/>
      <c r="H115" s="67"/>
      <c r="I115" s="67"/>
      <c r="K115" s="67">
        <v>101</v>
      </c>
      <c r="L115" s="67"/>
    </row>
    <row r="116" spans="6:12" x14ac:dyDescent="0.15">
      <c r="F116" s="67">
        <v>102</v>
      </c>
      <c r="G116" s="67"/>
      <c r="H116" s="67"/>
      <c r="I116" s="67"/>
      <c r="K116" s="67">
        <v>102</v>
      </c>
      <c r="L116" s="67"/>
    </row>
    <row r="117" spans="6:12" x14ac:dyDescent="0.15">
      <c r="F117" s="67">
        <v>103</v>
      </c>
      <c r="G117" s="67"/>
      <c r="H117" s="67"/>
      <c r="I117" s="67"/>
      <c r="K117" s="67">
        <v>103</v>
      </c>
      <c r="L117" s="67"/>
    </row>
    <row r="118" spans="6:12" x14ac:dyDescent="0.15">
      <c r="F118" s="67">
        <v>104</v>
      </c>
      <c r="G118" s="67"/>
      <c r="H118" s="67"/>
      <c r="I118" s="67"/>
      <c r="K118" s="67">
        <v>104</v>
      </c>
      <c r="L118" s="67"/>
    </row>
    <row r="119" spans="6:12" x14ac:dyDescent="0.15">
      <c r="F119" s="67">
        <v>105</v>
      </c>
      <c r="G119" s="67"/>
      <c r="H119" s="67"/>
      <c r="I119" s="67"/>
      <c r="K119" s="67">
        <v>105</v>
      </c>
      <c r="L119" s="67"/>
    </row>
    <row r="120" spans="6:12" x14ac:dyDescent="0.15">
      <c r="F120" s="67">
        <v>106</v>
      </c>
      <c r="G120" s="67"/>
      <c r="H120" s="67"/>
      <c r="I120" s="67"/>
      <c r="K120" s="67">
        <v>106</v>
      </c>
      <c r="L120" s="67"/>
    </row>
    <row r="121" spans="6:12" x14ac:dyDescent="0.15">
      <c r="F121" s="67">
        <v>107</v>
      </c>
      <c r="G121" s="67"/>
      <c r="H121" s="67"/>
      <c r="I121" s="67"/>
      <c r="K121" s="67">
        <v>107</v>
      </c>
      <c r="L121" s="67"/>
    </row>
    <row r="122" spans="6:12" x14ac:dyDescent="0.15">
      <c r="F122" s="67">
        <v>108</v>
      </c>
      <c r="G122" s="67"/>
      <c r="H122" s="67"/>
      <c r="I122" s="67"/>
      <c r="K122" s="67">
        <v>108</v>
      </c>
      <c r="L122" s="67"/>
    </row>
    <row r="123" spans="6:12" x14ac:dyDescent="0.15">
      <c r="F123" s="67">
        <v>109</v>
      </c>
      <c r="G123" s="67"/>
      <c r="H123" s="67"/>
      <c r="I123" s="67"/>
      <c r="K123" s="67">
        <v>109</v>
      </c>
      <c r="L123" s="67"/>
    </row>
    <row r="124" spans="6:12" x14ac:dyDescent="0.15">
      <c r="F124" s="67">
        <v>110</v>
      </c>
      <c r="G124" s="67"/>
      <c r="H124" s="67"/>
      <c r="I124" s="67"/>
      <c r="K124" s="67">
        <v>110</v>
      </c>
      <c r="L124" s="67"/>
    </row>
    <row r="125" spans="6:12" x14ac:dyDescent="0.15">
      <c r="F125" s="67">
        <v>111</v>
      </c>
      <c r="G125" s="67"/>
      <c r="H125" s="67"/>
      <c r="I125" s="67"/>
      <c r="K125" s="67">
        <v>111</v>
      </c>
      <c r="L125" s="67"/>
    </row>
    <row r="126" spans="6:12" x14ac:dyDescent="0.15">
      <c r="F126" s="67">
        <v>112</v>
      </c>
      <c r="G126" s="67"/>
      <c r="H126" s="67"/>
      <c r="I126" s="67"/>
      <c r="K126" s="67">
        <v>112</v>
      </c>
      <c r="L126" s="67"/>
    </row>
    <row r="127" spans="6:12" x14ac:dyDescent="0.15">
      <c r="F127" s="67">
        <v>113</v>
      </c>
      <c r="G127" s="67"/>
      <c r="H127" s="67"/>
      <c r="I127" s="67"/>
      <c r="K127" s="67">
        <v>113</v>
      </c>
      <c r="L127" s="67"/>
    </row>
    <row r="128" spans="6:12" x14ac:dyDescent="0.15">
      <c r="F128" s="67">
        <v>114</v>
      </c>
      <c r="G128" s="67"/>
      <c r="H128" s="67"/>
      <c r="I128" s="67"/>
      <c r="K128" s="67">
        <v>114</v>
      </c>
      <c r="L128" s="67"/>
    </row>
    <row r="129" spans="6:12" x14ac:dyDescent="0.15">
      <c r="F129" s="67">
        <v>115</v>
      </c>
      <c r="G129" s="67"/>
      <c r="H129" s="67"/>
      <c r="I129" s="67"/>
      <c r="K129" s="67">
        <v>115</v>
      </c>
      <c r="L129" s="67"/>
    </row>
    <row r="130" spans="6:12" x14ac:dyDescent="0.15">
      <c r="F130" s="67">
        <v>116</v>
      </c>
      <c r="G130" s="67"/>
      <c r="H130" s="67"/>
      <c r="I130" s="67"/>
      <c r="K130" s="67">
        <v>116</v>
      </c>
      <c r="L130" s="67"/>
    </row>
    <row r="131" spans="6:12" x14ac:dyDescent="0.15">
      <c r="F131" s="67">
        <v>117</v>
      </c>
      <c r="G131" s="67"/>
      <c r="H131" s="67"/>
      <c r="I131" s="67"/>
      <c r="K131" s="67">
        <v>117</v>
      </c>
      <c r="L131" s="67"/>
    </row>
    <row r="132" spans="6:12" x14ac:dyDescent="0.15">
      <c r="F132" s="67">
        <v>118</v>
      </c>
      <c r="G132" s="67"/>
      <c r="H132" s="67"/>
      <c r="I132" s="67"/>
      <c r="K132" s="67">
        <v>118</v>
      </c>
      <c r="L132" s="67"/>
    </row>
    <row r="133" spans="6:12" x14ac:dyDescent="0.15">
      <c r="F133" s="67">
        <v>119</v>
      </c>
      <c r="G133" s="67"/>
      <c r="H133" s="67"/>
      <c r="I133" s="67"/>
      <c r="K133" s="67">
        <v>119</v>
      </c>
      <c r="L133" s="67"/>
    </row>
    <row r="134" spans="6:12" x14ac:dyDescent="0.15">
      <c r="F134" s="67">
        <v>120</v>
      </c>
      <c r="G134" s="67"/>
      <c r="H134" s="67"/>
      <c r="I134" s="67"/>
      <c r="K134" s="67">
        <v>120</v>
      </c>
      <c r="L134" s="67"/>
    </row>
    <row r="135" spans="6:12" x14ac:dyDescent="0.15">
      <c r="F135" s="67">
        <v>121</v>
      </c>
      <c r="G135" s="67"/>
      <c r="H135" s="67"/>
      <c r="I135" s="67"/>
      <c r="K135" s="67">
        <v>121</v>
      </c>
      <c r="L135" s="67"/>
    </row>
    <row r="136" spans="6:12" x14ac:dyDescent="0.15">
      <c r="F136" s="67">
        <v>122</v>
      </c>
      <c r="G136" s="67"/>
      <c r="H136" s="67"/>
      <c r="I136" s="67"/>
      <c r="K136" s="67">
        <v>122</v>
      </c>
      <c r="L136" s="67"/>
    </row>
    <row r="137" spans="6:12" x14ac:dyDescent="0.15">
      <c r="F137" s="67">
        <v>123</v>
      </c>
      <c r="G137" s="67"/>
      <c r="H137" s="67"/>
      <c r="I137" s="67"/>
      <c r="K137" s="67">
        <v>123</v>
      </c>
      <c r="L137" s="67"/>
    </row>
    <row r="138" spans="6:12" x14ac:dyDescent="0.15">
      <c r="F138" s="67">
        <v>124</v>
      </c>
      <c r="G138" s="67"/>
      <c r="H138" s="67"/>
      <c r="I138" s="67"/>
      <c r="K138" s="67">
        <v>124</v>
      </c>
      <c r="L138" s="67"/>
    </row>
    <row r="139" spans="6:12" x14ac:dyDescent="0.15">
      <c r="F139" s="67">
        <v>125</v>
      </c>
      <c r="G139" s="67"/>
      <c r="H139" s="67"/>
      <c r="I139" s="67"/>
      <c r="K139" s="67">
        <v>125</v>
      </c>
      <c r="L139" s="67"/>
    </row>
    <row r="140" spans="6:12" x14ac:dyDescent="0.15">
      <c r="F140" s="67">
        <v>126</v>
      </c>
      <c r="G140" s="67"/>
      <c r="H140" s="67"/>
      <c r="I140" s="67"/>
      <c r="K140" s="67">
        <v>126</v>
      </c>
      <c r="L140" s="67"/>
    </row>
    <row r="141" spans="6:12" x14ac:dyDescent="0.15">
      <c r="F141" s="67">
        <v>127</v>
      </c>
      <c r="G141" s="67"/>
      <c r="H141" s="67"/>
      <c r="I141" s="67"/>
      <c r="K141" s="67">
        <v>127</v>
      </c>
      <c r="L141" s="67"/>
    </row>
    <row r="142" spans="6:12" x14ac:dyDescent="0.15">
      <c r="F142" s="67">
        <v>128</v>
      </c>
      <c r="G142" s="67"/>
      <c r="H142" s="67"/>
      <c r="I142" s="67"/>
      <c r="K142" s="67">
        <v>128</v>
      </c>
      <c r="L142" s="67"/>
    </row>
    <row r="143" spans="6:12" x14ac:dyDescent="0.15">
      <c r="F143" s="67">
        <v>129</v>
      </c>
      <c r="G143" s="67"/>
      <c r="H143" s="67"/>
      <c r="I143" s="67"/>
      <c r="K143" s="67">
        <v>129</v>
      </c>
      <c r="L143" s="67"/>
    </row>
    <row r="144" spans="6:12" x14ac:dyDescent="0.15">
      <c r="F144" s="67">
        <v>130</v>
      </c>
      <c r="G144" s="67"/>
      <c r="H144" s="67"/>
      <c r="I144" s="67"/>
      <c r="K144" s="67">
        <v>130</v>
      </c>
      <c r="L144" s="67"/>
    </row>
    <row r="145" spans="6:12" x14ac:dyDescent="0.15">
      <c r="F145" s="67">
        <v>131</v>
      </c>
      <c r="G145" s="67"/>
      <c r="H145" s="67"/>
      <c r="I145" s="67"/>
      <c r="K145" s="67">
        <v>131</v>
      </c>
      <c r="L145" s="67"/>
    </row>
    <row r="146" spans="6:12" x14ac:dyDescent="0.15">
      <c r="F146" s="67">
        <v>132</v>
      </c>
      <c r="G146" s="67"/>
      <c r="H146" s="67"/>
      <c r="I146" s="67"/>
      <c r="K146" s="67">
        <v>132</v>
      </c>
      <c r="L146" s="67"/>
    </row>
    <row r="147" spans="6:12" x14ac:dyDescent="0.15">
      <c r="F147" s="67">
        <v>133</v>
      </c>
      <c r="G147" s="67"/>
      <c r="H147" s="67"/>
      <c r="I147" s="67"/>
      <c r="K147" s="67">
        <v>133</v>
      </c>
      <c r="L147" s="67"/>
    </row>
    <row r="148" spans="6:12" x14ac:dyDescent="0.15">
      <c r="F148" s="67">
        <v>134</v>
      </c>
      <c r="G148" s="67"/>
      <c r="H148" s="67"/>
      <c r="I148" s="67"/>
      <c r="K148" s="67">
        <v>134</v>
      </c>
      <c r="L148" s="67"/>
    </row>
    <row r="149" spans="6:12" x14ac:dyDescent="0.15">
      <c r="F149" s="67">
        <v>135</v>
      </c>
      <c r="G149" s="67"/>
      <c r="H149" s="67"/>
      <c r="I149" s="67"/>
      <c r="K149" s="67">
        <v>135</v>
      </c>
      <c r="L149" s="67"/>
    </row>
    <row r="150" spans="6:12" x14ac:dyDescent="0.15">
      <c r="F150" s="67">
        <v>136</v>
      </c>
      <c r="G150" s="67"/>
      <c r="H150" s="67"/>
      <c r="I150" s="67"/>
      <c r="K150" s="67">
        <v>136</v>
      </c>
      <c r="L150" s="67"/>
    </row>
    <row r="151" spans="6:12" x14ac:dyDescent="0.15">
      <c r="F151" s="67">
        <v>137</v>
      </c>
      <c r="G151" s="67"/>
      <c r="H151" s="67"/>
      <c r="I151" s="67"/>
      <c r="K151" s="67">
        <v>137</v>
      </c>
      <c r="L151" s="67"/>
    </row>
    <row r="152" spans="6:12" x14ac:dyDescent="0.15">
      <c r="F152" s="67">
        <v>138</v>
      </c>
      <c r="G152" s="67"/>
      <c r="H152" s="67"/>
      <c r="I152" s="67"/>
      <c r="K152" s="67">
        <v>138</v>
      </c>
      <c r="L152" s="67"/>
    </row>
    <row r="153" spans="6:12" x14ac:dyDescent="0.15">
      <c r="F153" s="67">
        <v>139</v>
      </c>
      <c r="G153" s="67"/>
      <c r="H153" s="67"/>
      <c r="I153" s="67"/>
      <c r="K153" s="67">
        <v>139</v>
      </c>
      <c r="L153" s="67"/>
    </row>
    <row r="154" spans="6:12" x14ac:dyDescent="0.15">
      <c r="F154" s="67">
        <v>140</v>
      </c>
      <c r="G154" s="67"/>
      <c r="H154" s="67"/>
      <c r="I154" s="67"/>
      <c r="K154" s="67">
        <v>140</v>
      </c>
      <c r="L154" s="67"/>
    </row>
    <row r="155" spans="6:12" x14ac:dyDescent="0.15">
      <c r="F155" s="67">
        <v>141</v>
      </c>
      <c r="G155" s="67"/>
      <c r="H155" s="67"/>
      <c r="I155" s="67"/>
      <c r="K155" s="67">
        <v>141</v>
      </c>
      <c r="L155" s="67"/>
    </row>
    <row r="156" spans="6:12" x14ac:dyDescent="0.15">
      <c r="F156" s="67">
        <v>142</v>
      </c>
      <c r="G156" s="67"/>
      <c r="H156" s="67"/>
      <c r="I156" s="67"/>
      <c r="K156" s="67">
        <v>142</v>
      </c>
      <c r="L156" s="67"/>
    </row>
    <row r="157" spans="6:12" x14ac:dyDescent="0.15">
      <c r="F157" s="67">
        <v>143</v>
      </c>
      <c r="G157" s="67"/>
      <c r="H157" s="67"/>
      <c r="I157" s="67"/>
      <c r="K157" s="67">
        <v>143</v>
      </c>
      <c r="L157" s="67"/>
    </row>
    <row r="158" spans="6:12" x14ac:dyDescent="0.15">
      <c r="F158" s="67">
        <v>144</v>
      </c>
      <c r="G158" s="67"/>
      <c r="H158" s="67"/>
      <c r="I158" s="67"/>
      <c r="K158" s="67">
        <v>144</v>
      </c>
      <c r="L158" s="67"/>
    </row>
    <row r="159" spans="6:12" x14ac:dyDescent="0.15">
      <c r="F159" s="67">
        <v>145</v>
      </c>
      <c r="G159" s="67"/>
      <c r="H159" s="67"/>
      <c r="I159" s="67"/>
      <c r="K159" s="67">
        <v>145</v>
      </c>
      <c r="L159" s="67"/>
    </row>
    <row r="160" spans="6:12" x14ac:dyDescent="0.15">
      <c r="F160" s="67">
        <v>146</v>
      </c>
      <c r="G160" s="67"/>
      <c r="H160" s="67"/>
      <c r="I160" s="67"/>
      <c r="K160" s="67">
        <v>146</v>
      </c>
      <c r="L160" s="67"/>
    </row>
    <row r="161" spans="6:12" x14ac:dyDescent="0.15">
      <c r="F161" s="67">
        <v>147</v>
      </c>
      <c r="G161" s="67"/>
      <c r="H161" s="67"/>
      <c r="I161" s="67"/>
      <c r="K161" s="67">
        <v>147</v>
      </c>
      <c r="L161" s="67"/>
    </row>
    <row r="162" spans="6:12" x14ac:dyDescent="0.15">
      <c r="F162" s="67">
        <v>148</v>
      </c>
      <c r="G162" s="67"/>
      <c r="H162" s="67"/>
      <c r="I162" s="67"/>
      <c r="K162" s="67">
        <v>148</v>
      </c>
      <c r="L162" s="67"/>
    </row>
    <row r="163" spans="6:12" x14ac:dyDescent="0.15">
      <c r="F163" s="67">
        <v>149</v>
      </c>
      <c r="G163" s="67"/>
      <c r="H163" s="67"/>
      <c r="I163" s="67"/>
      <c r="K163" s="67">
        <v>149</v>
      </c>
      <c r="L163" s="67"/>
    </row>
    <row r="164" spans="6:12" x14ac:dyDescent="0.15">
      <c r="F164" s="67">
        <v>150</v>
      </c>
      <c r="G164" s="67"/>
      <c r="H164" s="67"/>
      <c r="I164" s="67"/>
      <c r="K164" s="67">
        <v>150</v>
      </c>
      <c r="L164" s="67"/>
    </row>
    <row r="165" spans="6:12" x14ac:dyDescent="0.15">
      <c r="F165" s="67">
        <v>151</v>
      </c>
      <c r="G165" s="67"/>
      <c r="H165" s="67"/>
      <c r="I165" s="67"/>
      <c r="K165" s="67">
        <v>151</v>
      </c>
      <c r="L165" s="67"/>
    </row>
    <row r="166" spans="6:12" x14ac:dyDescent="0.15">
      <c r="F166" s="67">
        <v>152</v>
      </c>
      <c r="G166" s="67"/>
      <c r="H166" s="67"/>
      <c r="I166" s="67"/>
      <c r="K166" s="67">
        <v>152</v>
      </c>
      <c r="L166" s="67"/>
    </row>
    <row r="167" spans="6:12" x14ac:dyDescent="0.15">
      <c r="F167" s="67">
        <v>153</v>
      </c>
      <c r="G167" s="67"/>
      <c r="H167" s="67"/>
      <c r="I167" s="67"/>
      <c r="K167" s="67">
        <v>153</v>
      </c>
      <c r="L167" s="67"/>
    </row>
    <row r="168" spans="6:12" x14ac:dyDescent="0.15">
      <c r="F168" s="67">
        <v>154</v>
      </c>
      <c r="G168" s="67"/>
      <c r="H168" s="67"/>
      <c r="I168" s="67"/>
      <c r="K168" s="67">
        <v>154</v>
      </c>
      <c r="L168" s="67"/>
    </row>
    <row r="169" spans="6:12" x14ac:dyDescent="0.15">
      <c r="F169" s="67">
        <v>155</v>
      </c>
      <c r="G169" s="67"/>
      <c r="H169" s="67"/>
      <c r="I169" s="67"/>
      <c r="K169" s="67">
        <v>155</v>
      </c>
      <c r="L169" s="67"/>
    </row>
    <row r="170" spans="6:12" x14ac:dyDescent="0.15">
      <c r="F170" s="67">
        <v>156</v>
      </c>
      <c r="G170" s="67"/>
      <c r="H170" s="67"/>
      <c r="I170" s="67"/>
      <c r="K170" s="67">
        <v>156</v>
      </c>
      <c r="L170" s="67"/>
    </row>
    <row r="171" spans="6:12" x14ac:dyDescent="0.15">
      <c r="F171" s="67">
        <v>157</v>
      </c>
      <c r="G171" s="67"/>
      <c r="H171" s="67"/>
      <c r="I171" s="67"/>
      <c r="K171" s="67">
        <v>157</v>
      </c>
      <c r="L171" s="67"/>
    </row>
    <row r="172" spans="6:12" x14ac:dyDescent="0.15">
      <c r="F172" s="67">
        <v>158</v>
      </c>
      <c r="G172" s="67"/>
      <c r="H172" s="67"/>
      <c r="I172" s="67"/>
      <c r="K172" s="67">
        <v>158</v>
      </c>
      <c r="L172" s="67"/>
    </row>
    <row r="173" spans="6:12" x14ac:dyDescent="0.15">
      <c r="F173" s="67">
        <v>159</v>
      </c>
      <c r="G173" s="67"/>
      <c r="H173" s="67"/>
      <c r="I173" s="67"/>
      <c r="K173" s="67">
        <v>159</v>
      </c>
      <c r="L173" s="67"/>
    </row>
    <row r="174" spans="6:12" x14ac:dyDescent="0.15">
      <c r="F174" s="67">
        <v>160</v>
      </c>
      <c r="G174" s="67"/>
      <c r="H174" s="67"/>
      <c r="I174" s="67"/>
      <c r="K174" s="67">
        <v>160</v>
      </c>
      <c r="L174" s="67"/>
    </row>
    <row r="175" spans="6:12" x14ac:dyDescent="0.15">
      <c r="F175" s="67">
        <v>161</v>
      </c>
      <c r="G175" s="67"/>
      <c r="H175" s="67"/>
      <c r="I175" s="67"/>
      <c r="K175" s="67">
        <v>161</v>
      </c>
      <c r="L175" s="67"/>
    </row>
    <row r="176" spans="6:12" x14ac:dyDescent="0.15">
      <c r="F176" s="67">
        <v>162</v>
      </c>
      <c r="G176" s="67"/>
      <c r="H176" s="67"/>
      <c r="I176" s="67"/>
      <c r="K176" s="67">
        <v>162</v>
      </c>
      <c r="L176" s="67"/>
    </row>
    <row r="177" spans="6:12" x14ac:dyDescent="0.15">
      <c r="F177" s="67">
        <v>163</v>
      </c>
      <c r="G177" s="67"/>
      <c r="H177" s="67"/>
      <c r="I177" s="67"/>
      <c r="K177" s="67">
        <v>163</v>
      </c>
      <c r="L177" s="67"/>
    </row>
    <row r="178" spans="6:12" x14ac:dyDescent="0.15">
      <c r="F178" s="67">
        <v>164</v>
      </c>
      <c r="G178" s="67"/>
      <c r="H178" s="67"/>
      <c r="I178" s="67"/>
      <c r="K178" s="67">
        <v>164</v>
      </c>
      <c r="L178" s="67"/>
    </row>
    <row r="179" spans="6:12" x14ac:dyDescent="0.15">
      <c r="F179" s="67">
        <v>165</v>
      </c>
      <c r="G179" s="67"/>
      <c r="H179" s="67"/>
      <c r="I179" s="67"/>
      <c r="K179" s="67">
        <v>165</v>
      </c>
      <c r="L179" s="67"/>
    </row>
    <row r="180" spans="6:12" x14ac:dyDescent="0.15">
      <c r="F180" s="67">
        <v>166</v>
      </c>
      <c r="G180" s="67"/>
      <c r="H180" s="67"/>
      <c r="I180" s="67"/>
      <c r="K180" s="67">
        <v>166</v>
      </c>
      <c r="L180" s="67"/>
    </row>
    <row r="181" spans="6:12" x14ac:dyDescent="0.15">
      <c r="F181" s="67">
        <v>167</v>
      </c>
      <c r="G181" s="67"/>
      <c r="H181" s="67"/>
      <c r="I181" s="67"/>
      <c r="K181" s="67">
        <v>167</v>
      </c>
      <c r="L181" s="67"/>
    </row>
    <row r="182" spans="6:12" x14ac:dyDescent="0.15">
      <c r="F182" s="67">
        <v>168</v>
      </c>
      <c r="G182" s="67"/>
      <c r="H182" s="67"/>
      <c r="I182" s="67"/>
      <c r="K182" s="67">
        <v>168</v>
      </c>
      <c r="L182" s="67"/>
    </row>
    <row r="183" spans="6:12" x14ac:dyDescent="0.15">
      <c r="F183" s="67">
        <v>169</v>
      </c>
      <c r="G183" s="67"/>
      <c r="H183" s="67"/>
      <c r="I183" s="67"/>
      <c r="K183" s="67">
        <v>169</v>
      </c>
      <c r="L183" s="67"/>
    </row>
    <row r="184" spans="6:12" x14ac:dyDescent="0.15">
      <c r="F184" s="67">
        <v>170</v>
      </c>
      <c r="G184" s="67"/>
      <c r="H184" s="67"/>
      <c r="I184" s="67"/>
      <c r="K184" s="67">
        <v>170</v>
      </c>
      <c r="L184" s="67"/>
    </row>
    <row r="185" spans="6:12" x14ac:dyDescent="0.15">
      <c r="F185" s="67">
        <v>171</v>
      </c>
      <c r="G185" s="67"/>
      <c r="H185" s="67"/>
      <c r="I185" s="67"/>
      <c r="K185" s="67">
        <v>171</v>
      </c>
      <c r="L185" s="67"/>
    </row>
    <row r="186" spans="6:12" x14ac:dyDescent="0.15">
      <c r="F186" s="67">
        <v>172</v>
      </c>
      <c r="G186" s="67"/>
      <c r="H186" s="67"/>
      <c r="I186" s="67"/>
      <c r="K186" s="67">
        <v>172</v>
      </c>
      <c r="L186" s="67"/>
    </row>
    <row r="187" spans="6:12" x14ac:dyDescent="0.15">
      <c r="F187" s="67">
        <v>173</v>
      </c>
      <c r="G187" s="67"/>
      <c r="H187" s="67"/>
      <c r="I187" s="67"/>
      <c r="K187" s="67">
        <v>173</v>
      </c>
      <c r="L187" s="67"/>
    </row>
    <row r="188" spans="6:12" x14ac:dyDescent="0.15">
      <c r="F188" s="67">
        <v>174</v>
      </c>
      <c r="G188" s="67"/>
      <c r="H188" s="67"/>
      <c r="I188" s="67"/>
      <c r="K188" s="67">
        <v>174</v>
      </c>
      <c r="L188" s="67"/>
    </row>
    <row r="189" spans="6:12" x14ac:dyDescent="0.15">
      <c r="F189" s="67">
        <v>175</v>
      </c>
      <c r="G189" s="67"/>
      <c r="H189" s="67"/>
      <c r="I189" s="67"/>
      <c r="K189" s="67">
        <v>175</v>
      </c>
      <c r="L189" s="67"/>
    </row>
    <row r="190" spans="6:12" x14ac:dyDescent="0.15">
      <c r="F190" s="67">
        <v>176</v>
      </c>
      <c r="G190" s="67"/>
      <c r="H190" s="67"/>
      <c r="I190" s="67"/>
      <c r="K190" s="67">
        <v>176</v>
      </c>
      <c r="L190" s="67"/>
    </row>
    <row r="191" spans="6:12" x14ac:dyDescent="0.15">
      <c r="F191" s="67">
        <v>177</v>
      </c>
      <c r="G191" s="67"/>
      <c r="H191" s="67"/>
      <c r="I191" s="67"/>
      <c r="K191" s="67">
        <v>177</v>
      </c>
      <c r="L191" s="67"/>
    </row>
    <row r="192" spans="6:12" x14ac:dyDescent="0.15">
      <c r="F192" s="67">
        <v>178</v>
      </c>
      <c r="G192" s="67"/>
      <c r="H192" s="67"/>
      <c r="I192" s="67"/>
      <c r="K192" s="67">
        <v>178</v>
      </c>
      <c r="L192" s="67"/>
    </row>
    <row r="193" spans="6:12" x14ac:dyDescent="0.15">
      <c r="F193" s="67">
        <v>179</v>
      </c>
      <c r="G193" s="67"/>
      <c r="H193" s="67"/>
      <c r="I193" s="67"/>
      <c r="K193" s="67">
        <v>179</v>
      </c>
      <c r="L193" s="67"/>
    </row>
    <row r="194" spans="6:12" x14ac:dyDescent="0.15">
      <c r="F194" s="67">
        <v>180</v>
      </c>
      <c r="G194" s="67"/>
      <c r="H194" s="67"/>
      <c r="I194" s="67"/>
      <c r="K194" s="67">
        <v>180</v>
      </c>
      <c r="L194" s="67"/>
    </row>
    <row r="195" spans="6:12" x14ac:dyDescent="0.15">
      <c r="F195" s="67">
        <v>181</v>
      </c>
      <c r="G195" s="67"/>
      <c r="H195" s="67"/>
      <c r="I195" s="67"/>
      <c r="K195" s="67">
        <v>181</v>
      </c>
      <c r="L195" s="67"/>
    </row>
    <row r="196" spans="6:12" x14ac:dyDescent="0.15">
      <c r="F196" s="67">
        <v>182</v>
      </c>
      <c r="G196" s="67"/>
      <c r="H196" s="67"/>
      <c r="I196" s="67"/>
      <c r="K196" s="67">
        <v>182</v>
      </c>
      <c r="L196" s="67"/>
    </row>
    <row r="197" spans="6:12" x14ac:dyDescent="0.15">
      <c r="F197" s="67">
        <v>183</v>
      </c>
      <c r="G197" s="67"/>
      <c r="H197" s="67"/>
      <c r="I197" s="67"/>
      <c r="K197" s="67">
        <v>183</v>
      </c>
      <c r="L197" s="67"/>
    </row>
    <row r="198" spans="6:12" x14ac:dyDescent="0.15">
      <c r="F198" s="67">
        <v>184</v>
      </c>
      <c r="G198" s="67"/>
      <c r="H198" s="67"/>
      <c r="I198" s="67"/>
      <c r="K198" s="67">
        <v>184</v>
      </c>
      <c r="L198" s="67"/>
    </row>
    <row r="199" spans="6:12" x14ac:dyDescent="0.15">
      <c r="F199" s="67">
        <v>185</v>
      </c>
      <c r="G199" s="67"/>
      <c r="H199" s="67"/>
      <c r="I199" s="67"/>
      <c r="K199" s="67">
        <v>185</v>
      </c>
      <c r="L199" s="67"/>
    </row>
    <row r="200" spans="6:12" x14ac:dyDescent="0.15">
      <c r="F200" s="67">
        <v>186</v>
      </c>
      <c r="G200" s="67"/>
      <c r="H200" s="67"/>
      <c r="I200" s="67"/>
      <c r="K200" s="67">
        <v>186</v>
      </c>
      <c r="L200" s="67"/>
    </row>
    <row r="201" spans="6:12" x14ac:dyDescent="0.15">
      <c r="F201" s="67">
        <v>187</v>
      </c>
      <c r="G201" s="67"/>
      <c r="H201" s="67"/>
      <c r="I201" s="67"/>
      <c r="K201" s="67">
        <v>187</v>
      </c>
      <c r="L201" s="67"/>
    </row>
    <row r="202" spans="6:12" x14ac:dyDescent="0.15">
      <c r="F202" s="67">
        <v>188</v>
      </c>
      <c r="G202" s="67"/>
      <c r="H202" s="67"/>
      <c r="I202" s="67"/>
      <c r="K202" s="67">
        <v>188</v>
      </c>
      <c r="L202" s="67"/>
    </row>
    <row r="203" spans="6:12" x14ac:dyDescent="0.15">
      <c r="F203" s="67">
        <v>189</v>
      </c>
      <c r="G203" s="67"/>
      <c r="H203" s="67"/>
      <c r="I203" s="67"/>
      <c r="K203" s="67">
        <v>189</v>
      </c>
      <c r="L203" s="67"/>
    </row>
    <row r="204" spans="6:12" x14ac:dyDescent="0.15">
      <c r="F204" s="67">
        <v>190</v>
      </c>
      <c r="G204" s="67"/>
      <c r="H204" s="67"/>
      <c r="I204" s="67"/>
      <c r="K204" s="67">
        <v>190</v>
      </c>
      <c r="L204" s="67"/>
    </row>
    <row r="205" spans="6:12" x14ac:dyDescent="0.15">
      <c r="F205" s="67">
        <v>191</v>
      </c>
      <c r="G205" s="67"/>
      <c r="H205" s="67"/>
      <c r="I205" s="67"/>
      <c r="K205" s="67">
        <v>191</v>
      </c>
      <c r="L205" s="67"/>
    </row>
    <row r="206" spans="6:12" x14ac:dyDescent="0.15">
      <c r="F206" s="67">
        <v>192</v>
      </c>
      <c r="G206" s="67"/>
      <c r="H206" s="67"/>
      <c r="I206" s="67"/>
      <c r="K206" s="67">
        <v>192</v>
      </c>
      <c r="L206" s="67"/>
    </row>
    <row r="207" spans="6:12" x14ac:dyDescent="0.15">
      <c r="F207" s="67">
        <v>193</v>
      </c>
      <c r="G207" s="67"/>
      <c r="H207" s="67"/>
      <c r="I207" s="67"/>
      <c r="K207" s="67">
        <v>193</v>
      </c>
      <c r="L207" s="67"/>
    </row>
    <row r="208" spans="6:12" x14ac:dyDescent="0.15">
      <c r="F208" s="67">
        <v>194</v>
      </c>
      <c r="G208" s="67"/>
      <c r="H208" s="67"/>
      <c r="I208" s="67"/>
      <c r="K208" s="67">
        <v>194</v>
      </c>
      <c r="L208" s="67"/>
    </row>
    <row r="209" spans="6:12" x14ac:dyDescent="0.15">
      <c r="F209" s="67">
        <v>195</v>
      </c>
      <c r="G209" s="67"/>
      <c r="H209" s="67"/>
      <c r="I209" s="67"/>
      <c r="K209" s="67">
        <v>195</v>
      </c>
      <c r="L209" s="67"/>
    </row>
    <row r="210" spans="6:12" x14ac:dyDescent="0.15">
      <c r="F210" s="67">
        <v>196</v>
      </c>
      <c r="G210" s="67"/>
      <c r="H210" s="67"/>
      <c r="I210" s="67"/>
      <c r="K210" s="67">
        <v>196</v>
      </c>
      <c r="L210" s="67"/>
    </row>
    <row r="211" spans="6:12" x14ac:dyDescent="0.15">
      <c r="F211" s="67">
        <v>197</v>
      </c>
      <c r="G211" s="67"/>
      <c r="H211" s="67"/>
      <c r="I211" s="67"/>
      <c r="K211" s="67">
        <v>197</v>
      </c>
      <c r="L211" s="67"/>
    </row>
    <row r="212" spans="6:12" x14ac:dyDescent="0.15">
      <c r="F212" s="67">
        <v>198</v>
      </c>
      <c r="G212" s="67"/>
      <c r="H212" s="67"/>
      <c r="I212" s="67"/>
      <c r="K212" s="67">
        <v>198</v>
      </c>
      <c r="L212" s="67"/>
    </row>
    <row r="213" spans="6:12" x14ac:dyDescent="0.15">
      <c r="F213" s="67">
        <v>199</v>
      </c>
      <c r="G213" s="67"/>
      <c r="H213" s="67"/>
      <c r="I213" s="67"/>
      <c r="K213" s="67">
        <v>199</v>
      </c>
      <c r="L213" s="67"/>
    </row>
    <row r="214" spans="6:12" x14ac:dyDescent="0.15">
      <c r="F214" s="67">
        <v>200</v>
      </c>
      <c r="G214" s="67"/>
      <c r="H214" s="67"/>
      <c r="I214" s="67"/>
      <c r="K214" s="67">
        <v>200</v>
      </c>
      <c r="L214" s="67"/>
    </row>
    <row r="215" spans="6:12" x14ac:dyDescent="0.15">
      <c r="F215" s="67">
        <v>201</v>
      </c>
      <c r="G215" s="67"/>
      <c r="H215" s="67"/>
      <c r="I215" s="67"/>
      <c r="K215" s="67">
        <v>201</v>
      </c>
      <c r="L215" s="67"/>
    </row>
    <row r="216" spans="6:12" x14ac:dyDescent="0.15">
      <c r="F216" s="67">
        <v>202</v>
      </c>
      <c r="G216" s="67"/>
      <c r="H216" s="67"/>
      <c r="I216" s="67"/>
      <c r="K216" s="67">
        <v>202</v>
      </c>
      <c r="L216" s="67"/>
    </row>
    <row r="217" spans="6:12" x14ac:dyDescent="0.15">
      <c r="F217" s="67">
        <v>203</v>
      </c>
      <c r="G217" s="67"/>
      <c r="H217" s="67"/>
      <c r="I217" s="67"/>
      <c r="K217" s="67">
        <v>203</v>
      </c>
      <c r="L217" s="67"/>
    </row>
    <row r="218" spans="6:12" x14ac:dyDescent="0.15">
      <c r="F218" s="67">
        <v>204</v>
      </c>
      <c r="G218" s="67"/>
      <c r="H218" s="67"/>
      <c r="I218" s="67"/>
      <c r="K218" s="67">
        <v>204</v>
      </c>
      <c r="L218" s="67"/>
    </row>
    <row r="219" spans="6:12" x14ac:dyDescent="0.15">
      <c r="F219" s="67">
        <v>205</v>
      </c>
      <c r="G219" s="67"/>
      <c r="H219" s="67"/>
      <c r="I219" s="67"/>
      <c r="K219" s="67">
        <v>205</v>
      </c>
      <c r="L219" s="67"/>
    </row>
    <row r="220" spans="6:12" x14ac:dyDescent="0.15">
      <c r="F220" s="67">
        <v>206</v>
      </c>
      <c r="G220" s="67"/>
      <c r="H220" s="67"/>
      <c r="I220" s="67"/>
      <c r="K220" s="67">
        <v>206</v>
      </c>
      <c r="L220" s="67"/>
    </row>
    <row r="221" spans="6:12" x14ac:dyDescent="0.15">
      <c r="F221" s="67">
        <v>207</v>
      </c>
      <c r="G221" s="67"/>
      <c r="H221" s="67"/>
      <c r="I221" s="67"/>
      <c r="K221" s="67">
        <v>207</v>
      </c>
      <c r="L221" s="67"/>
    </row>
    <row r="222" spans="6:12" x14ac:dyDescent="0.15">
      <c r="F222" s="67">
        <v>208</v>
      </c>
      <c r="G222" s="67"/>
      <c r="H222" s="67"/>
      <c r="I222" s="67"/>
      <c r="K222" s="67">
        <v>208</v>
      </c>
      <c r="L222" s="67"/>
    </row>
    <row r="223" spans="6:12" x14ac:dyDescent="0.15">
      <c r="F223" s="67">
        <v>209</v>
      </c>
      <c r="G223" s="67"/>
      <c r="H223" s="67"/>
      <c r="I223" s="67"/>
      <c r="K223" s="67">
        <v>209</v>
      </c>
      <c r="L223" s="67"/>
    </row>
    <row r="224" spans="6:12" x14ac:dyDescent="0.15">
      <c r="F224" s="67">
        <v>210</v>
      </c>
      <c r="G224" s="67"/>
      <c r="H224" s="67"/>
      <c r="I224" s="67"/>
      <c r="K224" s="67">
        <v>210</v>
      </c>
      <c r="L224" s="67"/>
    </row>
    <row r="225" spans="6:12" x14ac:dyDescent="0.15">
      <c r="F225" s="67">
        <v>211</v>
      </c>
      <c r="G225" s="67"/>
      <c r="H225" s="67"/>
      <c r="I225" s="67"/>
      <c r="K225" s="67">
        <v>211</v>
      </c>
      <c r="L225" s="67"/>
    </row>
    <row r="226" spans="6:12" x14ac:dyDescent="0.15">
      <c r="F226" s="67">
        <v>212</v>
      </c>
      <c r="G226" s="67"/>
      <c r="H226" s="67"/>
      <c r="I226" s="67"/>
      <c r="K226" s="67">
        <v>212</v>
      </c>
      <c r="L226" s="67"/>
    </row>
    <row r="227" spans="6:12" x14ac:dyDescent="0.15">
      <c r="F227" s="67">
        <v>213</v>
      </c>
      <c r="G227" s="67"/>
      <c r="H227" s="67"/>
      <c r="I227" s="67"/>
      <c r="K227" s="67">
        <v>213</v>
      </c>
      <c r="L227" s="67"/>
    </row>
    <row r="228" spans="6:12" x14ac:dyDescent="0.15">
      <c r="F228" s="67">
        <v>214</v>
      </c>
      <c r="G228" s="67"/>
      <c r="H228" s="67"/>
      <c r="I228" s="67"/>
      <c r="K228" s="67">
        <v>214</v>
      </c>
      <c r="L228" s="67"/>
    </row>
    <row r="229" spans="6:12" x14ac:dyDescent="0.15">
      <c r="F229" s="67">
        <v>215</v>
      </c>
      <c r="G229" s="67"/>
      <c r="H229" s="67"/>
      <c r="I229" s="67"/>
      <c r="K229" s="67">
        <v>215</v>
      </c>
      <c r="L229" s="67"/>
    </row>
    <row r="230" spans="6:12" x14ac:dyDescent="0.15">
      <c r="F230" s="67">
        <v>216</v>
      </c>
      <c r="G230" s="67"/>
      <c r="H230" s="67"/>
      <c r="I230" s="67"/>
      <c r="K230" s="67">
        <v>216</v>
      </c>
      <c r="L230" s="67"/>
    </row>
    <row r="231" spans="6:12" x14ac:dyDescent="0.15">
      <c r="F231" s="67">
        <v>217</v>
      </c>
      <c r="G231" s="67"/>
      <c r="H231" s="67"/>
      <c r="I231" s="67"/>
      <c r="K231" s="67">
        <v>217</v>
      </c>
      <c r="L231" s="67"/>
    </row>
    <row r="232" spans="6:12" x14ac:dyDescent="0.15">
      <c r="F232" s="67">
        <v>218</v>
      </c>
      <c r="G232" s="67"/>
      <c r="H232" s="67"/>
      <c r="I232" s="67"/>
      <c r="K232" s="67">
        <v>218</v>
      </c>
      <c r="L232" s="67"/>
    </row>
    <row r="233" spans="6:12" x14ac:dyDescent="0.15">
      <c r="F233" s="67">
        <v>219</v>
      </c>
      <c r="G233" s="67"/>
      <c r="H233" s="67"/>
      <c r="I233" s="67"/>
      <c r="K233" s="67">
        <v>219</v>
      </c>
      <c r="L233" s="67"/>
    </row>
    <row r="234" spans="6:12" x14ac:dyDescent="0.15">
      <c r="F234" s="67">
        <v>220</v>
      </c>
      <c r="G234" s="67"/>
      <c r="H234" s="67"/>
      <c r="I234" s="67"/>
      <c r="K234" s="67">
        <v>220</v>
      </c>
      <c r="L234" s="67"/>
    </row>
    <row r="235" spans="6:12" x14ac:dyDescent="0.15">
      <c r="F235" s="67">
        <v>221</v>
      </c>
      <c r="G235" s="67"/>
      <c r="H235" s="67"/>
      <c r="I235" s="67"/>
      <c r="K235" s="67">
        <v>221</v>
      </c>
      <c r="L235" s="67"/>
    </row>
    <row r="236" spans="6:12" x14ac:dyDescent="0.15">
      <c r="F236" s="67">
        <v>222</v>
      </c>
      <c r="G236" s="67"/>
      <c r="H236" s="67"/>
      <c r="I236" s="67"/>
      <c r="K236" s="67">
        <v>222</v>
      </c>
      <c r="L236" s="67"/>
    </row>
    <row r="237" spans="6:12" x14ac:dyDescent="0.15">
      <c r="F237" s="67">
        <v>223</v>
      </c>
      <c r="G237" s="67"/>
      <c r="H237" s="67"/>
      <c r="I237" s="67"/>
      <c r="K237" s="67">
        <v>223</v>
      </c>
      <c r="L237" s="67"/>
    </row>
    <row r="238" spans="6:12" x14ac:dyDescent="0.15">
      <c r="F238" s="67">
        <v>224</v>
      </c>
      <c r="G238" s="67"/>
      <c r="H238" s="67"/>
      <c r="I238" s="67"/>
      <c r="K238" s="67">
        <v>224</v>
      </c>
      <c r="L238" s="67"/>
    </row>
    <row r="239" spans="6:12" x14ac:dyDescent="0.15">
      <c r="F239" s="67">
        <v>225</v>
      </c>
      <c r="G239" s="67"/>
      <c r="H239" s="67"/>
      <c r="I239" s="67"/>
      <c r="K239" s="67">
        <v>225</v>
      </c>
      <c r="L239" s="67"/>
    </row>
    <row r="240" spans="6:12" x14ac:dyDescent="0.15">
      <c r="F240" s="67">
        <v>226</v>
      </c>
      <c r="G240" s="67"/>
      <c r="H240" s="67"/>
      <c r="I240" s="67"/>
      <c r="K240" s="67">
        <v>226</v>
      </c>
      <c r="L240" s="67"/>
    </row>
    <row r="241" spans="6:12" x14ac:dyDescent="0.15">
      <c r="F241" s="67">
        <v>227</v>
      </c>
      <c r="G241" s="67"/>
      <c r="H241" s="67"/>
      <c r="I241" s="67"/>
      <c r="K241" s="67">
        <v>227</v>
      </c>
      <c r="L241" s="67"/>
    </row>
    <row r="242" spans="6:12" x14ac:dyDescent="0.15">
      <c r="F242" s="67">
        <v>228</v>
      </c>
      <c r="G242" s="67"/>
      <c r="H242" s="67"/>
      <c r="I242" s="67"/>
      <c r="K242" s="67">
        <v>228</v>
      </c>
      <c r="L242" s="67"/>
    </row>
    <row r="243" spans="6:12" x14ac:dyDescent="0.15">
      <c r="F243" s="67">
        <v>229</v>
      </c>
      <c r="G243" s="67"/>
      <c r="H243" s="67"/>
      <c r="I243" s="67"/>
      <c r="K243" s="67">
        <v>229</v>
      </c>
      <c r="L243" s="67"/>
    </row>
    <row r="244" spans="6:12" x14ac:dyDescent="0.15">
      <c r="F244" s="67">
        <v>230</v>
      </c>
      <c r="G244" s="67"/>
      <c r="H244" s="67"/>
      <c r="I244" s="67"/>
      <c r="K244" s="67">
        <v>230</v>
      </c>
      <c r="L244" s="67"/>
    </row>
    <row r="245" spans="6:12" x14ac:dyDescent="0.15">
      <c r="F245" s="67">
        <v>231</v>
      </c>
      <c r="G245" s="67"/>
      <c r="H245" s="67"/>
      <c r="I245" s="67"/>
      <c r="K245" s="67">
        <v>231</v>
      </c>
      <c r="L245" s="67"/>
    </row>
    <row r="246" spans="6:12" x14ac:dyDescent="0.15">
      <c r="F246" s="67">
        <v>232</v>
      </c>
      <c r="G246" s="67"/>
      <c r="H246" s="67"/>
      <c r="I246" s="67"/>
      <c r="K246" s="67">
        <v>232</v>
      </c>
      <c r="L246" s="67"/>
    </row>
    <row r="247" spans="6:12" x14ac:dyDescent="0.15">
      <c r="F247" s="67">
        <v>233</v>
      </c>
      <c r="G247" s="67"/>
      <c r="H247" s="67"/>
      <c r="I247" s="67"/>
      <c r="K247" s="67">
        <v>233</v>
      </c>
      <c r="L247" s="67"/>
    </row>
    <row r="248" spans="6:12" x14ac:dyDescent="0.15">
      <c r="F248" s="67">
        <v>234</v>
      </c>
      <c r="G248" s="67"/>
      <c r="H248" s="67"/>
      <c r="I248" s="67"/>
      <c r="K248" s="67">
        <v>234</v>
      </c>
      <c r="L248" s="67"/>
    </row>
    <row r="249" spans="6:12" x14ac:dyDescent="0.15">
      <c r="F249" s="67">
        <v>235</v>
      </c>
      <c r="G249" s="67"/>
      <c r="H249" s="67"/>
      <c r="I249" s="67"/>
      <c r="K249" s="67">
        <v>235</v>
      </c>
      <c r="L249" s="67"/>
    </row>
    <row r="250" spans="6:12" x14ac:dyDescent="0.15">
      <c r="F250" s="67">
        <v>236</v>
      </c>
      <c r="G250" s="67"/>
      <c r="H250" s="67"/>
      <c r="I250" s="67"/>
      <c r="K250" s="67">
        <v>236</v>
      </c>
      <c r="L250" s="67"/>
    </row>
    <row r="251" spans="6:12" x14ac:dyDescent="0.15">
      <c r="F251" s="67">
        <v>237</v>
      </c>
      <c r="G251" s="67"/>
      <c r="H251" s="67"/>
      <c r="I251" s="67"/>
      <c r="K251" s="67">
        <v>237</v>
      </c>
      <c r="L251" s="67"/>
    </row>
    <row r="252" spans="6:12" x14ac:dyDescent="0.15">
      <c r="F252" s="67">
        <v>238</v>
      </c>
      <c r="G252" s="67"/>
      <c r="H252" s="67"/>
      <c r="I252" s="67"/>
      <c r="K252" s="67">
        <v>238</v>
      </c>
      <c r="L252" s="67"/>
    </row>
    <row r="253" spans="6:12" x14ac:dyDescent="0.15">
      <c r="F253" s="67">
        <v>239</v>
      </c>
      <c r="G253" s="67"/>
      <c r="H253" s="67"/>
      <c r="I253" s="67"/>
      <c r="K253" s="67">
        <v>239</v>
      </c>
      <c r="L253" s="67"/>
    </row>
    <row r="254" spans="6:12" x14ac:dyDescent="0.15">
      <c r="F254" s="67">
        <v>240</v>
      </c>
      <c r="G254" s="67"/>
      <c r="H254" s="67"/>
      <c r="I254" s="67"/>
      <c r="K254" s="67">
        <v>240</v>
      </c>
      <c r="L254" s="67"/>
    </row>
    <row r="255" spans="6:12" x14ac:dyDescent="0.15">
      <c r="F255" s="67">
        <v>241</v>
      </c>
      <c r="G255" s="67"/>
      <c r="H255" s="67"/>
      <c r="I255" s="67"/>
      <c r="K255" s="67">
        <v>241</v>
      </c>
      <c r="L255" s="67"/>
    </row>
    <row r="256" spans="6:12" x14ac:dyDescent="0.15">
      <c r="F256" s="67">
        <v>242</v>
      </c>
      <c r="G256" s="67"/>
      <c r="H256" s="67"/>
      <c r="I256" s="67"/>
      <c r="K256" s="67">
        <v>242</v>
      </c>
      <c r="L256" s="67"/>
    </row>
    <row r="257" spans="6:12" x14ac:dyDescent="0.15">
      <c r="F257" s="67">
        <v>243</v>
      </c>
      <c r="G257" s="67"/>
      <c r="H257" s="67"/>
      <c r="I257" s="67"/>
      <c r="K257" s="67">
        <v>243</v>
      </c>
      <c r="L257" s="67"/>
    </row>
    <row r="258" spans="6:12" x14ac:dyDescent="0.15">
      <c r="F258" s="67">
        <v>244</v>
      </c>
      <c r="G258" s="67"/>
      <c r="H258" s="67"/>
      <c r="I258" s="67"/>
      <c r="K258" s="67">
        <v>244</v>
      </c>
      <c r="L258" s="67"/>
    </row>
    <row r="259" spans="6:12" x14ac:dyDescent="0.15">
      <c r="F259" s="67">
        <v>245</v>
      </c>
      <c r="G259" s="67"/>
      <c r="H259" s="67"/>
      <c r="I259" s="67"/>
      <c r="K259" s="67">
        <v>245</v>
      </c>
      <c r="L259" s="67"/>
    </row>
    <row r="260" spans="6:12" x14ac:dyDescent="0.15">
      <c r="F260" s="67">
        <v>246</v>
      </c>
      <c r="G260" s="67"/>
      <c r="H260" s="67"/>
      <c r="I260" s="67"/>
      <c r="K260" s="67">
        <v>246</v>
      </c>
      <c r="L260" s="67"/>
    </row>
    <row r="261" spans="6:12" x14ac:dyDescent="0.15">
      <c r="F261" s="67">
        <v>247</v>
      </c>
      <c r="G261" s="67"/>
      <c r="H261" s="67"/>
      <c r="I261" s="67"/>
      <c r="K261" s="67">
        <v>247</v>
      </c>
      <c r="L261" s="67"/>
    </row>
    <row r="262" spans="6:12" x14ac:dyDescent="0.15">
      <c r="F262" s="67">
        <v>248</v>
      </c>
      <c r="G262" s="67"/>
      <c r="H262" s="67"/>
      <c r="I262" s="67"/>
      <c r="K262" s="67">
        <v>248</v>
      </c>
      <c r="L262" s="67"/>
    </row>
    <row r="263" spans="6:12" x14ac:dyDescent="0.15">
      <c r="F263" s="67">
        <v>249</v>
      </c>
      <c r="G263" s="67"/>
      <c r="H263" s="67"/>
      <c r="I263" s="67"/>
      <c r="K263" s="67">
        <v>249</v>
      </c>
      <c r="L263" s="67"/>
    </row>
    <row r="264" spans="6:12" x14ac:dyDescent="0.15">
      <c r="F264" s="67">
        <v>250</v>
      </c>
      <c r="G264" s="67"/>
      <c r="H264" s="67"/>
      <c r="I264" s="67"/>
      <c r="K264" s="67">
        <v>250</v>
      </c>
      <c r="L264" s="67"/>
    </row>
    <row r="265" spans="6:12" x14ac:dyDescent="0.15">
      <c r="F265" s="67">
        <v>251</v>
      </c>
      <c r="G265" s="67"/>
      <c r="H265" s="67"/>
      <c r="I265" s="67"/>
      <c r="K265" s="67">
        <v>251</v>
      </c>
      <c r="L265" s="67"/>
    </row>
    <row r="266" spans="6:12" x14ac:dyDescent="0.15">
      <c r="F266" s="67">
        <v>252</v>
      </c>
      <c r="G266" s="67"/>
      <c r="H266" s="67"/>
      <c r="I266" s="67"/>
      <c r="K266" s="67">
        <v>252</v>
      </c>
      <c r="L266" s="67"/>
    </row>
    <row r="267" spans="6:12" x14ac:dyDescent="0.15">
      <c r="F267" s="67">
        <v>253</v>
      </c>
      <c r="G267" s="67"/>
      <c r="H267" s="67"/>
      <c r="I267" s="67"/>
      <c r="K267" s="67">
        <v>253</v>
      </c>
      <c r="L267" s="67"/>
    </row>
    <row r="268" spans="6:12" x14ac:dyDescent="0.15">
      <c r="F268" s="67">
        <v>254</v>
      </c>
      <c r="G268" s="67"/>
      <c r="H268" s="67"/>
      <c r="I268" s="67"/>
      <c r="K268" s="67">
        <v>254</v>
      </c>
      <c r="L268" s="67"/>
    </row>
    <row r="269" spans="6:12" x14ac:dyDescent="0.15">
      <c r="F269" s="67">
        <v>255</v>
      </c>
      <c r="G269" s="67"/>
      <c r="H269" s="67"/>
      <c r="I269" s="67"/>
      <c r="K269" s="67">
        <v>255</v>
      </c>
      <c r="L269" s="67"/>
    </row>
    <row r="270" spans="6:12" x14ac:dyDescent="0.15">
      <c r="F270" s="67">
        <v>256</v>
      </c>
      <c r="G270" s="67"/>
      <c r="H270" s="67"/>
      <c r="I270" s="67"/>
      <c r="K270" s="67">
        <v>256</v>
      </c>
      <c r="L270" s="67"/>
    </row>
    <row r="271" spans="6:12" x14ac:dyDescent="0.15">
      <c r="F271" s="67">
        <v>257</v>
      </c>
      <c r="G271" s="67"/>
      <c r="H271" s="67"/>
      <c r="I271" s="67"/>
      <c r="K271" s="67">
        <v>257</v>
      </c>
      <c r="L271" s="67"/>
    </row>
    <row r="272" spans="6:12" x14ac:dyDescent="0.15">
      <c r="F272" s="67">
        <v>258</v>
      </c>
      <c r="G272" s="67"/>
      <c r="H272" s="67"/>
      <c r="I272" s="67"/>
      <c r="K272" s="67">
        <v>258</v>
      </c>
      <c r="L272" s="67"/>
    </row>
    <row r="273" spans="6:12" x14ac:dyDescent="0.15">
      <c r="F273" s="67">
        <v>259</v>
      </c>
      <c r="G273" s="67"/>
      <c r="H273" s="67"/>
      <c r="I273" s="67"/>
      <c r="K273" s="67">
        <v>259</v>
      </c>
      <c r="L273" s="67"/>
    </row>
    <row r="274" spans="6:12" x14ac:dyDescent="0.15">
      <c r="F274" s="67">
        <v>260</v>
      </c>
      <c r="G274" s="67"/>
      <c r="H274" s="67"/>
      <c r="I274" s="67"/>
      <c r="K274" s="67">
        <v>260</v>
      </c>
      <c r="L274" s="67"/>
    </row>
    <row r="275" spans="6:12" x14ac:dyDescent="0.15">
      <c r="F275" s="67">
        <v>261</v>
      </c>
      <c r="G275" s="67"/>
      <c r="H275" s="67"/>
      <c r="I275" s="67"/>
      <c r="K275" s="67">
        <v>261</v>
      </c>
      <c r="L275" s="67"/>
    </row>
    <row r="276" spans="6:12" x14ac:dyDescent="0.15">
      <c r="F276" s="67">
        <v>262</v>
      </c>
      <c r="G276" s="67"/>
      <c r="H276" s="67"/>
      <c r="I276" s="67"/>
      <c r="K276" s="67">
        <v>262</v>
      </c>
      <c r="L276" s="67"/>
    </row>
    <row r="277" spans="6:12" x14ac:dyDescent="0.15">
      <c r="F277" s="67">
        <v>263</v>
      </c>
      <c r="G277" s="67"/>
      <c r="H277" s="67"/>
      <c r="I277" s="67"/>
      <c r="K277" s="67">
        <v>263</v>
      </c>
      <c r="L277" s="67"/>
    </row>
    <row r="278" spans="6:12" x14ac:dyDescent="0.15">
      <c r="F278" s="67">
        <v>264</v>
      </c>
      <c r="G278" s="67"/>
      <c r="H278" s="67"/>
      <c r="I278" s="67"/>
      <c r="K278" s="67">
        <v>264</v>
      </c>
      <c r="L278" s="67"/>
    </row>
    <row r="279" spans="6:12" x14ac:dyDescent="0.15">
      <c r="F279" s="67">
        <v>265</v>
      </c>
      <c r="G279" s="67"/>
      <c r="H279" s="67"/>
      <c r="I279" s="67"/>
      <c r="K279" s="67">
        <v>265</v>
      </c>
      <c r="L279" s="67"/>
    </row>
    <row r="280" spans="6:12" x14ac:dyDescent="0.15">
      <c r="F280" s="67">
        <v>266</v>
      </c>
      <c r="G280" s="67"/>
      <c r="H280" s="67"/>
      <c r="I280" s="67"/>
      <c r="K280" s="67">
        <v>266</v>
      </c>
      <c r="L280" s="67"/>
    </row>
    <row r="281" spans="6:12" x14ac:dyDescent="0.15">
      <c r="F281" s="67">
        <v>267</v>
      </c>
      <c r="G281" s="67"/>
      <c r="H281" s="67"/>
      <c r="I281" s="67"/>
      <c r="K281" s="67">
        <v>267</v>
      </c>
      <c r="L281" s="67"/>
    </row>
    <row r="282" spans="6:12" x14ac:dyDescent="0.15">
      <c r="F282" s="67">
        <v>268</v>
      </c>
      <c r="G282" s="67"/>
      <c r="H282" s="67"/>
      <c r="I282" s="67"/>
      <c r="K282" s="67">
        <v>268</v>
      </c>
      <c r="L282" s="67"/>
    </row>
    <row r="283" spans="6:12" x14ac:dyDescent="0.15">
      <c r="F283" s="67">
        <v>269</v>
      </c>
      <c r="G283" s="67"/>
      <c r="H283" s="67"/>
      <c r="I283" s="67"/>
      <c r="K283" s="67">
        <v>269</v>
      </c>
      <c r="L283" s="67"/>
    </row>
    <row r="284" spans="6:12" x14ac:dyDescent="0.15">
      <c r="F284" s="67">
        <v>270</v>
      </c>
      <c r="G284" s="67"/>
      <c r="H284" s="67"/>
      <c r="I284" s="67"/>
      <c r="K284" s="67">
        <v>270</v>
      </c>
      <c r="L284" s="67"/>
    </row>
    <row r="285" spans="6:12" x14ac:dyDescent="0.15">
      <c r="F285" s="67">
        <v>271</v>
      </c>
      <c r="G285" s="67"/>
      <c r="H285" s="67"/>
      <c r="I285" s="67"/>
      <c r="K285" s="67">
        <v>271</v>
      </c>
      <c r="L285" s="67"/>
    </row>
    <row r="286" spans="6:12" x14ac:dyDescent="0.15">
      <c r="F286" s="67">
        <v>272</v>
      </c>
      <c r="G286" s="67"/>
      <c r="H286" s="67"/>
      <c r="I286" s="67"/>
      <c r="K286" s="67">
        <v>272</v>
      </c>
      <c r="L286" s="67"/>
    </row>
    <row r="287" spans="6:12" x14ac:dyDescent="0.15">
      <c r="F287" s="67">
        <v>273</v>
      </c>
      <c r="G287" s="67"/>
      <c r="H287" s="67"/>
      <c r="I287" s="67"/>
      <c r="K287" s="67">
        <v>273</v>
      </c>
      <c r="L287" s="67"/>
    </row>
    <row r="288" spans="6:12" x14ac:dyDescent="0.15">
      <c r="F288" s="67">
        <v>274</v>
      </c>
      <c r="G288" s="67"/>
      <c r="H288" s="67"/>
      <c r="I288" s="67"/>
      <c r="K288" s="67">
        <v>274</v>
      </c>
      <c r="L288" s="67"/>
    </row>
    <row r="289" spans="6:12" x14ac:dyDescent="0.15">
      <c r="F289" s="67">
        <v>275</v>
      </c>
      <c r="G289" s="67"/>
      <c r="H289" s="67"/>
      <c r="I289" s="67"/>
      <c r="K289" s="67">
        <v>275</v>
      </c>
      <c r="L289" s="67"/>
    </row>
    <row r="290" spans="6:12" x14ac:dyDescent="0.15">
      <c r="F290" s="67">
        <v>276</v>
      </c>
      <c r="G290" s="67"/>
      <c r="H290" s="67"/>
      <c r="I290" s="67"/>
      <c r="K290" s="67">
        <v>276</v>
      </c>
      <c r="L290" s="67"/>
    </row>
    <row r="291" spans="6:12" x14ac:dyDescent="0.15">
      <c r="F291" s="67">
        <v>277</v>
      </c>
      <c r="G291" s="67"/>
      <c r="H291" s="67"/>
      <c r="I291" s="67"/>
      <c r="K291" s="67">
        <v>277</v>
      </c>
      <c r="L291" s="67"/>
    </row>
    <row r="292" spans="6:12" x14ac:dyDescent="0.15">
      <c r="F292" s="67">
        <v>278</v>
      </c>
      <c r="G292" s="67"/>
      <c r="H292" s="67"/>
      <c r="I292" s="67"/>
      <c r="K292" s="67">
        <v>278</v>
      </c>
      <c r="L292" s="67"/>
    </row>
    <row r="293" spans="6:12" x14ac:dyDescent="0.15">
      <c r="F293" s="67">
        <v>279</v>
      </c>
      <c r="G293" s="67"/>
      <c r="H293" s="67"/>
      <c r="I293" s="67"/>
      <c r="K293" s="67">
        <v>279</v>
      </c>
      <c r="L293" s="67"/>
    </row>
    <row r="294" spans="6:12" x14ac:dyDescent="0.15">
      <c r="F294" s="67">
        <v>280</v>
      </c>
      <c r="G294" s="67"/>
      <c r="H294" s="67"/>
      <c r="I294" s="67"/>
      <c r="K294" s="67">
        <v>280</v>
      </c>
      <c r="L294" s="67"/>
    </row>
    <row r="295" spans="6:12" x14ac:dyDescent="0.15">
      <c r="F295" s="67">
        <v>281</v>
      </c>
      <c r="G295" s="67"/>
      <c r="H295" s="67"/>
      <c r="I295" s="67"/>
      <c r="K295" s="67">
        <v>281</v>
      </c>
      <c r="L295" s="67"/>
    </row>
    <row r="296" spans="6:12" x14ac:dyDescent="0.15">
      <c r="F296" s="67">
        <v>282</v>
      </c>
      <c r="G296" s="67"/>
      <c r="H296" s="67"/>
      <c r="I296" s="67"/>
      <c r="K296" s="67">
        <v>282</v>
      </c>
      <c r="L296" s="67"/>
    </row>
    <row r="297" spans="6:12" x14ac:dyDescent="0.15">
      <c r="F297" s="67">
        <v>283</v>
      </c>
      <c r="G297" s="67"/>
      <c r="H297" s="67"/>
      <c r="I297" s="67"/>
      <c r="K297" s="67">
        <v>283</v>
      </c>
      <c r="L297" s="67"/>
    </row>
    <row r="298" spans="6:12" x14ac:dyDescent="0.15">
      <c r="F298" s="67">
        <v>284</v>
      </c>
      <c r="G298" s="67"/>
      <c r="H298" s="67"/>
      <c r="I298" s="67"/>
      <c r="K298" s="67">
        <v>284</v>
      </c>
      <c r="L298" s="67"/>
    </row>
    <row r="299" spans="6:12" x14ac:dyDescent="0.15">
      <c r="F299" s="67">
        <v>285</v>
      </c>
      <c r="G299" s="67"/>
      <c r="H299" s="67"/>
      <c r="I299" s="67"/>
      <c r="K299" s="67">
        <v>285</v>
      </c>
      <c r="L299" s="67"/>
    </row>
    <row r="300" spans="6:12" x14ac:dyDescent="0.15">
      <c r="F300" s="67">
        <v>286</v>
      </c>
      <c r="G300" s="67"/>
      <c r="H300" s="67"/>
      <c r="I300" s="67"/>
      <c r="K300" s="67">
        <v>286</v>
      </c>
      <c r="L300" s="67"/>
    </row>
    <row r="301" spans="6:12" x14ac:dyDescent="0.15">
      <c r="F301" s="67">
        <v>287</v>
      </c>
      <c r="G301" s="67"/>
      <c r="H301" s="67"/>
      <c r="I301" s="67"/>
      <c r="K301" s="67">
        <v>287</v>
      </c>
      <c r="L301" s="67"/>
    </row>
    <row r="302" spans="6:12" x14ac:dyDescent="0.15">
      <c r="F302" s="67">
        <v>288</v>
      </c>
      <c r="G302" s="67"/>
      <c r="H302" s="67"/>
      <c r="I302" s="67"/>
      <c r="K302" s="67">
        <v>288</v>
      </c>
      <c r="L302" s="67"/>
    </row>
    <row r="303" spans="6:12" x14ac:dyDescent="0.15">
      <c r="F303" s="67">
        <v>289</v>
      </c>
      <c r="G303" s="67"/>
      <c r="H303" s="67"/>
      <c r="I303" s="67"/>
      <c r="K303" s="67">
        <v>289</v>
      </c>
      <c r="L303" s="67"/>
    </row>
    <row r="304" spans="6:12" x14ac:dyDescent="0.15">
      <c r="F304" s="67">
        <v>290</v>
      </c>
      <c r="G304" s="67"/>
      <c r="H304" s="67"/>
      <c r="I304" s="67"/>
      <c r="K304" s="67">
        <v>290</v>
      </c>
      <c r="L304" s="67"/>
    </row>
    <row r="305" spans="6:12" x14ac:dyDescent="0.15">
      <c r="F305" s="67">
        <v>291</v>
      </c>
      <c r="G305" s="67"/>
      <c r="H305" s="67"/>
      <c r="I305" s="67"/>
      <c r="K305" s="67">
        <v>291</v>
      </c>
      <c r="L305" s="67"/>
    </row>
    <row r="306" spans="6:12" x14ac:dyDescent="0.15">
      <c r="F306" s="67">
        <v>292</v>
      </c>
      <c r="G306" s="67"/>
      <c r="H306" s="67"/>
      <c r="I306" s="67"/>
      <c r="K306" s="67">
        <v>292</v>
      </c>
      <c r="L306" s="67"/>
    </row>
    <row r="307" spans="6:12" x14ac:dyDescent="0.15">
      <c r="F307" s="67">
        <v>293</v>
      </c>
      <c r="G307" s="67"/>
      <c r="H307" s="67"/>
      <c r="I307" s="67"/>
      <c r="K307" s="67">
        <v>293</v>
      </c>
      <c r="L307" s="67"/>
    </row>
    <row r="308" spans="6:12" x14ac:dyDescent="0.15">
      <c r="F308" s="67">
        <v>294</v>
      </c>
      <c r="G308" s="67"/>
      <c r="H308" s="67"/>
      <c r="I308" s="67"/>
      <c r="K308" s="67">
        <v>294</v>
      </c>
      <c r="L308" s="67"/>
    </row>
    <row r="309" spans="6:12" x14ac:dyDescent="0.15">
      <c r="F309" s="67">
        <v>295</v>
      </c>
      <c r="G309" s="67"/>
      <c r="H309" s="67"/>
      <c r="I309" s="67"/>
      <c r="K309" s="67">
        <v>295</v>
      </c>
      <c r="L309" s="67"/>
    </row>
    <row r="310" spans="6:12" x14ac:dyDescent="0.15">
      <c r="F310" s="67">
        <v>296</v>
      </c>
      <c r="G310" s="67"/>
      <c r="H310" s="67"/>
      <c r="I310" s="67"/>
      <c r="K310" s="67">
        <v>296</v>
      </c>
      <c r="L310" s="67"/>
    </row>
    <row r="311" spans="6:12" x14ac:dyDescent="0.15">
      <c r="F311" s="67">
        <v>297</v>
      </c>
      <c r="G311" s="67"/>
      <c r="H311" s="67"/>
      <c r="I311" s="67"/>
      <c r="K311" s="67">
        <v>297</v>
      </c>
      <c r="L311" s="67"/>
    </row>
    <row r="312" spans="6:12" x14ac:dyDescent="0.15">
      <c r="F312" s="67">
        <v>298</v>
      </c>
      <c r="G312" s="67"/>
      <c r="H312" s="67"/>
      <c r="I312" s="67"/>
      <c r="K312" s="67">
        <v>298</v>
      </c>
      <c r="L312" s="67"/>
    </row>
    <row r="313" spans="6:12" x14ac:dyDescent="0.15">
      <c r="F313" s="67">
        <v>299</v>
      </c>
      <c r="G313" s="67"/>
      <c r="H313" s="67"/>
      <c r="I313" s="67"/>
      <c r="K313" s="67">
        <v>299</v>
      </c>
      <c r="L313" s="67"/>
    </row>
    <row r="314" spans="6:12" x14ac:dyDescent="0.15">
      <c r="F314" s="67">
        <v>300</v>
      </c>
      <c r="G314" s="67"/>
      <c r="H314" s="67"/>
      <c r="I314" s="67"/>
      <c r="K314" s="67">
        <v>300</v>
      </c>
      <c r="L314" s="67"/>
    </row>
    <row r="315" spans="6:12" x14ac:dyDescent="0.15">
      <c r="F315" s="67">
        <v>301</v>
      </c>
      <c r="G315" s="67"/>
      <c r="H315" s="67"/>
      <c r="I315" s="67"/>
      <c r="K315" s="67">
        <v>301</v>
      </c>
      <c r="L315" s="67"/>
    </row>
    <row r="316" spans="6:12" x14ac:dyDescent="0.15">
      <c r="F316" s="67">
        <v>302</v>
      </c>
      <c r="G316" s="67"/>
      <c r="H316" s="67"/>
      <c r="I316" s="67"/>
      <c r="K316" s="67">
        <v>302</v>
      </c>
      <c r="L316" s="67"/>
    </row>
    <row r="317" spans="6:12" x14ac:dyDescent="0.15">
      <c r="F317" s="67">
        <v>303</v>
      </c>
      <c r="G317" s="67"/>
      <c r="H317" s="67"/>
      <c r="I317" s="67"/>
      <c r="K317" s="67">
        <v>303</v>
      </c>
      <c r="L317" s="67"/>
    </row>
    <row r="318" spans="6:12" x14ac:dyDescent="0.15">
      <c r="F318" s="67">
        <v>304</v>
      </c>
      <c r="G318" s="67"/>
      <c r="H318" s="67"/>
      <c r="I318" s="67"/>
      <c r="K318" s="67">
        <v>304</v>
      </c>
      <c r="L318" s="67"/>
    </row>
    <row r="319" spans="6:12" x14ac:dyDescent="0.15">
      <c r="F319" s="67">
        <v>305</v>
      </c>
      <c r="G319" s="67"/>
      <c r="H319" s="67"/>
      <c r="I319" s="67"/>
      <c r="K319" s="67">
        <v>305</v>
      </c>
      <c r="L319" s="67"/>
    </row>
    <row r="320" spans="6:12" x14ac:dyDescent="0.15">
      <c r="F320" s="67">
        <v>306</v>
      </c>
      <c r="G320" s="67"/>
      <c r="H320" s="67"/>
      <c r="I320" s="67"/>
      <c r="K320" s="67">
        <v>306</v>
      </c>
      <c r="L320" s="67"/>
    </row>
    <row r="321" spans="6:12" x14ac:dyDescent="0.15">
      <c r="F321" s="67">
        <v>307</v>
      </c>
      <c r="G321" s="67"/>
      <c r="H321" s="67"/>
      <c r="I321" s="67"/>
      <c r="K321" s="67">
        <v>307</v>
      </c>
      <c r="L321" s="67"/>
    </row>
    <row r="322" spans="6:12" x14ac:dyDescent="0.15">
      <c r="F322" s="67">
        <v>308</v>
      </c>
      <c r="G322" s="67"/>
      <c r="H322" s="67"/>
      <c r="I322" s="67"/>
      <c r="K322" s="67">
        <v>308</v>
      </c>
      <c r="L322" s="67"/>
    </row>
    <row r="323" spans="6:12" x14ac:dyDescent="0.15">
      <c r="F323" s="67">
        <v>309</v>
      </c>
      <c r="G323" s="67"/>
      <c r="H323" s="67"/>
      <c r="I323" s="67"/>
      <c r="K323" s="67">
        <v>309</v>
      </c>
      <c r="L323" s="67"/>
    </row>
    <row r="324" spans="6:12" x14ac:dyDescent="0.15">
      <c r="F324" s="67">
        <v>310</v>
      </c>
      <c r="G324" s="67"/>
      <c r="H324" s="67"/>
      <c r="I324" s="67"/>
      <c r="K324" s="67">
        <v>310</v>
      </c>
      <c r="L324" s="67"/>
    </row>
    <row r="325" spans="6:12" x14ac:dyDescent="0.15">
      <c r="F325" s="67">
        <v>311</v>
      </c>
      <c r="G325" s="67"/>
      <c r="H325" s="67"/>
      <c r="I325" s="67"/>
      <c r="K325" s="67">
        <v>311</v>
      </c>
      <c r="L325" s="67"/>
    </row>
    <row r="326" spans="6:12" x14ac:dyDescent="0.15">
      <c r="F326" s="67">
        <v>312</v>
      </c>
      <c r="G326" s="67"/>
      <c r="H326" s="67"/>
      <c r="I326" s="67"/>
      <c r="K326" s="67">
        <v>312</v>
      </c>
      <c r="L326" s="67"/>
    </row>
    <row r="327" spans="6:12" x14ac:dyDescent="0.15">
      <c r="F327" s="67">
        <v>313</v>
      </c>
      <c r="G327" s="67"/>
      <c r="H327" s="67"/>
      <c r="I327" s="67"/>
      <c r="K327" s="67">
        <v>313</v>
      </c>
      <c r="L327" s="67"/>
    </row>
    <row r="328" spans="6:12" x14ac:dyDescent="0.15">
      <c r="F328" s="67">
        <v>314</v>
      </c>
      <c r="G328" s="67"/>
      <c r="H328" s="67"/>
      <c r="I328" s="67"/>
      <c r="K328" s="67">
        <v>314</v>
      </c>
      <c r="L328" s="67"/>
    </row>
    <row r="329" spans="6:12" x14ac:dyDescent="0.15">
      <c r="F329" s="67">
        <v>315</v>
      </c>
      <c r="G329" s="67"/>
      <c r="H329" s="67"/>
      <c r="I329" s="67"/>
      <c r="K329" s="67">
        <v>315</v>
      </c>
      <c r="L329" s="67"/>
    </row>
    <row r="330" spans="6:12" x14ac:dyDescent="0.15">
      <c r="F330" s="67">
        <v>316</v>
      </c>
      <c r="G330" s="67"/>
      <c r="H330" s="67"/>
      <c r="I330" s="67"/>
      <c r="K330" s="67">
        <v>316</v>
      </c>
      <c r="L330" s="67"/>
    </row>
    <row r="331" spans="6:12" x14ac:dyDescent="0.15">
      <c r="F331" s="67">
        <v>317</v>
      </c>
      <c r="G331" s="67"/>
      <c r="H331" s="67"/>
      <c r="I331" s="67"/>
      <c r="K331" s="67">
        <v>317</v>
      </c>
      <c r="L331" s="67"/>
    </row>
    <row r="332" spans="6:12" x14ac:dyDescent="0.15">
      <c r="F332" s="67">
        <v>318</v>
      </c>
      <c r="G332" s="67"/>
      <c r="H332" s="67"/>
      <c r="I332" s="67"/>
      <c r="K332" s="67">
        <v>318</v>
      </c>
      <c r="L332" s="67"/>
    </row>
    <row r="333" spans="6:12" x14ac:dyDescent="0.15">
      <c r="F333" s="67">
        <v>319</v>
      </c>
      <c r="G333" s="67"/>
      <c r="H333" s="67"/>
      <c r="I333" s="67"/>
      <c r="K333" s="67">
        <v>319</v>
      </c>
      <c r="L333" s="67"/>
    </row>
    <row r="334" spans="6:12" x14ac:dyDescent="0.15">
      <c r="F334" s="67">
        <v>320</v>
      </c>
      <c r="G334" s="67"/>
      <c r="H334" s="67"/>
      <c r="I334" s="67"/>
      <c r="K334" s="67">
        <v>320</v>
      </c>
      <c r="L334" s="67"/>
    </row>
    <row r="335" spans="6:12" x14ac:dyDescent="0.15">
      <c r="F335" s="67">
        <v>321</v>
      </c>
      <c r="G335" s="67"/>
      <c r="H335" s="67"/>
      <c r="I335" s="67"/>
      <c r="K335" s="67">
        <v>321</v>
      </c>
      <c r="L335" s="67"/>
    </row>
    <row r="336" spans="6:12" x14ac:dyDescent="0.15">
      <c r="F336" s="67">
        <v>322</v>
      </c>
      <c r="G336" s="67"/>
      <c r="H336" s="67"/>
      <c r="I336" s="67"/>
      <c r="K336" s="67">
        <v>322</v>
      </c>
      <c r="L336" s="67"/>
    </row>
    <row r="337" spans="6:12" x14ac:dyDescent="0.15">
      <c r="F337" s="67">
        <v>323</v>
      </c>
      <c r="G337" s="67"/>
      <c r="H337" s="67"/>
      <c r="I337" s="67"/>
      <c r="K337" s="67">
        <v>323</v>
      </c>
      <c r="L337" s="67"/>
    </row>
    <row r="338" spans="6:12" x14ac:dyDescent="0.15">
      <c r="F338" s="67">
        <v>324</v>
      </c>
      <c r="G338" s="67"/>
      <c r="H338" s="67"/>
      <c r="I338" s="67"/>
      <c r="K338" s="67">
        <v>324</v>
      </c>
      <c r="L338" s="67"/>
    </row>
    <row r="339" spans="6:12" x14ac:dyDescent="0.15">
      <c r="F339" s="67">
        <v>325</v>
      </c>
      <c r="G339" s="67"/>
      <c r="H339" s="67"/>
      <c r="I339" s="67"/>
      <c r="K339" s="67">
        <v>325</v>
      </c>
      <c r="L339" s="67"/>
    </row>
    <row r="340" spans="6:12" x14ac:dyDescent="0.15">
      <c r="F340" s="67">
        <v>326</v>
      </c>
      <c r="G340" s="67"/>
      <c r="H340" s="67"/>
      <c r="I340" s="67"/>
      <c r="K340" s="67">
        <v>326</v>
      </c>
      <c r="L340" s="67"/>
    </row>
    <row r="341" spans="6:12" x14ac:dyDescent="0.15">
      <c r="F341" s="67">
        <v>327</v>
      </c>
      <c r="G341" s="67"/>
      <c r="H341" s="67"/>
      <c r="I341" s="67"/>
      <c r="K341" s="67">
        <v>327</v>
      </c>
      <c r="L341" s="67"/>
    </row>
    <row r="342" spans="6:12" x14ac:dyDescent="0.15">
      <c r="F342" s="67">
        <v>328</v>
      </c>
      <c r="G342" s="67"/>
      <c r="H342" s="67"/>
      <c r="I342" s="67"/>
      <c r="K342" s="67">
        <v>328</v>
      </c>
      <c r="L342" s="67"/>
    </row>
    <row r="343" spans="6:12" x14ac:dyDescent="0.15">
      <c r="F343" s="67">
        <v>329</v>
      </c>
      <c r="G343" s="67"/>
      <c r="H343" s="67"/>
      <c r="I343" s="67"/>
      <c r="K343" s="67">
        <v>329</v>
      </c>
      <c r="L343" s="67"/>
    </row>
    <row r="344" spans="6:12" x14ac:dyDescent="0.15">
      <c r="F344" s="67">
        <v>330</v>
      </c>
      <c r="G344" s="67"/>
      <c r="H344" s="67"/>
      <c r="I344" s="67"/>
      <c r="K344" s="67">
        <v>330</v>
      </c>
      <c r="L344" s="67"/>
    </row>
    <row r="345" spans="6:12" x14ac:dyDescent="0.15">
      <c r="F345" s="67">
        <v>331</v>
      </c>
      <c r="G345" s="67"/>
      <c r="H345" s="67"/>
      <c r="I345" s="67"/>
      <c r="K345" s="67">
        <v>331</v>
      </c>
      <c r="L345" s="67"/>
    </row>
    <row r="346" spans="6:12" x14ac:dyDescent="0.15">
      <c r="F346" s="67">
        <v>332</v>
      </c>
      <c r="G346" s="67"/>
      <c r="H346" s="67"/>
      <c r="I346" s="67"/>
      <c r="K346" s="67">
        <v>332</v>
      </c>
      <c r="L346" s="67"/>
    </row>
    <row r="347" spans="6:12" x14ac:dyDescent="0.15">
      <c r="F347" s="67">
        <v>333</v>
      </c>
      <c r="G347" s="67"/>
      <c r="H347" s="67"/>
      <c r="I347" s="67"/>
      <c r="K347" s="67">
        <v>333</v>
      </c>
      <c r="L347" s="67"/>
    </row>
    <row r="348" spans="6:12" x14ac:dyDescent="0.15">
      <c r="F348" s="67">
        <v>334</v>
      </c>
      <c r="G348" s="67"/>
      <c r="H348" s="67"/>
      <c r="I348" s="67"/>
      <c r="K348" s="67">
        <v>334</v>
      </c>
      <c r="L348" s="67"/>
    </row>
    <row r="349" spans="6:12" x14ac:dyDescent="0.15">
      <c r="F349" s="67">
        <v>335</v>
      </c>
      <c r="G349" s="67"/>
      <c r="H349" s="67"/>
      <c r="I349" s="67"/>
      <c r="K349" s="67">
        <v>335</v>
      </c>
      <c r="L349" s="67"/>
    </row>
    <row r="350" spans="6:12" x14ac:dyDescent="0.15">
      <c r="F350" s="67">
        <v>336</v>
      </c>
      <c r="G350" s="67"/>
      <c r="H350" s="67"/>
      <c r="I350" s="67"/>
      <c r="K350" s="67">
        <v>336</v>
      </c>
      <c r="L350" s="67"/>
    </row>
    <row r="351" spans="6:12" x14ac:dyDescent="0.15">
      <c r="F351" s="67">
        <v>337</v>
      </c>
      <c r="G351" s="67"/>
      <c r="H351" s="67"/>
      <c r="I351" s="67"/>
      <c r="K351" s="67">
        <v>337</v>
      </c>
      <c r="L351" s="67"/>
    </row>
    <row r="352" spans="6:12" x14ac:dyDescent="0.15">
      <c r="F352" s="67">
        <v>338</v>
      </c>
      <c r="G352" s="67"/>
      <c r="H352" s="67"/>
      <c r="I352" s="67"/>
      <c r="K352" s="67">
        <v>338</v>
      </c>
      <c r="L352" s="67"/>
    </row>
    <row r="353" spans="6:12" x14ac:dyDescent="0.15">
      <c r="F353" s="67">
        <v>339</v>
      </c>
      <c r="G353" s="67"/>
      <c r="H353" s="67"/>
      <c r="I353" s="67"/>
      <c r="K353" s="67">
        <v>339</v>
      </c>
      <c r="L353" s="67"/>
    </row>
    <row r="354" spans="6:12" x14ac:dyDescent="0.15">
      <c r="F354" s="67">
        <v>340</v>
      </c>
      <c r="G354" s="67"/>
      <c r="H354" s="67"/>
      <c r="I354" s="67"/>
      <c r="K354" s="67">
        <v>340</v>
      </c>
      <c r="L354" s="67"/>
    </row>
    <row r="355" spans="6:12" x14ac:dyDescent="0.15">
      <c r="F355" s="67">
        <v>341</v>
      </c>
      <c r="G355" s="67"/>
      <c r="H355" s="67"/>
      <c r="I355" s="67"/>
      <c r="K355" s="67">
        <v>341</v>
      </c>
      <c r="L355" s="67"/>
    </row>
    <row r="356" spans="6:12" x14ac:dyDescent="0.15">
      <c r="F356" s="67">
        <v>342</v>
      </c>
      <c r="G356" s="67"/>
      <c r="H356" s="67"/>
      <c r="I356" s="67"/>
      <c r="K356" s="67">
        <v>342</v>
      </c>
      <c r="L356" s="67"/>
    </row>
    <row r="357" spans="6:12" x14ac:dyDescent="0.15">
      <c r="F357" s="67">
        <v>343</v>
      </c>
      <c r="G357" s="67"/>
      <c r="H357" s="67"/>
      <c r="I357" s="67"/>
      <c r="K357" s="67">
        <v>343</v>
      </c>
      <c r="L357" s="67"/>
    </row>
    <row r="358" spans="6:12" x14ac:dyDescent="0.15">
      <c r="F358" s="67">
        <v>344</v>
      </c>
      <c r="G358" s="67"/>
      <c r="H358" s="67"/>
      <c r="I358" s="67"/>
      <c r="K358" s="67">
        <v>344</v>
      </c>
      <c r="L358" s="67"/>
    </row>
    <row r="359" spans="6:12" x14ac:dyDescent="0.15">
      <c r="F359" s="67">
        <v>345</v>
      </c>
      <c r="G359" s="67"/>
      <c r="H359" s="67"/>
      <c r="I359" s="67"/>
      <c r="K359" s="67">
        <v>345</v>
      </c>
      <c r="L359" s="67"/>
    </row>
    <row r="360" spans="6:12" x14ac:dyDescent="0.15">
      <c r="F360" s="67">
        <v>346</v>
      </c>
      <c r="G360" s="67"/>
      <c r="H360" s="67"/>
      <c r="I360" s="67"/>
      <c r="K360" s="67">
        <v>346</v>
      </c>
      <c r="L360" s="67"/>
    </row>
    <row r="361" spans="6:12" x14ac:dyDescent="0.15">
      <c r="F361" s="67">
        <v>347</v>
      </c>
      <c r="G361" s="67"/>
      <c r="H361" s="67"/>
      <c r="I361" s="67"/>
      <c r="K361" s="67">
        <v>347</v>
      </c>
      <c r="L361" s="67"/>
    </row>
    <row r="362" spans="6:12" x14ac:dyDescent="0.15">
      <c r="F362" s="67">
        <v>348</v>
      </c>
      <c r="G362" s="67"/>
      <c r="H362" s="67"/>
      <c r="I362" s="67"/>
      <c r="K362" s="67">
        <v>348</v>
      </c>
      <c r="L362" s="67"/>
    </row>
    <row r="363" spans="6:12" x14ac:dyDescent="0.15">
      <c r="F363" s="67">
        <v>349</v>
      </c>
      <c r="G363" s="67"/>
      <c r="H363" s="67"/>
      <c r="I363" s="67"/>
      <c r="K363" s="67">
        <v>349</v>
      </c>
      <c r="L363" s="67"/>
    </row>
    <row r="364" spans="6:12" x14ac:dyDescent="0.15">
      <c r="F364" s="67">
        <v>350</v>
      </c>
      <c r="G364" s="67"/>
      <c r="H364" s="67"/>
      <c r="I364" s="67"/>
      <c r="K364" s="67">
        <v>350</v>
      </c>
      <c r="L364" s="67"/>
    </row>
    <row r="365" spans="6:12" x14ac:dyDescent="0.15">
      <c r="F365" s="67">
        <v>351</v>
      </c>
      <c r="G365" s="67"/>
      <c r="H365" s="67"/>
      <c r="I365" s="67"/>
      <c r="K365" s="67">
        <v>351</v>
      </c>
      <c r="L365" s="67"/>
    </row>
    <row r="366" spans="6:12" x14ac:dyDescent="0.15">
      <c r="F366" s="67">
        <v>352</v>
      </c>
      <c r="G366" s="67"/>
      <c r="H366" s="67"/>
      <c r="I366" s="67"/>
      <c r="K366" s="67">
        <v>352</v>
      </c>
      <c r="L366" s="67"/>
    </row>
    <row r="367" spans="6:12" x14ac:dyDescent="0.15">
      <c r="F367" s="67">
        <v>353</v>
      </c>
      <c r="G367" s="67"/>
      <c r="H367" s="67"/>
      <c r="I367" s="67"/>
      <c r="K367" s="67">
        <v>353</v>
      </c>
      <c r="L367" s="67"/>
    </row>
    <row r="368" spans="6:12" x14ac:dyDescent="0.15">
      <c r="F368" s="67">
        <v>354</v>
      </c>
      <c r="G368" s="67"/>
      <c r="H368" s="67"/>
      <c r="I368" s="67"/>
      <c r="K368" s="67">
        <v>354</v>
      </c>
      <c r="L368" s="67"/>
    </row>
    <row r="369" spans="6:12" x14ac:dyDescent="0.15">
      <c r="F369" s="67">
        <v>355</v>
      </c>
      <c r="G369" s="67"/>
      <c r="H369" s="67"/>
      <c r="I369" s="67"/>
      <c r="K369" s="67">
        <v>355</v>
      </c>
      <c r="L369" s="67"/>
    </row>
    <row r="370" spans="6:12" x14ac:dyDescent="0.15">
      <c r="F370" s="67">
        <v>356</v>
      </c>
      <c r="G370" s="67"/>
      <c r="H370" s="67"/>
      <c r="I370" s="67"/>
      <c r="K370" s="67">
        <v>356</v>
      </c>
      <c r="L370" s="67"/>
    </row>
    <row r="371" spans="6:12" x14ac:dyDescent="0.15">
      <c r="F371" s="67">
        <v>357</v>
      </c>
      <c r="G371" s="67"/>
      <c r="H371" s="67"/>
      <c r="I371" s="67"/>
      <c r="K371" s="67">
        <v>357</v>
      </c>
      <c r="L371" s="67"/>
    </row>
    <row r="372" spans="6:12" x14ac:dyDescent="0.15">
      <c r="F372" s="67">
        <v>358</v>
      </c>
      <c r="G372" s="67"/>
      <c r="H372" s="67"/>
      <c r="I372" s="67"/>
      <c r="K372" s="67">
        <v>358</v>
      </c>
      <c r="L372" s="67"/>
    </row>
    <row r="373" spans="6:12" x14ac:dyDescent="0.15">
      <c r="F373" s="67">
        <v>359</v>
      </c>
      <c r="G373" s="67"/>
      <c r="H373" s="67"/>
      <c r="I373" s="67"/>
      <c r="K373" s="67">
        <v>359</v>
      </c>
      <c r="L373" s="67"/>
    </row>
    <row r="374" spans="6:12" x14ac:dyDescent="0.15">
      <c r="F374" s="67">
        <v>360</v>
      </c>
      <c r="G374" s="67"/>
      <c r="H374" s="67"/>
      <c r="I374" s="67"/>
      <c r="K374" s="67">
        <v>360</v>
      </c>
      <c r="L374" s="67"/>
    </row>
    <row r="375" spans="6:12" x14ac:dyDescent="0.15">
      <c r="F375" s="67">
        <v>361</v>
      </c>
      <c r="G375" s="67"/>
      <c r="H375" s="67"/>
      <c r="I375" s="67"/>
      <c r="K375" s="67">
        <v>361</v>
      </c>
      <c r="L375" s="67"/>
    </row>
    <row r="376" spans="6:12" x14ac:dyDescent="0.15">
      <c r="F376" s="67">
        <v>362</v>
      </c>
      <c r="G376" s="67"/>
      <c r="H376" s="67"/>
      <c r="I376" s="67"/>
      <c r="K376" s="67">
        <v>362</v>
      </c>
      <c r="L376" s="67"/>
    </row>
    <row r="377" spans="6:12" x14ac:dyDescent="0.15">
      <c r="F377" s="67">
        <v>363</v>
      </c>
      <c r="G377" s="67"/>
      <c r="H377" s="67"/>
      <c r="I377" s="67"/>
      <c r="K377" s="67">
        <v>363</v>
      </c>
      <c r="L377" s="67"/>
    </row>
    <row r="378" spans="6:12" x14ac:dyDescent="0.15">
      <c r="F378" s="67">
        <v>364</v>
      </c>
      <c r="G378" s="67"/>
      <c r="H378" s="67"/>
      <c r="I378" s="67"/>
      <c r="K378" s="67">
        <v>364</v>
      </c>
      <c r="L378" s="67"/>
    </row>
    <row r="379" spans="6:12" x14ac:dyDescent="0.15">
      <c r="F379" s="67">
        <v>365</v>
      </c>
      <c r="G379" s="67"/>
      <c r="H379" s="67"/>
      <c r="I379" s="67"/>
      <c r="K379" s="67">
        <v>365</v>
      </c>
      <c r="L379" s="67"/>
    </row>
    <row r="380" spans="6:12" x14ac:dyDescent="0.15">
      <c r="F380" s="67">
        <v>366</v>
      </c>
      <c r="G380" s="67"/>
      <c r="H380" s="67"/>
      <c r="I380" s="67"/>
      <c r="K380" s="67">
        <v>366</v>
      </c>
      <c r="L380" s="67"/>
    </row>
    <row r="381" spans="6:12" x14ac:dyDescent="0.15">
      <c r="F381" s="67">
        <v>367</v>
      </c>
      <c r="G381" s="67"/>
      <c r="H381" s="67"/>
      <c r="I381" s="67"/>
      <c r="K381" s="67">
        <v>367</v>
      </c>
      <c r="L381" s="67"/>
    </row>
    <row r="382" spans="6:12" x14ac:dyDescent="0.15">
      <c r="F382" s="67">
        <v>368</v>
      </c>
      <c r="G382" s="67"/>
      <c r="H382" s="67"/>
      <c r="I382" s="67"/>
      <c r="K382" s="67">
        <v>368</v>
      </c>
      <c r="L382" s="67"/>
    </row>
    <row r="383" spans="6:12" x14ac:dyDescent="0.15">
      <c r="F383" s="67">
        <v>369</v>
      </c>
      <c r="G383" s="67"/>
      <c r="H383" s="67"/>
      <c r="I383" s="67"/>
      <c r="K383" s="67">
        <v>369</v>
      </c>
      <c r="L383" s="67"/>
    </row>
    <row r="384" spans="6:12" x14ac:dyDescent="0.15">
      <c r="F384" s="67">
        <v>370</v>
      </c>
      <c r="G384" s="67"/>
      <c r="H384" s="67"/>
      <c r="I384" s="67"/>
      <c r="K384" s="67">
        <v>370</v>
      </c>
      <c r="L384" s="67"/>
    </row>
    <row r="385" spans="6:12" x14ac:dyDescent="0.15">
      <c r="F385" s="67">
        <v>371</v>
      </c>
      <c r="G385" s="67"/>
      <c r="H385" s="67"/>
      <c r="I385" s="67"/>
      <c r="K385" s="67">
        <v>371</v>
      </c>
      <c r="L385" s="67"/>
    </row>
    <row r="386" spans="6:12" x14ac:dyDescent="0.15">
      <c r="F386" s="67">
        <v>372</v>
      </c>
      <c r="G386" s="67"/>
      <c r="H386" s="67"/>
      <c r="I386" s="67"/>
      <c r="K386" s="67">
        <v>372</v>
      </c>
      <c r="L386" s="67"/>
    </row>
    <row r="387" spans="6:12" x14ac:dyDescent="0.15">
      <c r="F387" s="67">
        <v>373</v>
      </c>
      <c r="G387" s="67"/>
      <c r="H387" s="67"/>
      <c r="I387" s="67"/>
      <c r="K387" s="67">
        <v>373</v>
      </c>
      <c r="L387" s="67"/>
    </row>
    <row r="388" spans="6:12" x14ac:dyDescent="0.15">
      <c r="F388" s="67">
        <v>374</v>
      </c>
      <c r="G388" s="67"/>
      <c r="H388" s="67"/>
      <c r="I388" s="67"/>
      <c r="K388" s="67">
        <v>374</v>
      </c>
      <c r="L388" s="67"/>
    </row>
    <row r="389" spans="6:12" x14ac:dyDescent="0.15">
      <c r="F389" s="67">
        <v>375</v>
      </c>
      <c r="G389" s="67"/>
      <c r="H389" s="67"/>
      <c r="I389" s="67"/>
      <c r="K389" s="67">
        <v>375</v>
      </c>
      <c r="L389" s="67"/>
    </row>
    <row r="390" spans="6:12" x14ac:dyDescent="0.15">
      <c r="F390" s="67">
        <v>376</v>
      </c>
      <c r="G390" s="67"/>
      <c r="H390" s="67"/>
      <c r="I390" s="67"/>
      <c r="K390" s="67">
        <v>376</v>
      </c>
      <c r="L390" s="67"/>
    </row>
    <row r="391" spans="6:12" x14ac:dyDescent="0.15">
      <c r="F391" s="67">
        <v>377</v>
      </c>
      <c r="G391" s="67"/>
      <c r="H391" s="67"/>
      <c r="I391" s="67"/>
      <c r="K391" s="67">
        <v>377</v>
      </c>
      <c r="L391" s="67"/>
    </row>
    <row r="392" spans="6:12" x14ac:dyDescent="0.15">
      <c r="F392" s="67">
        <v>378</v>
      </c>
      <c r="G392" s="67"/>
      <c r="H392" s="67"/>
      <c r="I392" s="67"/>
      <c r="K392" s="67">
        <v>378</v>
      </c>
      <c r="L392" s="67"/>
    </row>
    <row r="393" spans="6:12" x14ac:dyDescent="0.15">
      <c r="F393" s="67">
        <v>379</v>
      </c>
      <c r="G393" s="67"/>
      <c r="H393" s="67"/>
      <c r="I393" s="67"/>
      <c r="K393" s="67">
        <v>379</v>
      </c>
      <c r="L393" s="67"/>
    </row>
    <row r="394" spans="6:12" x14ac:dyDescent="0.15">
      <c r="F394" s="67">
        <v>380</v>
      </c>
      <c r="G394" s="67"/>
      <c r="H394" s="67"/>
      <c r="I394" s="67"/>
      <c r="K394" s="67">
        <v>380</v>
      </c>
      <c r="L394" s="67"/>
    </row>
    <row r="395" spans="6:12" x14ac:dyDescent="0.15">
      <c r="F395" s="67">
        <v>381</v>
      </c>
      <c r="G395" s="67"/>
      <c r="H395" s="67"/>
      <c r="I395" s="67"/>
      <c r="K395" s="67">
        <v>381</v>
      </c>
      <c r="L395" s="67"/>
    </row>
    <row r="396" spans="6:12" x14ac:dyDescent="0.15">
      <c r="F396" s="67">
        <v>382</v>
      </c>
      <c r="G396" s="67"/>
      <c r="H396" s="67"/>
      <c r="I396" s="67"/>
      <c r="K396" s="67">
        <v>382</v>
      </c>
      <c r="L396" s="67"/>
    </row>
    <row r="397" spans="6:12" x14ac:dyDescent="0.15">
      <c r="F397" s="67">
        <v>383</v>
      </c>
      <c r="G397" s="67"/>
      <c r="H397" s="67"/>
      <c r="I397" s="67"/>
      <c r="K397" s="67">
        <v>383</v>
      </c>
      <c r="L397" s="67"/>
    </row>
    <row r="398" spans="6:12" x14ac:dyDescent="0.15">
      <c r="F398" s="67">
        <v>384</v>
      </c>
      <c r="G398" s="67"/>
      <c r="H398" s="67"/>
      <c r="I398" s="67"/>
      <c r="K398" s="67">
        <v>384</v>
      </c>
      <c r="L398" s="67"/>
    </row>
    <row r="399" spans="6:12" x14ac:dyDescent="0.15">
      <c r="F399" s="67">
        <v>385</v>
      </c>
      <c r="G399" s="67"/>
      <c r="H399" s="67"/>
      <c r="I399" s="67"/>
      <c r="K399" s="67">
        <v>385</v>
      </c>
      <c r="L399" s="67"/>
    </row>
    <row r="400" spans="6:12" x14ac:dyDescent="0.15">
      <c r="F400" s="67">
        <v>386</v>
      </c>
      <c r="G400" s="67"/>
      <c r="H400" s="67"/>
      <c r="I400" s="67"/>
      <c r="K400" s="67">
        <v>386</v>
      </c>
      <c r="L400" s="67"/>
    </row>
    <row r="401" spans="6:12" x14ac:dyDescent="0.15">
      <c r="F401" s="67">
        <v>387</v>
      </c>
      <c r="G401" s="67"/>
      <c r="H401" s="67"/>
      <c r="I401" s="67"/>
      <c r="K401" s="67">
        <v>387</v>
      </c>
      <c r="L401" s="67"/>
    </row>
    <row r="402" spans="6:12" x14ac:dyDescent="0.15">
      <c r="F402" s="67">
        <v>388</v>
      </c>
      <c r="G402" s="67"/>
      <c r="H402" s="67"/>
      <c r="I402" s="67"/>
      <c r="K402" s="67">
        <v>388</v>
      </c>
      <c r="L402" s="67"/>
    </row>
    <row r="403" spans="6:12" x14ac:dyDescent="0.15">
      <c r="F403" s="67">
        <v>389</v>
      </c>
      <c r="G403" s="67"/>
      <c r="H403" s="67"/>
      <c r="I403" s="67"/>
      <c r="K403" s="67">
        <v>389</v>
      </c>
      <c r="L403" s="67"/>
    </row>
    <row r="404" spans="6:12" x14ac:dyDescent="0.15">
      <c r="F404" s="67">
        <v>390</v>
      </c>
      <c r="G404" s="67"/>
      <c r="H404" s="67"/>
      <c r="I404" s="67"/>
      <c r="K404" s="67">
        <v>390</v>
      </c>
      <c r="L404" s="67"/>
    </row>
    <row r="405" spans="6:12" x14ac:dyDescent="0.15">
      <c r="F405" s="67">
        <v>391</v>
      </c>
      <c r="G405" s="67"/>
      <c r="H405" s="67"/>
      <c r="I405" s="67"/>
      <c r="K405" s="67">
        <v>391</v>
      </c>
      <c r="L405" s="67"/>
    </row>
    <row r="406" spans="6:12" x14ac:dyDescent="0.15">
      <c r="F406" s="67">
        <v>392</v>
      </c>
      <c r="G406" s="67"/>
      <c r="H406" s="67"/>
      <c r="I406" s="67"/>
      <c r="K406" s="67">
        <v>392</v>
      </c>
      <c r="L406" s="67"/>
    </row>
    <row r="407" spans="6:12" x14ac:dyDescent="0.15">
      <c r="F407" s="67">
        <v>393</v>
      </c>
      <c r="G407" s="67"/>
      <c r="H407" s="67"/>
      <c r="I407" s="67"/>
      <c r="K407" s="67">
        <v>393</v>
      </c>
      <c r="L407" s="67"/>
    </row>
    <row r="408" spans="6:12" x14ac:dyDescent="0.15">
      <c r="F408" s="67">
        <v>394</v>
      </c>
      <c r="G408" s="67"/>
      <c r="H408" s="67"/>
      <c r="I408" s="67"/>
      <c r="K408" s="67">
        <v>394</v>
      </c>
      <c r="L408" s="67"/>
    </row>
    <row r="409" spans="6:12" x14ac:dyDescent="0.15">
      <c r="F409" s="67">
        <v>395</v>
      </c>
      <c r="G409" s="67"/>
      <c r="H409" s="67"/>
      <c r="I409" s="67"/>
      <c r="K409" s="67">
        <v>395</v>
      </c>
      <c r="L409" s="67"/>
    </row>
    <row r="410" spans="6:12" x14ac:dyDescent="0.15">
      <c r="F410" s="67">
        <v>396</v>
      </c>
      <c r="G410" s="67"/>
      <c r="H410" s="67"/>
      <c r="I410" s="67"/>
      <c r="K410" s="67">
        <v>396</v>
      </c>
      <c r="L410" s="67"/>
    </row>
    <row r="411" spans="6:12" x14ac:dyDescent="0.15">
      <c r="F411" s="67">
        <v>397</v>
      </c>
      <c r="G411" s="67"/>
      <c r="H411" s="67"/>
      <c r="I411" s="67"/>
      <c r="K411" s="67">
        <v>397</v>
      </c>
      <c r="L411" s="67"/>
    </row>
    <row r="412" spans="6:12" x14ac:dyDescent="0.15">
      <c r="F412" s="67">
        <v>398</v>
      </c>
      <c r="G412" s="67"/>
      <c r="H412" s="67"/>
      <c r="I412" s="67"/>
      <c r="K412" s="67">
        <v>398</v>
      </c>
      <c r="L412" s="67"/>
    </row>
    <row r="413" spans="6:12" x14ac:dyDescent="0.15">
      <c r="F413" s="67">
        <v>399</v>
      </c>
      <c r="G413" s="67"/>
      <c r="H413" s="67"/>
      <c r="I413" s="67"/>
      <c r="K413" s="67">
        <v>399</v>
      </c>
      <c r="L413" s="67"/>
    </row>
    <row r="414" spans="6:12" x14ac:dyDescent="0.15">
      <c r="F414" s="67">
        <v>400</v>
      </c>
      <c r="G414" s="67"/>
      <c r="H414" s="67"/>
      <c r="I414" s="67"/>
      <c r="K414" s="67">
        <v>400</v>
      </c>
      <c r="L414" s="67"/>
    </row>
    <row r="415" spans="6:12" x14ac:dyDescent="0.15">
      <c r="F415" s="67">
        <v>401</v>
      </c>
      <c r="G415" s="67"/>
      <c r="H415" s="67"/>
      <c r="I415" s="67"/>
      <c r="K415" s="67">
        <v>401</v>
      </c>
      <c r="L415" s="67"/>
    </row>
    <row r="416" spans="6:12" x14ac:dyDescent="0.15">
      <c r="F416" s="67">
        <v>402</v>
      </c>
      <c r="G416" s="67"/>
      <c r="H416" s="67"/>
      <c r="I416" s="67"/>
      <c r="K416" s="67">
        <v>402</v>
      </c>
      <c r="L416" s="67"/>
    </row>
    <row r="417" spans="6:12" x14ac:dyDescent="0.15">
      <c r="F417" s="67">
        <v>403</v>
      </c>
      <c r="G417" s="67"/>
      <c r="H417" s="67"/>
      <c r="I417" s="67"/>
      <c r="K417" s="67">
        <v>403</v>
      </c>
      <c r="L417" s="67"/>
    </row>
    <row r="418" spans="6:12" x14ac:dyDescent="0.15">
      <c r="F418" s="67">
        <v>404</v>
      </c>
      <c r="G418" s="67"/>
      <c r="H418" s="67"/>
      <c r="I418" s="67"/>
      <c r="K418" s="67">
        <v>404</v>
      </c>
      <c r="L418" s="67"/>
    </row>
    <row r="419" spans="6:12" x14ac:dyDescent="0.15">
      <c r="F419" s="67">
        <v>405</v>
      </c>
      <c r="G419" s="67"/>
      <c r="H419" s="67"/>
      <c r="I419" s="67"/>
      <c r="K419" s="67">
        <v>405</v>
      </c>
      <c r="L419" s="67"/>
    </row>
    <row r="420" spans="6:12" x14ac:dyDescent="0.15">
      <c r="F420" s="67">
        <v>406</v>
      </c>
      <c r="G420" s="67"/>
      <c r="H420" s="67"/>
      <c r="I420" s="67"/>
      <c r="K420" s="67">
        <v>406</v>
      </c>
      <c r="L420" s="67"/>
    </row>
    <row r="421" spans="6:12" x14ac:dyDescent="0.15">
      <c r="F421" s="67">
        <v>407</v>
      </c>
      <c r="G421" s="67"/>
      <c r="H421" s="67"/>
      <c r="I421" s="67"/>
      <c r="K421" s="67">
        <v>407</v>
      </c>
      <c r="L421" s="67"/>
    </row>
    <row r="422" spans="6:12" x14ac:dyDescent="0.15">
      <c r="F422" s="67">
        <v>408</v>
      </c>
      <c r="G422" s="67"/>
      <c r="H422" s="67"/>
      <c r="I422" s="67"/>
      <c r="K422" s="67">
        <v>408</v>
      </c>
      <c r="L422" s="67"/>
    </row>
    <row r="423" spans="6:12" x14ac:dyDescent="0.15">
      <c r="F423" s="67">
        <v>409</v>
      </c>
      <c r="G423" s="67"/>
      <c r="H423" s="67"/>
      <c r="I423" s="67"/>
      <c r="K423" s="67">
        <v>409</v>
      </c>
      <c r="L423" s="67"/>
    </row>
    <row r="424" spans="6:12" x14ac:dyDescent="0.15">
      <c r="F424" s="67">
        <v>410</v>
      </c>
      <c r="G424" s="67"/>
      <c r="H424" s="67"/>
      <c r="I424" s="67"/>
      <c r="K424" s="67">
        <v>410</v>
      </c>
      <c r="L424" s="67"/>
    </row>
    <row r="425" spans="6:12" x14ac:dyDescent="0.15">
      <c r="F425" s="67">
        <v>411</v>
      </c>
      <c r="G425" s="67"/>
      <c r="H425" s="67"/>
      <c r="I425" s="67"/>
      <c r="K425" s="67">
        <v>411</v>
      </c>
      <c r="L425" s="67"/>
    </row>
    <row r="426" spans="6:12" x14ac:dyDescent="0.15">
      <c r="F426" s="67">
        <v>412</v>
      </c>
      <c r="G426" s="67"/>
      <c r="H426" s="67"/>
      <c r="I426" s="67"/>
      <c r="K426" s="67">
        <v>412</v>
      </c>
      <c r="L426" s="67"/>
    </row>
    <row r="427" spans="6:12" x14ac:dyDescent="0.15">
      <c r="F427" s="67">
        <v>413</v>
      </c>
      <c r="G427" s="67"/>
      <c r="H427" s="67"/>
      <c r="I427" s="67"/>
      <c r="K427" s="67">
        <v>413</v>
      </c>
      <c r="L427" s="67"/>
    </row>
    <row r="428" spans="6:12" x14ac:dyDescent="0.15">
      <c r="F428" s="67">
        <v>414</v>
      </c>
      <c r="G428" s="67"/>
      <c r="H428" s="67"/>
      <c r="I428" s="67"/>
      <c r="K428" s="67">
        <v>414</v>
      </c>
      <c r="L428" s="67"/>
    </row>
    <row r="429" spans="6:12" x14ac:dyDescent="0.15">
      <c r="F429" s="67">
        <v>415</v>
      </c>
      <c r="G429" s="67"/>
      <c r="H429" s="67"/>
      <c r="I429" s="67"/>
      <c r="K429" s="67">
        <v>415</v>
      </c>
      <c r="L429" s="67"/>
    </row>
    <row r="430" spans="6:12" x14ac:dyDescent="0.15">
      <c r="F430" s="67">
        <v>416</v>
      </c>
      <c r="G430" s="67"/>
      <c r="H430" s="67"/>
      <c r="I430" s="67"/>
      <c r="K430" s="67">
        <v>416</v>
      </c>
      <c r="L430" s="67"/>
    </row>
    <row r="431" spans="6:12" x14ac:dyDescent="0.15">
      <c r="F431" s="67">
        <v>417</v>
      </c>
      <c r="G431" s="67"/>
      <c r="H431" s="67"/>
      <c r="I431" s="67"/>
      <c r="K431" s="67">
        <v>417</v>
      </c>
      <c r="L431" s="67"/>
    </row>
    <row r="432" spans="6:12" x14ac:dyDescent="0.15">
      <c r="F432" s="67">
        <v>418</v>
      </c>
      <c r="G432" s="67"/>
      <c r="H432" s="67"/>
      <c r="I432" s="67"/>
      <c r="K432" s="67">
        <v>418</v>
      </c>
      <c r="L432" s="67"/>
    </row>
    <row r="433" spans="6:12" x14ac:dyDescent="0.15">
      <c r="F433" s="67">
        <v>419</v>
      </c>
      <c r="G433" s="67"/>
      <c r="H433" s="67"/>
      <c r="I433" s="67"/>
      <c r="K433" s="67">
        <v>419</v>
      </c>
      <c r="L433" s="67"/>
    </row>
    <row r="434" spans="6:12" x14ac:dyDescent="0.15">
      <c r="F434" s="67">
        <v>420</v>
      </c>
      <c r="G434" s="67"/>
      <c r="H434" s="67"/>
      <c r="I434" s="67"/>
      <c r="K434" s="67">
        <v>420</v>
      </c>
      <c r="L434" s="67"/>
    </row>
    <row r="435" spans="6:12" x14ac:dyDescent="0.15">
      <c r="F435" s="67">
        <v>421</v>
      </c>
      <c r="G435" s="67"/>
      <c r="H435" s="67"/>
      <c r="I435" s="67"/>
      <c r="K435" s="67">
        <v>421</v>
      </c>
      <c r="L435" s="67"/>
    </row>
    <row r="436" spans="6:12" x14ac:dyDescent="0.15">
      <c r="F436" s="67">
        <v>422</v>
      </c>
      <c r="G436" s="67"/>
      <c r="H436" s="67"/>
      <c r="I436" s="67"/>
      <c r="K436" s="67">
        <v>422</v>
      </c>
      <c r="L436" s="67"/>
    </row>
    <row r="437" spans="6:12" x14ac:dyDescent="0.15">
      <c r="F437" s="67">
        <v>423</v>
      </c>
      <c r="G437" s="67"/>
      <c r="H437" s="67"/>
      <c r="I437" s="67"/>
      <c r="K437" s="67">
        <v>423</v>
      </c>
      <c r="L437" s="67"/>
    </row>
    <row r="438" spans="6:12" x14ac:dyDescent="0.15">
      <c r="F438" s="67">
        <v>424</v>
      </c>
      <c r="G438" s="67"/>
      <c r="H438" s="67"/>
      <c r="I438" s="67"/>
      <c r="K438" s="67">
        <v>424</v>
      </c>
      <c r="L438" s="67"/>
    </row>
    <row r="439" spans="6:12" x14ac:dyDescent="0.15">
      <c r="F439" s="67">
        <v>425</v>
      </c>
      <c r="G439" s="67"/>
      <c r="H439" s="67"/>
      <c r="I439" s="67"/>
      <c r="K439" s="67">
        <v>425</v>
      </c>
      <c r="L439" s="67"/>
    </row>
    <row r="440" spans="6:12" x14ac:dyDescent="0.15">
      <c r="F440" s="67">
        <v>426</v>
      </c>
      <c r="G440" s="67"/>
      <c r="H440" s="67"/>
      <c r="I440" s="67"/>
      <c r="K440" s="67">
        <v>426</v>
      </c>
      <c r="L440" s="67"/>
    </row>
    <row r="441" spans="6:12" x14ac:dyDescent="0.15">
      <c r="F441" s="67">
        <v>427</v>
      </c>
      <c r="G441" s="67"/>
      <c r="H441" s="67"/>
      <c r="I441" s="67"/>
      <c r="K441" s="67">
        <v>427</v>
      </c>
      <c r="L441" s="67"/>
    </row>
    <row r="442" spans="6:12" x14ac:dyDescent="0.15">
      <c r="F442" s="67">
        <v>428</v>
      </c>
      <c r="G442" s="67"/>
      <c r="H442" s="67"/>
      <c r="I442" s="67"/>
      <c r="K442" s="67">
        <v>428</v>
      </c>
      <c r="L442" s="67"/>
    </row>
    <row r="443" spans="6:12" x14ac:dyDescent="0.15">
      <c r="F443" s="67">
        <v>429</v>
      </c>
      <c r="G443" s="67"/>
      <c r="H443" s="67"/>
      <c r="I443" s="67"/>
      <c r="K443" s="67">
        <v>429</v>
      </c>
      <c r="L443" s="67"/>
    </row>
    <row r="444" spans="6:12" x14ac:dyDescent="0.15">
      <c r="F444" s="67">
        <v>430</v>
      </c>
      <c r="G444" s="67"/>
      <c r="H444" s="67"/>
      <c r="I444" s="67"/>
      <c r="K444" s="67">
        <v>430</v>
      </c>
      <c r="L444" s="67"/>
    </row>
    <row r="445" spans="6:12" x14ac:dyDescent="0.15">
      <c r="F445" s="67">
        <v>431</v>
      </c>
      <c r="G445" s="67"/>
      <c r="H445" s="67"/>
      <c r="I445" s="67"/>
      <c r="K445" s="67">
        <v>431</v>
      </c>
      <c r="L445" s="67"/>
    </row>
    <row r="446" spans="6:12" x14ac:dyDescent="0.15">
      <c r="F446" s="67">
        <v>432</v>
      </c>
      <c r="G446" s="67"/>
      <c r="H446" s="67"/>
      <c r="I446" s="67"/>
      <c r="K446" s="67">
        <v>432</v>
      </c>
      <c r="L446" s="67"/>
    </row>
    <row r="447" spans="6:12" x14ac:dyDescent="0.15">
      <c r="F447" s="67">
        <v>433</v>
      </c>
      <c r="G447" s="67"/>
      <c r="H447" s="67"/>
      <c r="I447" s="67"/>
      <c r="K447" s="67">
        <v>433</v>
      </c>
      <c r="L447" s="67"/>
    </row>
    <row r="448" spans="6:12" x14ac:dyDescent="0.15">
      <c r="F448" s="67">
        <v>434</v>
      </c>
      <c r="G448" s="67"/>
      <c r="H448" s="67"/>
      <c r="I448" s="67"/>
      <c r="K448" s="67">
        <v>434</v>
      </c>
      <c r="L448" s="67"/>
    </row>
    <row r="449" spans="6:12" x14ac:dyDescent="0.15">
      <c r="F449" s="67">
        <v>435</v>
      </c>
      <c r="G449" s="67"/>
      <c r="H449" s="67"/>
      <c r="I449" s="67"/>
      <c r="K449" s="67">
        <v>435</v>
      </c>
      <c r="L449" s="67"/>
    </row>
    <row r="450" spans="6:12" x14ac:dyDescent="0.15">
      <c r="F450" s="67">
        <v>436</v>
      </c>
      <c r="G450" s="67"/>
      <c r="H450" s="67"/>
      <c r="I450" s="67"/>
      <c r="K450" s="67">
        <v>436</v>
      </c>
      <c r="L450" s="67"/>
    </row>
    <row r="451" spans="6:12" x14ac:dyDescent="0.15">
      <c r="F451" s="67">
        <v>437</v>
      </c>
      <c r="G451" s="67"/>
      <c r="H451" s="67"/>
      <c r="I451" s="67"/>
      <c r="K451" s="67">
        <v>437</v>
      </c>
      <c r="L451" s="67"/>
    </row>
    <row r="452" spans="6:12" x14ac:dyDescent="0.15">
      <c r="F452" s="67">
        <v>438</v>
      </c>
      <c r="G452" s="67"/>
      <c r="H452" s="67"/>
      <c r="I452" s="67"/>
      <c r="K452" s="67">
        <v>438</v>
      </c>
      <c r="L452" s="67"/>
    </row>
    <row r="453" spans="6:12" x14ac:dyDescent="0.15">
      <c r="F453" s="67">
        <v>439</v>
      </c>
      <c r="G453" s="67"/>
      <c r="H453" s="67"/>
      <c r="I453" s="67"/>
      <c r="K453" s="67">
        <v>439</v>
      </c>
      <c r="L453" s="67"/>
    </row>
    <row r="454" spans="6:12" x14ac:dyDescent="0.15">
      <c r="F454" s="67">
        <v>440</v>
      </c>
      <c r="G454" s="67"/>
      <c r="H454" s="67"/>
      <c r="I454" s="67"/>
      <c r="K454" s="67">
        <v>440</v>
      </c>
      <c r="L454" s="67"/>
    </row>
    <row r="455" spans="6:12" x14ac:dyDescent="0.15">
      <c r="F455" s="67">
        <v>441</v>
      </c>
      <c r="G455" s="67"/>
      <c r="H455" s="67"/>
      <c r="I455" s="67"/>
      <c r="K455" s="67">
        <v>441</v>
      </c>
      <c r="L455" s="67"/>
    </row>
    <row r="456" spans="6:12" x14ac:dyDescent="0.15">
      <c r="F456" s="67">
        <v>442</v>
      </c>
      <c r="G456" s="67"/>
      <c r="H456" s="67"/>
      <c r="I456" s="67"/>
      <c r="K456" s="67">
        <v>442</v>
      </c>
      <c r="L456" s="67"/>
    </row>
    <row r="457" spans="6:12" x14ac:dyDescent="0.15">
      <c r="F457" s="67">
        <v>443</v>
      </c>
      <c r="G457" s="67"/>
      <c r="H457" s="67"/>
      <c r="I457" s="67"/>
      <c r="K457" s="67">
        <v>443</v>
      </c>
      <c r="L457" s="67"/>
    </row>
    <row r="458" spans="6:12" x14ac:dyDescent="0.15">
      <c r="F458" s="67">
        <v>444</v>
      </c>
      <c r="G458" s="67"/>
      <c r="H458" s="67"/>
      <c r="I458" s="67"/>
      <c r="K458" s="67">
        <v>444</v>
      </c>
      <c r="L458" s="67"/>
    </row>
    <row r="459" spans="6:12" x14ac:dyDescent="0.15">
      <c r="F459" s="67">
        <v>445</v>
      </c>
      <c r="G459" s="67"/>
      <c r="H459" s="67"/>
      <c r="I459" s="67"/>
      <c r="K459" s="67">
        <v>445</v>
      </c>
      <c r="L459" s="67"/>
    </row>
    <row r="460" spans="6:12" x14ac:dyDescent="0.15">
      <c r="F460" s="67">
        <v>446</v>
      </c>
      <c r="G460" s="67"/>
      <c r="H460" s="67"/>
      <c r="I460" s="67"/>
      <c r="K460" s="67">
        <v>446</v>
      </c>
      <c r="L460" s="67"/>
    </row>
    <row r="461" spans="6:12" x14ac:dyDescent="0.15">
      <c r="F461" s="67">
        <v>447</v>
      </c>
      <c r="G461" s="67"/>
      <c r="H461" s="67"/>
      <c r="I461" s="67"/>
      <c r="K461" s="67">
        <v>447</v>
      </c>
      <c r="L461" s="67"/>
    </row>
    <row r="462" spans="6:12" x14ac:dyDescent="0.15">
      <c r="F462" s="67">
        <v>448</v>
      </c>
      <c r="G462" s="67"/>
      <c r="H462" s="67"/>
      <c r="I462" s="67"/>
      <c r="K462" s="67">
        <v>448</v>
      </c>
      <c r="L462" s="67"/>
    </row>
    <row r="463" spans="6:12" x14ac:dyDescent="0.15">
      <c r="F463" s="67">
        <v>449</v>
      </c>
      <c r="G463" s="67"/>
      <c r="H463" s="67"/>
      <c r="I463" s="67"/>
      <c r="K463" s="67">
        <v>449</v>
      </c>
      <c r="L463" s="67"/>
    </row>
    <row r="464" spans="6:12" x14ac:dyDescent="0.15">
      <c r="F464" s="67">
        <v>450</v>
      </c>
      <c r="G464" s="67"/>
      <c r="H464" s="67"/>
      <c r="I464" s="67"/>
      <c r="K464" s="67">
        <v>450</v>
      </c>
      <c r="L464" s="67"/>
    </row>
    <row r="465" spans="6:12" x14ac:dyDescent="0.15">
      <c r="F465" s="67">
        <v>451</v>
      </c>
      <c r="G465" s="67"/>
      <c r="H465" s="67"/>
      <c r="I465" s="67"/>
      <c r="K465" s="67">
        <v>451</v>
      </c>
      <c r="L465" s="67"/>
    </row>
    <row r="466" spans="6:12" x14ac:dyDescent="0.15">
      <c r="F466" s="67">
        <v>452</v>
      </c>
      <c r="G466" s="67"/>
      <c r="H466" s="67"/>
      <c r="I466" s="67"/>
      <c r="K466" s="67">
        <v>452</v>
      </c>
      <c r="L466" s="67"/>
    </row>
    <row r="467" spans="6:12" x14ac:dyDescent="0.15">
      <c r="F467" s="67">
        <v>453</v>
      </c>
      <c r="G467" s="67"/>
      <c r="H467" s="67"/>
      <c r="I467" s="67"/>
      <c r="K467" s="67">
        <v>453</v>
      </c>
      <c r="L467" s="67"/>
    </row>
    <row r="468" spans="6:12" x14ac:dyDescent="0.15">
      <c r="F468" s="67">
        <v>454</v>
      </c>
      <c r="G468" s="67"/>
      <c r="H468" s="67"/>
      <c r="I468" s="67"/>
      <c r="K468" s="67">
        <v>454</v>
      </c>
      <c r="L468" s="67"/>
    </row>
    <row r="469" spans="6:12" x14ac:dyDescent="0.15">
      <c r="F469" s="67">
        <v>455</v>
      </c>
      <c r="G469" s="67"/>
      <c r="H469" s="67"/>
      <c r="I469" s="67"/>
      <c r="K469" s="67">
        <v>455</v>
      </c>
      <c r="L469" s="67"/>
    </row>
    <row r="470" spans="6:12" x14ac:dyDescent="0.15">
      <c r="F470" s="67">
        <v>456</v>
      </c>
      <c r="G470" s="67"/>
      <c r="H470" s="67"/>
      <c r="I470" s="67"/>
      <c r="K470" s="67">
        <v>456</v>
      </c>
      <c r="L470" s="67"/>
    </row>
    <row r="471" spans="6:12" x14ac:dyDescent="0.15">
      <c r="F471" s="67">
        <v>457</v>
      </c>
      <c r="G471" s="67"/>
      <c r="H471" s="67"/>
      <c r="I471" s="67"/>
      <c r="K471" s="67">
        <v>457</v>
      </c>
      <c r="L471" s="67"/>
    </row>
    <row r="472" spans="6:12" x14ac:dyDescent="0.15">
      <c r="F472" s="67">
        <v>458</v>
      </c>
      <c r="G472" s="67"/>
      <c r="H472" s="67"/>
      <c r="I472" s="67"/>
      <c r="K472" s="67">
        <v>458</v>
      </c>
      <c r="L472" s="67"/>
    </row>
    <row r="473" spans="6:12" x14ac:dyDescent="0.15">
      <c r="F473" s="67">
        <v>459</v>
      </c>
      <c r="G473" s="67"/>
      <c r="H473" s="67"/>
      <c r="I473" s="67"/>
      <c r="K473" s="67">
        <v>459</v>
      </c>
      <c r="L473" s="67"/>
    </row>
    <row r="474" spans="6:12" x14ac:dyDescent="0.15">
      <c r="F474" s="67">
        <v>460</v>
      </c>
      <c r="G474" s="67"/>
      <c r="H474" s="67"/>
      <c r="I474" s="67"/>
      <c r="K474" s="67">
        <v>460</v>
      </c>
      <c r="L474" s="67"/>
    </row>
    <row r="475" spans="6:12" x14ac:dyDescent="0.15">
      <c r="F475" s="67">
        <v>461</v>
      </c>
      <c r="G475" s="67"/>
      <c r="H475" s="67"/>
      <c r="I475" s="67"/>
      <c r="K475" s="67">
        <v>461</v>
      </c>
      <c r="L475" s="67"/>
    </row>
    <row r="476" spans="6:12" x14ac:dyDescent="0.15">
      <c r="F476" s="67">
        <v>462</v>
      </c>
      <c r="G476" s="67"/>
      <c r="H476" s="67"/>
      <c r="I476" s="67"/>
      <c r="K476" s="67">
        <v>462</v>
      </c>
      <c r="L476" s="67"/>
    </row>
    <row r="477" spans="6:12" x14ac:dyDescent="0.15">
      <c r="F477" s="67">
        <v>463</v>
      </c>
      <c r="G477" s="67"/>
      <c r="H477" s="67"/>
      <c r="I477" s="67"/>
      <c r="K477" s="67">
        <v>463</v>
      </c>
      <c r="L477" s="67"/>
    </row>
    <row r="478" spans="6:12" x14ac:dyDescent="0.15">
      <c r="F478" s="67">
        <v>464</v>
      </c>
      <c r="G478" s="67"/>
      <c r="H478" s="67"/>
      <c r="I478" s="67"/>
      <c r="K478" s="67">
        <v>464</v>
      </c>
      <c r="L478" s="67"/>
    </row>
    <row r="479" spans="6:12" x14ac:dyDescent="0.15">
      <c r="F479" s="67">
        <v>465</v>
      </c>
      <c r="G479" s="67"/>
      <c r="H479" s="67"/>
      <c r="I479" s="67"/>
      <c r="K479" s="67">
        <v>465</v>
      </c>
      <c r="L479" s="67"/>
    </row>
    <row r="480" spans="6:12" x14ac:dyDescent="0.15">
      <c r="F480" s="67">
        <v>466</v>
      </c>
      <c r="G480" s="67"/>
      <c r="H480" s="67"/>
      <c r="I480" s="67"/>
      <c r="K480" s="67">
        <v>466</v>
      </c>
      <c r="L480" s="67"/>
    </row>
    <row r="481" spans="6:12" x14ac:dyDescent="0.15">
      <c r="F481" s="67">
        <v>467</v>
      </c>
      <c r="G481" s="67"/>
      <c r="H481" s="67"/>
      <c r="I481" s="67"/>
      <c r="K481" s="67">
        <v>467</v>
      </c>
      <c r="L481" s="67"/>
    </row>
    <row r="482" spans="6:12" x14ac:dyDescent="0.15">
      <c r="F482" s="67">
        <v>468</v>
      </c>
      <c r="G482" s="67"/>
      <c r="H482" s="67"/>
      <c r="I482" s="67"/>
      <c r="K482" s="67">
        <v>468</v>
      </c>
      <c r="L482" s="67"/>
    </row>
    <row r="483" spans="6:12" x14ac:dyDescent="0.15">
      <c r="F483" s="67">
        <v>469</v>
      </c>
      <c r="G483" s="67"/>
      <c r="H483" s="67"/>
      <c r="I483" s="67"/>
      <c r="K483" s="67">
        <v>469</v>
      </c>
      <c r="L483" s="67"/>
    </row>
    <row r="484" spans="6:12" x14ac:dyDescent="0.15">
      <c r="F484" s="67">
        <v>470</v>
      </c>
      <c r="G484" s="67"/>
      <c r="H484" s="67"/>
      <c r="I484" s="67"/>
      <c r="K484" s="67">
        <v>470</v>
      </c>
      <c r="L484" s="67"/>
    </row>
    <row r="485" spans="6:12" x14ac:dyDescent="0.15">
      <c r="F485" s="67">
        <v>471</v>
      </c>
      <c r="G485" s="67"/>
      <c r="H485" s="67"/>
      <c r="I485" s="67"/>
      <c r="K485" s="67">
        <v>471</v>
      </c>
      <c r="L485" s="67"/>
    </row>
    <row r="486" spans="6:12" x14ac:dyDescent="0.15">
      <c r="F486" s="67">
        <v>472</v>
      </c>
      <c r="G486" s="67"/>
      <c r="H486" s="67"/>
      <c r="I486" s="67"/>
      <c r="K486" s="67">
        <v>472</v>
      </c>
      <c r="L486" s="67"/>
    </row>
    <row r="487" spans="6:12" x14ac:dyDescent="0.15">
      <c r="F487" s="67">
        <v>473</v>
      </c>
      <c r="G487" s="67"/>
      <c r="H487" s="67"/>
      <c r="I487" s="67"/>
      <c r="K487" s="67">
        <v>473</v>
      </c>
      <c r="L487" s="67"/>
    </row>
    <row r="488" spans="6:12" x14ac:dyDescent="0.15">
      <c r="F488" s="67">
        <v>474</v>
      </c>
      <c r="G488" s="67"/>
      <c r="H488" s="67"/>
      <c r="I488" s="67"/>
      <c r="K488" s="67">
        <v>474</v>
      </c>
      <c r="L488" s="67"/>
    </row>
    <row r="489" spans="6:12" x14ac:dyDescent="0.15">
      <c r="F489" s="67">
        <v>475</v>
      </c>
      <c r="G489" s="67"/>
      <c r="H489" s="67"/>
      <c r="I489" s="67"/>
      <c r="K489" s="67">
        <v>475</v>
      </c>
      <c r="L489" s="67"/>
    </row>
    <row r="490" spans="6:12" x14ac:dyDescent="0.15">
      <c r="F490" s="67">
        <v>476</v>
      </c>
      <c r="G490" s="67"/>
      <c r="H490" s="67"/>
      <c r="I490" s="67"/>
      <c r="K490" s="67">
        <v>476</v>
      </c>
      <c r="L490" s="67"/>
    </row>
    <row r="491" spans="6:12" x14ac:dyDescent="0.15">
      <c r="F491" s="67">
        <v>477</v>
      </c>
      <c r="G491" s="67"/>
      <c r="H491" s="67"/>
      <c r="I491" s="67"/>
      <c r="K491" s="67">
        <v>477</v>
      </c>
      <c r="L491" s="67"/>
    </row>
    <row r="492" spans="6:12" x14ac:dyDescent="0.15">
      <c r="F492" s="67">
        <v>478</v>
      </c>
      <c r="G492" s="67"/>
      <c r="H492" s="67"/>
      <c r="I492" s="67"/>
      <c r="K492" s="67">
        <v>478</v>
      </c>
      <c r="L492" s="67"/>
    </row>
    <row r="493" spans="6:12" x14ac:dyDescent="0.15">
      <c r="F493" s="67">
        <v>479</v>
      </c>
      <c r="G493" s="67"/>
      <c r="H493" s="67"/>
      <c r="I493" s="67"/>
      <c r="K493" s="67">
        <v>479</v>
      </c>
      <c r="L493" s="67"/>
    </row>
    <row r="494" spans="6:12" x14ac:dyDescent="0.15">
      <c r="F494" s="67">
        <v>480</v>
      </c>
      <c r="G494" s="67"/>
      <c r="H494" s="67"/>
      <c r="I494" s="67"/>
      <c r="K494" s="67">
        <v>480</v>
      </c>
      <c r="L494" s="67"/>
    </row>
    <row r="495" spans="6:12" x14ac:dyDescent="0.15">
      <c r="F495" s="67">
        <v>481</v>
      </c>
      <c r="G495" s="67"/>
      <c r="H495" s="67"/>
      <c r="I495" s="67"/>
      <c r="K495" s="67">
        <v>481</v>
      </c>
      <c r="L495" s="67"/>
    </row>
    <row r="496" spans="6:12" x14ac:dyDescent="0.15">
      <c r="F496" s="67">
        <v>482</v>
      </c>
      <c r="G496" s="67"/>
      <c r="H496" s="67"/>
      <c r="I496" s="67"/>
      <c r="K496" s="67">
        <v>482</v>
      </c>
      <c r="L496" s="67"/>
    </row>
    <row r="497" spans="6:12" x14ac:dyDescent="0.15">
      <c r="F497" s="67">
        <v>483</v>
      </c>
      <c r="G497" s="67"/>
      <c r="H497" s="67"/>
      <c r="I497" s="67"/>
      <c r="K497" s="67">
        <v>483</v>
      </c>
      <c r="L497" s="67"/>
    </row>
    <row r="498" spans="6:12" x14ac:dyDescent="0.15">
      <c r="F498" s="67">
        <v>484</v>
      </c>
      <c r="G498" s="67"/>
      <c r="H498" s="67"/>
      <c r="I498" s="67"/>
      <c r="K498" s="67">
        <v>484</v>
      </c>
      <c r="L498" s="67"/>
    </row>
    <row r="499" spans="6:12" x14ac:dyDescent="0.15">
      <c r="F499" s="67">
        <v>485</v>
      </c>
      <c r="G499" s="67"/>
      <c r="H499" s="67"/>
      <c r="I499" s="67"/>
      <c r="K499" s="67">
        <v>485</v>
      </c>
      <c r="L499" s="67"/>
    </row>
    <row r="500" spans="6:12" x14ac:dyDescent="0.15">
      <c r="F500" s="67">
        <v>486</v>
      </c>
      <c r="G500" s="67"/>
      <c r="H500" s="67"/>
      <c r="I500" s="67"/>
      <c r="K500" s="67">
        <v>486</v>
      </c>
      <c r="L500" s="67"/>
    </row>
    <row r="501" spans="6:12" x14ac:dyDescent="0.15">
      <c r="F501" s="67">
        <v>487</v>
      </c>
      <c r="G501" s="67"/>
      <c r="H501" s="67"/>
      <c r="I501" s="67"/>
      <c r="K501" s="67">
        <v>487</v>
      </c>
      <c r="L501" s="67"/>
    </row>
    <row r="502" spans="6:12" x14ac:dyDescent="0.15">
      <c r="F502" s="67">
        <v>488</v>
      </c>
      <c r="G502" s="67"/>
      <c r="H502" s="67"/>
      <c r="I502" s="67"/>
      <c r="K502" s="67">
        <v>488</v>
      </c>
      <c r="L502" s="67"/>
    </row>
    <row r="503" spans="6:12" x14ac:dyDescent="0.15">
      <c r="F503" s="67">
        <v>489</v>
      </c>
      <c r="G503" s="67"/>
      <c r="H503" s="67"/>
      <c r="I503" s="67"/>
      <c r="K503" s="67">
        <v>489</v>
      </c>
      <c r="L503" s="67"/>
    </row>
    <row r="504" spans="6:12" x14ac:dyDescent="0.15">
      <c r="F504" s="67">
        <v>490</v>
      </c>
      <c r="G504" s="67"/>
      <c r="H504" s="67"/>
      <c r="I504" s="67"/>
      <c r="K504" s="67">
        <v>490</v>
      </c>
      <c r="L504" s="67"/>
    </row>
    <row r="505" spans="6:12" x14ac:dyDescent="0.15">
      <c r="F505" s="67">
        <v>491</v>
      </c>
      <c r="G505" s="67"/>
      <c r="H505" s="67"/>
      <c r="I505" s="67"/>
      <c r="K505" s="67">
        <v>491</v>
      </c>
      <c r="L505" s="67"/>
    </row>
    <row r="506" spans="6:12" x14ac:dyDescent="0.15">
      <c r="F506" s="67">
        <v>492</v>
      </c>
      <c r="G506" s="67"/>
      <c r="H506" s="67"/>
      <c r="I506" s="67"/>
      <c r="K506" s="67">
        <v>492</v>
      </c>
      <c r="L506" s="67"/>
    </row>
    <row r="507" spans="6:12" x14ac:dyDescent="0.15">
      <c r="F507" s="67">
        <v>493</v>
      </c>
      <c r="G507" s="67"/>
      <c r="H507" s="67"/>
      <c r="I507" s="67"/>
      <c r="K507" s="67">
        <v>493</v>
      </c>
      <c r="L507" s="67"/>
    </row>
    <row r="508" spans="6:12" x14ac:dyDescent="0.15">
      <c r="F508" s="67">
        <v>494</v>
      </c>
      <c r="G508" s="67"/>
      <c r="H508" s="67"/>
      <c r="I508" s="67"/>
      <c r="K508" s="67">
        <v>494</v>
      </c>
      <c r="L508" s="67"/>
    </row>
    <row r="509" spans="6:12" x14ac:dyDescent="0.15">
      <c r="F509" s="67">
        <v>495</v>
      </c>
      <c r="G509" s="67"/>
      <c r="H509" s="67"/>
      <c r="I509" s="67"/>
      <c r="K509" s="67">
        <v>495</v>
      </c>
      <c r="L509" s="67"/>
    </row>
    <row r="510" spans="6:12" x14ac:dyDescent="0.15">
      <c r="F510" s="67">
        <v>496</v>
      </c>
      <c r="G510" s="67"/>
      <c r="H510" s="67"/>
      <c r="I510" s="67"/>
      <c r="K510" s="67">
        <v>496</v>
      </c>
      <c r="L510" s="67"/>
    </row>
    <row r="511" spans="6:12" x14ac:dyDescent="0.15">
      <c r="F511" s="67">
        <v>497</v>
      </c>
      <c r="G511" s="67"/>
      <c r="H511" s="67"/>
      <c r="I511" s="67"/>
      <c r="K511" s="67">
        <v>497</v>
      </c>
      <c r="L511" s="67"/>
    </row>
    <row r="512" spans="6:12" x14ac:dyDescent="0.15">
      <c r="F512" s="67">
        <v>498</v>
      </c>
      <c r="G512" s="67"/>
      <c r="H512" s="67"/>
      <c r="I512" s="67"/>
      <c r="K512" s="67">
        <v>498</v>
      </c>
      <c r="L512" s="67"/>
    </row>
    <row r="513" spans="6:12" x14ac:dyDescent="0.15">
      <c r="F513" s="67">
        <v>499</v>
      </c>
      <c r="G513" s="67"/>
      <c r="H513" s="67"/>
      <c r="I513" s="67"/>
      <c r="K513" s="67">
        <v>499</v>
      </c>
      <c r="L513" s="67"/>
    </row>
    <row r="514" spans="6:12" x14ac:dyDescent="0.15">
      <c r="F514" s="67">
        <v>500</v>
      </c>
      <c r="G514" s="67"/>
      <c r="H514" s="67"/>
      <c r="I514" s="67"/>
      <c r="K514" s="67">
        <v>500</v>
      </c>
      <c r="L514" s="67"/>
    </row>
  </sheetData>
  <phoneticPr fontId="1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第1题答案</vt:lpstr>
      <vt:lpstr>第2题答案</vt:lpstr>
      <vt:lpstr>第3题答案</vt:lpstr>
      <vt:lpstr>第4题答案</vt:lpstr>
      <vt:lpstr>第5题答案</vt:lpstr>
      <vt:lpstr>第6题答案</vt:lpstr>
      <vt:lpstr>第7题答案</vt:lpstr>
      <vt:lpstr>第8题答案-方法2</vt:lpstr>
      <vt:lpstr>第8题答案-方法1</vt:lpstr>
      <vt:lpstr>第8题</vt:lpstr>
      <vt:lpstr>第8题-练习</vt:lpstr>
    </vt:vector>
  </TitlesOfParts>
  <Company>上海财经大学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CaoFeng</dc:creator>
  <cp:lastModifiedBy>C02</cp:lastModifiedBy>
  <dcterms:created xsi:type="dcterms:W3CDTF">2010-12-28T07:11:34Z</dcterms:created>
  <dcterms:modified xsi:type="dcterms:W3CDTF">2020-12-13T11:11:46Z</dcterms:modified>
</cp:coreProperties>
</file>