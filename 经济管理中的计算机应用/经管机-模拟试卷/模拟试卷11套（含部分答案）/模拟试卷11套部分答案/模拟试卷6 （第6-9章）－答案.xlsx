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trlProps/ctrlProp2.xml" ContentType="application/vnd.ms-excel.controlproperties+xml"/>
  <Override PartName="/xl/charts/chart2.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5" yWindow="4050" windowWidth="15330" windowHeight="4110" tabRatio="680" activeTab="6"/>
  </bookViews>
  <sheets>
    <sheet name="第1题答案" sheetId="4" r:id="rId1"/>
    <sheet name="第2题答案" sheetId="5" r:id="rId2"/>
    <sheet name="第3题答案" sheetId="6" r:id="rId3"/>
    <sheet name="第4题答案" sheetId="7" r:id="rId4"/>
    <sheet name="第5题答案" sheetId="8" r:id="rId5"/>
    <sheet name="第6题答案" sheetId="9" r:id="rId6"/>
    <sheet name="第7题答案" sheetId="10" r:id="rId7"/>
    <sheet name="第8题答案" sheetId="11" r:id="rId8"/>
  </sheets>
  <definedNames>
    <definedName name="solver_adj" localSheetId="3" hidden="1">第4题答案!$D$9:$F$11</definedName>
    <definedName name="solver_adj" localSheetId="4" hidden="1">第5题答案!$C$12:$E$12</definedName>
    <definedName name="solver_cvg" localSheetId="3" hidden="1">0.0001</definedName>
    <definedName name="solver_cvg" localSheetId="4" hidden="1">0.0001</definedName>
    <definedName name="solver_drv" localSheetId="3" hidden="1">1</definedName>
    <definedName name="solver_drv" localSheetId="4" hidden="1">1</definedName>
    <definedName name="solver_est" localSheetId="3" hidden="1">1</definedName>
    <definedName name="solver_est" localSheetId="4" hidden="1">1</definedName>
    <definedName name="solver_itr" localSheetId="3" hidden="1">100</definedName>
    <definedName name="solver_itr" localSheetId="4" hidden="1">100</definedName>
    <definedName name="solver_lhs1" localSheetId="3" hidden="1">第4题答案!$G$9:$G$11</definedName>
    <definedName name="solver_lhs1" localSheetId="4" hidden="1">第5题答案!$C$12:$E$12</definedName>
    <definedName name="solver_lhs2" localSheetId="3" hidden="1">第4题答案!$D$9:$F$11</definedName>
    <definedName name="solver_lhs2" localSheetId="4" hidden="1">第5题答案!$C$12:$E$12</definedName>
    <definedName name="solver_lhs3" localSheetId="3" hidden="1">第4题答案!$D$12:$F$12</definedName>
    <definedName name="solver_lhs3" localSheetId="4" hidden="1">第5题答案!$F$9:$F$10</definedName>
    <definedName name="solver_lhs4" localSheetId="4" hidden="1">第5题答案!$E$12</definedName>
    <definedName name="solver_lin" localSheetId="3" hidden="1">2</definedName>
    <definedName name="solver_lin" localSheetId="4" hidden="1">2</definedName>
    <definedName name="solver_neg" localSheetId="3" hidden="1">2</definedName>
    <definedName name="solver_neg" localSheetId="4" hidden="1">2</definedName>
    <definedName name="solver_num" localSheetId="3" hidden="1">3</definedName>
    <definedName name="solver_num" localSheetId="4" hidden="1">4</definedName>
    <definedName name="solver_nwt" localSheetId="3" hidden="1">1</definedName>
    <definedName name="solver_nwt" localSheetId="4" hidden="1">1</definedName>
    <definedName name="solver_opt" localSheetId="3" hidden="1">第4题答案!$G$13</definedName>
    <definedName name="solver_opt" localSheetId="4" hidden="1">第5题答案!$F$14</definedName>
    <definedName name="solver_pre" localSheetId="3" hidden="1">0.000001</definedName>
    <definedName name="solver_pre" localSheetId="4" hidden="1">0.000001</definedName>
    <definedName name="solver_rel1" localSheetId="3" hidden="1">2</definedName>
    <definedName name="solver_rel1" localSheetId="4" hidden="1">3</definedName>
    <definedName name="solver_rel2" localSheetId="3" hidden="1">5</definedName>
    <definedName name="solver_rel2" localSheetId="4" hidden="1">4</definedName>
    <definedName name="solver_rel3" localSheetId="3" hidden="1">2</definedName>
    <definedName name="solver_rel3" localSheetId="4" hidden="1">1</definedName>
    <definedName name="solver_rel4" localSheetId="4" hidden="1">3</definedName>
    <definedName name="solver_rhs1" localSheetId="3" hidden="1">1</definedName>
    <definedName name="solver_rhs1" localSheetId="4" hidden="1">0</definedName>
    <definedName name="solver_rhs2" localSheetId="3" hidden="1">二进制</definedName>
    <definedName name="solver_rhs2" localSheetId="4" hidden="1">整数</definedName>
    <definedName name="solver_rhs3" localSheetId="3" hidden="1">1</definedName>
    <definedName name="solver_rhs3" localSheetId="4" hidden="1">第5题答案!$G$9:$G$10</definedName>
    <definedName name="solver_rhs4" localSheetId="4" hidden="1">300</definedName>
    <definedName name="solver_scl" localSheetId="3" hidden="1">2</definedName>
    <definedName name="solver_scl" localSheetId="4" hidden="1">2</definedName>
    <definedName name="solver_sho" localSheetId="3" hidden="1">2</definedName>
    <definedName name="solver_sho" localSheetId="4" hidden="1">2</definedName>
    <definedName name="solver_tim" localSheetId="3" hidden="1">100</definedName>
    <definedName name="solver_tim" localSheetId="4" hidden="1">100</definedName>
    <definedName name="solver_tol" localSheetId="3" hidden="1">0.05</definedName>
    <definedName name="solver_tol" localSheetId="4" hidden="1">0.05</definedName>
    <definedName name="solver_typ" localSheetId="3" hidden="1">2</definedName>
    <definedName name="solver_typ" localSheetId="4" hidden="1">1</definedName>
    <definedName name="solver_val" localSheetId="3" hidden="1">0</definedName>
    <definedName name="solver_val" localSheetId="4" hidden="1">0</definedName>
  </definedNames>
  <calcPr calcId="145621" iterate="1" iterateCount="1000" calcOnSave="0"/>
</workbook>
</file>

<file path=xl/calcChain.xml><?xml version="1.0" encoding="utf-8"?>
<calcChain xmlns="http://schemas.openxmlformats.org/spreadsheetml/2006/main">
  <c r="M3" i="11" l="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H34" i="11"/>
  <c r="H33" i="11"/>
  <c r="H32" i="11"/>
  <c r="D3" i="11"/>
  <c r="D4" i="11" s="1"/>
  <c r="H31" i="11"/>
  <c r="H30" i="11"/>
  <c r="H29" i="11"/>
  <c r="H28" i="11"/>
  <c r="H27" i="11"/>
  <c r="H26" i="11"/>
  <c r="H25" i="11"/>
  <c r="H24" i="11"/>
  <c r="H23" i="11"/>
  <c r="H22" i="11"/>
  <c r="H21" i="11"/>
  <c r="H20" i="11"/>
  <c r="H19" i="11"/>
  <c r="H18" i="11"/>
  <c r="H17" i="11"/>
  <c r="H16" i="11"/>
  <c r="H15" i="11"/>
  <c r="H14" i="11"/>
  <c r="C14" i="11"/>
  <c r="H13" i="11"/>
  <c r="C13" i="11"/>
  <c r="H12" i="11"/>
  <c r="C12" i="11"/>
  <c r="H11" i="11"/>
  <c r="H10" i="11"/>
  <c r="H9" i="11"/>
  <c r="H8" i="11"/>
  <c r="H7" i="11"/>
  <c r="H6" i="11"/>
  <c r="H5" i="11"/>
  <c r="G29" i="11"/>
  <c r="I29" i="11" s="1"/>
  <c r="N3" i="10"/>
  <c r="C10" i="10"/>
  <c r="C12" i="10" s="1"/>
  <c r="C6" i="9"/>
  <c r="D6" i="9"/>
  <c r="E6" i="9"/>
  <c r="F6" i="9"/>
  <c r="B8" i="9" s="1"/>
  <c r="G6" i="9"/>
  <c r="B6" i="9"/>
  <c r="B23" i="8"/>
  <c r="B22" i="8"/>
  <c r="F9" i="8" a="1"/>
  <c r="B21" i="8" a="1"/>
  <c r="B21" i="8" s="1"/>
  <c r="B20" i="8" a="1"/>
  <c r="B20" i="8" s="1"/>
  <c r="B19" i="8" a="1"/>
  <c r="B19" i="8"/>
  <c r="B18" i="8"/>
  <c r="F10" i="8" a="1"/>
  <c r="F10" i="8"/>
  <c r="F9" i="8"/>
  <c r="F14" i="8" a="1"/>
  <c r="F14" i="8" s="1"/>
  <c r="B17" i="8"/>
  <c r="A6" i="7"/>
  <c r="D12" i="7"/>
  <c r="A5" i="7" a="1"/>
  <c r="A5" i="7" s="1"/>
  <c r="A4" i="7" a="1"/>
  <c r="A4" i="7" s="1"/>
  <c r="G9" i="7"/>
  <c r="A3" i="7" a="1"/>
  <c r="A3" i="7" s="1"/>
  <c r="A2" i="7"/>
  <c r="G13" i="7" a="1"/>
  <c r="G13" i="7" s="1"/>
  <c r="A1" i="7"/>
  <c r="E12" i="7"/>
  <c r="F12" i="7"/>
  <c r="G10" i="7"/>
  <c r="G11" i="7"/>
  <c r="D11" i="6"/>
  <c r="D12" i="6"/>
  <c r="D13" i="6"/>
  <c r="D7" i="6"/>
  <c r="D9" i="6" s="1"/>
  <c r="D14" i="6"/>
  <c r="R2" i="6"/>
  <c r="D17" i="6"/>
  <c r="D19" i="6" s="1"/>
  <c r="D18" i="6"/>
  <c r="D21" i="6" s="1"/>
  <c r="D20" i="6"/>
  <c r="J20" i="6"/>
  <c r="J21" i="6"/>
  <c r="C23" i="6"/>
  <c r="O24" i="6"/>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C8" i="5"/>
  <c r="C9" i="5" s="1"/>
  <c r="C10" i="5" s="1"/>
  <c r="F2" i="5" s="1"/>
  <c r="C3" i="5"/>
  <c r="C4" i="5"/>
  <c r="B13" i="5"/>
  <c r="C9" i="4"/>
  <c r="C10" i="4"/>
  <c r="C11" i="4"/>
  <c r="C13" i="4" s="1"/>
  <c r="C12" i="4"/>
  <c r="C15" i="4"/>
  <c r="C16" i="4" s="1"/>
  <c r="C19" i="4"/>
  <c r="D15" i="6" l="1"/>
  <c r="L25" i="6" s="1"/>
  <c r="B10" i="9"/>
  <c r="D5" i="11"/>
  <c r="D6" i="11" s="1"/>
  <c r="G33" i="11"/>
  <c r="I33" i="11" s="1"/>
  <c r="G15" i="11"/>
  <c r="I15" i="11" s="1"/>
  <c r="G27" i="11"/>
  <c r="I27" i="11" s="1"/>
  <c r="G21" i="11"/>
  <c r="I21" i="11" s="1"/>
  <c r="G5" i="11"/>
  <c r="I5" i="11" s="1"/>
  <c r="G12" i="11"/>
  <c r="I12" i="11" s="1"/>
  <c r="G20" i="11"/>
  <c r="I20" i="11" s="1"/>
  <c r="G25" i="11"/>
  <c r="I25" i="11" s="1"/>
  <c r="G22" i="11"/>
  <c r="I22" i="11" s="1"/>
  <c r="G7" i="11"/>
  <c r="I7" i="11" s="1"/>
  <c r="C20" i="4"/>
  <c r="C21" i="4" s="1"/>
  <c r="H5" i="10"/>
  <c r="H7" i="10"/>
  <c r="H9" i="10"/>
  <c r="H11" i="10"/>
  <c r="H13" i="10"/>
  <c r="H15" i="10"/>
  <c r="H4" i="10"/>
  <c r="H8" i="10"/>
  <c r="H12" i="10"/>
  <c r="H6" i="10"/>
  <c r="H10" i="10"/>
  <c r="H14" i="10"/>
  <c r="M2" i="11"/>
  <c r="C15" i="11" s="1"/>
  <c r="G4" i="10"/>
  <c r="N12" i="10" l="1"/>
  <c r="N5" i="10"/>
  <c r="D7" i="11"/>
  <c r="G17" i="11"/>
  <c r="I17" i="11" s="1"/>
  <c r="N8" i="10"/>
  <c r="G13" i="11"/>
  <c r="I13" i="11" s="1"/>
  <c r="G24" i="11"/>
  <c r="I24" i="11" s="1"/>
  <c r="G10" i="11"/>
  <c r="I10" i="11" s="1"/>
  <c r="G30" i="11"/>
  <c r="I30" i="11" s="1"/>
  <c r="N10" i="10"/>
  <c r="N9" i="10"/>
  <c r="J4" i="10"/>
  <c r="I4" i="10" s="1"/>
  <c r="K4" i="10" s="1"/>
  <c r="G5" i="10" s="1"/>
  <c r="N6" i="10"/>
  <c r="N15" i="10"/>
  <c r="N7" i="10"/>
  <c r="G28" i="11"/>
  <c r="I28" i="11" s="1"/>
  <c r="G6" i="11"/>
  <c r="I6" i="11" s="1"/>
  <c r="G14" i="11"/>
  <c r="I14" i="11" s="1"/>
  <c r="G19" i="11"/>
  <c r="I19" i="11" s="1"/>
  <c r="G18" i="11"/>
  <c r="I18" i="11" s="1"/>
  <c r="G11" i="11"/>
  <c r="I11" i="11" s="1"/>
  <c r="G16" i="11"/>
  <c r="I16" i="11" s="1"/>
  <c r="N13" i="10"/>
  <c r="J2" i="6"/>
  <c r="P24" i="6"/>
  <c r="N14" i="10"/>
  <c r="N11" i="10"/>
  <c r="G31" i="11"/>
  <c r="I31" i="11" s="1"/>
  <c r="G8" i="11"/>
  <c r="I8" i="11" s="1"/>
  <c r="N4" i="10"/>
  <c r="G23" i="11"/>
  <c r="I23" i="11" s="1"/>
  <c r="G26" i="11"/>
  <c r="I26" i="11" s="1"/>
  <c r="G34" i="11"/>
  <c r="I34" i="11" s="1"/>
  <c r="G9" i="11"/>
  <c r="I9" i="11" s="1"/>
  <c r="G32" i="11"/>
  <c r="I32" i="11" s="1"/>
  <c r="K25" i="6"/>
  <c r="I3" i="11" l="1"/>
  <c r="L2" i="11" s="1"/>
  <c r="J5" i="10"/>
  <c r="I5" i="10" s="1"/>
  <c r="K5" i="10" s="1"/>
  <c r="G6" i="10" s="1"/>
  <c r="J6" i="10" l="1"/>
  <c r="I6" i="10" s="1"/>
  <c r="K6" i="10" s="1"/>
  <c r="G7" i="10" s="1"/>
  <c r="J7" i="10" l="1"/>
  <c r="I7" i="10" s="1"/>
  <c r="K7" i="10" s="1"/>
  <c r="G8" i="10" s="1"/>
  <c r="J8" i="10" l="1"/>
  <c r="I8" i="10" s="1"/>
  <c r="K8" i="10" s="1"/>
  <c r="G9" i="10" s="1"/>
  <c r="J9" i="10" l="1"/>
  <c r="I9" i="10" s="1"/>
  <c r="K9" i="10" s="1"/>
  <c r="G10" i="10" s="1"/>
  <c r="J10" i="10" l="1"/>
  <c r="I10" i="10" s="1"/>
  <c r="K10" i="10" s="1"/>
  <c r="G11" i="10" s="1"/>
  <c r="J11" i="10" l="1"/>
  <c r="I11" i="10" s="1"/>
  <c r="K11" i="10" s="1"/>
  <c r="G12" i="10" s="1"/>
  <c r="J12" i="10" l="1"/>
  <c r="I12" i="10" s="1"/>
  <c r="K12" i="10" s="1"/>
  <c r="G13" i="10" s="1"/>
  <c r="J13" i="10" l="1"/>
  <c r="I13" i="10" s="1"/>
  <c r="K13" i="10" s="1"/>
  <c r="G14" i="10" s="1"/>
  <c r="J14" i="10" l="1"/>
  <c r="I14" i="10" s="1"/>
  <c r="K14" i="10" s="1"/>
  <c r="G15" i="10" s="1"/>
  <c r="J15" i="10" l="1"/>
  <c r="I15" i="10" s="1"/>
  <c r="K15" i="10" s="1"/>
  <c r="C13" i="10" l="1"/>
  <c r="G16" i="10"/>
  <c r="J16" i="10" l="1"/>
  <c r="H17" i="10"/>
  <c r="H19" i="10"/>
  <c r="H21" i="10"/>
  <c r="H23" i="10"/>
  <c r="H25" i="10"/>
  <c r="H27" i="10"/>
  <c r="H16" i="10"/>
  <c r="H20" i="10"/>
  <c r="H24" i="10"/>
  <c r="H18" i="10"/>
  <c r="H26" i="10"/>
  <c r="H22" i="10"/>
  <c r="N18" i="10" l="1"/>
  <c r="N27" i="10"/>
  <c r="N19" i="10"/>
  <c r="N24" i="10"/>
  <c r="N25" i="10"/>
  <c r="N17" i="10"/>
  <c r="N22" i="10"/>
  <c r="N20" i="10"/>
  <c r="N23" i="10"/>
  <c r="N26" i="10"/>
  <c r="N16" i="10"/>
  <c r="I16" i="10"/>
  <c r="K16" i="10" s="1"/>
  <c r="G17" i="10" s="1"/>
  <c r="N21" i="10"/>
  <c r="J17" i="10" l="1"/>
  <c r="I17" i="10" s="1"/>
  <c r="K17" i="10" s="1"/>
  <c r="G18" i="10" s="1"/>
  <c r="J18" i="10" l="1"/>
  <c r="I18" i="10" s="1"/>
  <c r="K18" i="10" s="1"/>
  <c r="G19" i="10" s="1"/>
  <c r="J19" i="10" l="1"/>
  <c r="I19" i="10" s="1"/>
  <c r="K19" i="10" s="1"/>
  <c r="G20" i="10" s="1"/>
  <c r="J20" i="10" l="1"/>
  <c r="I20" i="10" s="1"/>
  <c r="K20" i="10" s="1"/>
  <c r="G21" i="10" s="1"/>
  <c r="J21" i="10" l="1"/>
  <c r="I21" i="10" s="1"/>
  <c r="K21" i="10" s="1"/>
  <c r="G22" i="10" s="1"/>
  <c r="J22" i="10" l="1"/>
  <c r="I22" i="10" s="1"/>
  <c r="K22" i="10" s="1"/>
  <c r="G23" i="10" s="1"/>
  <c r="J23" i="10" l="1"/>
  <c r="I23" i="10" s="1"/>
  <c r="K23" i="10" s="1"/>
  <c r="G24" i="10" s="1"/>
  <c r="J24" i="10" l="1"/>
  <c r="I24" i="10" s="1"/>
  <c r="K24" i="10" s="1"/>
  <c r="G25" i="10" s="1"/>
  <c r="J25" i="10" l="1"/>
  <c r="I25" i="10" s="1"/>
  <c r="K25" i="10" s="1"/>
  <c r="G26" i="10" s="1"/>
  <c r="J26" i="10" l="1"/>
  <c r="I26" i="10" s="1"/>
  <c r="K26" i="10" s="1"/>
  <c r="G27" i="10" s="1"/>
  <c r="J27" i="10" l="1"/>
  <c r="I27" i="10" s="1"/>
  <c r="K27" i="10" s="1"/>
  <c r="C14" i="10" l="1"/>
  <c r="G28" i="10"/>
  <c r="J28" i="10" l="1"/>
  <c r="H29" i="10"/>
  <c r="H31" i="10"/>
  <c r="H33" i="10"/>
  <c r="H35" i="10"/>
  <c r="H37" i="10"/>
  <c r="H39" i="10"/>
  <c r="H28" i="10"/>
  <c r="H32" i="10"/>
  <c r="H36" i="10"/>
  <c r="H34" i="10"/>
  <c r="H30" i="10"/>
  <c r="H38" i="10"/>
  <c r="N38" i="10" l="1"/>
  <c r="N34" i="10"/>
  <c r="N39" i="10"/>
  <c r="N31" i="10"/>
  <c r="N36" i="10"/>
  <c r="N37" i="10"/>
  <c r="N29" i="10"/>
  <c r="N32" i="10"/>
  <c r="N35" i="10"/>
  <c r="N30" i="10"/>
  <c r="N28" i="10"/>
  <c r="I28" i="10"/>
  <c r="K28" i="10" s="1"/>
  <c r="G29" i="10" s="1"/>
  <c r="N33" i="10"/>
  <c r="J29" i="10" l="1"/>
  <c r="I29" i="10" s="1"/>
  <c r="K29" i="10" s="1"/>
  <c r="G30" i="10" s="1"/>
  <c r="J30" i="10" l="1"/>
  <c r="I30" i="10" s="1"/>
  <c r="K30" i="10" s="1"/>
  <c r="G31" i="10" s="1"/>
  <c r="J31" i="10" l="1"/>
  <c r="I31" i="10" s="1"/>
  <c r="K31" i="10" s="1"/>
  <c r="G32" i="10" s="1"/>
  <c r="J32" i="10" l="1"/>
  <c r="I32" i="10" s="1"/>
  <c r="K32" i="10" s="1"/>
  <c r="G33" i="10" s="1"/>
  <c r="J33" i="10" l="1"/>
  <c r="I33" i="10" s="1"/>
  <c r="K33" i="10" s="1"/>
  <c r="G34" i="10" s="1"/>
  <c r="J34" i="10" l="1"/>
  <c r="I34" i="10" s="1"/>
  <c r="K34" i="10" s="1"/>
  <c r="G35" i="10" s="1"/>
  <c r="J35" i="10" l="1"/>
  <c r="I35" i="10" s="1"/>
  <c r="K35" i="10" s="1"/>
  <c r="G36" i="10" s="1"/>
  <c r="J36" i="10" l="1"/>
  <c r="I36" i="10" s="1"/>
  <c r="K36" i="10" s="1"/>
  <c r="G37" i="10" s="1"/>
  <c r="J37" i="10" l="1"/>
  <c r="I37" i="10" s="1"/>
  <c r="K37" i="10" s="1"/>
  <c r="G38" i="10" s="1"/>
  <c r="J38" i="10" l="1"/>
  <c r="I38" i="10" s="1"/>
  <c r="K38" i="10" s="1"/>
  <c r="G39" i="10" s="1"/>
  <c r="J39" i="10" l="1"/>
  <c r="I39" i="10" s="1"/>
  <c r="K39" i="10" s="1"/>
  <c r="C15" i="10" l="1"/>
  <c r="G40" i="10"/>
  <c r="J40" i="10" l="1"/>
  <c r="H41" i="10"/>
  <c r="H43" i="10"/>
  <c r="H40" i="10"/>
  <c r="H44" i="10"/>
  <c r="H49" i="10"/>
  <c r="H47" i="10"/>
  <c r="H50" i="10"/>
  <c r="H46" i="10"/>
  <c r="H51" i="10"/>
  <c r="H42" i="10"/>
  <c r="H48" i="10"/>
  <c r="H45" i="10"/>
  <c r="N43" i="10" l="1"/>
  <c r="N42" i="10"/>
  <c r="N47" i="10"/>
  <c r="N51" i="10"/>
  <c r="N49" i="10"/>
  <c r="N41" i="10"/>
  <c r="N45" i="10"/>
  <c r="N46" i="10"/>
  <c r="N44" i="10"/>
  <c r="N48" i="10"/>
  <c r="N50" i="10"/>
  <c r="N40" i="10"/>
  <c r="I40" i="10"/>
  <c r="K40" i="10" s="1"/>
  <c r="G41" i="10" s="1"/>
  <c r="J41" i="10" l="1"/>
  <c r="I41" i="10" s="1"/>
  <c r="K41" i="10" s="1"/>
  <c r="G42" i="10" s="1"/>
  <c r="J42" i="10" l="1"/>
  <c r="I42" i="10" s="1"/>
  <c r="K42" i="10" s="1"/>
  <c r="G43" i="10" s="1"/>
  <c r="J43" i="10" l="1"/>
  <c r="I43" i="10" s="1"/>
  <c r="K43" i="10"/>
  <c r="G44" i="10" s="1"/>
  <c r="J44" i="10" l="1"/>
  <c r="I44" i="10" s="1"/>
  <c r="K44" i="10"/>
  <c r="G45" i="10" s="1"/>
  <c r="J45" i="10" l="1"/>
  <c r="I45" i="10" s="1"/>
  <c r="K45" i="10" s="1"/>
  <c r="G46" i="10" s="1"/>
  <c r="J46" i="10" l="1"/>
  <c r="I46" i="10" s="1"/>
  <c r="K46" i="10" s="1"/>
  <c r="G47" i="10" s="1"/>
  <c r="J47" i="10" l="1"/>
  <c r="I47" i="10" s="1"/>
  <c r="K47" i="10" s="1"/>
  <c r="G48" i="10" s="1"/>
  <c r="J48" i="10" l="1"/>
  <c r="I48" i="10" s="1"/>
  <c r="K48" i="10" s="1"/>
  <c r="G49" i="10" s="1"/>
  <c r="J49" i="10" l="1"/>
  <c r="I49" i="10" s="1"/>
  <c r="K49" i="10" s="1"/>
  <c r="G50" i="10" s="1"/>
  <c r="J50" i="10" l="1"/>
  <c r="I50" i="10" s="1"/>
  <c r="K50" i="10" s="1"/>
  <c r="G51" i="10" s="1"/>
  <c r="J51" i="10" l="1"/>
  <c r="I51" i="10" s="1"/>
  <c r="K51" i="10" s="1"/>
  <c r="G52" i="10" l="1"/>
  <c r="C16" i="10"/>
  <c r="H53" i="10" l="1"/>
  <c r="H55" i="10"/>
  <c r="H57" i="10"/>
  <c r="H59" i="10"/>
  <c r="H61" i="10"/>
  <c r="H63" i="10"/>
  <c r="H52" i="10"/>
  <c r="H56" i="10"/>
  <c r="H60" i="10"/>
  <c r="H58" i="10"/>
  <c r="H62" i="10"/>
  <c r="H54" i="10"/>
  <c r="J52" i="10"/>
  <c r="N54" i="10" l="1"/>
  <c r="N58" i="10"/>
  <c r="N56" i="10"/>
  <c r="N59" i="10"/>
  <c r="N62" i="10"/>
  <c r="N52" i="10"/>
  <c r="I52" i="10"/>
  <c r="K52" i="10" s="1"/>
  <c r="G53" i="10" s="1"/>
  <c r="N57" i="10"/>
  <c r="N63" i="10"/>
  <c r="N55" i="10"/>
  <c r="N60" i="10"/>
  <c r="N61" i="10"/>
  <c r="N53" i="10"/>
  <c r="J53" i="10" l="1"/>
  <c r="I53" i="10" s="1"/>
  <c r="K53" i="10"/>
  <c r="G54" i="10" s="1"/>
  <c r="C18" i="10"/>
  <c r="C19" i="10"/>
  <c r="J54" i="10" l="1"/>
  <c r="I54" i="10" s="1"/>
  <c r="K54" i="10"/>
  <c r="G55" i="10" s="1"/>
  <c r="J55" i="10" l="1"/>
  <c r="I55" i="10" s="1"/>
  <c r="K55" i="10"/>
  <c r="G56" i="10" s="1"/>
  <c r="J56" i="10" l="1"/>
  <c r="I56" i="10" s="1"/>
  <c r="K56" i="10"/>
  <c r="G57" i="10" s="1"/>
  <c r="J57" i="10" l="1"/>
  <c r="I57" i="10" s="1"/>
  <c r="K57" i="10"/>
  <c r="G58" i="10" s="1"/>
  <c r="J58" i="10" l="1"/>
  <c r="I58" i="10" s="1"/>
  <c r="K58" i="10"/>
  <c r="G59" i="10" s="1"/>
  <c r="J59" i="10" l="1"/>
  <c r="I59" i="10" s="1"/>
  <c r="K59" i="10"/>
  <c r="G60" i="10" s="1"/>
  <c r="J60" i="10" l="1"/>
  <c r="I60" i="10" s="1"/>
  <c r="K60" i="10"/>
  <c r="G61" i="10" s="1"/>
  <c r="J61" i="10" l="1"/>
  <c r="I61" i="10" s="1"/>
  <c r="K61" i="10"/>
  <c r="G62" i="10" s="1"/>
  <c r="J62" i="10" l="1"/>
  <c r="I62" i="10" s="1"/>
  <c r="K62" i="10"/>
  <c r="G63" i="10" s="1"/>
  <c r="J63" i="10" l="1"/>
  <c r="I63" i="10" s="1"/>
  <c r="K63" i="10"/>
</calcChain>
</file>

<file path=xl/sharedStrings.xml><?xml version="1.0" encoding="utf-8"?>
<sst xmlns="http://schemas.openxmlformats.org/spreadsheetml/2006/main" count="125" uniqueCount="105">
  <si>
    <t>单位边际贡献</t>
    <phoneticPr fontId="2" type="noConversion"/>
  </si>
  <si>
    <t>边际贡献率</t>
    <phoneticPr fontId="2" type="noConversion"/>
  </si>
  <si>
    <r>
      <t>目标利润</t>
    </r>
    <r>
      <rPr>
        <sz val="10"/>
        <rFont val="Times New Roman"/>
        <family val="1"/>
      </rPr>
      <t/>
    </r>
    <phoneticPr fontId="2" type="noConversion"/>
  </si>
  <si>
    <t>目标销量</t>
    <phoneticPr fontId="2" type="noConversion"/>
  </si>
  <si>
    <r>
      <t>销量</t>
    </r>
    <r>
      <rPr>
        <b/>
        <sz val="11"/>
        <rFont val="Arial"/>
        <family val="2"/>
      </rPr>
      <t>(Q)</t>
    </r>
    <phoneticPr fontId="2" type="noConversion"/>
  </si>
  <si>
    <r>
      <t xml:space="preserve"> </t>
    </r>
    <r>
      <rPr>
        <b/>
        <sz val="11"/>
        <rFont val="宋体"/>
        <family val="3"/>
        <charset val="134"/>
      </rPr>
      <t>单位：元</t>
    </r>
    <phoneticPr fontId="2" type="noConversion"/>
  </si>
  <si>
    <r>
      <t>平均每双销售价格</t>
    </r>
    <r>
      <rPr>
        <b/>
        <sz val="11"/>
        <rFont val="Arial"/>
        <family val="2"/>
      </rPr>
      <t>(p)</t>
    </r>
    <phoneticPr fontId="2" type="noConversion"/>
  </si>
  <si>
    <r>
      <t>每双可变成本</t>
    </r>
    <r>
      <rPr>
        <b/>
        <sz val="11"/>
        <rFont val="Arial"/>
        <family val="2"/>
      </rPr>
      <t>(v)</t>
    </r>
    <r>
      <rPr>
        <b/>
        <sz val="11"/>
        <rFont val="宋体"/>
        <family val="3"/>
        <charset val="134"/>
      </rPr>
      <t>：</t>
    </r>
    <phoneticPr fontId="2" type="noConversion"/>
  </si>
  <si>
    <r>
      <t>固定成本</t>
    </r>
    <r>
      <rPr>
        <b/>
        <sz val="11"/>
        <rFont val="Arial"/>
        <family val="2"/>
      </rPr>
      <t>(F)</t>
    </r>
    <r>
      <rPr>
        <b/>
        <sz val="11"/>
        <rFont val="宋体"/>
        <family val="3"/>
        <charset val="134"/>
      </rPr>
      <t>：</t>
    </r>
    <phoneticPr fontId="2" type="noConversion"/>
  </si>
  <si>
    <r>
      <t>销售收益</t>
    </r>
    <r>
      <rPr>
        <b/>
        <sz val="11"/>
        <rFont val="Arial"/>
        <family val="2"/>
      </rPr>
      <t>(R)</t>
    </r>
    <phoneticPr fontId="2" type="noConversion"/>
  </si>
  <si>
    <r>
      <t>总成本</t>
    </r>
    <r>
      <rPr>
        <b/>
        <sz val="11"/>
        <rFont val="Arial"/>
        <family val="2"/>
      </rPr>
      <t>(C)</t>
    </r>
    <phoneticPr fontId="2" type="noConversion"/>
  </si>
  <si>
    <r>
      <t>利润</t>
    </r>
    <r>
      <rPr>
        <b/>
        <sz val="11"/>
        <rFont val="Arial"/>
        <family val="2"/>
      </rPr>
      <t>(π)</t>
    </r>
    <phoneticPr fontId="2" type="noConversion"/>
  </si>
  <si>
    <r>
      <t>盈亏平衡销量</t>
    </r>
    <r>
      <rPr>
        <b/>
        <sz val="11"/>
        <rFont val="Arial"/>
        <family val="2"/>
      </rPr>
      <t>(Q</t>
    </r>
    <r>
      <rPr>
        <b/>
        <vertAlign val="subscript"/>
        <sz val="11"/>
        <rFont val="Arial"/>
        <family val="2"/>
      </rPr>
      <t>0</t>
    </r>
    <r>
      <rPr>
        <b/>
        <sz val="11"/>
        <rFont val="Arial"/>
        <family val="2"/>
      </rPr>
      <t>)</t>
    </r>
    <phoneticPr fontId="2" type="noConversion"/>
  </si>
  <si>
    <r>
      <t>盈亏平衡销售收益</t>
    </r>
    <r>
      <rPr>
        <b/>
        <sz val="11"/>
        <rFont val="Arial"/>
        <family val="2"/>
      </rPr>
      <t>(R</t>
    </r>
    <r>
      <rPr>
        <b/>
        <vertAlign val="subscript"/>
        <sz val="11"/>
        <rFont val="Arial"/>
        <family val="2"/>
      </rPr>
      <t>0</t>
    </r>
    <r>
      <rPr>
        <b/>
        <sz val="11"/>
        <rFont val="Arial"/>
        <family val="2"/>
      </rPr>
      <t>)</t>
    </r>
    <phoneticPr fontId="2" type="noConversion"/>
  </si>
  <si>
    <r>
      <t>安全边际</t>
    </r>
    <r>
      <rPr>
        <b/>
        <sz val="11"/>
        <rFont val="Arial"/>
        <family val="2"/>
      </rPr>
      <t>(S)</t>
    </r>
    <phoneticPr fontId="2" type="noConversion"/>
  </si>
  <si>
    <r>
      <t>安全边际率</t>
    </r>
    <r>
      <rPr>
        <b/>
        <sz val="11"/>
        <rFont val="Arial"/>
        <family val="2"/>
      </rPr>
      <t>(s)</t>
    </r>
    <phoneticPr fontId="6" type="noConversion"/>
  </si>
  <si>
    <t>年需求量</t>
    <phoneticPr fontId="2" type="noConversion"/>
  </si>
  <si>
    <t>日需求量</t>
    <phoneticPr fontId="2" type="noConversion"/>
  </si>
  <si>
    <t>订货量</t>
    <phoneticPr fontId="2" type="noConversion"/>
  </si>
  <si>
    <t>订货周期</t>
    <phoneticPr fontId="2" type="noConversion"/>
  </si>
  <si>
    <t>初始库存量</t>
    <phoneticPr fontId="2" type="noConversion"/>
  </si>
  <si>
    <t>时间（天）</t>
    <phoneticPr fontId="2" type="noConversion"/>
  </si>
  <si>
    <t>已过去订货周期数</t>
    <phoneticPr fontId="2" type="noConversion"/>
  </si>
  <si>
    <t>本周期已过去天数</t>
    <phoneticPr fontId="2" type="noConversion"/>
  </si>
  <si>
    <t>库存量</t>
    <phoneticPr fontId="2" type="noConversion"/>
  </si>
  <si>
    <t>结论文字：</t>
    <phoneticPr fontId="2" type="noConversion"/>
  </si>
  <si>
    <t>年需求量</t>
  </si>
  <si>
    <t>一次订货的订货成本</t>
  </si>
  <si>
    <t>年单位储存成本</t>
  </si>
  <si>
    <t>订货量</t>
  </si>
  <si>
    <t>散货每吨运费</t>
    <phoneticPr fontId="14"/>
  </si>
  <si>
    <t>整车每吨运费</t>
    <phoneticPr fontId="14"/>
  </si>
  <si>
    <t>整车运输起点吨位</t>
    <phoneticPr fontId="14"/>
  </si>
  <si>
    <t>每吨实际运费</t>
    <phoneticPr fontId="14"/>
  </si>
  <si>
    <t>任意订货量</t>
    <phoneticPr fontId="14"/>
  </si>
  <si>
    <t>年订货成本</t>
    <phoneticPr fontId="14"/>
  </si>
  <si>
    <t>年储存成本</t>
    <phoneticPr fontId="14"/>
  </si>
  <si>
    <t>年运输成本</t>
    <phoneticPr fontId="14"/>
  </si>
  <si>
    <t>年总成本</t>
    <phoneticPr fontId="14"/>
  </si>
  <si>
    <t>经济订货量</t>
    <phoneticPr fontId="14"/>
  </si>
  <si>
    <t>经济订货量</t>
    <phoneticPr fontId="2" type="noConversion"/>
  </si>
  <si>
    <r>
      <t>企业</t>
    </r>
    <r>
      <rPr>
        <b/>
        <sz val="11"/>
        <rFont val="Arial"/>
        <family val="2"/>
      </rPr>
      <t>1</t>
    </r>
    <phoneticPr fontId="2" type="noConversion"/>
  </si>
  <si>
    <r>
      <t>企业</t>
    </r>
    <r>
      <rPr>
        <b/>
        <sz val="11"/>
        <rFont val="Arial"/>
        <family val="2"/>
      </rPr>
      <t>2</t>
    </r>
  </si>
  <si>
    <r>
      <t>企业</t>
    </r>
    <r>
      <rPr>
        <b/>
        <sz val="11"/>
        <rFont val="Arial"/>
        <family val="2"/>
      </rPr>
      <t>3</t>
    </r>
  </si>
  <si>
    <r>
      <t>审计员</t>
    </r>
    <r>
      <rPr>
        <b/>
        <sz val="11"/>
        <rFont val="Arial"/>
        <family val="2"/>
      </rPr>
      <t>1</t>
    </r>
    <phoneticPr fontId="2" type="noConversion"/>
  </si>
  <si>
    <r>
      <t>审计员</t>
    </r>
    <r>
      <rPr>
        <b/>
        <sz val="11"/>
        <rFont val="Arial"/>
        <family val="2"/>
      </rPr>
      <t>2</t>
    </r>
  </si>
  <si>
    <r>
      <t>审计员</t>
    </r>
    <r>
      <rPr>
        <b/>
        <sz val="11"/>
        <rFont val="Arial"/>
        <family val="2"/>
      </rPr>
      <t>3</t>
    </r>
  </si>
  <si>
    <t>珠江</t>
    <phoneticPr fontId="2" type="noConversion"/>
  </si>
  <si>
    <t>松花江</t>
    <phoneticPr fontId="2" type="noConversion"/>
  </si>
  <si>
    <t>黄河</t>
    <phoneticPr fontId="2" type="noConversion"/>
  </si>
  <si>
    <t>每月可供量</t>
    <phoneticPr fontId="2" type="noConversion"/>
  </si>
  <si>
    <t>钢材（吨）</t>
    <phoneticPr fontId="2" type="noConversion"/>
  </si>
  <si>
    <t>劳动力（小时）</t>
    <phoneticPr fontId="2" type="noConversion"/>
  </si>
  <si>
    <t>利润（元）</t>
    <phoneticPr fontId="2" type="noConversion"/>
  </si>
  <si>
    <t>每月需用量</t>
    <phoneticPr fontId="2" type="noConversion"/>
  </si>
  <si>
    <t>生产数量</t>
    <phoneticPr fontId="2" type="noConversion"/>
  </si>
  <si>
    <t>总利润：</t>
    <phoneticPr fontId="2" type="noConversion"/>
  </si>
  <si>
    <t>贴现率</t>
    <phoneticPr fontId="2" type="noConversion"/>
  </si>
  <si>
    <t>回报</t>
    <phoneticPr fontId="2" type="noConversion"/>
  </si>
  <si>
    <t>投入</t>
    <phoneticPr fontId="2" type="noConversion"/>
  </si>
  <si>
    <t>净现金流量</t>
    <phoneticPr fontId="2" type="noConversion"/>
  </si>
  <si>
    <t>项目净现值</t>
    <phoneticPr fontId="2" type="noConversion"/>
  </si>
  <si>
    <t>项目内部报酬率</t>
    <phoneticPr fontId="2" type="noConversion"/>
  </si>
  <si>
    <r>
      <t>第</t>
    </r>
    <r>
      <rPr>
        <b/>
        <sz val="11"/>
        <rFont val="Arial"/>
        <family val="2"/>
      </rPr>
      <t>0</t>
    </r>
    <r>
      <rPr>
        <b/>
        <sz val="11"/>
        <rFont val="宋体"/>
        <family val="3"/>
        <charset val="134"/>
      </rPr>
      <t>年</t>
    </r>
    <phoneticPr fontId="2" type="noConversion"/>
  </si>
  <si>
    <r>
      <t>第</t>
    </r>
    <r>
      <rPr>
        <b/>
        <sz val="11"/>
        <rFont val="Arial"/>
        <family val="2"/>
      </rPr>
      <t>1</t>
    </r>
    <r>
      <rPr>
        <b/>
        <sz val="11"/>
        <rFont val="宋体"/>
        <family val="3"/>
        <charset val="134"/>
      </rPr>
      <t>年</t>
    </r>
  </si>
  <si>
    <r>
      <t>第</t>
    </r>
    <r>
      <rPr>
        <b/>
        <sz val="11"/>
        <rFont val="Arial"/>
        <family val="2"/>
      </rPr>
      <t>2</t>
    </r>
    <r>
      <rPr>
        <b/>
        <sz val="11"/>
        <rFont val="宋体"/>
        <family val="3"/>
        <charset val="134"/>
      </rPr>
      <t>年</t>
    </r>
  </si>
  <si>
    <r>
      <t>第</t>
    </r>
    <r>
      <rPr>
        <b/>
        <sz val="11"/>
        <rFont val="Arial"/>
        <family val="2"/>
      </rPr>
      <t>3</t>
    </r>
    <r>
      <rPr>
        <b/>
        <sz val="11"/>
        <rFont val="宋体"/>
        <family val="3"/>
        <charset val="134"/>
      </rPr>
      <t>年</t>
    </r>
  </si>
  <si>
    <r>
      <t>第</t>
    </r>
    <r>
      <rPr>
        <b/>
        <sz val="11"/>
        <rFont val="Arial"/>
        <family val="2"/>
      </rPr>
      <t>4</t>
    </r>
    <r>
      <rPr>
        <b/>
        <sz val="11"/>
        <rFont val="宋体"/>
        <family val="3"/>
        <charset val="134"/>
      </rPr>
      <t>年</t>
    </r>
  </si>
  <si>
    <r>
      <t>第</t>
    </r>
    <r>
      <rPr>
        <b/>
        <sz val="11"/>
        <rFont val="Arial"/>
        <family val="2"/>
      </rPr>
      <t>5</t>
    </r>
    <r>
      <rPr>
        <b/>
        <sz val="11"/>
        <rFont val="宋体"/>
        <family val="3"/>
        <charset val="134"/>
      </rPr>
      <t>年</t>
    </r>
  </si>
  <si>
    <t>金额单位：万元</t>
    <phoneticPr fontId="2" type="noConversion"/>
  </si>
  <si>
    <t>期数</t>
    <phoneticPr fontId="2" type="noConversion"/>
  </si>
  <si>
    <t>期初欠款余额</t>
    <phoneticPr fontId="2" type="noConversion"/>
  </si>
  <si>
    <t>本月还款总额</t>
    <phoneticPr fontId="2" type="noConversion"/>
  </si>
  <si>
    <t>本月还款本金</t>
    <phoneticPr fontId="2" type="noConversion"/>
  </si>
  <si>
    <t>本月还款利息</t>
    <phoneticPr fontId="2" type="noConversion"/>
  </si>
  <si>
    <t>期末欠款余额</t>
    <phoneticPr fontId="2" type="noConversion"/>
  </si>
  <si>
    <t>买入价</t>
  </si>
  <si>
    <t>现金交付(首付）</t>
    <phoneticPr fontId="2" type="noConversion"/>
  </si>
  <si>
    <t>银行贷款</t>
  </si>
  <si>
    <t>贷款年利率</t>
    <phoneticPr fontId="2" type="noConversion"/>
  </si>
  <si>
    <t>2001年5月开始的每月等额还款额</t>
    <phoneticPr fontId="2" type="noConversion"/>
  </si>
  <si>
    <t>2002年5月开始的每月等额还款额</t>
    <phoneticPr fontId="2" type="noConversion"/>
  </si>
  <si>
    <t>2003年5月开始的每月等额还款额</t>
    <phoneticPr fontId="2" type="noConversion"/>
  </si>
  <si>
    <t>2004年5月开始的每月等额还款额</t>
    <phoneticPr fontId="2" type="noConversion"/>
  </si>
  <si>
    <t>2005年5月开始的每月等额还款额</t>
    <phoneticPr fontId="2" type="noConversion"/>
  </si>
  <si>
    <t>计算净现值</t>
    <phoneticPr fontId="2" type="noConversion"/>
  </si>
  <si>
    <t>计算年内部报酬率</t>
    <phoneticPr fontId="2" type="noConversion"/>
  </si>
  <si>
    <t>月份</t>
    <phoneticPr fontId="2" type="noConversion"/>
  </si>
  <si>
    <t>投资期限</t>
    <phoneticPr fontId="2" type="noConversion"/>
  </si>
  <si>
    <t>项目</t>
    <phoneticPr fontId="2" type="noConversion"/>
  </si>
  <si>
    <t>2006年4月末还贷后售房后现金收入</t>
    <phoneticPr fontId="2" type="noConversion"/>
  </si>
  <si>
    <t>销量</t>
    <phoneticPr fontId="2" type="noConversion"/>
  </si>
  <si>
    <t>概率</t>
    <phoneticPr fontId="2" type="noConversion"/>
  </si>
  <si>
    <t>月销售收入</t>
    <phoneticPr fontId="2" type="noConversion"/>
  </si>
  <si>
    <t>试验次数</t>
    <phoneticPr fontId="2" type="noConversion"/>
  </si>
  <si>
    <t>天</t>
    <phoneticPr fontId="2" type="noConversion"/>
  </si>
  <si>
    <t>单价</t>
    <phoneticPr fontId="2" type="noConversion"/>
  </si>
  <si>
    <t>销售收入</t>
    <phoneticPr fontId="2" type="noConversion"/>
  </si>
  <si>
    <t>单价均值</t>
    <phoneticPr fontId="2" type="noConversion"/>
  </si>
  <si>
    <t>单价标准差</t>
    <phoneticPr fontId="2" type="noConversion"/>
  </si>
  <si>
    <t>月销售收入最大值</t>
    <phoneticPr fontId="2" type="noConversion"/>
  </si>
  <si>
    <t>月销售收入最小值</t>
    <phoneticPr fontId="2" type="noConversion"/>
  </si>
  <si>
    <t>月销售收入标准差</t>
    <phoneticPr fontId="2" type="noConversion"/>
  </si>
  <si>
    <r>
      <t>月销售收入超过</t>
    </r>
    <r>
      <rPr>
        <b/>
        <sz val="11"/>
        <rFont val="Arial"/>
        <family val="2"/>
      </rPr>
      <t>45000</t>
    </r>
    <r>
      <rPr>
        <b/>
        <sz val="11"/>
        <rFont val="宋体"/>
        <family val="3"/>
        <charset val="134"/>
      </rPr>
      <t>的可能性（</t>
    </r>
    <r>
      <rPr>
        <b/>
        <sz val="11"/>
        <rFont val="Arial"/>
        <family val="2"/>
      </rPr>
      <t>%</t>
    </r>
    <r>
      <rPr>
        <b/>
        <sz val="11"/>
        <rFont val="宋体"/>
        <family val="3"/>
        <charset val="134"/>
      </rPr>
      <t>）</t>
    </r>
    <phoneticPr fontId="2" type="noConversion"/>
  </si>
  <si>
    <t>2002年至2005年每年4月底公积金冲贷额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</si>
</sst>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6" formatCode="&quot;¥&quot;#,##0;[Red]&quot;¥&quot;\-#,##0"/>
    <numFmt numFmtId="176" formatCode="0.0"/>
    <numFmt numFmtId="177" formatCode="0_ "/>
    <numFmt numFmtId="178" formatCode="0.000%"/>
    <numFmt numFmtId="179" formatCode="0.0_ "/>
    <numFmt numFmtId="180" formatCode="&quot;$&quot;#,##0"/>
    <numFmt numFmtId="181" formatCode="&quot;$&quot;#,##0.0"/>
    <numFmt numFmtId="182" formatCode="0.00000_ "/>
    <numFmt numFmtId="183" formatCode="0.0000_ "/>
    <numFmt numFmtId="184" formatCode="#,##0.00000_ ;[Red]\-#,##0.00000\ "/>
  </numFmts>
  <fonts count="34">
    <font>
      <sz val="12"/>
      <name val="宋体"/>
      <charset val="134"/>
    </font>
    <font>
      <sz val="12"/>
      <name val="宋体"/>
      <charset val="134"/>
    </font>
    <font>
      <sz val="9"/>
      <name val="宋体"/>
      <family val="3"/>
      <charset val="134"/>
    </font>
    <font>
      <sz val="12"/>
      <name val="宋体"/>
      <family val="3"/>
      <charset val="134"/>
    </font>
    <font>
      <sz val="10"/>
      <name val="Arial"/>
      <family val="2"/>
    </font>
    <font>
      <sz val="10"/>
      <name val="Times New Roman"/>
      <family val="1"/>
    </font>
    <font>
      <b/>
      <i/>
      <sz val="12"/>
      <name val="Arial"/>
      <family val="2"/>
    </font>
    <font>
      <b/>
      <sz val="11"/>
      <name val="Arial"/>
      <family val="2"/>
    </font>
    <font>
      <b/>
      <sz val="11"/>
      <name val="宋体"/>
      <family val="3"/>
      <charset val="134"/>
    </font>
    <font>
      <b/>
      <sz val="11"/>
      <color indexed="19"/>
      <name val="Arial"/>
      <family val="2"/>
    </font>
    <font>
      <b/>
      <vertAlign val="subscript"/>
      <sz val="11"/>
      <name val="Arial"/>
      <family val="2"/>
    </font>
    <font>
      <b/>
      <sz val="11"/>
      <color indexed="10"/>
      <name val="Arial"/>
      <family val="2"/>
    </font>
    <font>
      <b/>
      <sz val="10"/>
      <name val="宋体"/>
      <family val="3"/>
      <charset val="134"/>
    </font>
    <font>
      <b/>
      <sz val="10"/>
      <name val="Arial"/>
      <family val="2"/>
    </font>
    <font>
      <sz val="6"/>
      <name val="ＭＳ Ｐゴシック"/>
      <family val="3"/>
      <charset val="134"/>
    </font>
    <font>
      <sz val="11"/>
      <color indexed="8"/>
      <name val="宋体"/>
      <family val="3"/>
      <charset val="134"/>
    </font>
    <font>
      <sz val="11"/>
      <color indexed="9"/>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b/>
      <sz val="11"/>
      <color indexed="8"/>
      <name val="Arial"/>
      <family val="2"/>
    </font>
    <font>
      <sz val="8"/>
      <name val="Arial"/>
      <family val="2"/>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indexed="19"/>
        <bgColor indexed="64"/>
      </patternFill>
    </fill>
    <fill>
      <patternFill patternType="solid">
        <fgColor indexed="42"/>
        <bgColor indexed="64"/>
      </patternFill>
    </fill>
    <fill>
      <patternFill patternType="solid">
        <fgColor indexed="9"/>
        <bgColor indexed="64"/>
      </patternFill>
    </fill>
    <fill>
      <patternFill patternType="solid">
        <fgColor indexed="47"/>
        <bgColor indexed="64"/>
      </patternFill>
    </fill>
    <fill>
      <patternFill patternType="solid">
        <fgColor indexed="55"/>
        <bgColor indexed="64"/>
      </patternFill>
    </fill>
    <fill>
      <patternFill patternType="solid">
        <fgColor indexed="15"/>
        <bgColor indexed="64"/>
      </patternFill>
    </fill>
    <fill>
      <patternFill patternType="solid">
        <fgColor indexed="45"/>
        <bgColor indexed="64"/>
      </patternFill>
    </fill>
  </fills>
  <borders count="18">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s>
  <cellStyleXfs count="54">
    <xf numFmtId="0" fontId="0" fillId="0" borderId="0"/>
    <xf numFmtId="0" fontId="15" fillId="2" borderId="0" applyNumberFormat="0" applyBorder="0" applyAlignment="0" applyProtection="0">
      <alignment vertical="center"/>
    </xf>
    <xf numFmtId="0" fontId="15" fillId="3" borderId="0" applyNumberFormat="0" applyBorder="0" applyAlignment="0" applyProtection="0">
      <alignment vertical="center"/>
    </xf>
    <xf numFmtId="0" fontId="15" fillId="4" borderId="0" applyNumberFormat="0" applyBorder="0" applyAlignment="0" applyProtection="0">
      <alignment vertical="center"/>
    </xf>
    <xf numFmtId="0" fontId="15" fillId="5" borderId="0" applyNumberFormat="0" applyBorder="0" applyAlignment="0" applyProtection="0">
      <alignment vertical="center"/>
    </xf>
    <xf numFmtId="0" fontId="15" fillId="6" borderId="0" applyNumberFormat="0" applyBorder="0" applyAlignment="0" applyProtection="0">
      <alignment vertical="center"/>
    </xf>
    <xf numFmtId="0" fontId="15" fillId="7" borderId="0" applyNumberFormat="0" applyBorder="0" applyAlignment="0" applyProtection="0">
      <alignment vertical="center"/>
    </xf>
    <xf numFmtId="0" fontId="15" fillId="8" borderId="0" applyNumberFormat="0" applyBorder="0" applyAlignment="0" applyProtection="0">
      <alignment vertical="center"/>
    </xf>
    <xf numFmtId="0" fontId="15" fillId="9" borderId="0" applyNumberFormat="0" applyBorder="0" applyAlignment="0" applyProtection="0">
      <alignment vertical="center"/>
    </xf>
    <xf numFmtId="0" fontId="15" fillId="10" borderId="0" applyNumberFormat="0" applyBorder="0" applyAlignment="0" applyProtection="0">
      <alignment vertical="center"/>
    </xf>
    <xf numFmtId="0" fontId="15" fillId="5" borderId="0" applyNumberFormat="0" applyBorder="0" applyAlignment="0" applyProtection="0">
      <alignment vertical="center"/>
    </xf>
    <xf numFmtId="0" fontId="15" fillId="8" borderId="0" applyNumberFormat="0" applyBorder="0" applyAlignment="0" applyProtection="0">
      <alignment vertical="center"/>
    </xf>
    <xf numFmtId="0" fontId="15" fillId="11" borderId="0" applyNumberFormat="0" applyBorder="0" applyAlignment="0" applyProtection="0">
      <alignment vertical="center"/>
    </xf>
    <xf numFmtId="0" fontId="16" fillId="12"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33" fillId="0" borderId="0"/>
    <xf numFmtId="9" fontId="1" fillId="0" borderId="0" applyFont="0" applyFill="0" applyBorder="0" applyAlignment="0" applyProtection="0"/>
    <xf numFmtId="0" fontId="17" fillId="0" borderId="0" applyNumberFormat="0" applyFill="0" applyBorder="0" applyAlignment="0" applyProtection="0">
      <alignment vertical="center"/>
    </xf>
    <xf numFmtId="0" fontId="18" fillId="0" borderId="1"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3" borderId="0" applyNumberFormat="0" applyBorder="0" applyAlignment="0" applyProtection="0">
      <alignment vertical="center"/>
    </xf>
    <xf numFmtId="0" fontId="3" fillId="0" borderId="0"/>
    <xf numFmtId="0" fontId="3" fillId="0" borderId="0">
      <alignment vertical="center"/>
    </xf>
    <xf numFmtId="0" fontId="15" fillId="0" borderId="0">
      <alignment vertical="center"/>
    </xf>
    <xf numFmtId="0" fontId="3" fillId="0" borderId="0">
      <alignment vertical="center"/>
    </xf>
    <xf numFmtId="0" fontId="3" fillId="0" borderId="0">
      <alignment vertical="center"/>
    </xf>
    <xf numFmtId="0" fontId="4" fillId="0" borderId="0"/>
    <xf numFmtId="0" fontId="3" fillId="0" borderId="0">
      <alignment vertical="center"/>
    </xf>
    <xf numFmtId="0" fontId="4" fillId="0" borderId="0"/>
    <xf numFmtId="0" fontId="3" fillId="0" borderId="0">
      <alignment vertical="center"/>
    </xf>
    <xf numFmtId="0" fontId="3" fillId="0" borderId="0"/>
    <xf numFmtId="0" fontId="22" fillId="4" borderId="0" applyNumberFormat="0" applyBorder="0" applyAlignment="0" applyProtection="0">
      <alignment vertical="center"/>
    </xf>
    <xf numFmtId="0" fontId="23" fillId="0" borderId="4" applyNumberFormat="0" applyFill="0" applyAlignment="0" applyProtection="0">
      <alignment vertical="center"/>
    </xf>
    <xf numFmtId="0" fontId="24" fillId="16" borderId="5" applyNumberFormat="0" applyAlignment="0" applyProtection="0">
      <alignment vertical="center"/>
    </xf>
    <xf numFmtId="0" fontId="25" fillId="17" borderId="6" applyNumberForma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7" applyNumberFormat="0" applyFill="0" applyAlignment="0" applyProtection="0">
      <alignment vertical="center"/>
    </xf>
    <xf numFmtId="0" fontId="16" fillId="18"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21" borderId="0" applyNumberFormat="0" applyBorder="0" applyAlignment="0" applyProtection="0">
      <alignment vertical="center"/>
    </xf>
    <xf numFmtId="0" fontId="29" fillId="22" borderId="0" applyNumberFormat="0" applyBorder="0" applyAlignment="0" applyProtection="0">
      <alignment vertical="center"/>
    </xf>
    <xf numFmtId="0" fontId="30" fillId="16" borderId="8" applyNumberFormat="0" applyAlignment="0" applyProtection="0">
      <alignment vertical="center"/>
    </xf>
    <xf numFmtId="0" fontId="31" fillId="7" borderId="5" applyNumberFormat="0" applyAlignment="0" applyProtection="0">
      <alignment vertical="center"/>
    </xf>
    <xf numFmtId="0" fontId="15" fillId="23" borderId="9" applyNumberFormat="0" applyFont="0" applyAlignment="0" applyProtection="0">
      <alignment vertical="center"/>
    </xf>
  </cellStyleXfs>
  <cellXfs count="128">
    <xf numFmtId="0" fontId="0" fillId="0" borderId="0" xfId="0"/>
    <xf numFmtId="0" fontId="7" fillId="0" borderId="0" xfId="36" applyFont="1" applyFill="1"/>
    <xf numFmtId="0" fontId="7" fillId="0" borderId="0" xfId="36" applyFont="1" applyFill="1" applyBorder="1"/>
    <xf numFmtId="0" fontId="8" fillId="0" borderId="10" xfId="36" applyFont="1" applyFill="1" applyBorder="1" applyAlignment="1">
      <alignment horizontal="left"/>
    </xf>
    <xf numFmtId="1" fontId="7" fillId="0" borderId="10" xfId="36" applyNumberFormat="1" applyFont="1" applyFill="1" applyBorder="1"/>
    <xf numFmtId="0" fontId="9" fillId="0" borderId="0" xfId="36" applyFont="1" applyFill="1"/>
    <xf numFmtId="0" fontId="8" fillId="0" borderId="0" xfId="36" applyFont="1" applyFill="1" applyBorder="1"/>
    <xf numFmtId="2" fontId="7" fillId="0" borderId="0" xfId="36" applyNumberFormat="1" applyFont="1" applyFill="1" applyBorder="1" applyAlignment="1">
      <alignment horizontal="right"/>
    </xf>
    <xf numFmtId="0" fontId="7" fillId="0" borderId="11" xfId="36" applyFont="1" applyFill="1" applyBorder="1"/>
    <xf numFmtId="0" fontId="7" fillId="0" borderId="10" xfId="36" applyFont="1" applyFill="1" applyBorder="1" applyAlignment="1">
      <alignment horizontal="center"/>
    </xf>
    <xf numFmtId="0" fontId="7" fillId="0" borderId="0" xfId="36" applyFont="1" applyFill="1" applyBorder="1" applyAlignment="1">
      <alignment horizontal="right"/>
    </xf>
    <xf numFmtId="0" fontId="8" fillId="0" borderId="12" xfId="36" applyFont="1" applyFill="1" applyBorder="1"/>
    <xf numFmtId="2" fontId="7" fillId="0" borderId="10" xfId="36" applyNumberFormat="1" applyFont="1" applyFill="1" applyBorder="1"/>
    <xf numFmtId="0" fontId="8" fillId="0" borderId="13" xfId="36" applyFont="1" applyFill="1" applyBorder="1"/>
    <xf numFmtId="2" fontId="7" fillId="0" borderId="13" xfId="36" applyNumberFormat="1" applyFont="1" applyFill="1" applyBorder="1"/>
    <xf numFmtId="0" fontId="8" fillId="0" borderId="10" xfId="36" applyFont="1" applyFill="1" applyBorder="1"/>
    <xf numFmtId="9" fontId="7" fillId="0" borderId="10" xfId="20" applyFont="1" applyFill="1" applyBorder="1"/>
    <xf numFmtId="0" fontId="7" fillId="0" borderId="10" xfId="36" applyFont="1" applyFill="1" applyBorder="1"/>
    <xf numFmtId="1" fontId="7" fillId="0" borderId="0" xfId="36" applyNumberFormat="1" applyFont="1" applyFill="1" applyBorder="1"/>
    <xf numFmtId="0" fontId="12" fillId="24" borderId="10" xfId="31" applyFont="1" applyFill="1" applyBorder="1">
      <alignment vertical="center"/>
    </xf>
    <xf numFmtId="0" fontId="13" fillId="25" borderId="10" xfId="31" applyFont="1" applyFill="1" applyBorder="1">
      <alignment vertical="center"/>
    </xf>
    <xf numFmtId="0" fontId="13" fillId="0" borderId="0" xfId="31" applyFont="1">
      <alignment vertical="center"/>
    </xf>
    <xf numFmtId="176" fontId="13" fillId="0" borderId="0" xfId="31" applyNumberFormat="1" applyFont="1">
      <alignment vertical="center"/>
    </xf>
    <xf numFmtId="0" fontId="13" fillId="0" borderId="10" xfId="31" applyFont="1" applyBorder="1" applyAlignment="1">
      <alignment horizontal="center" vertical="center"/>
    </xf>
    <xf numFmtId="0" fontId="13" fillId="0" borderId="10" xfId="31" applyFont="1" applyBorder="1">
      <alignment vertical="center"/>
    </xf>
    <xf numFmtId="0" fontId="13" fillId="26" borderId="10" xfId="31" applyFont="1" applyFill="1" applyBorder="1">
      <alignment vertical="center"/>
    </xf>
    <xf numFmtId="0" fontId="13" fillId="0" borderId="0" xfId="31" applyFont="1" applyBorder="1" applyAlignment="1">
      <alignment horizontal="center" vertical="center"/>
    </xf>
    <xf numFmtId="0" fontId="13" fillId="0" borderId="0" xfId="31" applyFont="1" applyBorder="1">
      <alignment vertical="center"/>
    </xf>
    <xf numFmtId="0" fontId="7" fillId="27" borderId="0" xfId="0" applyFont="1" applyFill="1"/>
    <xf numFmtId="0" fontId="7" fillId="0" borderId="0" xfId="0" applyFont="1" applyFill="1"/>
    <xf numFmtId="0" fontId="8" fillId="24" borderId="14" xfId="0" applyFont="1" applyFill="1" applyBorder="1" applyAlignment="1">
      <alignment vertical="center"/>
    </xf>
    <xf numFmtId="0" fontId="7" fillId="25" borderId="10" xfId="0" applyNumberFormat="1" applyFont="1" applyFill="1" applyBorder="1" applyAlignment="1">
      <alignment vertical="center"/>
    </xf>
    <xf numFmtId="0" fontId="7" fillId="0" borderId="0" xfId="0" applyFont="1" applyFill="1" applyAlignment="1">
      <alignment horizontal="center" vertical="center"/>
    </xf>
    <xf numFmtId="0" fontId="8" fillId="24" borderId="15" xfId="0" applyFont="1" applyFill="1" applyBorder="1" applyAlignment="1">
      <alignment vertical="center"/>
    </xf>
    <xf numFmtId="180" fontId="7" fillId="0" borderId="0" xfId="0" applyNumberFormat="1" applyFont="1" applyFill="1" applyAlignment="1">
      <alignment horizontal="center" vertical="center"/>
    </xf>
    <xf numFmtId="181" fontId="7" fillId="0" borderId="0" xfId="0" applyNumberFormat="1" applyFont="1" applyFill="1" applyAlignment="1">
      <alignment horizontal="center" vertical="center"/>
    </xf>
    <xf numFmtId="176" fontId="7" fillId="25" borderId="10" xfId="0" applyNumberFormat="1" applyFont="1" applyFill="1" applyBorder="1" applyAlignment="1">
      <alignment vertical="center"/>
    </xf>
    <xf numFmtId="0" fontId="9" fillId="27" borderId="0" xfId="0" applyFont="1" applyFill="1"/>
    <xf numFmtId="0" fontId="8" fillId="24" borderId="15" xfId="0" applyFont="1" applyFill="1" applyBorder="1"/>
    <xf numFmtId="176" fontId="7" fillId="28" borderId="12" xfId="0" applyNumberFormat="1" applyFont="1" applyFill="1" applyBorder="1"/>
    <xf numFmtId="0" fontId="8" fillId="24" borderId="14" xfId="0" applyFont="1" applyFill="1" applyBorder="1"/>
    <xf numFmtId="1" fontId="7" fillId="29" borderId="10" xfId="0" applyNumberFormat="1" applyFont="1" applyFill="1" applyBorder="1"/>
    <xf numFmtId="1" fontId="7" fillId="28" borderId="12" xfId="0" applyNumberFormat="1" applyFont="1" applyFill="1" applyBorder="1"/>
    <xf numFmtId="0" fontId="8" fillId="27" borderId="0" xfId="0" applyFont="1" applyFill="1"/>
    <xf numFmtId="0" fontId="7" fillId="27" borderId="0" xfId="0" applyNumberFormat="1" applyFont="1" applyFill="1"/>
    <xf numFmtId="0" fontId="7" fillId="30" borderId="10" xfId="0" applyFont="1" applyFill="1" applyBorder="1"/>
    <xf numFmtId="0" fontId="8" fillId="0" borderId="10" xfId="0" applyFont="1" applyBorder="1"/>
    <xf numFmtId="0" fontId="7" fillId="0" borderId="0" xfId="0" applyFont="1"/>
    <xf numFmtId="0" fontId="7" fillId="30" borderId="0" xfId="0" applyFont="1" applyFill="1"/>
    <xf numFmtId="1" fontId="7" fillId="28" borderId="0" xfId="0" applyNumberFormat="1" applyFont="1" applyFill="1"/>
    <xf numFmtId="176" fontId="7" fillId="0" borderId="0" xfId="0" applyNumberFormat="1" applyFont="1"/>
    <xf numFmtId="0" fontId="7" fillId="0" borderId="0" xfId="0" applyFont="1" applyFill="1" applyBorder="1"/>
    <xf numFmtId="1" fontId="7" fillId="0" borderId="0" xfId="0" applyNumberFormat="1" applyFont="1" applyFill="1" applyBorder="1"/>
    <xf numFmtId="1" fontId="7" fillId="0" borderId="0" xfId="0" applyNumberFormat="1" applyFont="1" applyFill="1"/>
    <xf numFmtId="1" fontId="7" fillId="0" borderId="0" xfId="0" applyNumberFormat="1" applyFont="1"/>
    <xf numFmtId="0" fontId="7" fillId="0" borderId="10" xfId="0" applyFont="1" applyBorder="1"/>
    <xf numFmtId="1" fontId="7" fillId="0" borderId="10" xfId="0" applyNumberFormat="1" applyFont="1" applyBorder="1"/>
    <xf numFmtId="176" fontId="7" fillId="0" borderId="10" xfId="0" applyNumberFormat="1" applyFont="1" applyBorder="1"/>
    <xf numFmtId="0" fontId="7" fillId="28" borderId="10" xfId="0" applyFont="1" applyFill="1" applyBorder="1"/>
    <xf numFmtId="0" fontId="7" fillId="0" borderId="10" xfId="32" applyFont="1" applyBorder="1"/>
    <xf numFmtId="0" fontId="8" fillId="31" borderId="10" xfId="32" applyFont="1" applyFill="1" applyBorder="1" applyAlignment="1">
      <alignment horizontal="center"/>
    </xf>
    <xf numFmtId="0" fontId="8" fillId="31" borderId="10" xfId="32" applyFont="1" applyFill="1" applyBorder="1"/>
    <xf numFmtId="177" fontId="7" fillId="0" borderId="10" xfId="32" applyNumberFormat="1" applyFont="1" applyBorder="1"/>
    <xf numFmtId="0" fontId="7" fillId="0" borderId="0" xfId="35" applyFont="1">
      <alignment vertical="center"/>
    </xf>
    <xf numFmtId="0" fontId="7" fillId="26" borderId="10" xfId="35" applyFont="1" applyFill="1" applyBorder="1">
      <alignment vertical="center"/>
    </xf>
    <xf numFmtId="0" fontId="23" fillId="0" borderId="10" xfId="29" applyFont="1" applyBorder="1" applyAlignment="1">
      <alignment horizontal="center" vertical="center"/>
    </xf>
    <xf numFmtId="0" fontId="23" fillId="0" borderId="10" xfId="29" applyFont="1" applyBorder="1">
      <alignment vertical="center"/>
    </xf>
    <xf numFmtId="0" fontId="23" fillId="0" borderId="10" xfId="29" applyFont="1" applyFill="1" applyBorder="1">
      <alignment vertical="center"/>
    </xf>
    <xf numFmtId="0" fontId="23" fillId="0" borderId="0" xfId="29" applyFont="1">
      <alignment vertical="center"/>
    </xf>
    <xf numFmtId="0" fontId="32" fillId="0" borderId="0" xfId="29" applyFont="1">
      <alignment vertical="center"/>
    </xf>
    <xf numFmtId="0" fontId="32" fillId="0" borderId="10" xfId="29" applyFont="1" applyBorder="1">
      <alignment vertical="center"/>
    </xf>
    <xf numFmtId="179" fontId="32" fillId="0" borderId="10" xfId="29" applyNumberFormat="1" applyFont="1" applyBorder="1">
      <alignment vertical="center"/>
    </xf>
    <xf numFmtId="0" fontId="32" fillId="0" borderId="13" xfId="29" applyFont="1" applyBorder="1">
      <alignment vertical="center"/>
    </xf>
    <xf numFmtId="0" fontId="32" fillId="0" borderId="14" xfId="29" applyFont="1" applyBorder="1">
      <alignment vertical="center"/>
    </xf>
    <xf numFmtId="0" fontId="32" fillId="0" borderId="16" xfId="29" applyFont="1" applyBorder="1">
      <alignment vertical="center"/>
    </xf>
    <xf numFmtId="0" fontId="32" fillId="0" borderId="17" xfId="29" applyFont="1" applyBorder="1">
      <alignment vertical="center"/>
    </xf>
    <xf numFmtId="0" fontId="32" fillId="0" borderId="0" xfId="29" applyFont="1" applyBorder="1">
      <alignment vertical="center"/>
    </xf>
    <xf numFmtId="0" fontId="8" fillId="0" borderId="0" xfId="33" applyFont="1">
      <alignment vertical="center"/>
    </xf>
    <xf numFmtId="0" fontId="8" fillId="0" borderId="0" xfId="33" applyFont="1" applyBorder="1">
      <alignment vertical="center"/>
    </xf>
    <xf numFmtId="0" fontId="8" fillId="0" borderId="0" xfId="33" applyFont="1" applyFill="1" applyBorder="1" applyAlignment="1">
      <alignment horizontal="left" vertical="center"/>
    </xf>
    <xf numFmtId="0" fontId="8" fillId="0" borderId="0" xfId="33" applyFont="1" applyFill="1" applyBorder="1" applyAlignment="1">
      <alignment horizontal="left"/>
    </xf>
    <xf numFmtId="9" fontId="7" fillId="0" borderId="0" xfId="33" applyNumberFormat="1" applyFont="1">
      <alignment vertical="center"/>
    </xf>
    <xf numFmtId="0" fontId="7" fillId="0" borderId="0" xfId="33" applyFont="1">
      <alignment vertical="center"/>
    </xf>
    <xf numFmtId="0" fontId="7" fillId="0" borderId="0" xfId="33" applyFont="1" applyBorder="1">
      <alignment vertical="center"/>
    </xf>
    <xf numFmtId="0" fontId="7" fillId="28" borderId="0" xfId="33" applyFont="1" applyFill="1" applyBorder="1">
      <alignment vertical="center"/>
    </xf>
    <xf numFmtId="6" fontId="7" fillId="28" borderId="0" xfId="33" applyNumberFormat="1" applyFont="1" applyFill="1">
      <alignment vertical="center"/>
    </xf>
    <xf numFmtId="9" fontId="7" fillId="0" borderId="0" xfId="33" applyNumberFormat="1" applyFont="1" applyBorder="1">
      <alignment vertical="center"/>
    </xf>
    <xf numFmtId="10" fontId="7" fillId="28" borderId="0" xfId="33" applyNumberFormat="1" applyFont="1" applyFill="1" applyBorder="1">
      <alignment vertical="center"/>
    </xf>
    <xf numFmtId="0" fontId="7" fillId="0" borderId="0" xfId="33" applyFont="1" applyFill="1">
      <alignment vertical="center"/>
    </xf>
    <xf numFmtId="0" fontId="7" fillId="0" borderId="0" xfId="33" applyFont="1" applyFill="1" applyBorder="1" applyAlignment="1">
      <alignment horizontal="left" vertical="center"/>
    </xf>
    <xf numFmtId="0" fontId="7" fillId="0" borderId="0" xfId="33" applyFont="1" applyFill="1" applyBorder="1">
      <alignment vertical="center"/>
    </xf>
    <xf numFmtId="177" fontId="7" fillId="0" borderId="0" xfId="33" applyNumberFormat="1" applyFont="1" applyFill="1" applyBorder="1">
      <alignment vertical="center"/>
    </xf>
    <xf numFmtId="0" fontId="7" fillId="0" borderId="0" xfId="34" applyFont="1"/>
    <xf numFmtId="0" fontId="8" fillId="0" borderId="0" xfId="34" applyFont="1"/>
    <xf numFmtId="0" fontId="8" fillId="24" borderId="10" xfId="33" applyFont="1" applyFill="1" applyBorder="1">
      <alignment vertical="center"/>
    </xf>
    <xf numFmtId="178" fontId="7" fillId="0" borderId="10" xfId="33" applyNumberFormat="1" applyFont="1" applyFill="1" applyBorder="1">
      <alignment vertical="center"/>
    </xf>
    <xf numFmtId="0" fontId="8" fillId="32" borderId="10" xfId="34" applyFont="1" applyFill="1" applyBorder="1" applyAlignment="1">
      <alignment horizontal="center"/>
    </xf>
    <xf numFmtId="0" fontId="8" fillId="0" borderId="10" xfId="34" applyFont="1" applyBorder="1" applyAlignment="1">
      <alignment horizontal="center"/>
    </xf>
    <xf numFmtId="0" fontId="8" fillId="0" borderId="10" xfId="34" applyFont="1" applyBorder="1"/>
    <xf numFmtId="183" fontId="7" fillId="0" borderId="0" xfId="0" applyNumberFormat="1" applyFont="1"/>
    <xf numFmtId="177" fontId="7" fillId="0" borderId="10" xfId="33" applyNumberFormat="1" applyFont="1" applyFill="1" applyBorder="1">
      <alignment vertical="center"/>
    </xf>
    <xf numFmtId="57" fontId="7" fillId="32" borderId="10" xfId="34" quotePrefix="1" applyNumberFormat="1" applyFont="1" applyFill="1" applyBorder="1"/>
    <xf numFmtId="0" fontId="7" fillId="0" borderId="10" xfId="34" applyFont="1" applyBorder="1"/>
    <xf numFmtId="182" fontId="7" fillId="25" borderId="10" xfId="34" applyNumberFormat="1" applyFont="1" applyFill="1" applyBorder="1"/>
    <xf numFmtId="182" fontId="7" fillId="0" borderId="0" xfId="0" applyNumberFormat="1" applyFont="1"/>
    <xf numFmtId="0" fontId="7" fillId="0" borderId="10" xfId="33" applyFont="1" applyFill="1" applyBorder="1">
      <alignment vertical="center"/>
    </xf>
    <xf numFmtId="182" fontId="7" fillId="28" borderId="10" xfId="0" applyNumberFormat="1" applyFont="1" applyFill="1" applyBorder="1"/>
    <xf numFmtId="0" fontId="8" fillId="24" borderId="10" xfId="28" applyFont="1" applyFill="1" applyBorder="1">
      <alignment vertical="center"/>
    </xf>
    <xf numFmtId="184" fontId="7" fillId="28" borderId="10" xfId="0" applyNumberFormat="1" applyFont="1" applyFill="1" applyBorder="1"/>
    <xf numFmtId="178" fontId="7" fillId="28" borderId="10" xfId="33" applyNumberFormat="1" applyFont="1" applyFill="1" applyBorder="1">
      <alignment vertical="center"/>
    </xf>
    <xf numFmtId="0" fontId="8" fillId="24" borderId="10" xfId="30" applyFont="1" applyFill="1" applyBorder="1" applyAlignment="1">
      <alignment horizontal="center" vertical="center"/>
    </xf>
    <xf numFmtId="0" fontId="8" fillId="24" borderId="10" xfId="30" applyFont="1" applyFill="1" applyBorder="1" applyAlignment="1">
      <alignment vertical="center"/>
    </xf>
    <xf numFmtId="0" fontId="8" fillId="24" borderId="10" xfId="30" applyFont="1" applyFill="1" applyBorder="1">
      <alignment vertical="center"/>
    </xf>
    <xf numFmtId="0" fontId="7" fillId="28" borderId="10" xfId="30" applyFont="1" applyFill="1" applyBorder="1" applyAlignment="1">
      <alignment horizontal="center" vertical="center"/>
    </xf>
    <xf numFmtId="0" fontId="7" fillId="0" borderId="0" xfId="30" applyFont="1">
      <alignment vertical="center"/>
    </xf>
    <xf numFmtId="0" fontId="7" fillId="0" borderId="0" xfId="30" applyFont="1" applyAlignment="1">
      <alignment horizontal="center" vertical="center"/>
    </xf>
    <xf numFmtId="0" fontId="7" fillId="28" borderId="10" xfId="30" applyFont="1" applyFill="1" applyBorder="1" applyAlignment="1">
      <alignment horizontal="center" vertical="center"/>
    </xf>
    <xf numFmtId="0" fontId="7" fillId="25" borderId="10" xfId="30" applyFont="1" applyFill="1" applyBorder="1" applyAlignment="1">
      <alignment horizontal="center" vertical="center"/>
    </xf>
    <xf numFmtId="9" fontId="7" fillId="25" borderId="10" xfId="30" applyNumberFormat="1" applyFont="1" applyFill="1" applyBorder="1" applyAlignment="1">
      <alignment horizontal="center" vertical="center"/>
    </xf>
    <xf numFmtId="9" fontId="7" fillId="28" borderId="10" xfId="30" applyNumberFormat="1" applyFont="1" applyFill="1" applyBorder="1" applyAlignment="1">
      <alignment horizontal="center" vertical="center"/>
    </xf>
    <xf numFmtId="0" fontId="7" fillId="26" borderId="10" xfId="30" applyFont="1" applyFill="1" applyBorder="1" applyAlignment="1">
      <alignment horizontal="center" vertical="center"/>
    </xf>
    <xf numFmtId="0" fontId="7" fillId="0" borderId="10" xfId="30" applyFont="1" applyBorder="1" applyAlignment="1">
      <alignment horizontal="center" vertical="center"/>
    </xf>
    <xf numFmtId="0" fontId="7" fillId="28" borderId="10" xfId="30" applyFont="1" applyFill="1" applyBorder="1" applyAlignment="1">
      <alignment horizontal="right" vertical="center"/>
    </xf>
    <xf numFmtId="10" fontId="7" fillId="28" borderId="10" xfId="20" applyNumberFormat="1" applyFont="1" applyFill="1" applyBorder="1" applyAlignment="1">
      <alignment horizontal="right" vertical="center"/>
    </xf>
    <xf numFmtId="10" fontId="7" fillId="0" borderId="10" xfId="33" applyNumberFormat="1" applyFont="1" applyFill="1" applyBorder="1">
      <alignment vertical="center"/>
    </xf>
    <xf numFmtId="182" fontId="7" fillId="33" borderId="10" xfId="34" applyNumberFormat="1" applyFont="1" applyFill="1" applyBorder="1"/>
    <xf numFmtId="182" fontId="7" fillId="33" borderId="0" xfId="0" applyNumberFormat="1" applyFont="1" applyFill="1"/>
    <xf numFmtId="0" fontId="11" fillId="0" borderId="0" xfId="36" applyFont="1" applyFill="1" applyBorder="1" applyAlignment="1">
      <alignment horizontal="left"/>
    </xf>
  </cellXfs>
  <cellStyles count="54">
    <cellStyle name="20% - 强调文字颜色 1" xfId="1" builtinId="30" customBuiltin="1"/>
    <cellStyle name="20% - 强调文字颜色 2" xfId="2" builtinId="34" customBuiltin="1"/>
    <cellStyle name="20% - 强调文字颜色 3" xfId="3" builtinId="38" customBuiltin="1"/>
    <cellStyle name="20% - 强调文字颜色 4" xfId="4" builtinId="42" customBuiltin="1"/>
    <cellStyle name="20% - 强调文字颜色 5" xfId="5" builtinId="46" customBuiltin="1"/>
    <cellStyle name="20% - 强调文字颜色 6" xfId="6" builtinId="50" customBuiltin="1"/>
    <cellStyle name="40% - 强调文字颜色 1" xfId="7" builtinId="31" customBuiltin="1"/>
    <cellStyle name="40% - 强调文字颜色 2" xfId="8" builtinId="35" customBuiltin="1"/>
    <cellStyle name="40% - 强调文字颜色 3" xfId="9" builtinId="39" customBuiltin="1"/>
    <cellStyle name="40% - 强调文字颜色 4" xfId="10" builtinId="43" customBuiltin="1"/>
    <cellStyle name="40% - 强调文字颜色 5" xfId="11" builtinId="47" customBuiltin="1"/>
    <cellStyle name="40% - 强调文字颜色 6" xfId="12" builtinId="51" customBuiltin="1"/>
    <cellStyle name="60% - 强调文字颜色 1" xfId="13" builtinId="32" customBuiltin="1"/>
    <cellStyle name="60% - 强调文字颜色 2" xfId="14" builtinId="36" customBuiltin="1"/>
    <cellStyle name="60% - 强调文字颜色 3" xfId="15" builtinId="40" customBuiltin="1"/>
    <cellStyle name="60% - 强调文字颜色 4" xfId="16" builtinId="44" customBuiltin="1"/>
    <cellStyle name="60% - 强调文字颜色 5" xfId="17" builtinId="48" customBuiltin="1"/>
    <cellStyle name="60% - 强调文字颜色 6" xfId="18" builtinId="52" customBuiltin="1"/>
    <cellStyle name="Normal_Calculation (3)" xfId="19"/>
    <cellStyle name="百分比" xfId="20" builtinId="5"/>
    <cellStyle name="标题" xfId="21" builtinId="15" customBuiltin="1"/>
    <cellStyle name="标题 1" xfId="22" builtinId="16" customBuiltin="1"/>
    <cellStyle name="标题 2" xfId="23" builtinId="17" customBuiltin="1"/>
    <cellStyle name="标题 3" xfId="24" builtinId="18" customBuiltin="1"/>
    <cellStyle name="标题 4" xfId="25" builtinId="19" customBuiltin="1"/>
    <cellStyle name="差" xfId="26" builtinId="27" customBuiltin="1"/>
    <cellStyle name="常规" xfId="0" builtinId="0"/>
    <cellStyle name="常规 2" xfId="27"/>
    <cellStyle name="常规_2006_2007第一学期第8题ABCD考题 经过改造" xfId="28"/>
    <cellStyle name="常规_2010-2011_S_第5题_参考答案" xfId="29"/>
    <cellStyle name="常规_Book1" xfId="30"/>
    <cellStyle name="常规_第6章-经济订货量补考答案2" xfId="31"/>
    <cellStyle name="常规_第7章最优化模型-200606" xfId="32"/>
    <cellStyle name="常规_第8章投资评价出题-200712" xfId="33"/>
    <cellStyle name="常规_第8章投资评价模型-200606" xfId="34"/>
    <cellStyle name="常规_规划求解-期末试题" xfId="35"/>
    <cellStyle name="常规_例6-02 安全边际与目标销量分析模型" xfId="36"/>
    <cellStyle name="好" xfId="37" builtinId="26" customBuiltin="1"/>
    <cellStyle name="汇总" xfId="38" builtinId="25" customBuiltin="1"/>
    <cellStyle name="计算" xfId="39" builtinId="22" customBuiltin="1"/>
    <cellStyle name="检查单元格" xfId="40" builtinId="23" customBuiltin="1"/>
    <cellStyle name="解释性文本" xfId="41" builtinId="53" customBuiltin="1"/>
    <cellStyle name="警告文本" xfId="42" builtinId="11" customBuiltin="1"/>
    <cellStyle name="链接单元格" xfId="43" builtinId="24" customBuiltin="1"/>
    <cellStyle name="强调文字颜色 1" xfId="44" builtinId="29" customBuiltin="1"/>
    <cellStyle name="强调文字颜色 2" xfId="45" builtinId="33" customBuiltin="1"/>
    <cellStyle name="强调文字颜色 3" xfId="46" builtinId="37" customBuiltin="1"/>
    <cellStyle name="强调文字颜色 4" xfId="47" builtinId="41" customBuiltin="1"/>
    <cellStyle name="强调文字颜色 5" xfId="48" builtinId="45" customBuiltin="1"/>
    <cellStyle name="强调文字颜色 6" xfId="49" builtinId="49" customBuiltin="1"/>
    <cellStyle name="适中" xfId="50" builtinId="28" customBuiltin="1"/>
    <cellStyle name="输出" xfId="51" builtinId="21" customBuiltin="1"/>
    <cellStyle name="输入" xfId="52" builtinId="20" customBuiltin="1"/>
    <cellStyle name="注释" xfId="53"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0" i="0" u="none" strike="noStrike" baseline="0">
                <a:solidFill>
                  <a:srgbClr val="000000"/>
                </a:solidFill>
                <a:latin typeface="宋体"/>
                <a:ea typeface="宋体"/>
                <a:cs typeface="宋体"/>
              </a:defRPr>
            </a:pPr>
            <a:r>
              <a:rPr altLang="en-US"/>
              <a:t>库存随时间变化图形</a:t>
            </a:r>
          </a:p>
        </c:rich>
      </c:tx>
      <c:layout>
        <c:manualLayout>
          <c:xMode val="edge"/>
          <c:yMode val="edge"/>
          <c:x val="0.37587006960556846"/>
          <c:y val="2.6738037730922384E-2"/>
        </c:manualLayout>
      </c:layout>
      <c:overlay val="0"/>
      <c:spPr>
        <a:noFill/>
        <a:ln w="25400">
          <a:noFill/>
        </a:ln>
      </c:spPr>
    </c:title>
    <c:autoTitleDeleted val="0"/>
    <c:plotArea>
      <c:layout>
        <c:manualLayout>
          <c:layoutTarget val="inner"/>
          <c:xMode val="edge"/>
          <c:yMode val="edge"/>
          <c:x val="7.6566125290023199E-2"/>
          <c:y val="0.15508061883934982"/>
          <c:w val="0.86774941995359633"/>
          <c:h val="0.69518898100398197"/>
        </c:manualLayout>
      </c:layout>
      <c:barChart>
        <c:barDir val="col"/>
        <c:grouping val="clustered"/>
        <c:varyColors val="0"/>
        <c:ser>
          <c:idx val="0"/>
          <c:order val="0"/>
          <c:spPr>
            <a:solidFill>
              <a:srgbClr val="FF6600"/>
            </a:solidFill>
            <a:ln w="12700">
              <a:solidFill>
                <a:srgbClr val="000000"/>
              </a:solidFill>
              <a:prstDash val="solid"/>
            </a:ln>
          </c:spPr>
          <c:invertIfNegative val="0"/>
          <c:val>
            <c:numRef>
              <c:f>第2题答案!$F$3:$F$62</c:f>
              <c:numCache>
                <c:formatCode>General</c:formatCode>
                <c:ptCount val="60"/>
                <c:pt idx="0">
                  <c:v>350</c:v>
                </c:pt>
                <c:pt idx="1">
                  <c:v>325</c:v>
                </c:pt>
                <c:pt idx="2">
                  <c:v>300</c:v>
                </c:pt>
                <c:pt idx="3">
                  <c:v>275</c:v>
                </c:pt>
                <c:pt idx="4">
                  <c:v>250</c:v>
                </c:pt>
                <c:pt idx="5">
                  <c:v>225</c:v>
                </c:pt>
                <c:pt idx="6">
                  <c:v>200</c:v>
                </c:pt>
                <c:pt idx="7">
                  <c:v>175</c:v>
                </c:pt>
                <c:pt idx="8">
                  <c:v>150</c:v>
                </c:pt>
                <c:pt idx="9">
                  <c:v>125</c:v>
                </c:pt>
                <c:pt idx="10">
                  <c:v>100</c:v>
                </c:pt>
                <c:pt idx="11">
                  <c:v>75</c:v>
                </c:pt>
                <c:pt idx="12">
                  <c:v>50</c:v>
                </c:pt>
                <c:pt idx="13">
                  <c:v>25</c:v>
                </c:pt>
                <c:pt idx="14">
                  <c:v>375</c:v>
                </c:pt>
                <c:pt idx="15">
                  <c:v>350</c:v>
                </c:pt>
                <c:pt idx="16">
                  <c:v>325</c:v>
                </c:pt>
                <c:pt idx="17">
                  <c:v>300</c:v>
                </c:pt>
                <c:pt idx="18">
                  <c:v>275</c:v>
                </c:pt>
                <c:pt idx="19">
                  <c:v>250</c:v>
                </c:pt>
                <c:pt idx="20">
                  <c:v>225</c:v>
                </c:pt>
                <c:pt idx="21">
                  <c:v>200</c:v>
                </c:pt>
                <c:pt idx="22">
                  <c:v>175</c:v>
                </c:pt>
                <c:pt idx="23">
                  <c:v>150</c:v>
                </c:pt>
                <c:pt idx="24">
                  <c:v>125</c:v>
                </c:pt>
                <c:pt idx="25">
                  <c:v>100</c:v>
                </c:pt>
                <c:pt idx="26">
                  <c:v>75</c:v>
                </c:pt>
                <c:pt idx="27">
                  <c:v>50</c:v>
                </c:pt>
                <c:pt idx="28">
                  <c:v>25</c:v>
                </c:pt>
                <c:pt idx="29">
                  <c:v>375</c:v>
                </c:pt>
                <c:pt idx="30">
                  <c:v>350</c:v>
                </c:pt>
                <c:pt idx="31">
                  <c:v>325</c:v>
                </c:pt>
                <c:pt idx="32">
                  <c:v>300</c:v>
                </c:pt>
                <c:pt idx="33">
                  <c:v>275</c:v>
                </c:pt>
                <c:pt idx="34">
                  <c:v>250</c:v>
                </c:pt>
                <c:pt idx="35">
                  <c:v>225</c:v>
                </c:pt>
                <c:pt idx="36">
                  <c:v>200</c:v>
                </c:pt>
                <c:pt idx="37">
                  <c:v>175</c:v>
                </c:pt>
                <c:pt idx="38">
                  <c:v>150</c:v>
                </c:pt>
                <c:pt idx="39">
                  <c:v>125</c:v>
                </c:pt>
                <c:pt idx="40">
                  <c:v>100</c:v>
                </c:pt>
                <c:pt idx="41">
                  <c:v>75</c:v>
                </c:pt>
                <c:pt idx="42">
                  <c:v>50</c:v>
                </c:pt>
                <c:pt idx="43">
                  <c:v>25</c:v>
                </c:pt>
                <c:pt idx="44">
                  <c:v>375</c:v>
                </c:pt>
                <c:pt idx="45">
                  <c:v>350</c:v>
                </c:pt>
                <c:pt idx="46">
                  <c:v>325</c:v>
                </c:pt>
                <c:pt idx="47">
                  <c:v>300</c:v>
                </c:pt>
                <c:pt idx="48">
                  <c:v>275</c:v>
                </c:pt>
                <c:pt idx="49">
                  <c:v>250</c:v>
                </c:pt>
                <c:pt idx="50">
                  <c:v>225</c:v>
                </c:pt>
                <c:pt idx="51">
                  <c:v>200</c:v>
                </c:pt>
                <c:pt idx="52">
                  <c:v>175</c:v>
                </c:pt>
                <c:pt idx="53">
                  <c:v>150</c:v>
                </c:pt>
                <c:pt idx="54">
                  <c:v>125</c:v>
                </c:pt>
                <c:pt idx="55">
                  <c:v>100</c:v>
                </c:pt>
                <c:pt idx="56">
                  <c:v>75</c:v>
                </c:pt>
                <c:pt idx="57">
                  <c:v>50</c:v>
                </c:pt>
                <c:pt idx="58">
                  <c:v>25</c:v>
                </c:pt>
                <c:pt idx="59">
                  <c:v>375</c:v>
                </c:pt>
              </c:numCache>
            </c:numRef>
          </c:val>
        </c:ser>
        <c:ser>
          <c:idx val="2"/>
          <c:order val="1"/>
          <c:spPr>
            <a:solidFill>
              <a:srgbClr val="FFFFCC"/>
            </a:solidFill>
            <a:ln w="12700">
              <a:solidFill>
                <a:srgbClr val="000000"/>
              </a:solidFill>
              <a:prstDash val="solid"/>
            </a:ln>
          </c:spPr>
          <c:invertIfNegative val="0"/>
          <c:val>
            <c:numRef>
              <c:f>第2题答案!$G$3:$G$62</c:f>
              <c:numCache>
                <c:formatCode>General</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250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er>
        <c:dLbls>
          <c:showLegendKey val="0"/>
          <c:showVal val="0"/>
          <c:showCatName val="0"/>
          <c:showSerName val="0"/>
          <c:showPercent val="0"/>
          <c:showBubbleSize val="0"/>
        </c:dLbls>
        <c:gapWidth val="0"/>
        <c:overlap val="100"/>
        <c:axId val="197301248"/>
        <c:axId val="197637184"/>
      </c:barChart>
      <c:catAx>
        <c:axId val="197301248"/>
        <c:scaling>
          <c:orientation val="minMax"/>
        </c:scaling>
        <c:delete val="0"/>
        <c:axPos val="b"/>
        <c:title>
          <c:tx>
            <c:rich>
              <a:bodyPr/>
              <a:lstStyle/>
              <a:p>
                <a:pPr>
                  <a:defRPr sz="800" b="0" i="0" u="none" strike="noStrike" baseline="0">
                    <a:solidFill>
                      <a:srgbClr val="000000"/>
                    </a:solidFill>
                    <a:latin typeface="宋体"/>
                    <a:ea typeface="宋体"/>
                    <a:cs typeface="宋体"/>
                  </a:defRPr>
                </a:pPr>
                <a:r>
                  <a:rPr altLang="en-US"/>
                  <a:t>天</a:t>
                </a:r>
              </a:p>
            </c:rich>
          </c:tx>
          <c:layout>
            <c:manualLayout>
              <c:xMode val="edge"/>
              <c:yMode val="edge"/>
              <c:x val="0.95359628770301619"/>
              <c:y val="0.86096481493570076"/>
            </c:manualLayout>
          </c:layout>
          <c:overlay val="0"/>
          <c:spPr>
            <a:noFill/>
            <a:ln w="25400">
              <a:noFill/>
            </a:ln>
          </c:spPr>
        </c:title>
        <c:numFmt formatCode="General"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宋体"/>
                <a:ea typeface="宋体"/>
                <a:cs typeface="宋体"/>
              </a:defRPr>
            </a:pPr>
            <a:endParaRPr lang="zh-CN"/>
          </a:p>
        </c:txPr>
        <c:crossAx val="197637184"/>
        <c:crosses val="autoZero"/>
        <c:auto val="1"/>
        <c:lblAlgn val="ctr"/>
        <c:lblOffset val="100"/>
        <c:tickLblSkip val="9"/>
        <c:tickMarkSkip val="5"/>
        <c:noMultiLvlLbl val="0"/>
      </c:catAx>
      <c:valAx>
        <c:axId val="197637184"/>
        <c:scaling>
          <c:orientation val="minMax"/>
        </c:scaling>
        <c:delete val="0"/>
        <c:axPos val="l"/>
        <c:title>
          <c:tx>
            <c:rich>
              <a:bodyPr rot="0" vert="horz"/>
              <a:lstStyle/>
              <a:p>
                <a:pPr algn="ctr">
                  <a:defRPr sz="800" b="0" i="0" u="none" strike="noStrike" baseline="0">
                    <a:solidFill>
                      <a:srgbClr val="000000"/>
                    </a:solidFill>
                    <a:latin typeface="宋体"/>
                    <a:ea typeface="宋体"/>
                    <a:cs typeface="宋体"/>
                  </a:defRPr>
                </a:pPr>
                <a:r>
                  <a:rPr altLang="en-US"/>
                  <a:t>库存量</a:t>
                </a:r>
              </a:p>
            </c:rich>
          </c:tx>
          <c:layout>
            <c:manualLayout>
              <c:xMode val="edge"/>
              <c:yMode val="edge"/>
              <c:x val="9.0487238979118326E-2"/>
              <c:y val="3.7433252823291338E-2"/>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宋体"/>
                <a:ea typeface="宋体"/>
                <a:cs typeface="宋体"/>
              </a:defRPr>
            </a:pPr>
            <a:endParaRPr lang="zh-CN"/>
          </a:p>
        </c:txPr>
        <c:crossAx val="197301248"/>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5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0" i="0" u="none" strike="noStrike" baseline="0">
                <a:solidFill>
                  <a:srgbClr val="000000"/>
                </a:solidFill>
                <a:latin typeface="宋体"/>
                <a:ea typeface="宋体"/>
                <a:cs typeface="宋体"/>
              </a:defRPr>
            </a:pPr>
            <a:r>
              <a:rPr altLang="en-US"/>
              <a:t>不同整车运费下的年总成本随订货量变化的图形</a:t>
            </a:r>
          </a:p>
        </c:rich>
      </c:tx>
      <c:layout>
        <c:manualLayout>
          <c:xMode val="edge"/>
          <c:yMode val="edge"/>
          <c:x val="0.17813765182186234"/>
          <c:y val="3.1662309921140545E-2"/>
        </c:manualLayout>
      </c:layout>
      <c:overlay val="0"/>
      <c:spPr>
        <a:noFill/>
        <a:ln w="25400">
          <a:noFill/>
        </a:ln>
      </c:spPr>
    </c:title>
    <c:autoTitleDeleted val="0"/>
    <c:plotArea>
      <c:layout>
        <c:manualLayout>
          <c:layoutTarget val="inner"/>
          <c:xMode val="edge"/>
          <c:yMode val="edge"/>
          <c:x val="0.15182186234817813"/>
          <c:y val="0.19261238535360498"/>
          <c:w val="0.78744939271255066"/>
          <c:h val="0.69129376661156849"/>
        </c:manualLayout>
      </c:layout>
      <c:scatterChart>
        <c:scatterStyle val="lineMarker"/>
        <c:varyColors val="0"/>
        <c:ser>
          <c:idx val="0"/>
          <c:order val="0"/>
          <c:spPr>
            <a:ln w="12700">
              <a:solidFill>
                <a:srgbClr val="C0C0C0"/>
              </a:solidFill>
              <a:prstDash val="solid"/>
            </a:ln>
          </c:spPr>
          <c:marker>
            <c:symbol val="none"/>
          </c:marker>
          <c:xVal>
            <c:numLit>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199.99999</c:v>
              </c:pt>
              <c:pt idx="18">
                <c:v>200</c:v>
              </c:pt>
              <c:pt idx="19">
                <c:v>350</c:v>
              </c:pt>
            </c:numLit>
          </c:xVal>
          <c:yVal>
            <c:numLit>
              <c:formatCode>General</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131000</c:v>
              </c:pt>
              <c:pt idx="19">
                <c:v>143214.28571428571</c:v>
              </c:pt>
            </c:numLit>
          </c:yVal>
          <c:smooth val="0"/>
        </c:ser>
        <c:ser>
          <c:idx val="1"/>
          <c:order val="1"/>
          <c:spPr>
            <a:ln w="12700">
              <a:solidFill>
                <a:srgbClr val="C0C0C0"/>
              </a:solidFill>
              <a:prstDash val="solid"/>
            </a:ln>
          </c:spPr>
          <c:marker>
            <c:symbol val="none"/>
          </c:marker>
          <c:xVal>
            <c:numLit>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199.99999</c:v>
              </c:pt>
              <c:pt idx="18">
                <c:v>200</c:v>
              </c:pt>
              <c:pt idx="19">
                <c:v>350</c:v>
              </c:pt>
            </c:numLit>
          </c:xVal>
          <c:yVal>
            <c:numLit>
              <c:formatCode>General</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133500</c:v>
              </c:pt>
              <c:pt idx="19">
                <c:v>145714.28571428571</c:v>
              </c:pt>
            </c:numLit>
          </c:yVal>
          <c:smooth val="0"/>
        </c:ser>
        <c:ser>
          <c:idx val="2"/>
          <c:order val="2"/>
          <c:spPr>
            <a:ln w="12700">
              <a:solidFill>
                <a:srgbClr val="C0C0C0"/>
              </a:solidFill>
              <a:prstDash val="solid"/>
            </a:ln>
          </c:spPr>
          <c:marker>
            <c:symbol val="none"/>
          </c:marker>
          <c:xVal>
            <c:numLit>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199.99999</c:v>
              </c:pt>
              <c:pt idx="18">
                <c:v>200</c:v>
              </c:pt>
              <c:pt idx="19">
                <c:v>350</c:v>
              </c:pt>
            </c:numLit>
          </c:xVal>
          <c:yVal>
            <c:numLit>
              <c:formatCode>General</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136000</c:v>
              </c:pt>
              <c:pt idx="19">
                <c:v>148214.28571428571</c:v>
              </c:pt>
            </c:numLit>
          </c:yVal>
          <c:smooth val="0"/>
        </c:ser>
        <c:ser>
          <c:idx val="3"/>
          <c:order val="3"/>
          <c:spPr>
            <a:ln w="12700">
              <a:solidFill>
                <a:srgbClr val="C0C0C0"/>
              </a:solidFill>
              <a:prstDash val="solid"/>
            </a:ln>
          </c:spPr>
          <c:marker>
            <c:symbol val="none"/>
          </c:marker>
          <c:xVal>
            <c:numLit>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199.99999</c:v>
              </c:pt>
              <c:pt idx="18">
                <c:v>200</c:v>
              </c:pt>
              <c:pt idx="19">
                <c:v>350</c:v>
              </c:pt>
            </c:numLit>
          </c:xVal>
          <c:yVal>
            <c:numLit>
              <c:formatCode>General</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138500</c:v>
              </c:pt>
              <c:pt idx="19">
                <c:v>150714.28571428571</c:v>
              </c:pt>
            </c:numLit>
          </c:yVal>
          <c:smooth val="0"/>
        </c:ser>
        <c:ser>
          <c:idx val="4"/>
          <c:order val="4"/>
          <c:spPr>
            <a:ln w="12700">
              <a:solidFill>
                <a:srgbClr val="C0C0C0"/>
              </a:solidFill>
              <a:prstDash val="solid"/>
            </a:ln>
          </c:spPr>
          <c:marker>
            <c:symbol val="none"/>
          </c:marker>
          <c:xVal>
            <c:numLit>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199.99999</c:v>
              </c:pt>
              <c:pt idx="18">
                <c:v>200</c:v>
              </c:pt>
              <c:pt idx="19">
                <c:v>350</c:v>
              </c:pt>
            </c:numLit>
          </c:xVal>
          <c:yVal>
            <c:numLit>
              <c:formatCode>General</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141000</c:v>
              </c:pt>
              <c:pt idx="19">
                <c:v>153214.28571428571</c:v>
              </c:pt>
            </c:numLit>
          </c:yVal>
          <c:smooth val="0"/>
        </c:ser>
        <c:ser>
          <c:idx val="5"/>
          <c:order val="5"/>
          <c:spPr>
            <a:ln w="12700">
              <a:solidFill>
                <a:srgbClr val="C0C0C0"/>
              </a:solidFill>
              <a:prstDash val="solid"/>
            </a:ln>
          </c:spPr>
          <c:marker>
            <c:symbol val="none"/>
          </c:marker>
          <c:xVal>
            <c:numLit>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199.99999</c:v>
              </c:pt>
              <c:pt idx="18">
                <c:v>200</c:v>
              </c:pt>
              <c:pt idx="19">
                <c:v>350</c:v>
              </c:pt>
            </c:numLit>
          </c:xVal>
          <c:yVal>
            <c:numLit>
              <c:formatCode>General</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143500</c:v>
              </c:pt>
              <c:pt idx="19">
                <c:v>155714.28571428571</c:v>
              </c:pt>
            </c:numLit>
          </c:yVal>
          <c:smooth val="0"/>
        </c:ser>
        <c:ser>
          <c:idx val="6"/>
          <c:order val="6"/>
          <c:spPr>
            <a:ln w="12700">
              <a:solidFill>
                <a:srgbClr val="C0C0C0"/>
              </a:solidFill>
              <a:prstDash val="solid"/>
            </a:ln>
          </c:spPr>
          <c:marker>
            <c:symbol val="none"/>
          </c:marker>
          <c:xVal>
            <c:numLit>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199.99999</c:v>
              </c:pt>
              <c:pt idx="18">
                <c:v>200</c:v>
              </c:pt>
              <c:pt idx="19">
                <c:v>350</c:v>
              </c:pt>
            </c:numLit>
          </c:xVal>
          <c:yVal>
            <c:numLit>
              <c:formatCode>General</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146000</c:v>
              </c:pt>
              <c:pt idx="19">
                <c:v>158214.28571428571</c:v>
              </c:pt>
            </c:numLit>
          </c:yVal>
          <c:smooth val="0"/>
        </c:ser>
        <c:ser>
          <c:idx val="7"/>
          <c:order val="7"/>
          <c:spPr>
            <a:ln w="38100">
              <a:solidFill>
                <a:srgbClr val="FF0000"/>
              </a:solidFill>
              <a:prstDash val="solid"/>
            </a:ln>
          </c:spPr>
          <c:marker>
            <c:symbol val="none"/>
          </c:marker>
          <c:xVal>
            <c:numLit>
              <c:formatCode>General</c:formatCode>
              <c:ptCount val="20"/>
              <c:pt idx="0">
                <c:v>30</c:v>
              </c:pt>
              <c:pt idx="1">
                <c:v>40</c:v>
              </c:pt>
              <c:pt idx="2">
                <c:v>50</c:v>
              </c:pt>
              <c:pt idx="3">
                <c:v>60</c:v>
              </c:pt>
              <c:pt idx="4">
                <c:v>70</c:v>
              </c:pt>
              <c:pt idx="5">
                <c:v>80</c:v>
              </c:pt>
              <c:pt idx="6">
                <c:v>90</c:v>
              </c:pt>
              <c:pt idx="7">
                <c:v>100</c:v>
              </c:pt>
              <c:pt idx="8">
                <c:v>110</c:v>
              </c:pt>
              <c:pt idx="9">
                <c:v>120</c:v>
              </c:pt>
              <c:pt idx="10">
                <c:v>130</c:v>
              </c:pt>
              <c:pt idx="11">
                <c:v>140</c:v>
              </c:pt>
              <c:pt idx="12">
                <c:v>150</c:v>
              </c:pt>
              <c:pt idx="13">
                <c:v>160</c:v>
              </c:pt>
              <c:pt idx="14">
                <c:v>170</c:v>
              </c:pt>
              <c:pt idx="15">
                <c:v>180</c:v>
              </c:pt>
              <c:pt idx="16">
                <c:v>190</c:v>
              </c:pt>
              <c:pt idx="17">
                <c:v>199.99999</c:v>
              </c:pt>
              <c:pt idx="18">
                <c:v>200</c:v>
              </c:pt>
              <c:pt idx="19">
                <c:v>350</c:v>
              </c:pt>
            </c:numLit>
          </c:xVal>
          <c:yVal>
            <c:numLit>
              <c:formatCode>General</c:formatCode>
              <c:ptCount val="20"/>
              <c:pt idx="0">
                <c:v>147700</c:v>
              </c:pt>
              <c:pt idx="1">
                <c:v>143600</c:v>
              </c:pt>
              <c:pt idx="2">
                <c:v>141500</c:v>
              </c:pt>
              <c:pt idx="3">
                <c:v>140400</c:v>
              </c:pt>
              <c:pt idx="4">
                <c:v>139871.42857142858</c:v>
              </c:pt>
              <c:pt idx="5">
                <c:v>139700</c:v>
              </c:pt>
              <c:pt idx="6">
                <c:v>139766.66666666666</c:v>
              </c:pt>
              <c:pt idx="7">
                <c:v>140000</c:v>
              </c:pt>
              <c:pt idx="8">
                <c:v>140354.54545454547</c:v>
              </c:pt>
              <c:pt idx="9">
                <c:v>140800</c:v>
              </c:pt>
              <c:pt idx="10">
                <c:v>141315.38461538462</c:v>
              </c:pt>
              <c:pt idx="11">
                <c:v>141885.71428571429</c:v>
              </c:pt>
              <c:pt idx="12">
                <c:v>142500</c:v>
              </c:pt>
              <c:pt idx="13">
                <c:v>143150</c:v>
              </c:pt>
              <c:pt idx="14">
                <c:v>143829.41176470587</c:v>
              </c:pt>
              <c:pt idx="15">
                <c:v>144533.33333333334</c:v>
              </c:pt>
              <c:pt idx="16">
                <c:v>145257.89473684211</c:v>
              </c:pt>
              <c:pt idx="17">
                <c:v>145999.99924999999</c:v>
              </c:pt>
              <c:pt idx="18">
                <c:v>133500</c:v>
              </c:pt>
              <c:pt idx="19">
                <c:v>145714.28571428571</c:v>
              </c:pt>
            </c:numLit>
          </c:yVal>
          <c:smooth val="0"/>
        </c:ser>
        <c:ser>
          <c:idx val="8"/>
          <c:order val="8"/>
          <c:spPr>
            <a:ln w="28575">
              <a:noFill/>
            </a:ln>
          </c:spPr>
          <c:marker>
            <c:symbol val="circle"/>
            <c:size val="6"/>
            <c:spPr>
              <a:solidFill>
                <a:srgbClr val="FFFFFF"/>
              </a:solidFill>
              <a:ln>
                <a:solidFill>
                  <a:srgbClr val="0000FF"/>
                </a:solidFill>
                <a:prstDash val="solid"/>
              </a:ln>
            </c:spPr>
          </c:marker>
          <c:xVal>
            <c:numLit>
              <c:formatCode>General</c:formatCode>
              <c:ptCount val="7"/>
              <c:pt idx="0">
                <c:v>200</c:v>
              </c:pt>
              <c:pt idx="1">
                <c:v>200</c:v>
              </c:pt>
              <c:pt idx="2">
                <c:v>200</c:v>
              </c:pt>
              <c:pt idx="3">
                <c:v>200</c:v>
              </c:pt>
              <c:pt idx="4">
                <c:v>200</c:v>
              </c:pt>
              <c:pt idx="5">
                <c:v>200</c:v>
              </c:pt>
              <c:pt idx="6">
                <c:v>200</c:v>
              </c:pt>
            </c:numLit>
          </c:xVal>
          <c:yVal>
            <c:numLit>
              <c:formatCode>General</c:formatCode>
              <c:ptCount val="7"/>
              <c:pt idx="0">
                <c:v>131000</c:v>
              </c:pt>
              <c:pt idx="1">
                <c:v>133500</c:v>
              </c:pt>
              <c:pt idx="2">
                <c:v>136000</c:v>
              </c:pt>
              <c:pt idx="3">
                <c:v>138500</c:v>
              </c:pt>
              <c:pt idx="4">
                <c:v>141000</c:v>
              </c:pt>
              <c:pt idx="5">
                <c:v>143500</c:v>
              </c:pt>
              <c:pt idx="6">
                <c:v>146000</c:v>
              </c:pt>
            </c:numLit>
          </c:yVal>
          <c:smooth val="0"/>
        </c:ser>
        <c:ser>
          <c:idx val="9"/>
          <c:order val="9"/>
          <c:spPr>
            <a:ln w="12700">
              <a:solidFill>
                <a:srgbClr val="CCFFFF"/>
              </a:solidFill>
              <a:prstDash val="solid"/>
            </a:ln>
          </c:spPr>
          <c:marker>
            <c:symbol val="none"/>
          </c:marker>
          <c:xVal>
            <c:numLit>
              <c:formatCode>General</c:formatCode>
              <c:ptCount val="1"/>
              <c:pt idx="0">
                <c:v>200</c:v>
              </c:pt>
            </c:numLit>
          </c:xVal>
          <c:yVal>
            <c:numLit>
              <c:formatCode>General</c:formatCode>
              <c:ptCount val="1"/>
              <c:pt idx="0">
                <c:v>133500</c:v>
              </c:pt>
            </c:numLit>
          </c:yVal>
          <c:smooth val="0"/>
        </c:ser>
        <c:ser>
          <c:idx val="10"/>
          <c:order val="10"/>
          <c:spPr>
            <a:ln w="12700">
              <a:solidFill>
                <a:srgbClr val="CCFFCC"/>
              </a:solidFill>
              <a:prstDash val="solid"/>
            </a:ln>
          </c:spPr>
          <c:marker>
            <c:symbol val="none"/>
          </c:marker>
          <c:xVal>
            <c:numLit>
              <c:formatCode>General</c:formatCode>
              <c:ptCount val="1"/>
              <c:pt idx="0">
                <c:v>200</c:v>
              </c:pt>
            </c:numLit>
          </c:xVal>
          <c:yVal>
            <c:numLit>
              <c:formatCode>General</c:formatCode>
              <c:ptCount val="1"/>
              <c:pt idx="0">
                <c:v>133500</c:v>
              </c:pt>
            </c:numLit>
          </c:yVal>
          <c:smooth val="0"/>
        </c:ser>
        <c:ser>
          <c:idx val="11"/>
          <c:order val="11"/>
          <c:spPr>
            <a:ln w="12700">
              <a:solidFill>
                <a:srgbClr val="FFFF99"/>
              </a:solidFill>
              <a:prstDash val="solid"/>
            </a:ln>
          </c:spPr>
          <c:marker>
            <c:symbol val="square"/>
            <c:size val="7"/>
            <c:spPr>
              <a:solidFill>
                <a:srgbClr val="008000"/>
              </a:solidFill>
              <a:ln>
                <a:solidFill>
                  <a:srgbClr val="008000"/>
                </a:solidFill>
                <a:prstDash val="solid"/>
              </a:ln>
            </c:spPr>
          </c:marker>
          <c:dLbls>
            <c:numFmt formatCode="0.0" sourceLinked="0"/>
            <c:spPr>
              <a:noFill/>
              <a:ln w="25400">
                <a:noFill/>
              </a:ln>
            </c:spPr>
            <c:txPr>
              <a:bodyPr/>
              <a:lstStyle/>
              <a:p>
                <a:pPr>
                  <a:defRPr sz="1125" b="0" i="0" u="none" strike="noStrike" baseline="0">
                    <a:solidFill>
                      <a:srgbClr val="000000"/>
                    </a:solidFill>
                    <a:latin typeface="宋体"/>
                    <a:ea typeface="宋体"/>
                    <a:cs typeface="宋体"/>
                  </a:defRPr>
                </a:pPr>
                <a:endParaRPr lang="zh-CN"/>
              </a:p>
            </c:txPr>
            <c:showLegendKey val="0"/>
            <c:showVal val="1"/>
            <c:showCatName val="0"/>
            <c:showSerName val="0"/>
            <c:showPercent val="0"/>
            <c:showBubbleSize val="0"/>
            <c:showLeaderLines val="0"/>
          </c:dLbls>
          <c:xVal>
            <c:numLit>
              <c:formatCode>General</c:formatCode>
              <c:ptCount val="1"/>
              <c:pt idx="0">
                <c:v>200</c:v>
              </c:pt>
            </c:numLit>
          </c:xVal>
          <c:yVal>
            <c:numLit>
              <c:formatCode>General</c:formatCode>
              <c:ptCount val="1"/>
              <c:pt idx="0">
                <c:v>133500</c:v>
              </c:pt>
            </c:numLit>
          </c:yVal>
          <c:smooth val="0"/>
        </c:ser>
        <c:dLbls>
          <c:showLegendKey val="0"/>
          <c:showVal val="0"/>
          <c:showCatName val="0"/>
          <c:showSerName val="0"/>
          <c:showPercent val="0"/>
          <c:showBubbleSize val="0"/>
        </c:dLbls>
        <c:axId val="198672384"/>
        <c:axId val="197634304"/>
      </c:scatterChart>
      <c:valAx>
        <c:axId val="198672384"/>
        <c:scaling>
          <c:orientation val="minMax"/>
          <c:max val="350"/>
          <c:min val="30"/>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宋体"/>
                <a:ea typeface="宋体"/>
                <a:cs typeface="宋体"/>
              </a:defRPr>
            </a:pPr>
            <a:endParaRPr lang="zh-CN"/>
          </a:p>
        </c:txPr>
        <c:crossAx val="197634304"/>
        <c:crosses val="autoZero"/>
        <c:crossBetween val="midCat"/>
        <c:majorUnit val="50"/>
      </c:valAx>
      <c:valAx>
        <c:axId val="197634304"/>
        <c:scaling>
          <c:orientation val="minMax"/>
          <c:max val="160000"/>
          <c:min val="120000"/>
        </c:scaling>
        <c:delete val="0"/>
        <c:axPos val="l"/>
        <c:numFmt formatCode="General" sourceLinked="1"/>
        <c:majorTickMark val="in"/>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宋体"/>
                <a:ea typeface="宋体"/>
                <a:cs typeface="宋体"/>
              </a:defRPr>
            </a:pPr>
            <a:endParaRPr lang="zh-CN"/>
          </a:p>
        </c:txPr>
        <c:crossAx val="198672384"/>
        <c:crosses val="autoZero"/>
        <c:crossBetween val="midCat"/>
        <c:majorUnit val="10000"/>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125"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Spin" dx="16" fmlaLink="第2题答案!$C$7" max="91" min="1" page="10" val="20"/>
</file>

<file path=xl/ctrlProps/ctrlProp2.xml><?xml version="1.0" encoding="utf-8"?>
<formControlPr xmlns="http://schemas.microsoft.com/office/spreadsheetml/2009/9/main" objectType="Spin" dx="15" inc="5" max="250" min="220" page="10" val="225"/>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5</xdr:col>
      <xdr:colOff>200025</xdr:colOff>
      <xdr:row>2</xdr:row>
      <xdr:rowOff>47625</xdr:rowOff>
    </xdr:from>
    <xdr:to>
      <xdr:col>14</xdr:col>
      <xdr:colOff>485775</xdr:colOff>
      <xdr:row>10</xdr:row>
      <xdr:rowOff>152400</xdr:rowOff>
    </xdr:to>
    <xdr:sp macro="" textlink="">
      <xdr:nvSpPr>
        <xdr:cNvPr id="1026" name="Text Box 2"/>
        <xdr:cNvSpPr txBox="1">
          <a:spLocks noChangeArrowheads="1"/>
        </xdr:cNvSpPr>
      </xdr:nvSpPr>
      <xdr:spPr bwMode="auto">
        <a:xfrm>
          <a:off x="3114675" y="390525"/>
          <a:ext cx="6038850" cy="1628775"/>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1</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10</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Arial"/>
              <a:ea typeface="宋体"/>
              <a:cs typeface="Arial"/>
            </a:rPr>
            <a:t>A</a:t>
          </a:r>
          <a:r>
            <a:rPr lang="zh-CN" altLang="en-US" sz="1100" b="0" i="0" u="none" strike="noStrike" baseline="0">
              <a:solidFill>
                <a:srgbClr val="000000"/>
              </a:solidFill>
              <a:latin typeface="宋体"/>
              <a:ea typeface="宋体"/>
              <a:cs typeface="Arial"/>
            </a:rPr>
            <a:t>公司制造一种高档皮包。公司最大生产能力为</a:t>
          </a:r>
          <a:r>
            <a:rPr lang="zh-CN" altLang="en-US" sz="1100" b="0" i="0" u="none" strike="noStrike" baseline="0">
              <a:solidFill>
                <a:srgbClr val="000000"/>
              </a:solidFill>
              <a:latin typeface="Arial"/>
              <a:ea typeface="宋体"/>
              <a:cs typeface="Arial"/>
            </a:rPr>
            <a:t>1500</a:t>
          </a:r>
          <a:r>
            <a:rPr lang="zh-CN" altLang="en-US" sz="1100" b="0" i="0" u="none" strike="noStrike" baseline="0">
              <a:solidFill>
                <a:srgbClr val="000000"/>
              </a:solidFill>
              <a:latin typeface="宋体"/>
              <a:ea typeface="宋体"/>
              <a:cs typeface="Arial"/>
            </a:rPr>
            <a:t>，固定成本为</a:t>
          </a:r>
          <a:r>
            <a:rPr lang="zh-CN" altLang="en-US" sz="1100" b="0" i="0" u="none" strike="noStrike" baseline="0">
              <a:solidFill>
                <a:srgbClr val="000000"/>
              </a:solidFill>
              <a:latin typeface="Arial"/>
              <a:ea typeface="宋体"/>
              <a:cs typeface="Arial"/>
            </a:rPr>
            <a:t>30000</a:t>
          </a:r>
          <a:r>
            <a:rPr lang="zh-CN" altLang="en-US" sz="1100" b="0" i="0" u="none" strike="noStrike" baseline="0">
              <a:solidFill>
                <a:srgbClr val="000000"/>
              </a:solidFill>
              <a:latin typeface="宋体"/>
              <a:ea typeface="宋体"/>
              <a:cs typeface="Arial"/>
            </a:rPr>
            <a:t>元，每双可变成本为</a:t>
          </a:r>
          <a:r>
            <a:rPr lang="zh-CN" altLang="en-US" sz="1100" b="0" i="0" u="none" strike="noStrike" baseline="0">
              <a:solidFill>
                <a:srgbClr val="000000"/>
              </a:solidFill>
              <a:latin typeface="Arial"/>
              <a:ea typeface="宋体"/>
              <a:cs typeface="Arial"/>
            </a:rPr>
            <a:t>54</a:t>
          </a:r>
          <a:r>
            <a:rPr lang="zh-CN" altLang="en-US" sz="1100" b="0" i="0" u="none" strike="noStrike" baseline="0">
              <a:solidFill>
                <a:srgbClr val="000000"/>
              </a:solidFill>
              <a:latin typeface="宋体"/>
              <a:ea typeface="宋体"/>
              <a:cs typeface="Arial"/>
            </a:rPr>
            <a:t>元，当前的销量为</a:t>
          </a:r>
          <a:r>
            <a:rPr lang="zh-CN" altLang="en-US" sz="1100" b="0" i="0" u="none" strike="noStrike" baseline="0">
              <a:solidFill>
                <a:srgbClr val="000000"/>
              </a:solidFill>
              <a:latin typeface="Arial"/>
              <a:ea typeface="宋体"/>
              <a:cs typeface="Arial"/>
            </a:rPr>
            <a:t>900</a:t>
          </a:r>
          <a:r>
            <a:rPr lang="zh-CN" altLang="en-US" sz="1100" b="0" i="0" u="none" strike="noStrike" baseline="0">
              <a:solidFill>
                <a:srgbClr val="000000"/>
              </a:solidFill>
              <a:latin typeface="宋体"/>
              <a:ea typeface="宋体"/>
              <a:cs typeface="Arial"/>
            </a:rPr>
            <a:t>，平均销售价格为</a:t>
          </a:r>
          <a:r>
            <a:rPr lang="zh-CN" altLang="en-US" sz="1100" b="0" i="0" u="none" strike="noStrike" baseline="0">
              <a:solidFill>
                <a:srgbClr val="000000"/>
              </a:solidFill>
              <a:latin typeface="Arial"/>
              <a:ea typeface="宋体"/>
              <a:cs typeface="Arial"/>
            </a:rPr>
            <a:t>120</a:t>
          </a:r>
          <a:r>
            <a:rPr lang="zh-CN" altLang="en-US" sz="1100" b="0" i="0" u="none" strike="noStrike" baseline="0">
              <a:solidFill>
                <a:srgbClr val="000000"/>
              </a:solidFill>
              <a:latin typeface="宋体"/>
              <a:ea typeface="宋体"/>
              <a:cs typeface="Arial"/>
            </a:rPr>
            <a:t>元，公司管理层需要建立一个决策模型用于盈亏平衡分析，在本工作表中建立模型应包含以下功能：</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计算单位边际贡献及边际贡献率；</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计算销售收益、总成本及利润；</a:t>
          </a:r>
        </a:p>
        <a:p>
          <a:pPr algn="l" rtl="0">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计算盈亏平衡销量及盈亏平衡销售收益；</a:t>
          </a:r>
        </a:p>
        <a:p>
          <a:pPr algn="l" rtl="0">
            <a:lnSpc>
              <a:spcPts val="1300"/>
            </a:lnSpc>
            <a:defRPr sz="1000"/>
          </a:pPr>
          <a:r>
            <a:rPr lang="zh-CN" altLang="en-US" sz="1100" b="0" i="0" u="none" strike="noStrike" baseline="0">
              <a:solidFill>
                <a:srgbClr val="000000"/>
              </a:solidFill>
              <a:latin typeface="Arial"/>
              <a:cs typeface="Arial"/>
            </a:rPr>
            <a:t>4</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假定公司希望获得</a:t>
          </a:r>
          <a:r>
            <a:rPr lang="zh-CN" altLang="en-US" sz="1100" b="0" i="0" u="none" strike="noStrike" baseline="0">
              <a:solidFill>
                <a:srgbClr val="000000"/>
              </a:solidFill>
              <a:latin typeface="Arial"/>
              <a:ea typeface="宋体"/>
              <a:cs typeface="Arial"/>
            </a:rPr>
            <a:t>30000</a:t>
          </a:r>
          <a:r>
            <a:rPr lang="zh-CN" altLang="en-US" sz="1100" b="0" i="0" u="none" strike="noStrike" baseline="0">
              <a:solidFill>
                <a:srgbClr val="000000"/>
              </a:solidFill>
              <a:latin typeface="宋体"/>
              <a:ea typeface="宋体"/>
              <a:cs typeface="Arial"/>
            </a:rPr>
            <a:t>元利润，计算为达到利润目标所需要的销量及销售收益；</a:t>
          </a:r>
        </a:p>
        <a:p>
          <a:pPr algn="l" rtl="0">
            <a:lnSpc>
              <a:spcPts val="1300"/>
            </a:lnSpc>
            <a:defRPr sz="1000"/>
          </a:pPr>
          <a:r>
            <a:rPr lang="zh-CN" altLang="en-US" sz="1100" b="0" i="0" u="none" strike="noStrike" baseline="0">
              <a:solidFill>
                <a:srgbClr val="000000"/>
              </a:solidFill>
              <a:latin typeface="宋体"/>
              <a:ea typeface="宋体"/>
              <a:cs typeface="Arial"/>
            </a:rPr>
            <a:t>并计算此时的安全边际和安全边际率。</a:t>
          </a:r>
          <a:endParaRPr lang="zh-CN" altLang="en-US" sz="1100" b="0" i="0" u="none" strike="noStrike" baseline="0">
            <a:solidFill>
              <a:srgbClr val="000000"/>
            </a:solidFill>
            <a:latin typeface="宋体"/>
            <a:ea typeface="宋体"/>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16</xdr:row>
      <xdr:rowOff>114300</xdr:rowOff>
    </xdr:from>
    <xdr:to>
      <xdr:col>6</xdr:col>
      <xdr:colOff>447675</xdr:colOff>
      <xdr:row>27</xdr:row>
      <xdr:rowOff>114300</xdr:rowOff>
    </xdr:to>
    <xdr:graphicFrame macro="">
      <xdr:nvGraphicFramePr>
        <xdr:cNvPr id="2050" name="图表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4</xdr:col>
          <xdr:colOff>342900</xdr:colOff>
          <xdr:row>17</xdr:row>
          <xdr:rowOff>57150</xdr:rowOff>
        </xdr:from>
        <xdr:to>
          <xdr:col>4</xdr:col>
          <xdr:colOff>581025</xdr:colOff>
          <xdr:row>18</xdr:row>
          <xdr:rowOff>85725</xdr:rowOff>
        </xdr:to>
        <xdr:sp macro="" textlink="">
          <xdr:nvSpPr>
            <xdr:cNvPr id="2054" name="Spinner 6" hidden="1">
              <a:extLst>
                <a:ext uri="{63B3BB69-23CF-44E3-9099-C40C66FF867C}">
                  <a14:compatExt spid="_x0000_s2054"/>
                </a:ext>
              </a:extLst>
            </xdr:cNvPr>
            <xdr:cNvSpPr/>
          </xdr:nvSpPr>
          <xdr:spPr>
            <a:xfrm>
              <a:off x="0" y="0"/>
              <a:ext cx="0" cy="0"/>
            </a:xfrm>
            <a:prstGeom prst="rect">
              <a:avLst/>
            </a:prstGeom>
          </xdr:spPr>
        </xdr:sp>
        <xdr:clientData/>
      </xdr:twoCellAnchor>
    </mc:Choice>
    <mc:Fallback/>
  </mc:AlternateContent>
  <xdr:twoCellAnchor>
    <xdr:from>
      <xdr:col>8</xdr:col>
      <xdr:colOff>428625</xdr:colOff>
      <xdr:row>2</xdr:row>
      <xdr:rowOff>85725</xdr:rowOff>
    </xdr:from>
    <xdr:to>
      <xdr:col>15</xdr:col>
      <xdr:colOff>209550</xdr:colOff>
      <xdr:row>27</xdr:row>
      <xdr:rowOff>104775</xdr:rowOff>
    </xdr:to>
    <xdr:grpSp>
      <xdr:nvGrpSpPr>
        <xdr:cNvPr id="2051" name="Group 3"/>
        <xdr:cNvGrpSpPr>
          <a:grpSpLocks/>
        </xdr:cNvGrpSpPr>
      </xdr:nvGrpSpPr>
      <xdr:grpSpPr bwMode="auto">
        <a:xfrm>
          <a:off x="5495925" y="409575"/>
          <a:ext cx="4581525" cy="4067175"/>
          <a:chOff x="293" y="26"/>
          <a:chExt cx="481" cy="427"/>
        </a:xfrm>
      </xdr:grpSpPr>
      <xdr:sp macro="" textlink="">
        <xdr:nvSpPr>
          <xdr:cNvPr id="2052" name="Text Box 4"/>
          <xdr:cNvSpPr txBox="1">
            <a:spLocks noChangeArrowheads="1"/>
          </xdr:cNvSpPr>
        </xdr:nvSpPr>
        <xdr:spPr bwMode="auto">
          <a:xfrm>
            <a:off x="293" y="26"/>
            <a:ext cx="481" cy="427"/>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第2题（10分）</a:t>
            </a:r>
            <a:r>
              <a:rPr lang="zh-CN" altLang="en-US" sz="1100" b="0" i="0" u="none" strike="noStrike" baseline="0">
                <a:solidFill>
                  <a:srgbClr val="000000"/>
                </a:solidFill>
                <a:latin typeface="宋体"/>
                <a:ea typeface="宋体"/>
              </a:rPr>
              <a:t> 假设年需求量为9000,订货周期为15天，初始库存量为0，一年按360天计算。在每天固定需求的情况下，利用Excel中已经建立模型，模拟在满足经济订货量的前提下60天内产品库存随时间（天数）的变化情况。</a:t>
            </a:r>
          </a:p>
          <a:p>
            <a:pPr algn="l" rtl="0">
              <a:defRPr sz="1000"/>
            </a:pPr>
            <a:r>
              <a:rPr lang="zh-CN" altLang="en-US" sz="1100" b="0" i="0" u="none" strike="noStrike" baseline="0">
                <a:solidFill>
                  <a:srgbClr val="000000"/>
                </a:solidFill>
                <a:latin typeface="宋体"/>
                <a:ea typeface="宋体"/>
              </a:rPr>
              <a:t>1、根据模型框架中已计算出的数据绘制如下的产品库存量随时间（天数）的变化图形。</a:t>
            </a:r>
          </a:p>
          <a:p>
            <a:pPr algn="l" rtl="0">
              <a:lnSpc>
                <a:spcPts val="1300"/>
              </a:lnSpc>
              <a:defRPr sz="1000"/>
            </a:pPr>
            <a:r>
              <a:rPr lang="zh-CN" altLang="en-US" sz="1100" b="0" i="0" u="none" strike="noStrike" baseline="0">
                <a:solidFill>
                  <a:srgbClr val="000000"/>
                </a:solidFill>
                <a:latin typeface="宋体"/>
                <a:ea typeface="宋体"/>
              </a:rPr>
              <a:t>2、在图中可以用控件控制当前时间（天数），并不同的颜色显示当前时间（天数）的库存量，并显示库存量数值。</a:t>
            </a: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2053" name="Picture 5" descr="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0" y="219"/>
            <a:ext cx="433" cy="220"/>
          </a:xfrm>
          <a:prstGeom prst="rect">
            <a:avLst/>
          </a:prstGeom>
          <a:solidFill>
            <a:srgbClr val="FFCCFF"/>
          </a:solidFill>
        </xdr:spPr>
      </xdr:pic>
    </xdr:grpSp>
    <xdr:clientData/>
  </xdr:twoCellAnchor>
</xdr:wsDr>
</file>

<file path=xl/drawings/drawing3.xml><?xml version="1.0" encoding="utf-8"?>
<c:userShapes xmlns:c="http://schemas.openxmlformats.org/drawingml/2006/chart">
  <cdr:relSizeAnchor xmlns:cdr="http://schemas.openxmlformats.org/drawingml/2006/chartDrawing">
    <cdr:from>
      <cdr:x>0.64848</cdr:x>
      <cdr:y>0.0318</cdr:y>
    </cdr:from>
    <cdr:to>
      <cdr:x>0.98843</cdr:x>
      <cdr:y>0.17856</cdr:y>
    </cdr:to>
    <cdr:grpSp>
      <cdr:nvGrpSpPr>
        <cdr:cNvPr id="3073" name="Group 1"/>
        <cdr:cNvGrpSpPr>
          <a:grpSpLocks xmlns:a="http://schemas.openxmlformats.org/drawingml/2006/main"/>
        </cdr:cNvGrpSpPr>
      </cdr:nvGrpSpPr>
      <cdr:grpSpPr bwMode="auto">
        <a:xfrm xmlns:a="http://schemas.openxmlformats.org/drawingml/2006/main">
          <a:off x="2671547" y="60125"/>
          <a:ext cx="1398803" cy="262795"/>
          <a:chOff x="2627781" y="9525"/>
          <a:chExt cx="1391769" cy="278130"/>
        </a:xfrm>
      </cdr:grpSpPr>
      <cdr:sp macro="" textlink="第2题答案!$B$13">
        <cdr:nvSpPr>
          <cdr:cNvPr id="3075" name="Text Box 3"/>
          <cdr:cNvSpPr txBox="1">
            <a:spLocks xmlns:a="http://schemas.openxmlformats.org/drawingml/2006/main" noChangeArrowheads="1" noTextEdit="1"/>
          </cdr:cNvSpPr>
        </cdr:nvSpPr>
        <cdr:spPr bwMode="auto">
          <a:xfrm xmlns:a="http://schemas.openxmlformats.org/drawingml/2006/main">
            <a:off x="2853881" y="9525"/>
            <a:ext cx="1165669" cy="2781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defRPr sz="1000"/>
            </a:pPr>
            <a:fld id="{6D97D1E8-FA16-4CC9-91EA-BB22A7431E94}" type="TxLink">
              <a:rPr lang="zh-CN" altLang="en-US" sz="1000" b="0" i="0" u="none" strike="noStrike" baseline="0">
                <a:solidFill>
                  <a:srgbClr val="000000"/>
                </a:solidFill>
                <a:latin typeface="宋体"/>
                <a:ea typeface="宋体"/>
              </a:rPr>
              <a:t>时间（天）=20天</a:t>
            </a:fld>
            <a:endParaRPr lang="zh-CN" altLang="en-US" sz="1000" b="0" i="0" u="none" strike="noStrike" baseline="0">
              <a:solidFill>
                <a:srgbClr val="000000"/>
              </a:solidFill>
              <a:latin typeface="宋体"/>
              <a:ea typeface="宋体"/>
            </a:endParaRPr>
          </a:p>
        </cdr:txBody>
      </cdr:sp>
    </cdr:grpSp>
  </cdr:relSizeAnchor>
</c:userShapes>
</file>

<file path=xl/drawings/drawing4.xml><?xml version="1.0" encoding="utf-8"?>
<xdr:wsDr xmlns:xdr="http://schemas.openxmlformats.org/drawingml/2006/spreadsheetDrawing" xmlns:a="http://schemas.openxmlformats.org/drawingml/2006/main">
  <xdr:twoCellAnchor>
    <xdr:from>
      <xdr:col>1</xdr:col>
      <xdr:colOff>38100</xdr:colOff>
      <xdr:row>26</xdr:row>
      <xdr:rowOff>47625</xdr:rowOff>
    </xdr:from>
    <xdr:to>
      <xdr:col>10</xdr:col>
      <xdr:colOff>485775</xdr:colOff>
      <xdr:row>45</xdr:row>
      <xdr:rowOff>38100</xdr:rowOff>
    </xdr:to>
    <xdr:grpSp>
      <xdr:nvGrpSpPr>
        <xdr:cNvPr id="4097" name="Group 1"/>
        <xdr:cNvGrpSpPr>
          <a:grpSpLocks/>
        </xdr:cNvGrpSpPr>
      </xdr:nvGrpSpPr>
      <xdr:grpSpPr bwMode="auto">
        <a:xfrm>
          <a:off x="228600" y="5000625"/>
          <a:ext cx="4705350" cy="3609975"/>
          <a:chOff x="35" y="8"/>
          <a:chExt cx="436" cy="303"/>
        </a:xfrm>
      </xdr:grpSpPr>
      <xdr:graphicFrame macro="">
        <xdr:nvGraphicFramePr>
          <xdr:cNvPr id="4098" name="图表 2"/>
          <xdr:cNvGraphicFramePr>
            <a:graphicFrameLocks/>
          </xdr:cNvGraphicFramePr>
        </xdr:nvGraphicFramePr>
        <xdr:xfrm>
          <a:off x="35" y="8"/>
          <a:ext cx="436" cy="303"/>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sp macro="" textlink="">
            <xdr:nvSpPr>
              <xdr:cNvPr id="4099" name="Spinner 3" hidden="1">
                <a:extLst>
                  <a:ext uri="{63B3BB69-23CF-44E3-9099-C40C66FF867C}">
                    <a14:compatExt spid="_x0000_s4099"/>
                  </a:ext>
                </a:extLst>
              </xdr:cNvPr>
              <xdr:cNvSpPr/>
            </xdr:nvSpPr>
            <xdr:spPr>
              <a:xfrm>
                <a:off x="177" y="57"/>
                <a:ext cx="27" cy="20"/>
              </a:xfrm>
              <a:prstGeom prst="rect">
                <a:avLst/>
              </a:prstGeom>
            </xdr:spPr>
          </xdr:sp>
        </mc:Choice>
        <mc:Fallback/>
      </mc:AlternateContent>
      <xdr:sp macro="" textlink="">
        <xdr:nvSpPr>
          <xdr:cNvPr id="4100" name="Text Box 4"/>
          <xdr:cNvSpPr txBox="1">
            <a:spLocks noChangeArrowheads="1"/>
          </xdr:cNvSpPr>
        </xdr:nvSpPr>
        <xdr:spPr bwMode="auto">
          <a:xfrm>
            <a:off x="208" y="58"/>
            <a:ext cx="136" cy="1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000" b="0" i="0" u="none" strike="noStrike" baseline="0">
                <a:solidFill>
                  <a:srgbClr val="000000"/>
                </a:solidFill>
                <a:latin typeface="宋体"/>
                <a:ea typeface="宋体"/>
              </a:rPr>
              <a:t>整车每吨运费=22.5元</a:t>
            </a:r>
          </a:p>
        </xdr:txBody>
      </xdr:sp>
    </xdr:grpSp>
    <xdr:clientData/>
  </xdr:twoCellAnchor>
  <xdr:twoCellAnchor>
    <xdr:from>
      <xdr:col>9</xdr:col>
      <xdr:colOff>104775</xdr:colOff>
      <xdr:row>3</xdr:row>
      <xdr:rowOff>142875</xdr:rowOff>
    </xdr:from>
    <xdr:to>
      <xdr:col>17</xdr:col>
      <xdr:colOff>209550</xdr:colOff>
      <xdr:row>38</xdr:row>
      <xdr:rowOff>28575</xdr:rowOff>
    </xdr:to>
    <xdr:grpSp>
      <xdr:nvGrpSpPr>
        <xdr:cNvPr id="4104" name="Group 8"/>
        <xdr:cNvGrpSpPr>
          <a:grpSpLocks/>
        </xdr:cNvGrpSpPr>
      </xdr:nvGrpSpPr>
      <xdr:grpSpPr bwMode="auto">
        <a:xfrm>
          <a:off x="3905250" y="714375"/>
          <a:ext cx="5286375" cy="6553200"/>
          <a:chOff x="849" y="153"/>
          <a:chExt cx="484" cy="570"/>
        </a:xfrm>
      </xdr:grpSpPr>
      <xdr:sp macro="" textlink="">
        <xdr:nvSpPr>
          <xdr:cNvPr id="4105" name="Text Box 9"/>
          <xdr:cNvSpPr txBox="1">
            <a:spLocks noChangeArrowheads="1"/>
          </xdr:cNvSpPr>
        </xdr:nvSpPr>
        <xdr:spPr bwMode="auto">
          <a:xfrm>
            <a:off x="849" y="153"/>
            <a:ext cx="484" cy="570"/>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3</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15</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宋体"/>
                <a:ea typeface="宋体"/>
                <a:cs typeface="Arial"/>
              </a:rPr>
              <a:t>某工厂每年需要</a:t>
            </a:r>
            <a:r>
              <a:rPr lang="zh-CN" altLang="en-US" sz="1100" b="0" i="0" u="none" strike="noStrike" baseline="0">
                <a:solidFill>
                  <a:srgbClr val="000000"/>
                </a:solidFill>
                <a:latin typeface="Arial"/>
                <a:ea typeface="宋体"/>
                <a:cs typeface="Arial"/>
              </a:rPr>
              <a:t>5000</a:t>
            </a:r>
            <a:r>
              <a:rPr lang="zh-CN" altLang="en-US" sz="1100" b="0" i="0" u="none" strike="noStrike" baseline="0">
                <a:solidFill>
                  <a:srgbClr val="000000"/>
                </a:solidFill>
                <a:latin typeface="宋体"/>
                <a:ea typeface="宋体"/>
                <a:cs typeface="Arial"/>
              </a:rPr>
              <a:t>吨原料，每吨原料的年储存费用为</a:t>
            </a:r>
            <a:r>
              <a:rPr lang="zh-CN" altLang="en-US" sz="1100" b="0" i="0" u="none" strike="noStrike" baseline="0">
                <a:solidFill>
                  <a:srgbClr val="000000"/>
                </a:solidFill>
                <a:latin typeface="Arial"/>
                <a:ea typeface="宋体"/>
                <a:cs typeface="Arial"/>
              </a:rPr>
              <a:t>180</a:t>
            </a:r>
            <a:r>
              <a:rPr lang="zh-CN" altLang="en-US" sz="1100" b="0" i="0" u="none" strike="noStrike" baseline="0">
                <a:solidFill>
                  <a:srgbClr val="000000"/>
                </a:solidFill>
                <a:latin typeface="宋体"/>
                <a:ea typeface="宋体"/>
                <a:cs typeface="Arial"/>
              </a:rPr>
              <a:t>元，每次订货成本为</a:t>
            </a:r>
            <a:r>
              <a:rPr lang="zh-CN" altLang="en-US" sz="1100" b="0" i="0" u="none" strike="noStrike" baseline="0">
                <a:solidFill>
                  <a:srgbClr val="000000"/>
                </a:solidFill>
                <a:latin typeface="Arial"/>
                <a:ea typeface="宋体"/>
                <a:cs typeface="Arial"/>
              </a:rPr>
              <a:t>120</a:t>
            </a:r>
            <a:r>
              <a:rPr lang="zh-CN" altLang="en-US" sz="1100" b="0" i="0" u="none" strike="noStrike" baseline="0">
                <a:solidFill>
                  <a:srgbClr val="000000"/>
                </a:solidFill>
                <a:latin typeface="宋体"/>
                <a:ea typeface="宋体"/>
                <a:cs typeface="Arial"/>
              </a:rPr>
              <a:t>元。原料要通过火车从原产地运到工厂，作为散货运输，运输费为每吨</a:t>
            </a:r>
            <a:r>
              <a:rPr lang="zh-CN" altLang="en-US" sz="1100" b="0" i="0" u="none" strike="noStrike" baseline="0">
                <a:solidFill>
                  <a:srgbClr val="000000"/>
                </a:solidFill>
                <a:latin typeface="Arial"/>
                <a:ea typeface="宋体"/>
                <a:cs typeface="Arial"/>
              </a:rPr>
              <a:t>25</a:t>
            </a:r>
            <a:r>
              <a:rPr lang="zh-CN" altLang="en-US" sz="1100" b="0" i="0" u="none" strike="noStrike" baseline="0">
                <a:solidFill>
                  <a:srgbClr val="000000"/>
                </a:solidFill>
                <a:latin typeface="宋体"/>
                <a:ea typeface="宋体"/>
                <a:cs typeface="Arial"/>
              </a:rPr>
              <a:t>元；如果每次运货量大于或等于</a:t>
            </a:r>
            <a:r>
              <a:rPr lang="zh-CN" altLang="en-US" sz="1100" b="0" i="0" u="none" strike="noStrike" baseline="0">
                <a:solidFill>
                  <a:srgbClr val="000000"/>
                </a:solidFill>
                <a:latin typeface="Arial"/>
                <a:ea typeface="宋体"/>
                <a:cs typeface="Arial"/>
              </a:rPr>
              <a:t>200</a:t>
            </a:r>
            <a:r>
              <a:rPr lang="zh-CN" altLang="en-US" sz="1100" b="0" i="0" u="none" strike="noStrike" baseline="0">
                <a:solidFill>
                  <a:srgbClr val="000000"/>
                </a:solidFill>
                <a:latin typeface="宋体"/>
                <a:ea typeface="宋体"/>
                <a:cs typeface="Arial"/>
              </a:rPr>
              <a:t>吨，则作为整车运输，运输费可降到每吨</a:t>
            </a:r>
            <a:r>
              <a:rPr lang="zh-CN" altLang="en-US" sz="1100" b="0" i="0" u="none" strike="noStrike" baseline="0">
                <a:solidFill>
                  <a:srgbClr val="000000"/>
                </a:solidFill>
                <a:latin typeface="Arial"/>
                <a:ea typeface="宋体"/>
                <a:cs typeface="Arial"/>
              </a:rPr>
              <a:t>24</a:t>
            </a:r>
            <a:r>
              <a:rPr lang="zh-CN" altLang="en-US" sz="1100" b="0" i="0" u="none" strike="noStrike" baseline="0">
                <a:solidFill>
                  <a:srgbClr val="000000"/>
                </a:solidFill>
                <a:latin typeface="宋体"/>
                <a:ea typeface="宋体"/>
                <a:cs typeface="Arial"/>
              </a:rPr>
              <a:t>元。要求：</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建立一个决策模型，计算在任意指定的订货量、经济订货量情况下的年订货成本、年储存成本、年运输成本和年总成本；</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绘制整车每吨运费起价分别为</a:t>
            </a:r>
            <a:r>
              <a:rPr lang="zh-CN" altLang="en-US" sz="1100" b="0" i="0" u="none" strike="noStrike" baseline="0">
                <a:solidFill>
                  <a:srgbClr val="000000"/>
                </a:solidFill>
                <a:latin typeface="Arial"/>
                <a:ea typeface="宋体"/>
                <a:cs typeface="Arial"/>
              </a:rPr>
              <a:t>22</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22.5</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23</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23.5</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24</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24.5</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25</a:t>
            </a:r>
            <a:r>
              <a:rPr lang="zh-CN" altLang="en-US" sz="1100" b="0" i="0" u="none" strike="noStrike" baseline="0">
                <a:solidFill>
                  <a:srgbClr val="000000"/>
                </a:solidFill>
                <a:latin typeface="宋体"/>
                <a:ea typeface="宋体"/>
                <a:cs typeface="Arial"/>
              </a:rPr>
              <a:t>时年总成本随订货量变化的一簇曲线图形，绘制可移动的当前年总成本红色粗线；</a:t>
            </a:r>
          </a:p>
          <a:p>
            <a:pPr algn="l" rtl="0">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在图形上反映七根线的年总成本的蓝色圆点；</a:t>
            </a:r>
          </a:p>
          <a:p>
            <a:pPr algn="l" rtl="0">
              <a:lnSpc>
                <a:spcPts val="1300"/>
              </a:lnSpc>
              <a:defRPr sz="1000"/>
            </a:pPr>
            <a:r>
              <a:rPr lang="zh-CN" altLang="en-US" sz="1100" b="0" i="0" u="none" strike="noStrike" baseline="0">
                <a:solidFill>
                  <a:srgbClr val="000000"/>
                </a:solidFill>
                <a:latin typeface="Arial"/>
                <a:cs typeface="Arial"/>
              </a:rPr>
              <a:t>4</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添加一个微调器，对整车每吨运费进行调整，调整的范围为</a:t>
            </a:r>
            <a:r>
              <a:rPr lang="zh-CN" altLang="en-US" sz="1100" b="0" i="0" u="none" strike="noStrike" baseline="0">
                <a:solidFill>
                  <a:srgbClr val="000000"/>
                </a:solidFill>
                <a:latin typeface="Arial"/>
                <a:ea typeface="宋体"/>
                <a:cs typeface="Arial"/>
              </a:rPr>
              <a:t>22.00</a:t>
            </a:r>
            <a:r>
              <a:rPr lang="zh-CN" altLang="en-US" sz="1100" b="0" i="0" u="none" strike="noStrike" baseline="0">
                <a:solidFill>
                  <a:srgbClr val="000000"/>
                </a:solidFill>
                <a:latin typeface="宋体"/>
                <a:ea typeface="宋体"/>
                <a:cs typeface="Arial"/>
              </a:rPr>
              <a:t>元至</a:t>
            </a:r>
            <a:r>
              <a:rPr lang="zh-CN" altLang="en-US" sz="1100" b="0" i="0" u="none" strike="noStrike" baseline="0">
                <a:solidFill>
                  <a:srgbClr val="000000"/>
                </a:solidFill>
                <a:latin typeface="Arial"/>
                <a:ea typeface="宋体"/>
                <a:cs typeface="Arial"/>
              </a:rPr>
              <a:t>25.00</a:t>
            </a:r>
            <a:r>
              <a:rPr lang="zh-CN" altLang="en-US" sz="1100" b="0" i="0" u="none" strike="noStrike" baseline="0">
                <a:solidFill>
                  <a:srgbClr val="000000"/>
                </a:solidFill>
                <a:latin typeface="宋体"/>
                <a:ea typeface="宋体"/>
                <a:cs typeface="Arial"/>
              </a:rPr>
              <a:t>元，增量为</a:t>
            </a:r>
            <a:r>
              <a:rPr lang="zh-CN" altLang="en-US" sz="1100" b="0" i="0" u="none" strike="noStrike" baseline="0">
                <a:solidFill>
                  <a:srgbClr val="000000"/>
                </a:solidFill>
                <a:latin typeface="Arial"/>
                <a:ea typeface="宋体"/>
                <a:cs typeface="Arial"/>
              </a:rPr>
              <a:t>0.5</a:t>
            </a:r>
            <a:r>
              <a:rPr lang="zh-CN" altLang="en-US" sz="1100" b="0" i="0" u="none" strike="noStrike" baseline="0">
                <a:solidFill>
                  <a:srgbClr val="000000"/>
                </a:solidFill>
                <a:latin typeface="宋体"/>
                <a:ea typeface="宋体"/>
                <a:cs typeface="Arial"/>
              </a:rPr>
              <a:t>元；</a:t>
            </a:r>
          </a:p>
          <a:p>
            <a:pPr algn="l" rtl="0">
              <a:defRPr sz="1000"/>
            </a:pPr>
            <a:r>
              <a:rPr lang="zh-CN" altLang="en-US" sz="1100" b="0" i="0" u="none" strike="noStrike" baseline="0">
                <a:solidFill>
                  <a:srgbClr val="000000"/>
                </a:solidFill>
                <a:latin typeface="Arial"/>
                <a:cs typeface="Arial"/>
              </a:rPr>
              <a:t>5</a:t>
            </a:r>
            <a:r>
              <a:rPr lang="zh-CN" altLang="en-US" sz="1100" b="0" i="0" u="none" strike="noStrike" baseline="0">
                <a:solidFill>
                  <a:srgbClr val="000000"/>
                </a:solidFill>
                <a:latin typeface="宋体"/>
                <a:ea typeface="宋体"/>
                <a:cs typeface="Arial"/>
              </a:rPr>
              <a:t>）</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用一个绿色实心点子反映最小的年总成本的位置。</a:t>
            </a: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4106" name="Picture 1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3" y="399"/>
            <a:ext cx="437" cy="304"/>
          </a:xfrm>
          <a:prstGeom prst="rect">
            <a:avLst/>
          </a:prstGeom>
          <a:solidFill>
            <a:srgbClr val="FFCCFF"/>
          </a:solidFill>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257175</xdr:colOff>
      <xdr:row>15</xdr:row>
      <xdr:rowOff>9525</xdr:rowOff>
    </xdr:from>
    <xdr:to>
      <xdr:col>8</xdr:col>
      <xdr:colOff>647700</xdr:colOff>
      <xdr:row>30</xdr:row>
      <xdr:rowOff>0</xdr:rowOff>
    </xdr:to>
    <xdr:grpSp>
      <xdr:nvGrpSpPr>
        <xdr:cNvPr id="5124" name="Group 4"/>
        <xdr:cNvGrpSpPr>
          <a:grpSpLocks/>
        </xdr:cNvGrpSpPr>
      </xdr:nvGrpSpPr>
      <xdr:grpSpPr bwMode="auto">
        <a:xfrm>
          <a:off x="942975" y="2867025"/>
          <a:ext cx="5191125" cy="2847975"/>
          <a:chOff x="148" y="40"/>
          <a:chExt cx="545" cy="299"/>
        </a:xfrm>
      </xdr:grpSpPr>
      <xdr:sp macro="" textlink="">
        <xdr:nvSpPr>
          <xdr:cNvPr id="5125" name="Text Box 5"/>
          <xdr:cNvSpPr txBox="1">
            <a:spLocks noChangeArrowheads="1"/>
          </xdr:cNvSpPr>
        </xdr:nvSpPr>
        <xdr:spPr bwMode="auto">
          <a:xfrm>
            <a:off x="148" y="40"/>
            <a:ext cx="545" cy="299"/>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zh-CN" altLang="en-US" sz="1100" b="1" i="0" u="none" strike="noStrike" baseline="0">
                <a:solidFill>
                  <a:srgbClr val="000000"/>
                </a:solidFill>
                <a:latin typeface="Times New Roman"/>
                <a:cs typeface="Times New Roman"/>
              </a:rPr>
              <a:t> </a:t>
            </a:r>
            <a:r>
              <a:rPr lang="zh-CN" altLang="en-US" sz="1100" b="1" i="0" u="none" strike="noStrike" baseline="0">
                <a:solidFill>
                  <a:srgbClr val="000000"/>
                </a:solidFill>
                <a:latin typeface="宋体"/>
                <a:ea typeface="宋体"/>
                <a:cs typeface="Times New Roman"/>
              </a:rPr>
              <a:t>第</a:t>
            </a:r>
            <a:r>
              <a:rPr lang="zh-CN" altLang="en-US" sz="1100" b="1" i="0" u="none" strike="noStrike" baseline="0">
                <a:solidFill>
                  <a:srgbClr val="000000"/>
                </a:solidFill>
                <a:latin typeface="Times New Roman"/>
                <a:ea typeface="宋体"/>
                <a:cs typeface="Times New Roman"/>
              </a:rPr>
              <a:t>4</a:t>
            </a:r>
            <a:r>
              <a:rPr lang="zh-CN" altLang="en-US" sz="1100" b="1" i="0" u="none" strike="noStrike" baseline="0">
                <a:solidFill>
                  <a:srgbClr val="000000"/>
                </a:solidFill>
                <a:latin typeface="宋体"/>
                <a:ea typeface="宋体"/>
                <a:cs typeface="Times New Roman"/>
              </a:rPr>
              <a:t>题（</a:t>
            </a:r>
            <a:r>
              <a:rPr lang="zh-CN" altLang="en-US" sz="1100" b="1" i="0" u="none" strike="noStrike" baseline="0">
                <a:solidFill>
                  <a:srgbClr val="000000"/>
                </a:solidFill>
                <a:latin typeface="Times New Roman"/>
                <a:ea typeface="宋体"/>
                <a:cs typeface="Times New Roman"/>
              </a:rPr>
              <a:t>10</a:t>
            </a:r>
            <a:r>
              <a:rPr lang="zh-CN" altLang="en-US" sz="1100" b="1" i="0" u="none" strike="noStrike" baseline="0">
                <a:solidFill>
                  <a:srgbClr val="000000"/>
                </a:solidFill>
                <a:latin typeface="宋体"/>
                <a:ea typeface="宋体"/>
                <a:cs typeface="Times New Roman"/>
              </a:rPr>
              <a:t>分）</a:t>
            </a:r>
            <a:r>
              <a:rPr lang="zh-CN" altLang="en-US" sz="1100" b="0" i="0" u="none" strike="noStrike" baseline="0">
                <a:solidFill>
                  <a:srgbClr val="000000"/>
                </a:solidFill>
                <a:latin typeface="宋体"/>
                <a:ea typeface="宋体"/>
                <a:cs typeface="Times New Roman"/>
              </a:rPr>
              <a:t>某会计师事务所承担了三家企业的审计任务，要将三位审计员分别派去三家企业。由于这三位审计员的经验与专长不同，他们对这三家企业进行审计时所需要的天数各不相同，具体数据如下表所示：</a:t>
            </a:r>
          </a:p>
          <a:p>
            <a:pPr algn="l" rtl="0">
              <a:defRPr sz="1000"/>
            </a:pPr>
            <a:endParaRPr lang="zh-CN" altLang="en-US" sz="1100" b="0" i="0" u="none" strike="noStrike" baseline="0">
              <a:solidFill>
                <a:srgbClr val="000000"/>
              </a:solidFill>
              <a:latin typeface="宋体"/>
              <a:ea typeface="宋体"/>
              <a:cs typeface="Times New Roman"/>
            </a:endParaRPr>
          </a:p>
          <a:p>
            <a:pPr algn="l" rtl="0">
              <a:defRPr sz="1000"/>
            </a:pPr>
            <a:endParaRPr lang="zh-CN" altLang="en-US" sz="1100" b="0" i="0" u="none" strike="noStrike" baseline="0">
              <a:solidFill>
                <a:srgbClr val="000000"/>
              </a:solidFill>
              <a:latin typeface="宋体"/>
              <a:ea typeface="宋体"/>
              <a:cs typeface="Times New Roman"/>
            </a:endParaRPr>
          </a:p>
          <a:p>
            <a:pPr algn="l" rtl="0">
              <a:defRPr sz="1000"/>
            </a:pPr>
            <a:endParaRPr lang="zh-CN" altLang="en-US" sz="1100" b="0" i="0" u="none" strike="noStrike" baseline="0">
              <a:solidFill>
                <a:srgbClr val="000000"/>
              </a:solidFill>
              <a:latin typeface="宋体"/>
              <a:ea typeface="宋体"/>
              <a:cs typeface="Times New Roman"/>
            </a:endParaRPr>
          </a:p>
          <a:p>
            <a:pPr algn="l" rtl="0">
              <a:lnSpc>
                <a:spcPts val="1300"/>
              </a:lnSpc>
              <a:defRPr sz="1000"/>
            </a:pPr>
            <a:endParaRPr lang="zh-CN" altLang="en-US" sz="1100" b="0" i="0" u="none" strike="noStrike" baseline="0">
              <a:solidFill>
                <a:srgbClr val="000000"/>
              </a:solidFill>
              <a:latin typeface="宋体"/>
              <a:ea typeface="宋体"/>
              <a:cs typeface="Times New Roman"/>
            </a:endParaRPr>
          </a:p>
          <a:p>
            <a:pPr algn="l" rtl="0">
              <a:lnSpc>
                <a:spcPts val="1300"/>
              </a:lnSpc>
              <a:defRPr sz="1000"/>
            </a:pPr>
            <a:endParaRPr lang="zh-CN" altLang="en-US" sz="1100" b="0" i="0" u="none" strike="noStrike" baseline="0">
              <a:solidFill>
                <a:srgbClr val="000000"/>
              </a:solidFill>
              <a:latin typeface="宋体"/>
              <a:ea typeface="宋体"/>
              <a:cs typeface="Times New Roman"/>
            </a:endParaRPr>
          </a:p>
          <a:p>
            <a:pPr algn="l" rtl="0">
              <a:defRPr sz="1000"/>
            </a:pPr>
            <a:endParaRPr lang="zh-CN" altLang="en-US" sz="1100" b="0" i="0" u="none" strike="noStrike" baseline="0">
              <a:solidFill>
                <a:srgbClr val="000000"/>
              </a:solidFill>
              <a:latin typeface="宋体"/>
              <a:ea typeface="宋体"/>
              <a:cs typeface="Times New Roman"/>
            </a:endParaRPr>
          </a:p>
          <a:p>
            <a:pPr algn="l" rtl="0">
              <a:lnSpc>
                <a:spcPts val="1300"/>
              </a:lnSpc>
              <a:defRPr sz="1000"/>
            </a:pPr>
            <a:endParaRPr lang="zh-CN" altLang="en-US" sz="1100" b="0" i="0" u="none" strike="noStrike" baseline="0">
              <a:solidFill>
                <a:srgbClr val="000000"/>
              </a:solidFill>
              <a:latin typeface="宋体"/>
              <a:ea typeface="宋体"/>
              <a:cs typeface="Times New Roman"/>
            </a:endParaRPr>
          </a:p>
          <a:p>
            <a:pPr algn="l" rtl="0">
              <a:defRPr sz="1000"/>
            </a:pPr>
            <a:r>
              <a:rPr lang="zh-CN" altLang="en-US" sz="1100" b="0" i="0" u="none" strike="noStrike" baseline="0">
                <a:solidFill>
                  <a:srgbClr val="000000"/>
                </a:solidFill>
                <a:latin typeface="宋体"/>
                <a:ea typeface="宋体"/>
                <a:cs typeface="Times New Roman"/>
              </a:rPr>
              <a:t>要求：</a:t>
            </a:r>
          </a:p>
          <a:p>
            <a:pPr algn="l" rtl="0">
              <a:lnSpc>
                <a:spcPts val="1300"/>
              </a:lnSpc>
              <a:defRPr sz="1000"/>
            </a:pPr>
            <a:r>
              <a:rPr lang="zh-CN" altLang="en-US" sz="1100" b="0" i="0" u="none" strike="noStrike" baseline="0">
                <a:solidFill>
                  <a:srgbClr val="000000"/>
                </a:solidFill>
                <a:latin typeface="Times New Roman"/>
                <a:cs typeface="Times New Roman"/>
              </a:rPr>
              <a:t>1</a:t>
            </a:r>
            <a:r>
              <a:rPr lang="zh-CN" altLang="en-US" sz="1100" b="0" i="0" u="none" strike="noStrike" baseline="0">
                <a:solidFill>
                  <a:srgbClr val="000000"/>
                </a:solidFill>
                <a:latin typeface="宋体"/>
                <a:ea typeface="宋体"/>
                <a:cs typeface="Times New Roman"/>
              </a:rPr>
              <a:t>、在本工作表中构造一个规划模型，找到最佳的人员派出方案，使得所需要的审计总天数达到最少。</a:t>
            </a:r>
          </a:p>
          <a:p>
            <a:pPr algn="l" rtl="0">
              <a:defRPr sz="1000"/>
            </a:pPr>
            <a:r>
              <a:rPr lang="zh-CN" altLang="en-US" sz="1100" b="0" i="0" u="none" strike="noStrike" baseline="0">
                <a:solidFill>
                  <a:srgbClr val="000000"/>
                </a:solidFill>
                <a:latin typeface="Times New Roman"/>
                <a:cs typeface="Times New Roman"/>
              </a:rPr>
              <a:t>2</a:t>
            </a:r>
            <a:r>
              <a:rPr lang="zh-CN" altLang="en-US" sz="1100" b="0" i="0" u="none" strike="noStrike" baseline="0">
                <a:solidFill>
                  <a:srgbClr val="000000"/>
                </a:solidFill>
                <a:latin typeface="宋体"/>
                <a:ea typeface="宋体"/>
                <a:cs typeface="Times New Roman"/>
              </a:rPr>
              <a:t>、将规划求解的模型设置保存在从</a:t>
            </a:r>
            <a:r>
              <a:rPr lang="zh-CN" altLang="en-US" sz="1100" b="0" i="0" u="none" strike="noStrike" baseline="0">
                <a:solidFill>
                  <a:srgbClr val="000000"/>
                </a:solidFill>
                <a:latin typeface="Times New Roman"/>
                <a:ea typeface="宋体"/>
                <a:cs typeface="Times New Roman"/>
              </a:rPr>
              <a:t>A1</a:t>
            </a:r>
            <a:r>
              <a:rPr lang="zh-CN" altLang="en-US" sz="1100" b="0" i="0" u="none" strike="noStrike" baseline="0">
                <a:solidFill>
                  <a:srgbClr val="000000"/>
                </a:solidFill>
                <a:latin typeface="宋体"/>
                <a:ea typeface="宋体"/>
                <a:cs typeface="Times New Roman"/>
              </a:rPr>
              <a:t>开始的单元内。</a:t>
            </a:r>
          </a:p>
          <a:p>
            <a:pPr algn="l" rtl="0">
              <a:lnSpc>
                <a:spcPts val="1200"/>
              </a:lnSpc>
              <a:defRPr sz="1000"/>
            </a:pPr>
            <a:endParaRPr lang="zh-CN" altLang="en-US" sz="1100" b="0" i="0" u="none" strike="noStrike" baseline="0">
              <a:solidFill>
                <a:srgbClr val="000000"/>
              </a:solidFill>
              <a:latin typeface="宋体"/>
              <a:ea typeface="宋体"/>
            </a:endParaRPr>
          </a:p>
        </xdr:txBody>
      </xdr:sp>
      <xdr:pic>
        <xdr:nvPicPr>
          <xdr:cNvPr id="5126"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 y="113"/>
            <a:ext cx="302" cy="109"/>
          </a:xfrm>
          <a:prstGeom prst="rect">
            <a:avLst/>
          </a:prstGeom>
          <a:solidFill>
            <a:srgbClr val="FFCCFF"/>
          </a:solidFill>
          <a:ln>
            <a:noFill/>
          </a:ln>
          <a:effectLst/>
          <a:extLs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295275</xdr:colOff>
      <xdr:row>2</xdr:row>
      <xdr:rowOff>142875</xdr:rowOff>
    </xdr:from>
    <xdr:to>
      <xdr:col>12</xdr:col>
      <xdr:colOff>600075</xdr:colOff>
      <xdr:row>11</xdr:row>
      <xdr:rowOff>66675</xdr:rowOff>
    </xdr:to>
    <xdr:sp macro="" textlink="">
      <xdr:nvSpPr>
        <xdr:cNvPr id="6146" name="TextBox 2"/>
        <xdr:cNvSpPr txBox="1">
          <a:spLocks noChangeArrowheads="1"/>
        </xdr:cNvSpPr>
      </xdr:nvSpPr>
      <xdr:spPr bwMode="auto">
        <a:xfrm>
          <a:off x="5114925" y="523875"/>
          <a:ext cx="3733800" cy="1638300"/>
        </a:xfrm>
        <a:prstGeom prst="rect">
          <a:avLst/>
        </a:prstGeom>
        <a:solidFill>
          <a:srgbClr val="FFCCFF"/>
        </a:solidFill>
        <a:ln w="9525">
          <a:solidFill>
            <a:srgbClr val="000000"/>
          </a:solidFill>
          <a:miter lim="800000"/>
          <a:headEnd/>
          <a:tailEnd/>
        </a:ln>
      </xdr:spPr>
      <xdr:txBody>
        <a:bodyPr vertOverflow="clip" wrap="square" lIns="36576" tIns="18288" rIns="0" bIns="0" anchor="t"/>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Calibri"/>
              <a:ea typeface="宋体"/>
            </a:rPr>
            <a:t>5</a:t>
          </a:r>
          <a:r>
            <a:rPr lang="zh-CN" altLang="en-US" sz="1100" b="1" i="0" u="none" strike="noStrike" baseline="0">
              <a:solidFill>
                <a:srgbClr val="000000"/>
              </a:solidFill>
              <a:latin typeface="宋体"/>
              <a:ea typeface="宋体"/>
            </a:rPr>
            <a:t>题（</a:t>
          </a:r>
          <a:r>
            <a:rPr lang="zh-CN" altLang="en-US" sz="1100" b="1" i="0" u="none" strike="noStrike" baseline="0">
              <a:solidFill>
                <a:srgbClr val="000000"/>
              </a:solidFill>
              <a:latin typeface="Calibri"/>
              <a:ea typeface="宋体"/>
            </a:rPr>
            <a:t>15</a:t>
          </a:r>
          <a:r>
            <a:rPr lang="zh-CN" altLang="en-US" sz="1100" b="1" i="0" u="none" strike="noStrike" baseline="0">
              <a:solidFill>
                <a:srgbClr val="000000"/>
              </a:solidFill>
              <a:latin typeface="宋体"/>
              <a:ea typeface="宋体"/>
            </a:rPr>
            <a:t>分）</a:t>
          </a:r>
          <a:r>
            <a:rPr lang="zh-CN" altLang="en-US" sz="1100" b="0" i="0" u="none" strike="noStrike" baseline="0">
              <a:solidFill>
                <a:srgbClr val="000000"/>
              </a:solidFill>
              <a:latin typeface="宋体"/>
              <a:ea typeface="宋体"/>
            </a:rPr>
            <a:t>华光汽车制造厂生产珠江、松花江、黄河三种品牌的汽车。已知各生产一辆品牌车的钢材、劳动力的消耗和利润值，以及每月可提供的钢材和劳动力小时数如表所示。假如在黄河牌汽车的月产量不能低于</a:t>
          </a:r>
          <a:r>
            <a:rPr lang="zh-CN" altLang="en-US" sz="1100" b="0" i="0" u="none" strike="noStrike" baseline="0">
              <a:solidFill>
                <a:srgbClr val="000000"/>
              </a:solidFill>
              <a:latin typeface="Calibri"/>
              <a:ea typeface="宋体"/>
            </a:rPr>
            <a:t>300</a:t>
          </a:r>
          <a:r>
            <a:rPr lang="zh-CN" altLang="en-US" sz="1100" b="0" i="0" u="none" strike="noStrike" baseline="0">
              <a:solidFill>
                <a:srgbClr val="000000"/>
              </a:solidFill>
              <a:latin typeface="宋体"/>
              <a:ea typeface="宋体"/>
            </a:rPr>
            <a:t>辆的情况下，试用规划求解工具为该厂找出一个使月总利润最大的生产计划，并将规划求解模型保存在单元格</a:t>
          </a:r>
          <a:r>
            <a:rPr lang="zh-CN" altLang="en-US" sz="1100" b="0" i="0" u="none" strike="noStrike" baseline="0">
              <a:solidFill>
                <a:srgbClr val="000000"/>
              </a:solidFill>
              <a:latin typeface="Calibri"/>
              <a:ea typeface="宋体"/>
            </a:rPr>
            <a:t>B17 </a:t>
          </a:r>
          <a:r>
            <a:rPr lang="zh-CN" altLang="en-US" sz="1100" b="0" i="0" u="none" strike="noStrike" baseline="0">
              <a:solidFill>
                <a:srgbClr val="000000"/>
              </a:solidFill>
              <a:latin typeface="宋体"/>
              <a:ea typeface="宋体"/>
            </a:rPr>
            <a:t>开始的区域中。</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828675</xdr:colOff>
      <xdr:row>11</xdr:row>
      <xdr:rowOff>114300</xdr:rowOff>
    </xdr:from>
    <xdr:to>
      <xdr:col>7</xdr:col>
      <xdr:colOff>352425</xdr:colOff>
      <xdr:row>18</xdr:row>
      <xdr:rowOff>76200</xdr:rowOff>
    </xdr:to>
    <xdr:sp macro="" textlink="">
      <xdr:nvSpPr>
        <xdr:cNvPr id="7170" name="Text Box 2"/>
        <xdr:cNvSpPr txBox="1">
          <a:spLocks noChangeArrowheads="1"/>
        </xdr:cNvSpPr>
      </xdr:nvSpPr>
      <xdr:spPr bwMode="auto">
        <a:xfrm>
          <a:off x="828675" y="2200275"/>
          <a:ext cx="4914900" cy="1295400"/>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6</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10</a:t>
          </a:r>
          <a:r>
            <a:rPr lang="zh-CN" altLang="en-US" sz="1100" b="1" i="0" u="none" strike="noStrike" baseline="0">
              <a:solidFill>
                <a:srgbClr val="000000"/>
              </a:solidFill>
              <a:latin typeface="宋体"/>
              <a:ea typeface="宋体"/>
              <a:cs typeface="Arial"/>
            </a:rPr>
            <a:t>分）</a:t>
          </a:r>
          <a:r>
            <a:rPr lang="zh-CN" altLang="en-US" sz="1100" b="1" i="0" u="none" strike="noStrike" baseline="0">
              <a:solidFill>
                <a:srgbClr val="000000"/>
              </a:solidFill>
              <a:latin typeface="Arial"/>
              <a:ea typeface="宋体"/>
              <a:cs typeface="Arial"/>
            </a:rPr>
            <a:t> </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企业某项目的初始投资额为</a:t>
          </a:r>
          <a:r>
            <a:rPr lang="zh-CN" altLang="en-US" sz="1100" b="0" i="0" u="none" strike="noStrike" baseline="0">
              <a:solidFill>
                <a:srgbClr val="000000"/>
              </a:solidFill>
              <a:latin typeface="Arial"/>
              <a:ea typeface="宋体"/>
              <a:cs typeface="Arial"/>
            </a:rPr>
            <a:t>40000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1</a:t>
          </a:r>
          <a:r>
            <a:rPr lang="zh-CN" altLang="en-US" sz="1100" b="0" i="0" u="none" strike="noStrike" baseline="0">
              <a:solidFill>
                <a:srgbClr val="000000"/>
              </a:solidFill>
              <a:latin typeface="宋体"/>
              <a:ea typeface="宋体"/>
              <a:cs typeface="Arial"/>
            </a:rPr>
            <a:t>年可获得</a:t>
          </a:r>
          <a:r>
            <a:rPr lang="zh-CN" altLang="en-US" sz="1100" b="0" i="0" u="none" strike="noStrike" baseline="0">
              <a:solidFill>
                <a:srgbClr val="000000"/>
              </a:solidFill>
              <a:latin typeface="Arial"/>
              <a:ea typeface="宋体"/>
              <a:cs typeface="Arial"/>
            </a:rPr>
            <a:t>5000</a:t>
          </a:r>
          <a:r>
            <a:rPr lang="zh-CN" altLang="en-US" sz="1100" b="0" i="0" u="none" strike="noStrike" baseline="0">
              <a:solidFill>
                <a:srgbClr val="000000"/>
              </a:solidFill>
              <a:latin typeface="宋体"/>
              <a:ea typeface="宋体"/>
              <a:cs typeface="Arial"/>
            </a:rPr>
            <a:t>元的回报但还要再投入</a:t>
          </a:r>
          <a:r>
            <a:rPr lang="zh-CN" altLang="en-US" sz="1100" b="0" i="0" u="none" strike="noStrike" baseline="0">
              <a:solidFill>
                <a:srgbClr val="000000"/>
              </a:solidFill>
              <a:latin typeface="Arial"/>
              <a:ea typeface="宋体"/>
              <a:cs typeface="Arial"/>
            </a:rPr>
            <a:t>20000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2</a:t>
          </a:r>
          <a:r>
            <a:rPr lang="zh-CN" altLang="en-US" sz="1100" b="0" i="0" u="none" strike="noStrike" baseline="0">
              <a:solidFill>
                <a:srgbClr val="000000"/>
              </a:solidFill>
              <a:latin typeface="宋体"/>
              <a:ea typeface="宋体"/>
              <a:cs typeface="Arial"/>
            </a:rPr>
            <a:t>年可获得</a:t>
          </a:r>
          <a:r>
            <a:rPr lang="zh-CN" altLang="en-US" sz="1100" b="0" i="0" u="none" strike="noStrike" baseline="0">
              <a:solidFill>
                <a:srgbClr val="000000"/>
              </a:solidFill>
              <a:latin typeface="Arial"/>
              <a:ea typeface="宋体"/>
              <a:cs typeface="Arial"/>
            </a:rPr>
            <a:t>15000</a:t>
          </a:r>
          <a:r>
            <a:rPr lang="zh-CN" altLang="en-US" sz="1100" b="0" i="0" u="none" strike="noStrike" baseline="0">
              <a:solidFill>
                <a:srgbClr val="000000"/>
              </a:solidFill>
              <a:latin typeface="宋体"/>
              <a:ea typeface="宋体"/>
              <a:cs typeface="Arial"/>
            </a:rPr>
            <a:t>元的回报但还要再投入</a:t>
          </a:r>
          <a:r>
            <a:rPr lang="zh-CN" altLang="en-US" sz="1100" b="0" i="0" u="none" strike="noStrike" baseline="0">
              <a:solidFill>
                <a:srgbClr val="000000"/>
              </a:solidFill>
              <a:latin typeface="Arial"/>
              <a:ea typeface="宋体"/>
              <a:cs typeface="Arial"/>
            </a:rPr>
            <a:t>10000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3</a:t>
          </a:r>
          <a:r>
            <a:rPr lang="zh-CN" altLang="en-US" sz="1100" b="0" i="0" u="none" strike="noStrike" baseline="0">
              <a:solidFill>
                <a:srgbClr val="000000"/>
              </a:solidFill>
              <a:latin typeface="宋体"/>
              <a:ea typeface="宋体"/>
              <a:cs typeface="Arial"/>
            </a:rPr>
            <a:t>年起可不必再投入，该年的回报为</a:t>
          </a:r>
          <a:r>
            <a:rPr lang="zh-CN" altLang="en-US" sz="1100" b="0" i="0" u="none" strike="noStrike" baseline="0">
              <a:solidFill>
                <a:srgbClr val="000000"/>
              </a:solidFill>
              <a:latin typeface="Arial"/>
              <a:ea typeface="宋体"/>
              <a:cs typeface="Arial"/>
            </a:rPr>
            <a:t>20000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年的回报为</a:t>
          </a:r>
          <a:r>
            <a:rPr lang="zh-CN" altLang="en-US" sz="1100" b="0" i="0" u="none" strike="noStrike" baseline="0">
              <a:solidFill>
                <a:srgbClr val="000000"/>
              </a:solidFill>
              <a:latin typeface="Arial"/>
              <a:ea typeface="宋体"/>
              <a:cs typeface="Arial"/>
            </a:rPr>
            <a:t>30000</a:t>
          </a:r>
          <a:r>
            <a:rPr lang="zh-CN" altLang="en-US" sz="1100" b="0" i="0" u="none" strike="noStrike" baseline="0">
              <a:solidFill>
                <a:srgbClr val="000000"/>
              </a:solidFill>
              <a:latin typeface="宋体"/>
              <a:ea typeface="宋体"/>
              <a:cs typeface="Arial"/>
            </a:rPr>
            <a:t>元，第</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年获得</a:t>
          </a:r>
          <a:r>
            <a:rPr lang="zh-CN" altLang="en-US" sz="1100" b="0" i="0" u="none" strike="noStrike" baseline="0">
              <a:solidFill>
                <a:srgbClr val="000000"/>
              </a:solidFill>
              <a:latin typeface="Arial"/>
              <a:ea typeface="宋体"/>
              <a:cs typeface="Arial"/>
            </a:rPr>
            <a:t>20000</a:t>
          </a:r>
          <a:r>
            <a:rPr lang="zh-CN" altLang="en-US" sz="1100" b="0" i="0" u="none" strike="noStrike" baseline="0">
              <a:solidFill>
                <a:srgbClr val="000000"/>
              </a:solidFill>
              <a:latin typeface="宋体"/>
              <a:ea typeface="宋体"/>
              <a:cs typeface="Arial"/>
            </a:rPr>
            <a:t>元的回报后，该项目便不再有回报。要求：</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、计算该投资项目的净现值。</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、计算该项目的内部报酬率。</a:t>
          </a: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752475</xdr:colOff>
      <xdr:row>20</xdr:row>
      <xdr:rowOff>123825</xdr:rowOff>
    </xdr:from>
    <xdr:to>
      <xdr:col>6</xdr:col>
      <xdr:colOff>571500</xdr:colOff>
      <xdr:row>31</xdr:row>
      <xdr:rowOff>180975</xdr:rowOff>
    </xdr:to>
    <xdr:sp macro="" textlink="">
      <xdr:nvSpPr>
        <xdr:cNvPr id="8194" name="Text Box 2"/>
        <xdr:cNvSpPr txBox="1">
          <a:spLocks noChangeArrowheads="1"/>
        </xdr:cNvSpPr>
      </xdr:nvSpPr>
      <xdr:spPr bwMode="auto">
        <a:xfrm>
          <a:off x="942975" y="3933825"/>
          <a:ext cx="6515100" cy="2152650"/>
        </a:xfrm>
        <a:prstGeom prst="rect">
          <a:avLst/>
        </a:prstGeom>
        <a:solidFill>
          <a:srgbClr val="FFCC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7</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 (15</a:t>
          </a:r>
          <a:r>
            <a:rPr lang="zh-CN" altLang="en-US" sz="1100" b="1" i="0" u="none" strike="noStrike" baseline="0">
              <a:solidFill>
                <a:srgbClr val="000000"/>
              </a:solidFill>
              <a:latin typeface="宋体"/>
              <a:ea typeface="宋体"/>
              <a:cs typeface="Arial"/>
            </a:rPr>
            <a:t>分</a:t>
          </a:r>
          <a:r>
            <a:rPr lang="zh-CN" altLang="en-US" sz="1100" b="1" i="0" u="none" strike="noStrike" baseline="0">
              <a:solidFill>
                <a:srgbClr val="000000"/>
              </a:solidFill>
              <a:latin typeface="Arial"/>
              <a:ea typeface="宋体"/>
              <a:cs typeface="Arial"/>
            </a:rPr>
            <a:t>)</a:t>
          </a:r>
          <a:r>
            <a:rPr lang="zh-CN" altLang="en-US" sz="1100" b="1" i="0" u="none" strike="noStrike" baseline="0">
              <a:solidFill>
                <a:srgbClr val="000000"/>
              </a:solidFill>
              <a:latin typeface="宋体"/>
              <a:ea typeface="宋体"/>
              <a:cs typeface="Arial"/>
            </a:rPr>
            <a:t>：</a:t>
          </a:r>
          <a:r>
            <a:rPr lang="zh-CN" altLang="en-US" sz="1100" b="0" i="0" u="none" strike="noStrike" baseline="0">
              <a:solidFill>
                <a:srgbClr val="000000"/>
              </a:solidFill>
              <a:latin typeface="宋体"/>
              <a:ea typeface="宋体"/>
              <a:cs typeface="Arial"/>
            </a:rPr>
            <a:t>某投资者在</a:t>
          </a:r>
          <a:r>
            <a:rPr lang="zh-CN" altLang="en-US" sz="1100" b="0" i="0" u="none" strike="noStrike" baseline="0">
              <a:solidFill>
                <a:srgbClr val="000000"/>
              </a:solidFill>
              <a:latin typeface="Arial"/>
              <a:ea typeface="宋体"/>
              <a:cs typeface="Arial"/>
            </a:rPr>
            <a:t>2001</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月末以</a:t>
          </a:r>
          <a:r>
            <a:rPr lang="zh-CN" altLang="en-US" sz="1100" b="0" i="0" u="none" strike="noStrike" baseline="0">
              <a:solidFill>
                <a:srgbClr val="000000"/>
              </a:solidFill>
              <a:latin typeface="Arial"/>
              <a:ea typeface="宋体"/>
              <a:cs typeface="Arial"/>
            </a:rPr>
            <a:t>200</a:t>
          </a:r>
          <a:r>
            <a:rPr lang="zh-CN" altLang="en-US" sz="1100" b="0" i="0" u="none" strike="noStrike" baseline="0">
              <a:solidFill>
                <a:srgbClr val="000000"/>
              </a:solidFill>
              <a:latin typeface="宋体"/>
              <a:ea typeface="宋体"/>
              <a:cs typeface="Arial"/>
            </a:rPr>
            <a:t>万的总价购买了一处房产，首付</a:t>
          </a:r>
          <a:r>
            <a:rPr lang="zh-CN" altLang="en-US" sz="1100" b="0" i="0" u="none" strike="noStrike" baseline="0">
              <a:solidFill>
                <a:srgbClr val="000000"/>
              </a:solidFill>
              <a:latin typeface="Arial"/>
              <a:ea typeface="宋体"/>
              <a:cs typeface="Arial"/>
            </a:rPr>
            <a:t>80</a:t>
          </a:r>
          <a:r>
            <a:rPr lang="zh-CN" altLang="en-US" sz="1100" b="0" i="0" u="none" strike="noStrike" baseline="0">
              <a:solidFill>
                <a:srgbClr val="000000"/>
              </a:solidFill>
              <a:latin typeface="宋体"/>
              <a:ea typeface="宋体"/>
              <a:cs typeface="Arial"/>
            </a:rPr>
            <a:t>万现金，贷款</a:t>
          </a:r>
          <a:r>
            <a:rPr lang="zh-CN" altLang="en-US" sz="1100" b="0" i="0" u="none" strike="noStrike" baseline="0">
              <a:solidFill>
                <a:srgbClr val="000000"/>
              </a:solidFill>
              <a:latin typeface="Arial"/>
              <a:ea typeface="宋体"/>
              <a:cs typeface="Arial"/>
            </a:rPr>
            <a:t>120</a:t>
          </a:r>
          <a:r>
            <a:rPr lang="zh-CN" altLang="en-US" sz="1100" b="0" i="0" u="none" strike="noStrike" baseline="0">
              <a:solidFill>
                <a:srgbClr val="000000"/>
              </a:solidFill>
              <a:latin typeface="宋体"/>
              <a:ea typeface="宋体"/>
              <a:cs typeface="Arial"/>
            </a:rPr>
            <a:t>万元，贷款年限</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年（至</a:t>
          </a:r>
          <a:r>
            <a:rPr lang="zh-CN" altLang="en-US" sz="1100" b="0" i="0" u="none" strike="noStrike" baseline="0">
              <a:solidFill>
                <a:srgbClr val="000000"/>
              </a:solidFill>
              <a:latin typeface="Arial"/>
              <a:ea typeface="宋体"/>
              <a:cs typeface="Arial"/>
            </a:rPr>
            <a:t>2006</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月末还款后结清</a:t>
          </a:r>
          <a:r>
            <a:rPr lang="zh-CN" altLang="en-US" sz="1100" b="0" i="0" u="none" strike="noStrike" baseline="0">
              <a:solidFill>
                <a:srgbClr val="000000"/>
              </a:solidFill>
              <a:latin typeface="Arial"/>
              <a:ea typeface="宋体"/>
              <a:cs typeface="Arial"/>
            </a:rPr>
            <a:t> </a:t>
          </a:r>
          <a:r>
            <a:rPr lang="zh-CN" altLang="en-US" sz="1100" b="0" i="0" u="none" strike="noStrike" baseline="0">
              <a:solidFill>
                <a:srgbClr val="000000"/>
              </a:solidFill>
              <a:latin typeface="宋体"/>
              <a:ea typeface="宋体"/>
              <a:cs typeface="Arial"/>
            </a:rPr>
            <a:t>），按月等额还款，年贷款利率为</a:t>
          </a:r>
          <a:r>
            <a:rPr lang="zh-CN" altLang="en-US" sz="1100" b="0" i="0" u="none" strike="noStrike" baseline="0">
              <a:solidFill>
                <a:srgbClr val="000000"/>
              </a:solidFill>
              <a:latin typeface="Arial"/>
              <a:ea typeface="宋体"/>
              <a:cs typeface="Arial"/>
            </a:rPr>
            <a:t>4.96%</a:t>
          </a:r>
          <a:r>
            <a:rPr lang="zh-CN" altLang="en-US" sz="1100" b="0" i="0" u="none" strike="noStrike" baseline="0">
              <a:solidFill>
                <a:srgbClr val="000000"/>
              </a:solidFill>
              <a:latin typeface="宋体"/>
              <a:ea typeface="宋体"/>
              <a:cs typeface="Arial"/>
            </a:rPr>
            <a:t>。要求：</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、从</a:t>
          </a:r>
          <a:r>
            <a:rPr lang="zh-CN" altLang="en-US" sz="1100" b="0" i="0" u="none" strike="noStrike" baseline="0">
              <a:solidFill>
                <a:srgbClr val="000000"/>
              </a:solidFill>
              <a:latin typeface="Arial"/>
              <a:ea typeface="宋体"/>
              <a:cs typeface="Arial"/>
            </a:rPr>
            <a:t>2001</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月开始等额还款额，计算出每月的等额还款额。</a:t>
          </a:r>
        </a:p>
        <a:p>
          <a:pPr algn="l" rtl="0">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、若从</a:t>
          </a:r>
          <a:r>
            <a:rPr lang="zh-CN" altLang="en-US" sz="1100" b="0" i="0" u="none" strike="noStrike" baseline="0">
              <a:solidFill>
                <a:srgbClr val="000000"/>
              </a:solidFill>
              <a:latin typeface="Arial"/>
              <a:ea typeface="宋体"/>
              <a:cs typeface="Arial"/>
            </a:rPr>
            <a:t>2002</a:t>
          </a:r>
          <a:r>
            <a:rPr lang="zh-CN" altLang="en-US" sz="1100" b="0" i="0" u="none" strike="noStrike" baseline="0">
              <a:solidFill>
                <a:srgbClr val="000000"/>
              </a:solidFill>
              <a:latin typeface="宋体"/>
              <a:ea typeface="宋体"/>
              <a:cs typeface="Arial"/>
            </a:rPr>
            <a:t>年至</a:t>
          </a:r>
          <a:r>
            <a:rPr lang="zh-CN" altLang="en-US" sz="1100" b="0" i="0" u="none" strike="noStrike" baseline="0">
              <a:solidFill>
                <a:srgbClr val="000000"/>
              </a:solidFill>
              <a:latin typeface="Arial"/>
              <a:ea typeface="宋体"/>
              <a:cs typeface="Arial"/>
            </a:rPr>
            <a:t>2005</a:t>
          </a:r>
          <a:r>
            <a:rPr lang="zh-CN" altLang="en-US" sz="1100" b="0" i="0" u="none" strike="noStrike" baseline="0">
              <a:solidFill>
                <a:srgbClr val="000000"/>
              </a:solidFill>
              <a:latin typeface="宋体"/>
              <a:ea typeface="宋体"/>
              <a:cs typeface="Arial"/>
            </a:rPr>
            <a:t>年四年中每年的</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月末采用公积金冲贷，即用当时还贷后的的余额再减去公积金冲贷额</a:t>
          </a:r>
          <a:r>
            <a:rPr lang="zh-CN" altLang="en-US" sz="1100" b="0" i="0" u="none" strike="noStrike" baseline="0">
              <a:solidFill>
                <a:srgbClr val="000000"/>
              </a:solidFill>
              <a:latin typeface="Arial"/>
              <a:ea typeface="宋体"/>
              <a:cs typeface="Arial"/>
            </a:rPr>
            <a:t>2</a:t>
          </a:r>
          <a:r>
            <a:rPr lang="zh-CN" altLang="en-US" sz="1100" b="0" i="0" u="none" strike="noStrike" baseline="0">
              <a:solidFill>
                <a:srgbClr val="000000"/>
              </a:solidFill>
              <a:latin typeface="宋体"/>
              <a:ea typeface="宋体"/>
              <a:cs typeface="Arial"/>
            </a:rPr>
            <a:t>万元。根据合约规定，必须根据冲款后余额和余下的贷款期数重新计算每月等额贷款额。请在</a:t>
          </a:r>
          <a:r>
            <a:rPr lang="zh-CN" altLang="en-US" sz="1100" b="0" i="0" u="none" strike="noStrike" baseline="0">
              <a:solidFill>
                <a:srgbClr val="000000"/>
              </a:solidFill>
              <a:latin typeface="Arial"/>
              <a:ea typeface="宋体"/>
              <a:cs typeface="Arial"/>
            </a:rPr>
            <a:t>G4:K63</a:t>
          </a:r>
          <a:r>
            <a:rPr lang="zh-CN" altLang="en-US" sz="1100" b="0" i="0" u="none" strike="noStrike" baseline="0">
              <a:solidFill>
                <a:srgbClr val="000000"/>
              </a:solidFill>
              <a:latin typeface="宋体"/>
              <a:ea typeface="宋体"/>
              <a:cs typeface="Arial"/>
            </a:rPr>
            <a:t>区域中逐笔计算出每月的余额及新的每月等额还款额。编制</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60</a:t>
          </a:r>
          <a:r>
            <a:rPr lang="zh-CN" altLang="en-US" sz="1100" b="0" i="0" u="none" strike="noStrike" baseline="0">
              <a:solidFill>
                <a:srgbClr val="000000"/>
              </a:solidFill>
              <a:latin typeface="宋体"/>
              <a:ea typeface="宋体"/>
              <a:cs typeface="Arial"/>
            </a:rPr>
            <a:t>期）每月还款的明细报表。</a:t>
          </a:r>
        </a:p>
        <a:p>
          <a:pPr algn="l" rtl="0">
            <a:defRPr sz="1000"/>
          </a:pPr>
          <a:r>
            <a:rPr lang="zh-CN" altLang="en-US" sz="1100" b="0" i="0" u="none" strike="noStrike" baseline="0">
              <a:solidFill>
                <a:srgbClr val="000000"/>
              </a:solidFill>
              <a:latin typeface="Arial"/>
              <a:cs typeface="Arial"/>
            </a:rPr>
            <a:t>4</a:t>
          </a:r>
          <a:r>
            <a:rPr lang="zh-CN" altLang="en-US" sz="1100" b="0" i="0" u="none" strike="noStrike" baseline="0">
              <a:solidFill>
                <a:srgbClr val="000000"/>
              </a:solidFill>
              <a:latin typeface="宋体"/>
              <a:ea typeface="宋体"/>
              <a:cs typeface="Arial"/>
            </a:rPr>
            <a:t>、如果</a:t>
          </a:r>
          <a:r>
            <a:rPr lang="zh-CN" altLang="en-US" sz="1100" b="0" i="0" u="none" strike="noStrike" baseline="0">
              <a:solidFill>
                <a:srgbClr val="000000"/>
              </a:solidFill>
              <a:latin typeface="Arial"/>
              <a:ea typeface="宋体"/>
              <a:cs typeface="Arial"/>
            </a:rPr>
            <a:t>2006</a:t>
          </a:r>
          <a:r>
            <a:rPr lang="zh-CN" altLang="en-US" sz="1100" b="0" i="0" u="none" strike="noStrike" baseline="0">
              <a:solidFill>
                <a:srgbClr val="000000"/>
              </a:solidFill>
              <a:latin typeface="宋体"/>
              <a:ea typeface="宋体"/>
              <a:cs typeface="Arial"/>
            </a:rPr>
            <a:t>年</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月末贷款结清后售房现金收入</a:t>
          </a:r>
          <a:r>
            <a:rPr lang="zh-CN" altLang="en-US" sz="1100" b="0" i="0" u="none" strike="noStrike" baseline="0">
              <a:solidFill>
                <a:srgbClr val="000000"/>
              </a:solidFill>
              <a:latin typeface="Arial"/>
              <a:ea typeface="宋体"/>
              <a:cs typeface="Arial"/>
            </a:rPr>
            <a:t>300</a:t>
          </a:r>
          <a:r>
            <a:rPr lang="zh-CN" altLang="en-US" sz="1100" b="0" i="0" u="none" strike="noStrike" baseline="0">
              <a:solidFill>
                <a:srgbClr val="000000"/>
              </a:solidFill>
              <a:latin typeface="宋体"/>
              <a:ea typeface="宋体"/>
              <a:cs typeface="Arial"/>
            </a:rPr>
            <a:t>万，假定贴现率为</a:t>
          </a:r>
          <a:r>
            <a:rPr lang="zh-CN" altLang="en-US" sz="1100" b="0" i="0" u="none" strike="noStrike" baseline="0">
              <a:solidFill>
                <a:srgbClr val="000000"/>
              </a:solidFill>
              <a:latin typeface="Arial"/>
              <a:ea typeface="宋体"/>
              <a:cs typeface="Arial"/>
            </a:rPr>
            <a:t>7%</a:t>
          </a:r>
          <a:r>
            <a:rPr lang="zh-CN" altLang="en-US" sz="1100" b="0" i="0" u="none" strike="noStrike" baseline="0">
              <a:solidFill>
                <a:srgbClr val="000000"/>
              </a:solidFill>
              <a:latin typeface="宋体"/>
              <a:ea typeface="宋体"/>
              <a:cs typeface="Arial"/>
            </a:rPr>
            <a:t>，使用净现金流量表及相应的函数计算出此投资项目的净现值和内部报酬率。</a:t>
          </a:r>
        </a:p>
        <a:p>
          <a:pPr algn="l" rtl="0">
            <a:defRPr sz="1000"/>
          </a:pPr>
          <a:r>
            <a:rPr lang="zh-CN" altLang="en-US" sz="1100" b="0" i="0" u="none" strike="noStrike" baseline="0">
              <a:solidFill>
                <a:srgbClr val="000000"/>
              </a:solidFill>
              <a:latin typeface="宋体"/>
              <a:ea typeface="宋体"/>
              <a:cs typeface="Arial"/>
            </a:rPr>
            <a:t>说明：金额的单位为万元，保留小数位</a:t>
          </a:r>
          <a:r>
            <a:rPr lang="zh-CN" altLang="en-US" sz="1100" b="0" i="0" u="none" strike="noStrike" baseline="0">
              <a:solidFill>
                <a:srgbClr val="000000"/>
              </a:solidFill>
              <a:latin typeface="Arial"/>
              <a:ea typeface="宋体"/>
              <a:cs typeface="Arial"/>
            </a:rPr>
            <a:t>5</a:t>
          </a:r>
          <a:r>
            <a:rPr lang="zh-CN" altLang="en-US" sz="1100" b="0" i="0" u="none" strike="noStrike" baseline="0">
              <a:solidFill>
                <a:srgbClr val="000000"/>
              </a:solidFill>
              <a:latin typeface="宋体"/>
              <a:ea typeface="宋体"/>
              <a:cs typeface="Arial"/>
            </a:rPr>
            <a:t>位，百分比格式保留小数位</a:t>
          </a:r>
          <a:r>
            <a:rPr lang="zh-CN" altLang="en-US" sz="1100" b="0" i="0" u="none" strike="noStrike" baseline="0">
              <a:solidFill>
                <a:srgbClr val="000000"/>
              </a:solidFill>
              <a:latin typeface="Arial"/>
              <a:ea typeface="宋体"/>
              <a:cs typeface="Arial"/>
            </a:rPr>
            <a:t>3</a:t>
          </a:r>
          <a:r>
            <a:rPr lang="zh-CN" altLang="en-US" sz="1100" b="0" i="0" u="none" strike="noStrike" baseline="0">
              <a:solidFill>
                <a:srgbClr val="000000"/>
              </a:solidFill>
              <a:latin typeface="宋体"/>
              <a:ea typeface="宋体"/>
              <a:cs typeface="Arial"/>
            </a:rPr>
            <a:t>位。</a:t>
          </a:r>
          <a:endParaRPr lang="zh-CN" altLang="en-US" sz="1100" b="1" i="0" u="none" strike="noStrike" baseline="0">
            <a:solidFill>
              <a:srgbClr val="000000"/>
            </a:solidFill>
            <a:latin typeface="宋体"/>
            <a:ea typeface="宋体"/>
            <a:cs typeface="Arial"/>
          </a:endParaRPr>
        </a:p>
        <a:p>
          <a:pPr algn="l" rtl="0">
            <a:lnSpc>
              <a:spcPts val="1200"/>
            </a:lnSpc>
            <a:defRPr sz="1000"/>
          </a:pPr>
          <a:endParaRPr lang="zh-CN" altLang="en-US" sz="1100" b="1" i="0" u="none" strike="noStrike" baseline="0">
            <a:solidFill>
              <a:srgbClr val="000000"/>
            </a:solidFill>
            <a:latin typeface="宋体"/>
            <a:ea typeface="宋体"/>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657225</xdr:colOff>
      <xdr:row>16</xdr:row>
      <xdr:rowOff>47625</xdr:rowOff>
    </xdr:from>
    <xdr:to>
      <xdr:col>8</xdr:col>
      <xdr:colOff>466725</xdr:colOff>
      <xdr:row>29</xdr:row>
      <xdr:rowOff>133350</xdr:rowOff>
    </xdr:to>
    <xdr:grpSp>
      <xdr:nvGrpSpPr>
        <xdr:cNvPr id="9220" name="Group 1"/>
        <xdr:cNvGrpSpPr>
          <a:grpSpLocks/>
        </xdr:cNvGrpSpPr>
      </xdr:nvGrpSpPr>
      <xdr:grpSpPr bwMode="auto">
        <a:xfrm>
          <a:off x="914400" y="3095625"/>
          <a:ext cx="6057900" cy="2562225"/>
          <a:chOff x="825" y="142"/>
          <a:chExt cx="565" cy="255"/>
        </a:xfrm>
      </xdr:grpSpPr>
      <xdr:sp macro="" textlink="">
        <xdr:nvSpPr>
          <xdr:cNvPr id="9221" name="Text Box 2"/>
          <xdr:cNvSpPr txBox="1">
            <a:spLocks noChangeArrowheads="1"/>
          </xdr:cNvSpPr>
        </xdr:nvSpPr>
        <xdr:spPr bwMode="auto">
          <a:xfrm>
            <a:off x="825" y="142"/>
            <a:ext cx="565" cy="255"/>
          </a:xfrm>
          <a:prstGeom prst="rect">
            <a:avLst/>
          </a:prstGeom>
          <a:solidFill>
            <a:srgbClr val="FFCCFF"/>
          </a:solidFill>
          <a:ln w="9525">
            <a:solidFill>
              <a:srgbClr val="000000"/>
            </a:solidFill>
            <a:miter lim="800000"/>
            <a:headEnd/>
            <a:tailEnd/>
          </a:ln>
        </xdr:spPr>
        <xdr:txBody>
          <a:bodyPr vertOverflow="clip" wrap="square" lIns="36576" tIns="27432" rIns="0" bIns="0" anchor="t"/>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8</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15</a:t>
            </a:r>
            <a:r>
              <a:rPr lang="zh-CN" altLang="en-US" sz="1100" b="1" i="0" u="none" strike="noStrike" baseline="0">
                <a:solidFill>
                  <a:srgbClr val="000000"/>
                </a:solidFill>
                <a:latin typeface="宋体"/>
                <a:ea typeface="宋体"/>
                <a:cs typeface="Arial"/>
              </a:rPr>
              <a:t>分）</a:t>
            </a:r>
            <a:r>
              <a:rPr lang="zh-CN" altLang="en-US" sz="1100" b="0" i="0" u="none" strike="noStrike" baseline="0">
                <a:solidFill>
                  <a:srgbClr val="000000"/>
                </a:solidFill>
                <a:latin typeface="宋体"/>
                <a:ea typeface="宋体"/>
                <a:cs typeface="Arial"/>
              </a:rPr>
              <a:t>某商店现准备销售一种新商品，该商品的单价是一个服从均值为</a:t>
            </a:r>
            <a:r>
              <a:rPr lang="zh-CN" altLang="en-US" sz="1100" b="0" i="0" u="none" strike="noStrike" baseline="0">
                <a:solidFill>
                  <a:srgbClr val="000000"/>
                </a:solidFill>
                <a:latin typeface="Arial"/>
                <a:ea typeface="宋体"/>
                <a:cs typeface="Arial"/>
              </a:rPr>
              <a:t>40</a:t>
            </a:r>
            <a:r>
              <a:rPr lang="zh-CN" altLang="en-US" sz="1100" b="0" i="0" u="none" strike="noStrike" baseline="0">
                <a:solidFill>
                  <a:srgbClr val="000000"/>
                </a:solidFill>
                <a:latin typeface="宋体"/>
                <a:ea typeface="宋体"/>
                <a:cs typeface="Arial"/>
              </a:rPr>
              <a:t>元、而标准差为</a:t>
            </a:r>
            <a:r>
              <a:rPr lang="zh-CN" altLang="en-US" sz="1100" b="0" i="0" u="none" strike="noStrike" baseline="0">
                <a:solidFill>
                  <a:srgbClr val="000000"/>
                </a:solidFill>
                <a:latin typeface="Arial"/>
                <a:ea typeface="宋体"/>
                <a:cs typeface="Arial"/>
              </a:rPr>
              <a:t>10</a:t>
            </a:r>
            <a:r>
              <a:rPr lang="zh-CN" altLang="en-US" sz="1100" b="0" i="0" u="none" strike="noStrike" baseline="0">
                <a:solidFill>
                  <a:srgbClr val="000000"/>
                </a:solidFill>
                <a:latin typeface="宋体"/>
                <a:ea typeface="宋体"/>
                <a:cs typeface="Arial"/>
              </a:rPr>
              <a:t>元的正态分布的随机数，该商品每天的销量服从如下的概率分布：</a:t>
            </a: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lnSpc>
                <a:spcPts val="1300"/>
              </a:lnSpc>
              <a:defRPr sz="1000"/>
            </a:pPr>
            <a:r>
              <a:rPr lang="zh-CN" altLang="en-US" sz="1100" b="0" i="0" u="none" strike="noStrike" baseline="0">
                <a:solidFill>
                  <a:srgbClr val="000000"/>
                </a:solidFill>
                <a:latin typeface="宋体"/>
                <a:ea typeface="宋体"/>
                <a:cs typeface="Arial"/>
              </a:rPr>
              <a:t>试在本工作表完成如下操作：</a:t>
            </a:r>
          </a:p>
          <a:p>
            <a:pPr algn="l" rtl="0">
              <a:defRPr sz="1000"/>
            </a:pPr>
            <a:r>
              <a:rPr lang="zh-CN" altLang="en-US"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cs typeface="Arial"/>
              </a:rPr>
              <a:t>、计算该商品一个月（</a:t>
            </a:r>
            <a:r>
              <a:rPr lang="zh-CN" altLang="en-US" sz="1100" b="0" i="0" u="none" strike="noStrike" baseline="0">
                <a:solidFill>
                  <a:srgbClr val="000000"/>
                </a:solidFill>
                <a:latin typeface="Arial"/>
                <a:ea typeface="宋体"/>
                <a:cs typeface="Arial"/>
              </a:rPr>
              <a:t>30</a:t>
            </a:r>
            <a:r>
              <a:rPr lang="zh-CN" altLang="en-US" sz="1100" b="0" i="0" u="none" strike="noStrike" baseline="0">
                <a:solidFill>
                  <a:srgbClr val="000000"/>
                </a:solidFill>
                <a:latin typeface="宋体"/>
                <a:ea typeface="宋体"/>
                <a:cs typeface="Arial"/>
              </a:rPr>
              <a:t>天）的销售收入，并对其模拟</a:t>
            </a:r>
            <a:r>
              <a:rPr lang="zh-CN" altLang="en-US" sz="1100" b="0" i="0" u="none" strike="noStrike" baseline="0">
                <a:solidFill>
                  <a:srgbClr val="000000"/>
                </a:solidFill>
                <a:latin typeface="Arial"/>
                <a:ea typeface="宋体"/>
                <a:cs typeface="Arial"/>
              </a:rPr>
              <a:t>45</a:t>
            </a:r>
            <a:r>
              <a:rPr lang="zh-CN" altLang="en-US" sz="1100" b="0" i="0" u="none" strike="noStrike" baseline="0">
                <a:solidFill>
                  <a:srgbClr val="000000"/>
                </a:solidFill>
                <a:latin typeface="宋体"/>
                <a:ea typeface="宋体"/>
                <a:cs typeface="Arial"/>
              </a:rPr>
              <a:t>次；</a:t>
            </a:r>
          </a:p>
          <a:p>
            <a:pPr algn="l" rtl="0">
              <a:lnSpc>
                <a:spcPts val="1300"/>
              </a:lnSpc>
              <a:defRPr sz="1000"/>
            </a:pPr>
            <a:r>
              <a:rPr lang="zh-CN" altLang="en-US"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cs typeface="Arial"/>
              </a:rPr>
              <a:t>、计算该商品月销售收入的最大值、最小值和标准差；</a:t>
            </a:r>
          </a:p>
          <a:p>
            <a:pPr algn="l" rtl="0">
              <a:lnSpc>
                <a:spcPts val="1300"/>
              </a:lnSpc>
              <a:defRPr sz="1000"/>
            </a:pPr>
            <a:r>
              <a:rPr lang="zh-CN" altLang="en-US"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cs typeface="Arial"/>
              </a:rPr>
              <a:t>、分析该商品月销售收入超过</a:t>
            </a:r>
            <a:r>
              <a:rPr lang="zh-CN" altLang="en-US" sz="1100" b="0" i="0" u="none" strike="noStrike" baseline="0">
                <a:solidFill>
                  <a:srgbClr val="000000"/>
                </a:solidFill>
                <a:latin typeface="Arial"/>
                <a:ea typeface="宋体"/>
                <a:cs typeface="Arial"/>
              </a:rPr>
              <a:t>45000</a:t>
            </a:r>
            <a:r>
              <a:rPr lang="zh-CN" altLang="en-US" sz="1100" b="0" i="0" u="none" strike="noStrike" baseline="0">
                <a:solidFill>
                  <a:srgbClr val="000000"/>
                </a:solidFill>
                <a:latin typeface="宋体"/>
                <a:ea typeface="宋体"/>
                <a:cs typeface="Arial"/>
              </a:rPr>
              <a:t>元的可能性。</a:t>
            </a: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922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 y="192"/>
            <a:ext cx="171" cy="115"/>
          </a:xfrm>
          <a:prstGeom prst="rect">
            <a:avLst/>
          </a:prstGeom>
          <a:solidFill>
            <a:srgbClr val="FFCCFF"/>
          </a:solidFill>
          <a:ln>
            <a:noFill/>
          </a:ln>
          <a:extLs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workbookViewId="0">
      <selection activeCell="C31" sqref="C31"/>
    </sheetView>
  </sheetViews>
  <sheetFormatPr defaultRowHeight="15"/>
  <cols>
    <col min="1" max="1" width="2.375" style="1" customWidth="1"/>
    <col min="2" max="2" width="22.25" style="1" bestFit="1" customWidth="1"/>
    <col min="3" max="3" width="9.625" style="1" customWidth="1"/>
    <col min="4" max="5" width="2" style="1" customWidth="1"/>
    <col min="6" max="6" width="9.75" style="2" customWidth="1"/>
    <col min="7" max="7" width="10.625" style="2" customWidth="1"/>
    <col min="8" max="8" width="1.125" style="1" customWidth="1"/>
    <col min="9" max="16384" width="9" style="1"/>
  </cols>
  <sheetData>
    <row r="1" spans="1:7" ht="12" customHeight="1"/>
    <row r="2" spans="1:7">
      <c r="B2" s="3" t="s">
        <v>4</v>
      </c>
      <c r="C2" s="4">
        <v>900</v>
      </c>
      <c r="D2" s="5"/>
      <c r="F2" s="6"/>
      <c r="G2" s="6"/>
    </row>
    <row r="3" spans="1:7">
      <c r="D3" s="5"/>
      <c r="G3" s="7"/>
    </row>
    <row r="4" spans="1:7">
      <c r="B4" s="8"/>
      <c r="C4" s="9" t="s">
        <v>5</v>
      </c>
      <c r="D4" s="5"/>
      <c r="F4" s="10"/>
    </row>
    <row r="5" spans="1:7">
      <c r="B5" s="11" t="s">
        <v>6</v>
      </c>
      <c r="C5" s="12">
        <v>120</v>
      </c>
      <c r="D5" s="5"/>
      <c r="F5" s="10"/>
    </row>
    <row r="6" spans="1:7">
      <c r="B6" s="13" t="s">
        <v>7</v>
      </c>
      <c r="C6" s="14">
        <v>54</v>
      </c>
    </row>
    <row r="7" spans="1:7">
      <c r="A7" s="2"/>
      <c r="B7" s="3" t="s">
        <v>8</v>
      </c>
      <c r="C7" s="12">
        <v>30000</v>
      </c>
      <c r="D7" s="2"/>
      <c r="F7" s="6"/>
    </row>
    <row r="8" spans="1:7">
      <c r="G8" s="10"/>
    </row>
    <row r="9" spans="1:7">
      <c r="B9" s="3" t="s">
        <v>0</v>
      </c>
      <c r="C9" s="12">
        <f>C5-C6</f>
        <v>66</v>
      </c>
    </row>
    <row r="10" spans="1:7">
      <c r="B10" s="15" t="s">
        <v>1</v>
      </c>
      <c r="C10" s="16">
        <f>C9/C5</f>
        <v>0.55000000000000004</v>
      </c>
      <c r="F10" s="6"/>
    </row>
    <row r="11" spans="1:7">
      <c r="B11" s="3" t="s">
        <v>9</v>
      </c>
      <c r="C11" s="12">
        <f>C2*C5</f>
        <v>108000</v>
      </c>
    </row>
    <row r="12" spans="1:7">
      <c r="B12" s="3" t="s">
        <v>10</v>
      </c>
      <c r="C12" s="12">
        <f>C6*C2+C7</f>
        <v>78600</v>
      </c>
    </row>
    <row r="13" spans="1:7">
      <c r="B13" s="3" t="s">
        <v>11</v>
      </c>
      <c r="C13" s="12">
        <f>C11-C12</f>
        <v>29400</v>
      </c>
    </row>
    <row r="15" spans="1:7" ht="16.5">
      <c r="B15" s="3" t="s">
        <v>12</v>
      </c>
      <c r="C15" s="4">
        <f>C7/C9</f>
        <v>454.54545454545456</v>
      </c>
      <c r="F15" s="6"/>
    </row>
    <row r="16" spans="1:7" ht="16.5">
      <c r="B16" s="3" t="s">
        <v>13</v>
      </c>
      <c r="C16" s="4">
        <f>C15*C5</f>
        <v>54545.454545454544</v>
      </c>
    </row>
    <row r="18" spans="2:6">
      <c r="B18" s="3" t="s">
        <v>2</v>
      </c>
      <c r="C18" s="17">
        <v>30000</v>
      </c>
    </row>
    <row r="19" spans="2:6">
      <c r="B19" s="3" t="s">
        <v>3</v>
      </c>
      <c r="C19" s="12">
        <f>ROUND((C18+C7)/C9,0)</f>
        <v>909</v>
      </c>
    </row>
    <row r="20" spans="2:6">
      <c r="B20" s="3" t="s">
        <v>14</v>
      </c>
      <c r="C20" s="12">
        <f>C19-C15</f>
        <v>454.45454545454544</v>
      </c>
      <c r="F20" s="6"/>
    </row>
    <row r="21" spans="2:6">
      <c r="B21" s="3" t="s">
        <v>15</v>
      </c>
      <c r="C21" s="12">
        <f>C20/C19</f>
        <v>0.49994999499949994</v>
      </c>
      <c r="F21" s="18"/>
    </row>
    <row r="24" spans="2:6">
      <c r="B24" s="127"/>
      <c r="C24" s="127"/>
    </row>
  </sheetData>
  <mergeCells count="1">
    <mergeCell ref="B24:C24"/>
  </mergeCells>
  <phoneticPr fontId="2" type="noConversion"/>
  <printOptions headings="1"/>
  <pageMargins left="0.75" right="0.75" top="1" bottom="1" header="0.5" footer="0.5"/>
  <pageSetup paperSize="9" orientation="portrait" horizontalDpi="4294967293" verticalDpi="4294967293"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95"/>
  <sheetViews>
    <sheetView showGridLines="0" workbookViewId="0">
      <selection activeCell="I2" sqref="I2"/>
    </sheetView>
  </sheetViews>
  <sheetFormatPr defaultRowHeight="12.75"/>
  <cols>
    <col min="1" max="1" width="2.25" style="21" customWidth="1"/>
    <col min="2" max="2" width="18.75" style="21" bestFit="1" customWidth="1"/>
    <col min="3" max="3" width="7.625" style="21" customWidth="1"/>
    <col min="4" max="4" width="2.375" style="21" customWidth="1"/>
    <col min="5" max="6" width="8.75" style="21" customWidth="1"/>
    <col min="7" max="16384" width="9" style="21"/>
  </cols>
  <sheetData>
    <row r="2" spans="2:7">
      <c r="B2" s="19" t="s">
        <v>16</v>
      </c>
      <c r="C2" s="20">
        <v>9000</v>
      </c>
      <c r="F2" s="22">
        <f>C10</f>
        <v>250</v>
      </c>
    </row>
    <row r="3" spans="2:7">
      <c r="B3" s="19" t="s">
        <v>17</v>
      </c>
      <c r="C3" s="20">
        <f>C2/360</f>
        <v>25</v>
      </c>
      <c r="E3" s="23">
        <v>1</v>
      </c>
      <c r="F3" s="23">
        <f t="dataTable" ref="F3:F62" dt2D="0" dtr="0" r1="C7"/>
        <v>350</v>
      </c>
      <c r="G3" s="24">
        <f t="shared" ref="G3:G34" si="0">IF(E3=$C$7,F3,0)</f>
        <v>0</v>
      </c>
    </row>
    <row r="4" spans="2:7">
      <c r="B4" s="19" t="s">
        <v>18</v>
      </c>
      <c r="C4" s="20">
        <f>C3*C5</f>
        <v>375</v>
      </c>
      <c r="E4" s="23">
        <v>2</v>
      </c>
      <c r="F4" s="23">
        <v>325</v>
      </c>
      <c r="G4" s="24">
        <f t="shared" si="0"/>
        <v>0</v>
      </c>
    </row>
    <row r="5" spans="2:7">
      <c r="B5" s="19" t="s">
        <v>19</v>
      </c>
      <c r="C5" s="20">
        <v>15</v>
      </c>
      <c r="E5" s="23">
        <v>3</v>
      </c>
      <c r="F5" s="23">
        <v>300</v>
      </c>
      <c r="G5" s="24">
        <f t="shared" si="0"/>
        <v>0</v>
      </c>
    </row>
    <row r="6" spans="2:7">
      <c r="B6" s="19" t="s">
        <v>20</v>
      </c>
      <c r="C6" s="20">
        <v>0</v>
      </c>
      <c r="E6" s="23">
        <v>4</v>
      </c>
      <c r="F6" s="23">
        <v>275</v>
      </c>
      <c r="G6" s="24">
        <f t="shared" si="0"/>
        <v>0</v>
      </c>
    </row>
    <row r="7" spans="2:7">
      <c r="B7" s="19" t="s">
        <v>21</v>
      </c>
      <c r="C7" s="20">
        <v>20</v>
      </c>
      <c r="E7" s="23">
        <v>5</v>
      </c>
      <c r="F7" s="23">
        <v>250</v>
      </c>
      <c r="G7" s="24">
        <f t="shared" si="0"/>
        <v>0</v>
      </c>
    </row>
    <row r="8" spans="2:7">
      <c r="B8" s="19" t="s">
        <v>22</v>
      </c>
      <c r="C8" s="20">
        <f>INT(C7/C5)</f>
        <v>1</v>
      </c>
      <c r="E8" s="23">
        <v>6</v>
      </c>
      <c r="F8" s="23">
        <v>225</v>
      </c>
      <c r="G8" s="24">
        <f t="shared" si="0"/>
        <v>0</v>
      </c>
    </row>
    <row r="9" spans="2:7">
      <c r="B9" s="19" t="s">
        <v>23</v>
      </c>
      <c r="C9" s="20">
        <f>C7-C8*C5</f>
        <v>5</v>
      </c>
      <c r="E9" s="23">
        <v>7</v>
      </c>
      <c r="F9" s="23">
        <v>200</v>
      </c>
      <c r="G9" s="24">
        <f t="shared" si="0"/>
        <v>0</v>
      </c>
    </row>
    <row r="10" spans="2:7">
      <c r="B10" s="19" t="s">
        <v>24</v>
      </c>
      <c r="C10" s="20">
        <f>C4-C9*C3</f>
        <v>250</v>
      </c>
      <c r="E10" s="23">
        <v>8</v>
      </c>
      <c r="F10" s="23">
        <v>175</v>
      </c>
      <c r="G10" s="24">
        <f t="shared" si="0"/>
        <v>0</v>
      </c>
    </row>
    <row r="11" spans="2:7">
      <c r="E11" s="23">
        <v>9</v>
      </c>
      <c r="F11" s="23">
        <v>150</v>
      </c>
      <c r="G11" s="24">
        <f t="shared" si="0"/>
        <v>0</v>
      </c>
    </row>
    <row r="12" spans="2:7">
      <c r="B12" s="19" t="s">
        <v>25</v>
      </c>
      <c r="E12" s="23">
        <v>10</v>
      </c>
      <c r="F12" s="23">
        <v>125</v>
      </c>
      <c r="G12" s="24">
        <f t="shared" si="0"/>
        <v>0</v>
      </c>
    </row>
    <row r="13" spans="2:7">
      <c r="B13" s="25" t="str">
        <f>"时间（天）="&amp;C7&amp;"天"</f>
        <v>时间（天）=20天</v>
      </c>
      <c r="E13" s="23">
        <v>11</v>
      </c>
      <c r="F13" s="23">
        <v>100</v>
      </c>
      <c r="G13" s="24">
        <f t="shared" si="0"/>
        <v>0</v>
      </c>
    </row>
    <row r="14" spans="2:7">
      <c r="E14" s="23">
        <v>12</v>
      </c>
      <c r="F14" s="23">
        <v>75</v>
      </c>
      <c r="G14" s="24">
        <f t="shared" si="0"/>
        <v>0</v>
      </c>
    </row>
    <row r="15" spans="2:7">
      <c r="E15" s="23">
        <v>13</v>
      </c>
      <c r="F15" s="23">
        <v>50</v>
      </c>
      <c r="G15" s="24">
        <f t="shared" si="0"/>
        <v>0</v>
      </c>
    </row>
    <row r="16" spans="2:7">
      <c r="E16" s="23">
        <v>14</v>
      </c>
      <c r="F16" s="23">
        <v>25</v>
      </c>
      <c r="G16" s="24">
        <f t="shared" si="0"/>
        <v>0</v>
      </c>
    </row>
    <row r="17" spans="5:7">
      <c r="E17" s="23">
        <v>15</v>
      </c>
      <c r="F17" s="23">
        <v>375</v>
      </c>
      <c r="G17" s="24">
        <f t="shared" si="0"/>
        <v>0</v>
      </c>
    </row>
    <row r="18" spans="5:7">
      <c r="E18" s="23">
        <v>16</v>
      </c>
      <c r="F18" s="23">
        <v>350</v>
      </c>
      <c r="G18" s="24">
        <f t="shared" si="0"/>
        <v>0</v>
      </c>
    </row>
    <row r="19" spans="5:7">
      <c r="E19" s="23">
        <v>17</v>
      </c>
      <c r="F19" s="23">
        <v>325</v>
      </c>
      <c r="G19" s="24">
        <f t="shared" si="0"/>
        <v>0</v>
      </c>
    </row>
    <row r="20" spans="5:7">
      <c r="E20" s="23">
        <v>18</v>
      </c>
      <c r="F20" s="23">
        <v>300</v>
      </c>
      <c r="G20" s="24">
        <f t="shared" si="0"/>
        <v>0</v>
      </c>
    </row>
    <row r="21" spans="5:7">
      <c r="E21" s="23">
        <v>19</v>
      </c>
      <c r="F21" s="23">
        <v>275</v>
      </c>
      <c r="G21" s="24">
        <f t="shared" si="0"/>
        <v>0</v>
      </c>
    </row>
    <row r="22" spans="5:7">
      <c r="E22" s="23">
        <v>20</v>
      </c>
      <c r="F22" s="23">
        <v>250</v>
      </c>
      <c r="G22" s="24">
        <f t="shared" si="0"/>
        <v>250</v>
      </c>
    </row>
    <row r="23" spans="5:7">
      <c r="E23" s="23">
        <v>21</v>
      </c>
      <c r="F23" s="23">
        <v>225</v>
      </c>
      <c r="G23" s="24">
        <f t="shared" si="0"/>
        <v>0</v>
      </c>
    </row>
    <row r="24" spans="5:7">
      <c r="E24" s="23">
        <v>22</v>
      </c>
      <c r="F24" s="23">
        <v>200</v>
      </c>
      <c r="G24" s="24">
        <f t="shared" si="0"/>
        <v>0</v>
      </c>
    </row>
    <row r="25" spans="5:7">
      <c r="E25" s="23">
        <v>23</v>
      </c>
      <c r="F25" s="23">
        <v>175</v>
      </c>
      <c r="G25" s="24">
        <f t="shared" si="0"/>
        <v>0</v>
      </c>
    </row>
    <row r="26" spans="5:7">
      <c r="E26" s="23">
        <v>24</v>
      </c>
      <c r="F26" s="23">
        <v>150</v>
      </c>
      <c r="G26" s="24">
        <f t="shared" si="0"/>
        <v>0</v>
      </c>
    </row>
    <row r="27" spans="5:7">
      <c r="E27" s="23">
        <v>25</v>
      </c>
      <c r="F27" s="23">
        <v>125</v>
      </c>
      <c r="G27" s="24">
        <f t="shared" si="0"/>
        <v>0</v>
      </c>
    </row>
    <row r="28" spans="5:7">
      <c r="E28" s="23">
        <v>26</v>
      </c>
      <c r="F28" s="23">
        <v>100</v>
      </c>
      <c r="G28" s="24">
        <f t="shared" si="0"/>
        <v>0</v>
      </c>
    </row>
    <row r="29" spans="5:7">
      <c r="E29" s="23">
        <v>27</v>
      </c>
      <c r="F29" s="23">
        <v>75</v>
      </c>
      <c r="G29" s="24">
        <f t="shared" si="0"/>
        <v>0</v>
      </c>
    </row>
    <row r="30" spans="5:7">
      <c r="E30" s="23">
        <v>28</v>
      </c>
      <c r="F30" s="23">
        <v>50</v>
      </c>
      <c r="G30" s="24">
        <f t="shared" si="0"/>
        <v>0</v>
      </c>
    </row>
    <row r="31" spans="5:7">
      <c r="E31" s="23">
        <v>29</v>
      </c>
      <c r="F31" s="23">
        <v>25</v>
      </c>
      <c r="G31" s="24">
        <f t="shared" si="0"/>
        <v>0</v>
      </c>
    </row>
    <row r="32" spans="5:7">
      <c r="E32" s="23">
        <v>30</v>
      </c>
      <c r="F32" s="23">
        <v>375</v>
      </c>
      <c r="G32" s="24">
        <f t="shared" si="0"/>
        <v>0</v>
      </c>
    </row>
    <row r="33" spans="5:7">
      <c r="E33" s="23">
        <v>31</v>
      </c>
      <c r="F33" s="23">
        <v>350</v>
      </c>
      <c r="G33" s="24">
        <f t="shared" si="0"/>
        <v>0</v>
      </c>
    </row>
    <row r="34" spans="5:7">
      <c r="E34" s="23">
        <v>32</v>
      </c>
      <c r="F34" s="23">
        <v>325</v>
      </c>
      <c r="G34" s="24">
        <f t="shared" si="0"/>
        <v>0</v>
      </c>
    </row>
    <row r="35" spans="5:7">
      <c r="E35" s="23">
        <v>33</v>
      </c>
      <c r="F35" s="23">
        <v>300</v>
      </c>
      <c r="G35" s="24">
        <f t="shared" ref="G35:G62" si="1">IF(E35=$C$7,F35,0)</f>
        <v>0</v>
      </c>
    </row>
    <row r="36" spans="5:7">
      <c r="E36" s="23">
        <v>34</v>
      </c>
      <c r="F36" s="23">
        <v>275</v>
      </c>
      <c r="G36" s="24">
        <f t="shared" si="1"/>
        <v>0</v>
      </c>
    </row>
    <row r="37" spans="5:7">
      <c r="E37" s="23">
        <v>35</v>
      </c>
      <c r="F37" s="23">
        <v>250</v>
      </c>
      <c r="G37" s="24">
        <f t="shared" si="1"/>
        <v>0</v>
      </c>
    </row>
    <row r="38" spans="5:7">
      <c r="E38" s="23">
        <v>36</v>
      </c>
      <c r="F38" s="23">
        <v>225</v>
      </c>
      <c r="G38" s="24">
        <f t="shared" si="1"/>
        <v>0</v>
      </c>
    </row>
    <row r="39" spans="5:7">
      <c r="E39" s="23">
        <v>37</v>
      </c>
      <c r="F39" s="23">
        <v>200</v>
      </c>
      <c r="G39" s="24">
        <f t="shared" si="1"/>
        <v>0</v>
      </c>
    </row>
    <row r="40" spans="5:7">
      <c r="E40" s="23">
        <v>38</v>
      </c>
      <c r="F40" s="23">
        <v>175</v>
      </c>
      <c r="G40" s="24">
        <f t="shared" si="1"/>
        <v>0</v>
      </c>
    </row>
    <row r="41" spans="5:7">
      <c r="E41" s="23">
        <v>39</v>
      </c>
      <c r="F41" s="23">
        <v>150</v>
      </c>
      <c r="G41" s="24">
        <f t="shared" si="1"/>
        <v>0</v>
      </c>
    </row>
    <row r="42" spans="5:7">
      <c r="E42" s="23">
        <v>40</v>
      </c>
      <c r="F42" s="23">
        <v>125</v>
      </c>
      <c r="G42" s="24">
        <f t="shared" si="1"/>
        <v>0</v>
      </c>
    </row>
    <row r="43" spans="5:7">
      <c r="E43" s="23">
        <v>41</v>
      </c>
      <c r="F43" s="23">
        <v>100</v>
      </c>
      <c r="G43" s="24">
        <f t="shared" si="1"/>
        <v>0</v>
      </c>
    </row>
    <row r="44" spans="5:7">
      <c r="E44" s="23">
        <v>42</v>
      </c>
      <c r="F44" s="23">
        <v>75</v>
      </c>
      <c r="G44" s="24">
        <f t="shared" si="1"/>
        <v>0</v>
      </c>
    </row>
    <row r="45" spans="5:7">
      <c r="E45" s="23">
        <v>43</v>
      </c>
      <c r="F45" s="23">
        <v>50</v>
      </c>
      <c r="G45" s="24">
        <f t="shared" si="1"/>
        <v>0</v>
      </c>
    </row>
    <row r="46" spans="5:7">
      <c r="E46" s="23">
        <v>44</v>
      </c>
      <c r="F46" s="23">
        <v>25</v>
      </c>
      <c r="G46" s="24">
        <f t="shared" si="1"/>
        <v>0</v>
      </c>
    </row>
    <row r="47" spans="5:7">
      <c r="E47" s="23">
        <v>45</v>
      </c>
      <c r="F47" s="23">
        <v>375</v>
      </c>
      <c r="G47" s="24">
        <f t="shared" si="1"/>
        <v>0</v>
      </c>
    </row>
    <row r="48" spans="5:7">
      <c r="E48" s="23">
        <v>46</v>
      </c>
      <c r="F48" s="23">
        <v>350</v>
      </c>
      <c r="G48" s="24">
        <f t="shared" si="1"/>
        <v>0</v>
      </c>
    </row>
    <row r="49" spans="5:7">
      <c r="E49" s="23">
        <v>47</v>
      </c>
      <c r="F49" s="23">
        <v>325</v>
      </c>
      <c r="G49" s="24">
        <f t="shared" si="1"/>
        <v>0</v>
      </c>
    </row>
    <row r="50" spans="5:7">
      <c r="E50" s="23">
        <v>48</v>
      </c>
      <c r="F50" s="23">
        <v>300</v>
      </c>
      <c r="G50" s="24">
        <f t="shared" si="1"/>
        <v>0</v>
      </c>
    </row>
    <row r="51" spans="5:7">
      <c r="E51" s="23">
        <v>49</v>
      </c>
      <c r="F51" s="23">
        <v>275</v>
      </c>
      <c r="G51" s="24">
        <f t="shared" si="1"/>
        <v>0</v>
      </c>
    </row>
    <row r="52" spans="5:7">
      <c r="E52" s="23">
        <v>50</v>
      </c>
      <c r="F52" s="23">
        <v>250</v>
      </c>
      <c r="G52" s="24">
        <f t="shared" si="1"/>
        <v>0</v>
      </c>
    </row>
    <row r="53" spans="5:7">
      <c r="E53" s="23">
        <v>51</v>
      </c>
      <c r="F53" s="24">
        <v>225</v>
      </c>
      <c r="G53" s="24">
        <f t="shared" si="1"/>
        <v>0</v>
      </c>
    </row>
    <row r="54" spans="5:7">
      <c r="E54" s="23">
        <v>52</v>
      </c>
      <c r="F54" s="24">
        <v>200</v>
      </c>
      <c r="G54" s="24">
        <f t="shared" si="1"/>
        <v>0</v>
      </c>
    </row>
    <row r="55" spans="5:7">
      <c r="E55" s="23">
        <v>53</v>
      </c>
      <c r="F55" s="24">
        <v>175</v>
      </c>
      <c r="G55" s="24">
        <f t="shared" si="1"/>
        <v>0</v>
      </c>
    </row>
    <row r="56" spans="5:7">
      <c r="E56" s="23">
        <v>54</v>
      </c>
      <c r="F56" s="24">
        <v>150</v>
      </c>
      <c r="G56" s="24">
        <f t="shared" si="1"/>
        <v>0</v>
      </c>
    </row>
    <row r="57" spans="5:7">
      <c r="E57" s="23">
        <v>55</v>
      </c>
      <c r="F57" s="24">
        <v>125</v>
      </c>
      <c r="G57" s="24">
        <f t="shared" si="1"/>
        <v>0</v>
      </c>
    </row>
    <row r="58" spans="5:7">
      <c r="E58" s="23">
        <v>56</v>
      </c>
      <c r="F58" s="24">
        <v>100</v>
      </c>
      <c r="G58" s="24">
        <f t="shared" si="1"/>
        <v>0</v>
      </c>
    </row>
    <row r="59" spans="5:7">
      <c r="E59" s="23">
        <v>57</v>
      </c>
      <c r="F59" s="24">
        <v>75</v>
      </c>
      <c r="G59" s="24">
        <f t="shared" si="1"/>
        <v>0</v>
      </c>
    </row>
    <row r="60" spans="5:7">
      <c r="E60" s="23">
        <v>58</v>
      </c>
      <c r="F60" s="24">
        <v>50</v>
      </c>
      <c r="G60" s="24">
        <f t="shared" si="1"/>
        <v>0</v>
      </c>
    </row>
    <row r="61" spans="5:7">
      <c r="E61" s="23">
        <v>59</v>
      </c>
      <c r="F61" s="24">
        <v>25</v>
      </c>
      <c r="G61" s="24">
        <f t="shared" si="1"/>
        <v>0</v>
      </c>
    </row>
    <row r="62" spans="5:7">
      <c r="E62" s="23">
        <v>60</v>
      </c>
      <c r="F62" s="24">
        <v>375</v>
      </c>
      <c r="G62" s="24">
        <f t="shared" si="1"/>
        <v>0</v>
      </c>
    </row>
    <row r="63" spans="5:7">
      <c r="E63" s="26"/>
      <c r="F63" s="27"/>
      <c r="G63" s="27"/>
    </row>
    <row r="64" spans="5:7">
      <c r="E64" s="26"/>
      <c r="F64" s="27"/>
      <c r="G64" s="27"/>
    </row>
    <row r="65" spans="5:7">
      <c r="E65" s="26"/>
      <c r="F65" s="27"/>
      <c r="G65" s="27"/>
    </row>
    <row r="66" spans="5:7">
      <c r="E66" s="26"/>
      <c r="F66" s="27"/>
      <c r="G66" s="27"/>
    </row>
    <row r="67" spans="5:7">
      <c r="E67" s="26"/>
      <c r="F67" s="27"/>
      <c r="G67" s="27"/>
    </row>
    <row r="68" spans="5:7">
      <c r="E68" s="26"/>
      <c r="F68" s="27"/>
      <c r="G68" s="27"/>
    </row>
    <row r="69" spans="5:7">
      <c r="E69" s="26"/>
      <c r="F69" s="27"/>
      <c r="G69" s="27"/>
    </row>
    <row r="70" spans="5:7">
      <c r="E70" s="26"/>
      <c r="F70" s="27"/>
      <c r="G70" s="27"/>
    </row>
    <row r="71" spans="5:7">
      <c r="E71" s="26"/>
      <c r="F71" s="27"/>
      <c r="G71" s="27"/>
    </row>
    <row r="72" spans="5:7">
      <c r="E72" s="26"/>
      <c r="F72" s="27"/>
      <c r="G72" s="27"/>
    </row>
    <row r="73" spans="5:7">
      <c r="E73" s="26"/>
      <c r="F73" s="27"/>
      <c r="G73" s="27"/>
    </row>
    <row r="74" spans="5:7">
      <c r="E74" s="26"/>
      <c r="F74" s="27"/>
      <c r="G74" s="27"/>
    </row>
    <row r="75" spans="5:7">
      <c r="E75" s="26"/>
      <c r="F75" s="27"/>
      <c r="G75" s="27"/>
    </row>
    <row r="76" spans="5:7">
      <c r="E76" s="26"/>
      <c r="F76" s="27"/>
      <c r="G76" s="27"/>
    </row>
    <row r="77" spans="5:7">
      <c r="E77" s="26"/>
      <c r="F77" s="27"/>
      <c r="G77" s="27"/>
    </row>
    <row r="78" spans="5:7">
      <c r="E78" s="26"/>
      <c r="F78" s="27"/>
      <c r="G78" s="27"/>
    </row>
    <row r="79" spans="5:7">
      <c r="E79" s="26"/>
      <c r="F79" s="27"/>
      <c r="G79" s="27"/>
    </row>
    <row r="80" spans="5:7">
      <c r="E80" s="26"/>
      <c r="F80" s="27"/>
      <c r="G80" s="27"/>
    </row>
    <row r="81" spans="5:7">
      <c r="E81" s="26"/>
      <c r="F81" s="27"/>
      <c r="G81" s="27"/>
    </row>
    <row r="82" spans="5:7">
      <c r="E82" s="26"/>
      <c r="F82" s="27"/>
      <c r="G82" s="27"/>
    </row>
    <row r="83" spans="5:7">
      <c r="E83" s="26"/>
      <c r="F83" s="27"/>
      <c r="G83" s="27"/>
    </row>
    <row r="84" spans="5:7">
      <c r="E84" s="26"/>
      <c r="F84" s="27"/>
      <c r="G84" s="27"/>
    </row>
    <row r="85" spans="5:7">
      <c r="E85" s="26"/>
      <c r="F85" s="27"/>
      <c r="G85" s="27"/>
    </row>
    <row r="86" spans="5:7">
      <c r="E86" s="26"/>
      <c r="F86" s="27"/>
      <c r="G86" s="27"/>
    </row>
    <row r="87" spans="5:7">
      <c r="E87" s="26"/>
      <c r="F87" s="27"/>
      <c r="G87" s="27"/>
    </row>
    <row r="88" spans="5:7">
      <c r="E88" s="26"/>
      <c r="F88" s="27"/>
      <c r="G88" s="27"/>
    </row>
    <row r="89" spans="5:7">
      <c r="E89" s="26"/>
      <c r="F89" s="27"/>
      <c r="G89" s="27"/>
    </row>
    <row r="90" spans="5:7">
      <c r="E90" s="26"/>
      <c r="F90" s="27"/>
      <c r="G90" s="27"/>
    </row>
    <row r="91" spans="5:7">
      <c r="E91" s="26"/>
      <c r="F91" s="27"/>
      <c r="G91" s="27"/>
    </row>
    <row r="92" spans="5:7">
      <c r="E92" s="26"/>
      <c r="F92" s="27"/>
      <c r="G92" s="27"/>
    </row>
    <row r="93" spans="5:7">
      <c r="E93" s="26"/>
      <c r="F93" s="27"/>
      <c r="G93" s="27"/>
    </row>
    <row r="94" spans="5:7">
      <c r="E94" s="27"/>
      <c r="F94" s="27"/>
      <c r="G94" s="27"/>
    </row>
    <row r="95" spans="5:7">
      <c r="E95" s="27"/>
      <c r="F95" s="27"/>
      <c r="G95" s="27"/>
    </row>
  </sheetData>
  <phoneticPr fontId="2" type="noConversion"/>
  <pageMargins left="0.75" right="0.75" top="1" bottom="1" header="0.5" footer="0.5"/>
  <pageSetup paperSize="9" orientation="portrait" horizontalDpi="4294967293" verticalDpi="4294967293"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4" r:id="rId4" name="Spinner 6">
              <controlPr defaultSize="0" autoPict="0">
                <anchor moveWithCells="1" sizeWithCells="1">
                  <from>
                    <xdr:col>4</xdr:col>
                    <xdr:colOff>342900</xdr:colOff>
                    <xdr:row>17</xdr:row>
                    <xdr:rowOff>57150</xdr:rowOff>
                  </from>
                  <to>
                    <xdr:col>4</xdr:col>
                    <xdr:colOff>581025</xdr:colOff>
                    <xdr:row>18</xdr:row>
                    <xdr:rowOff>85725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R31"/>
  <sheetViews>
    <sheetView showGridLines="0" workbookViewId="0">
      <selection activeCell="H5" sqref="H5"/>
    </sheetView>
  </sheetViews>
  <sheetFormatPr defaultRowHeight="15"/>
  <cols>
    <col min="1" max="1" width="2.5" style="47" customWidth="1"/>
    <col min="2" max="2" width="1.875" style="47" customWidth="1"/>
    <col min="3" max="3" width="21.25" style="47" bestFit="1" customWidth="1"/>
    <col min="4" max="4" width="11.875" style="47" bestFit="1" customWidth="1"/>
    <col min="5" max="5" width="2.5" style="47" customWidth="1"/>
    <col min="6" max="6" width="1.25" style="47" customWidth="1"/>
    <col min="7" max="7" width="1.875" style="47" customWidth="1"/>
    <col min="8" max="8" width="4.5" style="47" customWidth="1"/>
    <col min="9" max="9" width="2.25" style="47" customWidth="1"/>
    <col min="10" max="18" width="8.5" style="47" bestFit="1" customWidth="1"/>
    <col min="19" max="16384" width="9" style="47"/>
  </cols>
  <sheetData>
    <row r="1" spans="2:18">
      <c r="J1" s="48">
        <v>225</v>
      </c>
    </row>
    <row r="2" spans="2:18">
      <c r="B2" s="28"/>
      <c r="C2" s="28"/>
      <c r="D2" s="28"/>
      <c r="E2" s="28"/>
      <c r="F2" s="29"/>
      <c r="G2" s="29"/>
      <c r="I2" s="29"/>
      <c r="J2" s="49">
        <f>D15</f>
        <v>133500</v>
      </c>
      <c r="K2" s="47">
        <v>22</v>
      </c>
      <c r="L2" s="29">
        <v>22.5</v>
      </c>
      <c r="M2" s="47">
        <v>23</v>
      </c>
      <c r="N2" s="29">
        <v>23.5</v>
      </c>
      <c r="O2" s="47">
        <v>24</v>
      </c>
      <c r="P2" s="29">
        <v>24.5</v>
      </c>
      <c r="Q2" s="47">
        <v>25</v>
      </c>
      <c r="R2" s="50">
        <f>J1/10</f>
        <v>22.5</v>
      </c>
    </row>
    <row r="3" spans="2:18">
      <c r="B3" s="28"/>
      <c r="C3" s="30" t="s">
        <v>26</v>
      </c>
      <c r="D3" s="31">
        <v>5000</v>
      </c>
      <c r="E3" s="28"/>
      <c r="F3" s="29"/>
      <c r="G3" s="32"/>
      <c r="I3" s="29"/>
      <c r="J3" s="51">
        <v>30</v>
      </c>
      <c r="K3" s="52">
        <v>147700</v>
      </c>
      <c r="L3" s="53">
        <v>147700</v>
      </c>
      <c r="M3" s="54">
        <v>147700</v>
      </c>
      <c r="N3" s="54">
        <v>147700</v>
      </c>
      <c r="O3" s="54">
        <v>147700</v>
      </c>
      <c r="P3" s="54">
        <v>147700</v>
      </c>
      <c r="Q3" s="54">
        <v>147700</v>
      </c>
      <c r="R3" s="54">
        <v>147700</v>
      </c>
    </row>
    <row r="4" spans="2:18">
      <c r="B4" s="28"/>
      <c r="C4" s="33" t="s">
        <v>27</v>
      </c>
      <c r="D4" s="31">
        <v>120</v>
      </c>
      <c r="E4" s="28"/>
      <c r="F4" s="29"/>
      <c r="G4" s="34"/>
      <c r="I4" s="29"/>
      <c r="J4" s="51">
        <v>40</v>
      </c>
      <c r="K4" s="52">
        <v>143600</v>
      </c>
      <c r="L4" s="53">
        <v>143600</v>
      </c>
      <c r="M4" s="54">
        <v>143600</v>
      </c>
      <c r="N4" s="54">
        <v>143600</v>
      </c>
      <c r="O4" s="54">
        <v>143600</v>
      </c>
      <c r="P4" s="54">
        <v>143600</v>
      </c>
      <c r="Q4" s="54">
        <v>143600</v>
      </c>
      <c r="R4" s="54">
        <v>143600</v>
      </c>
    </row>
    <row r="5" spans="2:18">
      <c r="B5" s="28"/>
      <c r="C5" s="33" t="s">
        <v>28</v>
      </c>
      <c r="D5" s="31">
        <v>180</v>
      </c>
      <c r="E5" s="28"/>
      <c r="F5" s="29"/>
      <c r="G5" s="35"/>
      <c r="I5" s="29"/>
      <c r="J5" s="51">
        <v>50</v>
      </c>
      <c r="K5" s="52">
        <v>141500</v>
      </c>
      <c r="L5" s="53">
        <v>141500</v>
      </c>
      <c r="M5" s="54">
        <v>141500</v>
      </c>
      <c r="N5" s="54">
        <v>141500</v>
      </c>
      <c r="O5" s="54">
        <v>141500</v>
      </c>
      <c r="P5" s="54">
        <v>141500</v>
      </c>
      <c r="Q5" s="54">
        <v>141500</v>
      </c>
      <c r="R5" s="54">
        <v>141500</v>
      </c>
    </row>
    <row r="6" spans="2:18">
      <c r="B6" s="28"/>
      <c r="C6" s="33" t="s">
        <v>30</v>
      </c>
      <c r="D6" s="31">
        <v>25</v>
      </c>
      <c r="E6" s="28"/>
      <c r="F6" s="29"/>
      <c r="G6" s="35"/>
      <c r="I6" s="29"/>
      <c r="J6" s="51">
        <v>60</v>
      </c>
      <c r="K6" s="52">
        <v>140400</v>
      </c>
      <c r="L6" s="53">
        <v>140400</v>
      </c>
      <c r="M6" s="54">
        <v>140400</v>
      </c>
      <c r="N6" s="54">
        <v>140400</v>
      </c>
      <c r="O6" s="54">
        <v>140400</v>
      </c>
      <c r="P6" s="54">
        <v>140400</v>
      </c>
      <c r="Q6" s="54">
        <v>140400</v>
      </c>
      <c r="R6" s="54">
        <v>140400</v>
      </c>
    </row>
    <row r="7" spans="2:18">
      <c r="B7" s="28"/>
      <c r="C7" s="33" t="s">
        <v>31</v>
      </c>
      <c r="D7" s="36">
        <f>J1/10</f>
        <v>22.5</v>
      </c>
      <c r="E7" s="28"/>
      <c r="F7" s="29"/>
      <c r="G7" s="35"/>
      <c r="I7" s="29"/>
      <c r="J7" s="51">
        <v>70</v>
      </c>
      <c r="K7" s="52">
        <v>139871.42857142858</v>
      </c>
      <c r="L7" s="53">
        <v>139871.42857142858</v>
      </c>
      <c r="M7" s="54">
        <v>139871.42857142858</v>
      </c>
      <c r="N7" s="54">
        <v>139871.42857142858</v>
      </c>
      <c r="O7" s="54">
        <v>139871.42857142858</v>
      </c>
      <c r="P7" s="54">
        <v>139871.42857142858</v>
      </c>
      <c r="Q7" s="54">
        <v>139871.42857142858</v>
      </c>
      <c r="R7" s="54">
        <v>139871.42857142858</v>
      </c>
    </row>
    <row r="8" spans="2:18">
      <c r="B8" s="28"/>
      <c r="C8" s="33" t="s">
        <v>32</v>
      </c>
      <c r="D8" s="31">
        <v>200</v>
      </c>
      <c r="E8" s="37"/>
      <c r="F8" s="29"/>
      <c r="G8" s="35"/>
      <c r="I8" s="29"/>
      <c r="J8" s="51">
        <v>80</v>
      </c>
      <c r="K8" s="52">
        <v>139700</v>
      </c>
      <c r="L8" s="53">
        <v>139700</v>
      </c>
      <c r="M8" s="54">
        <v>139700</v>
      </c>
      <c r="N8" s="54">
        <v>139700</v>
      </c>
      <c r="O8" s="54">
        <v>139700</v>
      </c>
      <c r="P8" s="54">
        <v>139700</v>
      </c>
      <c r="Q8" s="54">
        <v>139700</v>
      </c>
      <c r="R8" s="54">
        <v>139700</v>
      </c>
    </row>
    <row r="9" spans="2:18">
      <c r="B9" s="28"/>
      <c r="C9" s="38" t="s">
        <v>33</v>
      </c>
      <c r="D9" s="39">
        <f>IF(D11&lt;$D$8,$D$6,$D$7)</f>
        <v>22.5</v>
      </c>
      <c r="E9" s="28"/>
      <c r="I9" s="29"/>
      <c r="J9" s="51">
        <v>90</v>
      </c>
      <c r="K9" s="52">
        <v>139766.66666666666</v>
      </c>
      <c r="L9" s="53">
        <v>139766.66666666666</v>
      </c>
      <c r="M9" s="54">
        <v>139766.66666666666</v>
      </c>
      <c r="N9" s="54">
        <v>139766.66666666666</v>
      </c>
      <c r="O9" s="54">
        <v>139766.66666666666</v>
      </c>
      <c r="P9" s="54">
        <v>139766.66666666666</v>
      </c>
      <c r="Q9" s="54">
        <v>139766.66666666666</v>
      </c>
      <c r="R9" s="54">
        <v>139766.66666666666</v>
      </c>
    </row>
    <row r="10" spans="2:18">
      <c r="B10" s="28"/>
      <c r="C10" s="28"/>
      <c r="D10" s="40" t="s">
        <v>34</v>
      </c>
      <c r="E10" s="28"/>
      <c r="I10" s="29"/>
      <c r="J10" s="51">
        <v>100</v>
      </c>
      <c r="K10" s="52">
        <v>140000</v>
      </c>
      <c r="L10" s="53">
        <v>140000</v>
      </c>
      <c r="M10" s="54">
        <v>140000</v>
      </c>
      <c r="N10" s="54">
        <v>140000</v>
      </c>
      <c r="O10" s="54">
        <v>140000</v>
      </c>
      <c r="P10" s="54">
        <v>140000</v>
      </c>
      <c r="Q10" s="54">
        <v>140000</v>
      </c>
      <c r="R10" s="54">
        <v>140000</v>
      </c>
    </row>
    <row r="11" spans="2:18">
      <c r="B11" s="28"/>
      <c r="C11" s="40" t="s">
        <v>29</v>
      </c>
      <c r="D11" s="41">
        <f>D8</f>
        <v>200</v>
      </c>
      <c r="E11" s="28"/>
      <c r="I11" s="29"/>
      <c r="J11" s="51">
        <v>110</v>
      </c>
      <c r="K11" s="52">
        <v>140354.54545454547</v>
      </c>
      <c r="L11" s="53">
        <v>140354.54545454547</v>
      </c>
      <c r="M11" s="54">
        <v>140354.54545454547</v>
      </c>
      <c r="N11" s="54">
        <v>140354.54545454547</v>
      </c>
      <c r="O11" s="54">
        <v>140354.54545454547</v>
      </c>
      <c r="P11" s="54">
        <v>140354.54545454547</v>
      </c>
      <c r="Q11" s="54">
        <v>140354.54545454547</v>
      </c>
      <c r="R11" s="54">
        <v>140354.54545454547</v>
      </c>
    </row>
    <row r="12" spans="2:18">
      <c r="B12" s="28"/>
      <c r="C12" s="38" t="s">
        <v>35</v>
      </c>
      <c r="D12" s="42">
        <f>$D$4*$D$3/D11</f>
        <v>3000</v>
      </c>
      <c r="E12" s="28"/>
      <c r="I12" s="29"/>
      <c r="J12" s="51">
        <v>120</v>
      </c>
      <c r="K12" s="52">
        <v>140800</v>
      </c>
      <c r="L12" s="53">
        <v>140800</v>
      </c>
      <c r="M12" s="54">
        <v>140800</v>
      </c>
      <c r="N12" s="54">
        <v>140800</v>
      </c>
      <c r="O12" s="54">
        <v>140800</v>
      </c>
      <c r="P12" s="54">
        <v>140800</v>
      </c>
      <c r="Q12" s="54">
        <v>140800</v>
      </c>
      <c r="R12" s="54">
        <v>140800</v>
      </c>
    </row>
    <row r="13" spans="2:18">
      <c r="B13" s="28"/>
      <c r="C13" s="38" t="s">
        <v>36</v>
      </c>
      <c r="D13" s="42">
        <f>$D$5*D11/2</f>
        <v>18000</v>
      </c>
      <c r="E13" s="28"/>
      <c r="I13" s="29"/>
      <c r="J13" s="51">
        <v>130</v>
      </c>
      <c r="K13" s="52">
        <v>141315.38461538462</v>
      </c>
      <c r="L13" s="53">
        <v>141315.38461538462</v>
      </c>
      <c r="M13" s="54">
        <v>141315.38461538462</v>
      </c>
      <c r="N13" s="54">
        <v>141315.38461538462</v>
      </c>
      <c r="O13" s="54">
        <v>141315.38461538462</v>
      </c>
      <c r="P13" s="54">
        <v>141315.38461538462</v>
      </c>
      <c r="Q13" s="54">
        <v>141315.38461538462</v>
      </c>
      <c r="R13" s="54">
        <v>141315.38461538462</v>
      </c>
    </row>
    <row r="14" spans="2:18">
      <c r="B14" s="28"/>
      <c r="C14" s="38" t="s">
        <v>37</v>
      </c>
      <c r="D14" s="42">
        <f>D3*D9</f>
        <v>112500</v>
      </c>
      <c r="E14" s="37">
        <v>240</v>
      </c>
      <c r="I14" s="29"/>
      <c r="J14" s="51">
        <v>140</v>
      </c>
      <c r="K14" s="52">
        <v>141885.71428571429</v>
      </c>
      <c r="L14" s="53">
        <v>141885.71428571429</v>
      </c>
      <c r="M14" s="54">
        <v>141885.71428571429</v>
      </c>
      <c r="N14" s="54">
        <v>141885.71428571429</v>
      </c>
      <c r="O14" s="54">
        <v>141885.71428571429</v>
      </c>
      <c r="P14" s="54">
        <v>141885.71428571429</v>
      </c>
      <c r="Q14" s="54">
        <v>141885.71428571429</v>
      </c>
      <c r="R14" s="54">
        <v>141885.71428571429</v>
      </c>
    </row>
    <row r="15" spans="2:18">
      <c r="B15" s="28"/>
      <c r="C15" s="38" t="s">
        <v>38</v>
      </c>
      <c r="D15" s="42">
        <f>D12+D13+D14</f>
        <v>133500</v>
      </c>
      <c r="E15" s="28"/>
      <c r="I15" s="29"/>
      <c r="J15" s="51">
        <v>150</v>
      </c>
      <c r="K15" s="52">
        <v>142500</v>
      </c>
      <c r="L15" s="53">
        <v>142500</v>
      </c>
      <c r="M15" s="54">
        <v>142500</v>
      </c>
      <c r="N15" s="54">
        <v>142500</v>
      </c>
      <c r="O15" s="54">
        <v>142500</v>
      </c>
      <c r="P15" s="54">
        <v>142500</v>
      </c>
      <c r="Q15" s="54">
        <v>142500</v>
      </c>
      <c r="R15" s="54">
        <v>142500</v>
      </c>
    </row>
    <row r="16" spans="2:18">
      <c r="B16" s="28"/>
      <c r="C16" s="28"/>
      <c r="D16" s="40" t="s">
        <v>39</v>
      </c>
      <c r="E16" s="28"/>
      <c r="I16" s="29"/>
      <c r="J16" s="51">
        <v>160</v>
      </c>
      <c r="K16" s="52">
        <v>143150</v>
      </c>
      <c r="L16" s="53">
        <v>143150</v>
      </c>
      <c r="M16" s="54">
        <v>143150</v>
      </c>
      <c r="N16" s="54">
        <v>143150</v>
      </c>
      <c r="O16" s="54">
        <v>143150</v>
      </c>
      <c r="P16" s="54">
        <v>143150</v>
      </c>
      <c r="Q16" s="54">
        <v>143150</v>
      </c>
      <c r="R16" s="54">
        <v>143150</v>
      </c>
    </row>
    <row r="17" spans="2:18">
      <c r="B17" s="28"/>
      <c r="C17" s="40" t="s">
        <v>40</v>
      </c>
      <c r="D17" s="42">
        <f>SQRT(2*D3*D4/D5)</f>
        <v>81.649658092772611</v>
      </c>
      <c r="E17" s="28"/>
      <c r="I17" s="29"/>
      <c r="J17" s="51">
        <v>170</v>
      </c>
      <c r="K17" s="52">
        <v>143829.41176470587</v>
      </c>
      <c r="L17" s="53">
        <v>143829.41176470587</v>
      </c>
      <c r="M17" s="54">
        <v>143829.41176470587</v>
      </c>
      <c r="N17" s="54">
        <v>143829.41176470587</v>
      </c>
      <c r="O17" s="54">
        <v>143829.41176470587</v>
      </c>
      <c r="P17" s="54">
        <v>143829.41176470587</v>
      </c>
      <c r="Q17" s="54">
        <v>143829.41176470587</v>
      </c>
      <c r="R17" s="54">
        <v>143829.41176470587</v>
      </c>
    </row>
    <row r="18" spans="2:18">
      <c r="B18" s="28"/>
      <c r="C18" s="38" t="s">
        <v>35</v>
      </c>
      <c r="D18" s="42">
        <f>$D$4*$D$3/D17</f>
        <v>7348.4692283495333</v>
      </c>
      <c r="E18" s="28"/>
      <c r="I18" s="29"/>
      <c r="J18" s="51">
        <v>180</v>
      </c>
      <c r="K18" s="52">
        <v>144533.33333333334</v>
      </c>
      <c r="L18" s="53">
        <v>144533.33333333334</v>
      </c>
      <c r="M18" s="54">
        <v>144533.33333333334</v>
      </c>
      <c r="N18" s="54">
        <v>144533.33333333334</v>
      </c>
      <c r="O18" s="54">
        <v>144533.33333333334</v>
      </c>
      <c r="P18" s="54">
        <v>144533.33333333334</v>
      </c>
      <c r="Q18" s="54">
        <v>144533.33333333334</v>
      </c>
      <c r="R18" s="54">
        <v>144533.33333333334</v>
      </c>
    </row>
    <row r="19" spans="2:18">
      <c r="B19" s="28"/>
      <c r="C19" s="38" t="s">
        <v>36</v>
      </c>
      <c r="D19" s="42">
        <f>$D$5*D17/2</f>
        <v>7348.4692283495351</v>
      </c>
      <c r="E19" s="28"/>
      <c r="I19" s="29"/>
      <c r="J19" s="51">
        <v>190</v>
      </c>
      <c r="K19" s="52">
        <v>145257.89473684211</v>
      </c>
      <c r="L19" s="53">
        <v>145257.89473684211</v>
      </c>
      <c r="M19" s="54">
        <v>145257.89473684211</v>
      </c>
      <c r="N19" s="54">
        <v>145257.89473684211</v>
      </c>
      <c r="O19" s="54">
        <v>145257.89473684211</v>
      </c>
      <c r="P19" s="54">
        <v>145257.89473684211</v>
      </c>
      <c r="Q19" s="54">
        <v>145257.89473684211</v>
      </c>
      <c r="R19" s="54">
        <v>145257.89473684211</v>
      </c>
    </row>
    <row r="20" spans="2:18">
      <c r="B20" s="28"/>
      <c r="C20" s="38" t="s">
        <v>37</v>
      </c>
      <c r="D20" s="42">
        <f>D3*D6</f>
        <v>125000</v>
      </c>
      <c r="E20" s="37">
        <v>241</v>
      </c>
      <c r="I20" s="29"/>
      <c r="J20" s="52">
        <f>D8-0.00001</f>
        <v>199.99999</v>
      </c>
      <c r="K20" s="52">
        <v>145999.99924999999</v>
      </c>
      <c r="L20" s="53">
        <v>145999.99924999999</v>
      </c>
      <c r="M20" s="54">
        <v>145999.99924999999</v>
      </c>
      <c r="N20" s="54">
        <v>145999.99924999999</v>
      </c>
      <c r="O20" s="54">
        <v>145999.99924999999</v>
      </c>
      <c r="P20" s="54">
        <v>145999.99924999999</v>
      </c>
      <c r="Q20" s="54">
        <v>145999.99924999999</v>
      </c>
      <c r="R20" s="54">
        <v>145999.99924999999</v>
      </c>
    </row>
    <row r="21" spans="2:18">
      <c r="B21" s="28"/>
      <c r="C21" s="38" t="s">
        <v>38</v>
      </c>
      <c r="D21" s="42">
        <f>D18+D19+D20</f>
        <v>139696.93845669908</v>
      </c>
      <c r="E21" s="28"/>
      <c r="I21" s="29"/>
      <c r="J21" s="51">
        <f>D8</f>
        <v>200</v>
      </c>
      <c r="K21" s="52">
        <v>131000</v>
      </c>
      <c r="L21" s="53">
        <v>133500</v>
      </c>
      <c r="M21" s="54">
        <v>136000</v>
      </c>
      <c r="N21" s="54">
        <v>138500</v>
      </c>
      <c r="O21" s="54">
        <v>141000</v>
      </c>
      <c r="P21" s="54">
        <v>143500</v>
      </c>
      <c r="Q21" s="54">
        <v>146000</v>
      </c>
      <c r="R21" s="54">
        <v>133500</v>
      </c>
    </row>
    <row r="22" spans="2:18">
      <c r="B22" s="28"/>
      <c r="C22" s="43" t="s">
        <v>25</v>
      </c>
      <c r="D22" s="44"/>
      <c r="E22" s="28"/>
      <c r="I22" s="29"/>
      <c r="J22" s="51">
        <v>350</v>
      </c>
      <c r="K22" s="52">
        <v>143214.28571428571</v>
      </c>
      <c r="L22" s="53">
        <v>145714.28571428571</v>
      </c>
      <c r="M22" s="54">
        <v>148214.28571428571</v>
      </c>
      <c r="N22" s="54">
        <v>150714.28571428571</v>
      </c>
      <c r="O22" s="54">
        <v>153214.28571428571</v>
      </c>
      <c r="P22" s="54">
        <v>155714.28571428571</v>
      </c>
      <c r="Q22" s="54">
        <v>158214.28571428571</v>
      </c>
      <c r="R22" s="54">
        <v>145714.28571428571</v>
      </c>
    </row>
    <row r="23" spans="2:18">
      <c r="B23" s="28"/>
      <c r="C23" s="45" t="str">
        <f>C7&amp;"="&amp;D7&amp;"元"</f>
        <v>整车每吨运费=22.5元</v>
      </c>
      <c r="D23" s="44"/>
      <c r="E23" s="28"/>
      <c r="I23" s="29"/>
      <c r="J23" s="29"/>
      <c r="K23" s="29"/>
      <c r="L23" s="29"/>
    </row>
    <row r="24" spans="2:18">
      <c r="B24" s="28"/>
      <c r="C24" s="28"/>
      <c r="D24" s="44"/>
      <c r="E24" s="28"/>
      <c r="N24" s="55"/>
      <c r="O24" s="56">
        <f>D11</f>
        <v>200</v>
      </c>
      <c r="P24" s="56">
        <f>D15</f>
        <v>133500</v>
      </c>
    </row>
    <row r="25" spans="2:18">
      <c r="K25" s="55">
        <f>IF($D$21&lt;$D$15,$D$17,$D$11)</f>
        <v>200</v>
      </c>
      <c r="L25" s="55">
        <f>IF($D$21&lt;$D$15,$D$21,$D$15)</f>
        <v>133500</v>
      </c>
      <c r="N25" s="57">
        <v>22</v>
      </c>
      <c r="O25" s="58">
        <v>200</v>
      </c>
      <c r="P25" s="58">
        <v>131000</v>
      </c>
    </row>
    <row r="26" spans="2:18">
      <c r="N26" s="57">
        <v>22.5</v>
      </c>
      <c r="O26" s="58">
        <v>200</v>
      </c>
      <c r="P26" s="58">
        <v>133500</v>
      </c>
    </row>
    <row r="27" spans="2:18">
      <c r="N27" s="57">
        <v>23</v>
      </c>
      <c r="O27" s="58">
        <v>200</v>
      </c>
      <c r="P27" s="58">
        <v>136000</v>
      </c>
    </row>
    <row r="28" spans="2:18">
      <c r="N28" s="57">
        <v>23.5</v>
      </c>
      <c r="O28" s="58">
        <v>200</v>
      </c>
      <c r="P28" s="58">
        <v>138500</v>
      </c>
    </row>
    <row r="29" spans="2:18">
      <c r="N29" s="57">
        <v>24</v>
      </c>
      <c r="O29" s="58">
        <v>200</v>
      </c>
      <c r="P29" s="58">
        <v>141000</v>
      </c>
    </row>
    <row r="30" spans="2:18">
      <c r="N30" s="57">
        <v>24.5</v>
      </c>
      <c r="O30" s="58">
        <v>200</v>
      </c>
      <c r="P30" s="58">
        <v>143500</v>
      </c>
    </row>
    <row r="31" spans="2:18">
      <c r="N31" s="57">
        <v>25</v>
      </c>
      <c r="O31" s="58">
        <v>200</v>
      </c>
      <c r="P31" s="58">
        <v>146000</v>
      </c>
    </row>
  </sheetData>
  <phoneticPr fontId="2" type="noConversion"/>
  <pageMargins left="0.75" right="0.75" top="1" bottom="1" header="0.5" footer="0.5"/>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4099" r:id="rId3" name="Spinner 3">
              <controlPr defaultSize="0" autoPict="0">
                <anchor moveWithCells="1" sizeWithCells="1">
                  <from>
                    <xdr:col>2</xdr:col>
                    <xdr:colOff>1428750</xdr:colOff>
                    <xdr:row>29</xdr:row>
                    <xdr:rowOff>57150</xdr:rowOff>
                  </from>
                  <to>
                    <xdr:col>3</xdr:col>
                    <xdr:colOff>95250</xdr:colOff>
                    <xdr:row>30</xdr:row>
                    <xdr:rowOff>104775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showGridLines="0" workbookViewId="0">
      <selection activeCell="J11" sqref="J11"/>
    </sheetView>
  </sheetViews>
  <sheetFormatPr defaultRowHeight="15"/>
  <cols>
    <col min="1" max="16384" width="9" style="63"/>
  </cols>
  <sheetData>
    <row r="1" spans="1:7">
      <c r="A1" s="63">
        <f>MIN($G$13)</f>
        <v>64</v>
      </c>
    </row>
    <row r="2" spans="1:7">
      <c r="A2" s="63">
        <f>COUNT($D$9:$F$11)</f>
        <v>9</v>
      </c>
      <c r="C2" s="59"/>
      <c r="D2" s="60" t="s">
        <v>41</v>
      </c>
      <c r="E2" s="60" t="s">
        <v>42</v>
      </c>
      <c r="F2" s="60" t="s">
        <v>43</v>
      </c>
    </row>
    <row r="3" spans="1:7">
      <c r="A3" s="63" t="b">
        <f t="array" ref="A3">$G$9:$G$11=1</f>
        <v>1</v>
      </c>
      <c r="C3" s="61" t="s">
        <v>44</v>
      </c>
      <c r="D3" s="59">
        <v>10</v>
      </c>
      <c r="E3" s="59">
        <v>16</v>
      </c>
      <c r="F3" s="59">
        <v>32</v>
      </c>
    </row>
    <row r="4" spans="1:7">
      <c r="A4" s="63" t="b">
        <f t="array" ref="A4">($D$9:$F$11=0)+($D$9:$F$11=1)=1</f>
        <v>1</v>
      </c>
      <c r="C4" s="61" t="s">
        <v>45</v>
      </c>
      <c r="D4" s="59">
        <v>14</v>
      </c>
      <c r="E4" s="59">
        <v>22</v>
      </c>
      <c r="F4" s="59">
        <v>40</v>
      </c>
    </row>
    <row r="5" spans="1:7">
      <c r="A5" s="63" t="b">
        <f t="array" ref="A5">$D$12:$F$12=1</f>
        <v>1</v>
      </c>
      <c r="C5" s="61" t="s">
        <v>46</v>
      </c>
      <c r="D5" s="59">
        <v>22</v>
      </c>
      <c r="E5" s="59">
        <v>24</v>
      </c>
      <c r="F5" s="59">
        <v>34</v>
      </c>
    </row>
    <row r="6" spans="1:7">
      <c r="A6" s="63">
        <f>{100,100,0.000001,0.05,FALSE,FALSE,FALSE,1,1,1,0.0001,FALSE}</f>
        <v>100</v>
      </c>
    </row>
    <row r="8" spans="1:7">
      <c r="C8" s="59"/>
      <c r="D8" s="60" t="s">
        <v>41</v>
      </c>
      <c r="E8" s="60" t="s">
        <v>42</v>
      </c>
      <c r="F8" s="60" t="s">
        <v>43</v>
      </c>
    </row>
    <row r="9" spans="1:7">
      <c r="C9" s="61" t="s">
        <v>44</v>
      </c>
      <c r="D9" s="59">
        <v>0</v>
      </c>
      <c r="E9" s="59">
        <v>1</v>
      </c>
      <c r="F9" s="59">
        <v>0</v>
      </c>
      <c r="G9" s="64">
        <f>SUM(D9:F9)</f>
        <v>1</v>
      </c>
    </row>
    <row r="10" spans="1:7">
      <c r="C10" s="61" t="s">
        <v>45</v>
      </c>
      <c r="D10" s="59">
        <v>1</v>
      </c>
      <c r="E10" s="59">
        <v>0</v>
      </c>
      <c r="F10" s="59">
        <v>0</v>
      </c>
      <c r="G10" s="64">
        <f>SUM(D10:F10)</f>
        <v>1</v>
      </c>
    </row>
    <row r="11" spans="1:7">
      <c r="C11" s="61" t="s">
        <v>46</v>
      </c>
      <c r="D11" s="59">
        <v>0</v>
      </c>
      <c r="E11" s="62">
        <v>0</v>
      </c>
      <c r="F11" s="59">
        <v>1</v>
      </c>
      <c r="G11" s="64">
        <f>SUM(D11:F11)</f>
        <v>1</v>
      </c>
    </row>
    <row r="12" spans="1:7">
      <c r="D12" s="64">
        <f>SUM(D9:D11)</f>
        <v>1</v>
      </c>
      <c r="E12" s="64">
        <f>SUM(E9:E11)</f>
        <v>1</v>
      </c>
      <c r="F12" s="64">
        <f>SUM(F9:F11)</f>
        <v>1</v>
      </c>
    </row>
    <row r="13" spans="1:7">
      <c r="G13" s="63">
        <f t="array" ref="G13">SUM(D3:F5*D9:F11)</f>
        <v>64</v>
      </c>
    </row>
  </sheetData>
  <phoneticPr fontId="2"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3"/>
  <sheetViews>
    <sheetView showGridLines="0" workbookViewId="0">
      <selection activeCell="F14" sqref="F14"/>
    </sheetView>
  </sheetViews>
  <sheetFormatPr defaultRowHeight="15"/>
  <cols>
    <col min="1" max="1" width="3.875" style="69" customWidth="1"/>
    <col min="2" max="2" width="14.875" style="69" customWidth="1"/>
    <col min="3" max="3" width="7.25" style="69" customWidth="1"/>
    <col min="4" max="4" width="7.75" style="69" bestFit="1" customWidth="1"/>
    <col min="5" max="5" width="7.75" style="69" customWidth="1"/>
    <col min="6" max="6" width="11" style="69" bestFit="1" customWidth="1"/>
    <col min="7" max="7" width="10.75" style="69" customWidth="1"/>
    <col min="8" max="16384" width="9" style="69"/>
  </cols>
  <sheetData>
    <row r="2" spans="2:7">
      <c r="B2" s="70"/>
      <c r="C2" s="65" t="s">
        <v>47</v>
      </c>
      <c r="D2" s="65" t="s">
        <v>48</v>
      </c>
      <c r="E2" s="65" t="s">
        <v>49</v>
      </c>
      <c r="F2" s="65" t="s">
        <v>50</v>
      </c>
    </row>
    <row r="3" spans="2:7">
      <c r="B3" s="66" t="s">
        <v>51</v>
      </c>
      <c r="C3" s="71">
        <v>1.5</v>
      </c>
      <c r="D3" s="71">
        <v>3</v>
      </c>
      <c r="E3" s="71">
        <v>5</v>
      </c>
      <c r="F3" s="70">
        <v>6000</v>
      </c>
    </row>
    <row r="4" spans="2:7">
      <c r="B4" s="66" t="s">
        <v>52</v>
      </c>
      <c r="C4" s="70">
        <v>300</v>
      </c>
      <c r="D4" s="70">
        <v>250</v>
      </c>
      <c r="E4" s="70">
        <v>400</v>
      </c>
      <c r="F4" s="72">
        <v>600000</v>
      </c>
    </row>
    <row r="5" spans="2:7">
      <c r="B5" s="66" t="s">
        <v>53</v>
      </c>
      <c r="C5" s="70">
        <v>2000</v>
      </c>
      <c r="D5" s="70">
        <v>3000</v>
      </c>
      <c r="E5" s="73">
        <v>4000</v>
      </c>
      <c r="F5" s="74"/>
    </row>
    <row r="8" spans="2:7">
      <c r="B8" s="70"/>
      <c r="C8" s="65" t="s">
        <v>47</v>
      </c>
      <c r="D8" s="65" t="s">
        <v>48</v>
      </c>
      <c r="E8" s="65" t="s">
        <v>49</v>
      </c>
      <c r="F8" s="65" t="s">
        <v>54</v>
      </c>
      <c r="G8" s="65" t="s">
        <v>50</v>
      </c>
    </row>
    <row r="9" spans="2:7">
      <c r="B9" s="66" t="s">
        <v>51</v>
      </c>
      <c r="C9" s="71">
        <v>1.5</v>
      </c>
      <c r="D9" s="71">
        <v>3</v>
      </c>
      <c r="E9" s="71">
        <v>5</v>
      </c>
      <c r="F9" s="70">
        <f t="array" ref="F9">SUM(C9:E9*$C$12:$E$12)</f>
        <v>6000</v>
      </c>
      <c r="G9" s="70">
        <v>6000</v>
      </c>
    </row>
    <row r="10" spans="2:7">
      <c r="B10" s="66" t="s">
        <v>52</v>
      </c>
      <c r="C10" s="70">
        <v>300</v>
      </c>
      <c r="D10" s="70">
        <v>250</v>
      </c>
      <c r="E10" s="70">
        <v>400</v>
      </c>
      <c r="F10" s="72">
        <f t="array" ref="F10">SUM(C10:E10*$C$12:$E$12)</f>
        <v>600000</v>
      </c>
      <c r="G10" s="72">
        <v>600000</v>
      </c>
    </row>
    <row r="11" spans="2:7">
      <c r="B11" s="66" t="s">
        <v>53</v>
      </c>
      <c r="C11" s="70">
        <v>2000</v>
      </c>
      <c r="D11" s="70">
        <v>3000</v>
      </c>
      <c r="E11" s="70">
        <v>4000</v>
      </c>
      <c r="F11" s="75"/>
      <c r="G11" s="75"/>
    </row>
    <row r="12" spans="2:7">
      <c r="B12" s="67" t="s">
        <v>55</v>
      </c>
      <c r="C12" s="70">
        <v>600</v>
      </c>
      <c r="D12" s="70">
        <v>1200</v>
      </c>
      <c r="E12" s="70">
        <v>300</v>
      </c>
      <c r="F12" s="76"/>
    </row>
    <row r="14" spans="2:7">
      <c r="E14" s="68" t="s">
        <v>56</v>
      </c>
      <c r="F14" s="69">
        <f t="array" ref="F14">SUM(C11:E11*C12:E12)</f>
        <v>6000000</v>
      </c>
    </row>
    <row r="17" spans="2:2">
      <c r="B17" s="69">
        <f>MAX($F$14)</f>
        <v>6000000</v>
      </c>
    </row>
    <row r="18" spans="2:2">
      <c r="B18" s="69">
        <f>COUNT($C$12:$E$12)</f>
        <v>3</v>
      </c>
    </row>
    <row r="19" spans="2:2">
      <c r="B19" s="69" t="b">
        <f t="array" ref="B19">$C$12:$E$12&gt;=0</f>
        <v>1</v>
      </c>
    </row>
    <row r="20" spans="2:2">
      <c r="B20" s="69" t="b">
        <f t="array" ref="B20">$C$12:$E$12=INT($C$12:$E$12)</f>
        <v>1</v>
      </c>
    </row>
    <row r="21" spans="2:2">
      <c r="B21" s="69" t="b">
        <f t="array" ref="B21">$F$9:$F$10&lt;=第5题答案!$G$9:$G$10</f>
        <v>1</v>
      </c>
    </row>
    <row r="22" spans="2:2">
      <c r="B22" s="69" t="b">
        <f>$E$12&gt;=300</f>
        <v>1</v>
      </c>
    </row>
    <row r="23" spans="2:2">
      <c r="B23" s="69">
        <f>{100,100,0.000001,0.05,FALSE,FALSE,FALSE,1,1,1,0.0001,FALSE}</f>
        <v>100</v>
      </c>
    </row>
  </sheetData>
  <phoneticPr fontId="2"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showGridLines="0" workbookViewId="0">
      <selection activeCell="F10" sqref="F10"/>
    </sheetView>
  </sheetViews>
  <sheetFormatPr defaultRowHeight="15"/>
  <cols>
    <col min="1" max="1" width="16.75" style="82" customWidth="1"/>
    <col min="2" max="16384" width="9" style="82"/>
  </cols>
  <sheetData>
    <row r="1" spans="1:7">
      <c r="A1" s="77" t="s">
        <v>57</v>
      </c>
      <c r="B1" s="81">
        <v>0.1</v>
      </c>
    </row>
    <row r="3" spans="1:7">
      <c r="A3" s="83"/>
      <c r="B3" s="78" t="s">
        <v>63</v>
      </c>
      <c r="C3" s="78" t="s">
        <v>64</v>
      </c>
      <c r="D3" s="78" t="s">
        <v>65</v>
      </c>
      <c r="E3" s="78" t="s">
        <v>66</v>
      </c>
      <c r="F3" s="78" t="s">
        <v>67</v>
      </c>
      <c r="G3" s="78" t="s">
        <v>68</v>
      </c>
    </row>
    <row r="4" spans="1:7" ht="14.25" customHeight="1">
      <c r="A4" s="79" t="s">
        <v>58</v>
      </c>
      <c r="B4" s="83"/>
      <c r="C4" s="83">
        <v>5000</v>
      </c>
      <c r="D4" s="83">
        <v>15000</v>
      </c>
      <c r="E4" s="83">
        <v>20000</v>
      </c>
      <c r="F4" s="83">
        <v>30000</v>
      </c>
      <c r="G4" s="83">
        <v>20000</v>
      </c>
    </row>
    <row r="5" spans="1:7">
      <c r="A5" s="80" t="s">
        <v>59</v>
      </c>
      <c r="B5" s="83">
        <v>-40000</v>
      </c>
      <c r="C5" s="83">
        <v>-20000</v>
      </c>
      <c r="D5" s="83">
        <v>-10000</v>
      </c>
      <c r="E5" s="83"/>
      <c r="F5" s="83"/>
      <c r="G5" s="83"/>
    </row>
    <row r="6" spans="1:7">
      <c r="A6" s="79" t="s">
        <v>60</v>
      </c>
      <c r="B6" s="84">
        <f t="shared" ref="B6:G6" si="0">B4+B5</f>
        <v>-40000</v>
      </c>
      <c r="C6" s="84">
        <f t="shared" si="0"/>
        <v>-15000</v>
      </c>
      <c r="D6" s="84">
        <f t="shared" si="0"/>
        <v>5000</v>
      </c>
      <c r="E6" s="84">
        <f t="shared" si="0"/>
        <v>20000</v>
      </c>
      <c r="F6" s="84">
        <f t="shared" si="0"/>
        <v>30000</v>
      </c>
      <c r="G6" s="84">
        <f t="shared" si="0"/>
        <v>20000</v>
      </c>
    </row>
    <row r="8" spans="1:7">
      <c r="A8" s="77" t="s">
        <v>61</v>
      </c>
      <c r="B8" s="85">
        <f>NPV(B1,C6:G6)+B6</f>
        <v>-1569.0060912381959</v>
      </c>
      <c r="C8" s="83"/>
      <c r="D8" s="83"/>
      <c r="E8" s="83"/>
      <c r="F8" s="86"/>
    </row>
    <row r="10" spans="1:7">
      <c r="A10" s="79" t="s">
        <v>62</v>
      </c>
      <c r="B10" s="87">
        <f>IRR(B6:G6)</f>
        <v>9.0811903080808332E-2</v>
      </c>
      <c r="C10" s="88"/>
      <c r="D10" s="88"/>
      <c r="E10" s="88"/>
      <c r="F10" s="88"/>
      <c r="G10" s="88"/>
    </row>
    <row r="11" spans="1:7">
      <c r="A11" s="88"/>
      <c r="B11" s="88"/>
      <c r="C11" s="88"/>
      <c r="D11" s="88"/>
      <c r="E11" s="88"/>
      <c r="F11" s="88"/>
      <c r="G11" s="88"/>
    </row>
    <row r="12" spans="1:7">
      <c r="A12" s="89"/>
      <c r="B12" s="90"/>
      <c r="C12" s="91"/>
      <c r="D12" s="91"/>
      <c r="E12" s="91"/>
      <c r="F12" s="91"/>
      <c r="G12" s="91"/>
    </row>
    <row r="13" spans="1:7">
      <c r="A13" s="89"/>
      <c r="B13" s="90"/>
      <c r="C13" s="91"/>
      <c r="D13" s="91"/>
      <c r="E13" s="91"/>
      <c r="F13" s="91"/>
      <c r="G13" s="91"/>
    </row>
    <row r="14" spans="1:7">
      <c r="A14" s="89"/>
      <c r="B14" s="90"/>
      <c r="C14" s="91"/>
      <c r="D14" s="91"/>
      <c r="E14" s="91"/>
      <c r="F14" s="91"/>
      <c r="G14" s="91"/>
    </row>
    <row r="15" spans="1:7">
      <c r="A15" s="89"/>
      <c r="B15" s="90"/>
      <c r="C15" s="91"/>
      <c r="D15" s="91"/>
      <c r="E15" s="91"/>
      <c r="F15" s="91"/>
      <c r="G15" s="91"/>
    </row>
  </sheetData>
  <phoneticPr fontId="2" type="noConversion"/>
  <pageMargins left="0.75" right="0.75" top="1" bottom="1" header="0.5" footer="0.5"/>
  <pageSetup paperSize="9" orientation="portrait" horizontalDpi="1200"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63"/>
  <sheetViews>
    <sheetView showGridLines="0" tabSelected="1" topLeftCell="A26" workbookViewId="0">
      <selection activeCell="B44" sqref="B44"/>
    </sheetView>
  </sheetViews>
  <sheetFormatPr defaultRowHeight="15"/>
  <cols>
    <col min="1" max="1" width="2.5" style="47" customWidth="1"/>
    <col min="2" max="2" width="40.875" style="47" bestFit="1" customWidth="1"/>
    <col min="3" max="3" width="17.375" style="47" bestFit="1" customWidth="1"/>
    <col min="4" max="4" width="10.625" style="47" bestFit="1" customWidth="1"/>
    <col min="5" max="5" width="13" style="47" bestFit="1" customWidth="1"/>
    <col min="6" max="6" width="6" style="47" bestFit="1" customWidth="1"/>
    <col min="7" max="11" width="15" style="47" bestFit="1" customWidth="1"/>
    <col min="12" max="12" width="2.375" style="47" customWidth="1"/>
    <col min="13" max="13" width="5.125" style="47" bestFit="1" customWidth="1"/>
    <col min="14" max="14" width="11.875" style="47" bestFit="1" customWidth="1"/>
    <col min="15" max="16384" width="9" style="47"/>
  </cols>
  <sheetData>
    <row r="2" spans="2:14">
      <c r="B2" s="92"/>
      <c r="C2" s="93" t="s">
        <v>69</v>
      </c>
      <c r="D2" s="92"/>
      <c r="E2" s="92"/>
      <c r="F2" s="92"/>
      <c r="G2" s="92"/>
      <c r="H2" s="92"/>
      <c r="I2" s="92"/>
      <c r="J2" s="92"/>
      <c r="K2" s="92"/>
      <c r="L2" s="92"/>
    </row>
    <row r="3" spans="2:14">
      <c r="B3" s="94" t="s">
        <v>57</v>
      </c>
      <c r="C3" s="95">
        <v>7.0000000000000007E-2</v>
      </c>
      <c r="D3" s="92"/>
      <c r="E3" s="96" t="s">
        <v>87</v>
      </c>
      <c r="F3" s="97" t="s">
        <v>70</v>
      </c>
      <c r="G3" s="97" t="s">
        <v>71</v>
      </c>
      <c r="H3" s="98" t="s">
        <v>72</v>
      </c>
      <c r="I3" s="98" t="s">
        <v>73</v>
      </c>
      <c r="J3" s="98" t="s">
        <v>74</v>
      </c>
      <c r="K3" s="97" t="s">
        <v>75</v>
      </c>
      <c r="L3" s="92"/>
      <c r="M3" s="47">
        <v>0</v>
      </c>
      <c r="N3" s="99">
        <f>-C9</f>
        <v>-80</v>
      </c>
    </row>
    <row r="4" spans="2:14">
      <c r="B4" s="94" t="s">
        <v>88</v>
      </c>
      <c r="C4" s="100">
        <v>5</v>
      </c>
      <c r="D4" s="92"/>
      <c r="E4" s="101">
        <v>37012</v>
      </c>
      <c r="F4" s="102">
        <v>1</v>
      </c>
      <c r="G4" s="103">
        <f>C10</f>
        <v>120</v>
      </c>
      <c r="H4" s="103">
        <f t="shared" ref="H4:H15" si="0">$C$12</f>
        <v>2.2623496043697457</v>
      </c>
      <c r="I4" s="103">
        <f>H4-J4</f>
        <v>1.7663496043697458</v>
      </c>
      <c r="J4" s="103">
        <f>G4*$C$11/12</f>
        <v>0.496</v>
      </c>
      <c r="K4" s="103">
        <f>G4-I4</f>
        <v>118.23365039563025</v>
      </c>
      <c r="L4" s="92"/>
      <c r="M4" s="47">
        <v>1</v>
      </c>
      <c r="N4" s="104">
        <f>-H4</f>
        <v>-2.2623496043697457</v>
      </c>
    </row>
    <row r="5" spans="2:14">
      <c r="B5" s="94" t="s">
        <v>104</v>
      </c>
      <c r="C5" s="100">
        <v>2</v>
      </c>
      <c r="D5" s="92"/>
      <c r="E5" s="101">
        <v>37043</v>
      </c>
      <c r="F5" s="102">
        <v>2</v>
      </c>
      <c r="G5" s="103">
        <f>K4</f>
        <v>118.23365039563025</v>
      </c>
      <c r="H5" s="103">
        <f t="shared" si="0"/>
        <v>2.2623496043697457</v>
      </c>
      <c r="I5" s="103">
        <f>H5-J5</f>
        <v>1.7736505160678073</v>
      </c>
      <c r="J5" s="103">
        <f>G5*$C$11/12</f>
        <v>0.48869908830193837</v>
      </c>
      <c r="K5" s="103">
        <f>G5-I5</f>
        <v>116.45999987956245</v>
      </c>
      <c r="L5" s="92"/>
      <c r="M5" s="47">
        <v>2</v>
      </c>
      <c r="N5" s="104">
        <f t="shared" ref="N5:N62" si="1">-H5</f>
        <v>-2.2623496043697457</v>
      </c>
    </row>
    <row r="6" spans="2:14">
      <c r="B6" s="90"/>
      <c r="C6" s="91"/>
      <c r="D6" s="92"/>
      <c r="E6" s="101">
        <v>37073</v>
      </c>
      <c r="F6" s="102">
        <v>3</v>
      </c>
      <c r="G6" s="103">
        <f t="shared" ref="G6:G63" si="2">K5</f>
        <v>116.45999987956245</v>
      </c>
      <c r="H6" s="103">
        <f t="shared" si="0"/>
        <v>2.2623496043697457</v>
      </c>
      <c r="I6" s="103">
        <f t="shared" ref="I6:I63" si="3">H6-J6</f>
        <v>1.7809816048675544</v>
      </c>
      <c r="J6" s="103">
        <f t="shared" ref="J6:J63" si="4">G6*$C$11/12</f>
        <v>0.48136799950219139</v>
      </c>
      <c r="K6" s="103">
        <f t="shared" ref="K6:K62" si="5">G6-I6</f>
        <v>114.6790182746949</v>
      </c>
      <c r="L6" s="92"/>
      <c r="M6" s="47">
        <v>3</v>
      </c>
      <c r="N6" s="104">
        <f t="shared" si="1"/>
        <v>-2.2623496043697457</v>
      </c>
    </row>
    <row r="7" spans="2:14">
      <c r="B7" s="55"/>
      <c r="C7" s="46" t="s">
        <v>89</v>
      </c>
      <c r="D7" s="92"/>
      <c r="E7" s="101">
        <v>37104</v>
      </c>
      <c r="F7" s="102">
        <v>4</v>
      </c>
      <c r="G7" s="103">
        <f t="shared" si="2"/>
        <v>114.6790182746949</v>
      </c>
      <c r="H7" s="103">
        <f t="shared" si="0"/>
        <v>2.2623496043697457</v>
      </c>
      <c r="I7" s="103">
        <f t="shared" si="3"/>
        <v>1.7883429955010068</v>
      </c>
      <c r="J7" s="103">
        <f t="shared" si="4"/>
        <v>0.47400660886873891</v>
      </c>
      <c r="K7" s="103">
        <f t="shared" si="5"/>
        <v>112.89067527919389</v>
      </c>
      <c r="L7" s="92"/>
      <c r="M7" s="47">
        <v>4</v>
      </c>
      <c r="N7" s="104">
        <f t="shared" si="1"/>
        <v>-2.2623496043697457</v>
      </c>
    </row>
    <row r="8" spans="2:14">
      <c r="B8" s="94" t="s">
        <v>76</v>
      </c>
      <c r="C8" s="105">
        <v>200</v>
      </c>
      <c r="D8" s="92"/>
      <c r="E8" s="101">
        <v>37135</v>
      </c>
      <c r="F8" s="102">
        <v>5</v>
      </c>
      <c r="G8" s="103">
        <f t="shared" si="2"/>
        <v>112.89067527919389</v>
      </c>
      <c r="H8" s="103">
        <f t="shared" si="0"/>
        <v>2.2623496043697457</v>
      </c>
      <c r="I8" s="103">
        <f t="shared" si="3"/>
        <v>1.7957348132157445</v>
      </c>
      <c r="J8" s="103">
        <f t="shared" si="4"/>
        <v>0.46661479115400134</v>
      </c>
      <c r="K8" s="103">
        <f t="shared" si="5"/>
        <v>111.09494046597814</v>
      </c>
      <c r="L8" s="92"/>
      <c r="M8" s="47">
        <v>5</v>
      </c>
      <c r="N8" s="104">
        <f t="shared" si="1"/>
        <v>-2.2623496043697457</v>
      </c>
    </row>
    <row r="9" spans="2:14">
      <c r="B9" s="94" t="s">
        <v>77</v>
      </c>
      <c r="C9" s="105">
        <v>80</v>
      </c>
      <c r="D9" s="92"/>
      <c r="E9" s="101">
        <v>37165</v>
      </c>
      <c r="F9" s="102">
        <v>6</v>
      </c>
      <c r="G9" s="103">
        <f t="shared" si="2"/>
        <v>111.09494046597814</v>
      </c>
      <c r="H9" s="103">
        <f t="shared" si="0"/>
        <v>2.2623496043697457</v>
      </c>
      <c r="I9" s="103">
        <f t="shared" si="3"/>
        <v>1.8031571837770362</v>
      </c>
      <c r="J9" s="103">
        <f t="shared" si="4"/>
        <v>0.45919242059270965</v>
      </c>
      <c r="K9" s="103">
        <f t="shared" si="5"/>
        <v>109.29178328220111</v>
      </c>
      <c r="L9" s="92"/>
      <c r="M9" s="47">
        <v>6</v>
      </c>
      <c r="N9" s="104">
        <f t="shared" si="1"/>
        <v>-2.2623496043697457</v>
      </c>
    </row>
    <row r="10" spans="2:14">
      <c r="B10" s="94" t="s">
        <v>78</v>
      </c>
      <c r="C10" s="105">
        <f>C8-C9</f>
        <v>120</v>
      </c>
      <c r="D10" s="92"/>
      <c r="E10" s="101">
        <v>37196</v>
      </c>
      <c r="F10" s="102">
        <v>7</v>
      </c>
      <c r="G10" s="103">
        <f t="shared" si="2"/>
        <v>109.29178328220111</v>
      </c>
      <c r="H10" s="103">
        <f t="shared" si="0"/>
        <v>2.2623496043697457</v>
      </c>
      <c r="I10" s="103">
        <f t="shared" si="3"/>
        <v>1.8106102334699812</v>
      </c>
      <c r="J10" s="103">
        <f t="shared" si="4"/>
        <v>0.45173937089976457</v>
      </c>
      <c r="K10" s="103">
        <f t="shared" si="5"/>
        <v>107.48117304873112</v>
      </c>
      <c r="L10" s="92"/>
      <c r="M10" s="47">
        <v>7</v>
      </c>
      <c r="N10" s="104">
        <f t="shared" si="1"/>
        <v>-2.2623496043697457</v>
      </c>
    </row>
    <row r="11" spans="2:14">
      <c r="B11" s="94" t="s">
        <v>79</v>
      </c>
      <c r="C11" s="124">
        <v>4.9599999999999998E-2</v>
      </c>
      <c r="E11" s="101">
        <v>37226</v>
      </c>
      <c r="F11" s="102">
        <v>8</v>
      </c>
      <c r="G11" s="103">
        <f t="shared" si="2"/>
        <v>107.48117304873112</v>
      </c>
      <c r="H11" s="103">
        <f t="shared" si="0"/>
        <v>2.2623496043697457</v>
      </c>
      <c r="I11" s="103">
        <f t="shared" si="3"/>
        <v>1.818094089101657</v>
      </c>
      <c r="J11" s="103">
        <f t="shared" si="4"/>
        <v>0.44425551526808865</v>
      </c>
      <c r="K11" s="103">
        <f t="shared" si="5"/>
        <v>105.66307895962946</v>
      </c>
      <c r="L11" s="92"/>
      <c r="M11" s="47">
        <v>8</v>
      </c>
      <c r="N11" s="104">
        <f t="shared" si="1"/>
        <v>-2.2623496043697457</v>
      </c>
    </row>
    <row r="12" spans="2:14">
      <c r="B12" s="94" t="s">
        <v>80</v>
      </c>
      <c r="C12" s="106">
        <f>PMT(C11/12,C4*12,-C10)</f>
        <v>2.2623496043697457</v>
      </c>
      <c r="D12" s="92"/>
      <c r="E12" s="101">
        <v>37257</v>
      </c>
      <c r="F12" s="102">
        <v>9</v>
      </c>
      <c r="G12" s="103">
        <f t="shared" si="2"/>
        <v>105.66307895962946</v>
      </c>
      <c r="H12" s="103">
        <f t="shared" si="0"/>
        <v>2.2623496043697457</v>
      </c>
      <c r="I12" s="103">
        <f t="shared" si="3"/>
        <v>1.8256088780032773</v>
      </c>
      <c r="J12" s="103">
        <f t="shared" si="4"/>
        <v>0.43674072636646843</v>
      </c>
      <c r="K12" s="103">
        <f t="shared" si="5"/>
        <v>103.83747008162618</v>
      </c>
      <c r="L12" s="92"/>
      <c r="M12" s="47">
        <v>9</v>
      </c>
      <c r="N12" s="104">
        <f t="shared" si="1"/>
        <v>-2.2623496043697457</v>
      </c>
    </row>
    <row r="13" spans="2:14">
      <c r="B13" s="94" t="s">
        <v>81</v>
      </c>
      <c r="C13" s="106">
        <f>-PMT($C$11/12,($C$4-1)*12,K15)</f>
        <v>2.2163272476173188</v>
      </c>
      <c r="D13" s="92"/>
      <c r="E13" s="101">
        <v>37288</v>
      </c>
      <c r="F13" s="102">
        <v>10</v>
      </c>
      <c r="G13" s="103">
        <f t="shared" si="2"/>
        <v>103.83747008162618</v>
      </c>
      <c r="H13" s="103">
        <f t="shared" si="0"/>
        <v>2.2623496043697457</v>
      </c>
      <c r="I13" s="103">
        <f t="shared" si="3"/>
        <v>1.8331547280323575</v>
      </c>
      <c r="J13" s="103">
        <f t="shared" si="4"/>
        <v>0.42919487633738823</v>
      </c>
      <c r="K13" s="103">
        <f t="shared" si="5"/>
        <v>102.00431535359382</v>
      </c>
      <c r="L13" s="92"/>
      <c r="M13" s="47">
        <v>10</v>
      </c>
      <c r="N13" s="104">
        <f t="shared" si="1"/>
        <v>-2.2623496043697457</v>
      </c>
    </row>
    <row r="14" spans="2:14">
      <c r="B14" s="94" t="s">
        <v>82</v>
      </c>
      <c r="C14" s="106">
        <f>-PMT($C$11/12,($C$4-2)*12,K27)</f>
        <v>2.1564213650180104</v>
      </c>
      <c r="D14" s="92"/>
      <c r="E14" s="101">
        <v>37316</v>
      </c>
      <c r="F14" s="102">
        <v>11</v>
      </c>
      <c r="G14" s="103">
        <f t="shared" si="2"/>
        <v>102.00431535359382</v>
      </c>
      <c r="H14" s="103">
        <f t="shared" si="0"/>
        <v>2.2623496043697457</v>
      </c>
      <c r="I14" s="103">
        <f t="shared" si="3"/>
        <v>1.8407317675748913</v>
      </c>
      <c r="J14" s="103">
        <f t="shared" si="4"/>
        <v>0.42161783679485443</v>
      </c>
      <c r="K14" s="103">
        <f t="shared" si="5"/>
        <v>100.16358358601893</v>
      </c>
      <c r="L14" s="92"/>
      <c r="M14" s="47">
        <v>11</v>
      </c>
      <c r="N14" s="104">
        <f t="shared" si="1"/>
        <v>-2.2623496043697457</v>
      </c>
    </row>
    <row r="15" spans="2:14">
      <c r="B15" s="94" t="s">
        <v>83</v>
      </c>
      <c r="C15" s="106">
        <f>-PMT($C$11/12,($C$4-3)*12,K39)</f>
        <v>2.0687144087285732</v>
      </c>
      <c r="D15" s="92"/>
      <c r="E15" s="101">
        <v>37347</v>
      </c>
      <c r="F15" s="102">
        <v>12</v>
      </c>
      <c r="G15" s="103">
        <f t="shared" si="2"/>
        <v>100.16358358601893</v>
      </c>
      <c r="H15" s="103">
        <f t="shared" si="0"/>
        <v>2.2623496043697457</v>
      </c>
      <c r="I15" s="103">
        <f t="shared" si="3"/>
        <v>1.8483401255475342</v>
      </c>
      <c r="J15" s="103">
        <f t="shared" si="4"/>
        <v>0.41400947882221156</v>
      </c>
      <c r="K15" s="125">
        <f>G15-I15-$C$5</f>
        <v>96.315243460471393</v>
      </c>
      <c r="L15" s="92"/>
      <c r="M15" s="47">
        <v>12</v>
      </c>
      <c r="N15" s="126">
        <f>-H15+$C$5</f>
        <v>-0.26234960436974575</v>
      </c>
    </row>
    <row r="16" spans="2:14">
      <c r="B16" s="94" t="s">
        <v>84</v>
      </c>
      <c r="C16" s="106">
        <f>-PMT($C$11/12,($C$4-4)*12,K51)</f>
        <v>1.8975361040040921</v>
      </c>
      <c r="D16" s="92"/>
      <c r="E16" s="101">
        <v>37377</v>
      </c>
      <c r="F16" s="102">
        <v>13</v>
      </c>
      <c r="G16" s="103">
        <f t="shared" si="2"/>
        <v>96.315243460471393</v>
      </c>
      <c r="H16" s="103">
        <f>$C$13</f>
        <v>2.2163272476173188</v>
      </c>
      <c r="I16" s="103">
        <f t="shared" si="3"/>
        <v>1.818224241314037</v>
      </c>
      <c r="J16" s="103">
        <f t="shared" si="4"/>
        <v>0.39810300630328177</v>
      </c>
      <c r="K16" s="103">
        <f t="shared" si="5"/>
        <v>94.497019219157352</v>
      </c>
      <c r="L16" s="92"/>
      <c r="M16" s="47">
        <v>13</v>
      </c>
      <c r="N16" s="104">
        <f t="shared" si="1"/>
        <v>-2.2163272476173188</v>
      </c>
    </row>
    <row r="17" spans="2:14">
      <c r="B17" s="94" t="s">
        <v>90</v>
      </c>
      <c r="C17" s="105">
        <v>300</v>
      </c>
      <c r="D17" s="92"/>
      <c r="E17" s="101">
        <v>37408</v>
      </c>
      <c r="F17" s="102">
        <v>14</v>
      </c>
      <c r="G17" s="103">
        <f t="shared" si="2"/>
        <v>94.497019219157352</v>
      </c>
      <c r="H17" s="103">
        <f t="shared" ref="H17:H27" si="6">$C$13</f>
        <v>2.2163272476173188</v>
      </c>
      <c r="I17" s="103">
        <f t="shared" si="3"/>
        <v>1.8257395681781352</v>
      </c>
      <c r="J17" s="103">
        <f t="shared" si="4"/>
        <v>0.39058767943918365</v>
      </c>
      <c r="K17" s="103">
        <f t="shared" si="5"/>
        <v>92.671279650979216</v>
      </c>
      <c r="L17" s="92"/>
      <c r="M17" s="47">
        <v>14</v>
      </c>
      <c r="N17" s="104">
        <f t="shared" si="1"/>
        <v>-2.2163272476173188</v>
      </c>
    </row>
    <row r="18" spans="2:14">
      <c r="B18" s="107" t="s">
        <v>85</v>
      </c>
      <c r="C18" s="108">
        <f>NPV($C$3/12,N4:N63)+N3</f>
        <v>30.672853272675781</v>
      </c>
      <c r="D18" s="92"/>
      <c r="E18" s="101">
        <v>37438</v>
      </c>
      <c r="F18" s="102">
        <v>15</v>
      </c>
      <c r="G18" s="103">
        <f t="shared" si="2"/>
        <v>92.671279650979216</v>
      </c>
      <c r="H18" s="103">
        <f t="shared" si="6"/>
        <v>2.2163272476173188</v>
      </c>
      <c r="I18" s="103">
        <f t="shared" si="3"/>
        <v>1.8332859583932715</v>
      </c>
      <c r="J18" s="103">
        <f t="shared" si="4"/>
        <v>0.3830412892240474</v>
      </c>
      <c r="K18" s="103">
        <f t="shared" si="5"/>
        <v>90.83799369258594</v>
      </c>
      <c r="L18" s="92"/>
      <c r="M18" s="47">
        <v>15</v>
      </c>
      <c r="N18" s="104">
        <f t="shared" si="1"/>
        <v>-2.2163272476173188</v>
      </c>
    </row>
    <row r="19" spans="2:14">
      <c r="B19" s="107" t="s">
        <v>86</v>
      </c>
      <c r="C19" s="109">
        <f>IRR(N3:N63,0.001)*12</f>
        <v>0.11194254418651273</v>
      </c>
      <c r="D19" s="92"/>
      <c r="E19" s="101">
        <v>37469</v>
      </c>
      <c r="F19" s="102">
        <v>16</v>
      </c>
      <c r="G19" s="103">
        <f t="shared" si="2"/>
        <v>90.83799369258594</v>
      </c>
      <c r="H19" s="103">
        <f t="shared" si="6"/>
        <v>2.2163272476173188</v>
      </c>
      <c r="I19" s="103">
        <f t="shared" si="3"/>
        <v>1.8408635403546303</v>
      </c>
      <c r="J19" s="103">
        <f t="shared" si="4"/>
        <v>0.37546370726268852</v>
      </c>
      <c r="K19" s="103">
        <f t="shared" si="5"/>
        <v>88.997130152231307</v>
      </c>
      <c r="L19" s="92"/>
      <c r="M19" s="47">
        <v>16</v>
      </c>
      <c r="N19" s="104">
        <f t="shared" si="1"/>
        <v>-2.2163272476173188</v>
      </c>
    </row>
    <row r="20" spans="2:14">
      <c r="D20" s="92"/>
      <c r="E20" s="101">
        <v>37500</v>
      </c>
      <c r="F20" s="102">
        <v>17</v>
      </c>
      <c r="G20" s="103">
        <f t="shared" si="2"/>
        <v>88.997130152231307</v>
      </c>
      <c r="H20" s="103">
        <f t="shared" si="6"/>
        <v>2.2163272476173188</v>
      </c>
      <c r="I20" s="103">
        <f t="shared" si="3"/>
        <v>1.8484724429880961</v>
      </c>
      <c r="J20" s="103">
        <f t="shared" si="4"/>
        <v>0.36785480462922271</v>
      </c>
      <c r="K20" s="103">
        <f t="shared" si="5"/>
        <v>87.14865770924321</v>
      </c>
      <c r="L20" s="92"/>
      <c r="M20" s="47">
        <v>17</v>
      </c>
      <c r="N20" s="104">
        <f t="shared" si="1"/>
        <v>-2.2163272476173188</v>
      </c>
    </row>
    <row r="21" spans="2:14">
      <c r="D21" s="92"/>
      <c r="E21" s="101">
        <v>37530</v>
      </c>
      <c r="F21" s="102">
        <v>18</v>
      </c>
      <c r="G21" s="103">
        <f t="shared" si="2"/>
        <v>87.14865770924321</v>
      </c>
      <c r="H21" s="103">
        <f t="shared" si="6"/>
        <v>2.2163272476173188</v>
      </c>
      <c r="I21" s="103">
        <f t="shared" si="3"/>
        <v>1.8561127957524468</v>
      </c>
      <c r="J21" s="103">
        <f t="shared" si="4"/>
        <v>0.36021445186487194</v>
      </c>
      <c r="K21" s="103">
        <f t="shared" si="5"/>
        <v>85.292544913490758</v>
      </c>
      <c r="L21" s="92"/>
      <c r="M21" s="47">
        <v>18</v>
      </c>
      <c r="N21" s="104">
        <f t="shared" si="1"/>
        <v>-2.2163272476173188</v>
      </c>
    </row>
    <row r="22" spans="2:14">
      <c r="D22" s="92"/>
      <c r="E22" s="101">
        <v>37561</v>
      </c>
      <c r="F22" s="102">
        <v>19</v>
      </c>
      <c r="G22" s="103">
        <f t="shared" si="2"/>
        <v>85.292544913490758</v>
      </c>
      <c r="H22" s="103">
        <f t="shared" si="6"/>
        <v>2.2163272476173188</v>
      </c>
      <c r="I22" s="103">
        <f t="shared" si="3"/>
        <v>1.863784728641557</v>
      </c>
      <c r="J22" s="103">
        <f t="shared" si="4"/>
        <v>0.35254251897576178</v>
      </c>
      <c r="K22" s="103">
        <f t="shared" si="5"/>
        <v>83.428760184849196</v>
      </c>
      <c r="L22" s="92"/>
      <c r="M22" s="47">
        <v>19</v>
      </c>
      <c r="N22" s="104">
        <f t="shared" si="1"/>
        <v>-2.2163272476173188</v>
      </c>
    </row>
    <row r="23" spans="2:14">
      <c r="E23" s="101">
        <v>37591</v>
      </c>
      <c r="F23" s="102">
        <v>20</v>
      </c>
      <c r="G23" s="103">
        <f t="shared" si="2"/>
        <v>83.428760184849196</v>
      </c>
      <c r="H23" s="103">
        <f t="shared" si="6"/>
        <v>2.2163272476173188</v>
      </c>
      <c r="I23" s="103">
        <f t="shared" si="3"/>
        <v>1.8714883721866089</v>
      </c>
      <c r="J23" s="103">
        <f t="shared" si="4"/>
        <v>0.34483887543070996</v>
      </c>
      <c r="K23" s="103">
        <f t="shared" si="5"/>
        <v>81.557271812662592</v>
      </c>
      <c r="M23" s="47">
        <v>20</v>
      </c>
      <c r="N23" s="104">
        <f t="shared" si="1"/>
        <v>-2.2163272476173188</v>
      </c>
    </row>
    <row r="24" spans="2:14">
      <c r="E24" s="101">
        <v>37622</v>
      </c>
      <c r="F24" s="102">
        <v>21</v>
      </c>
      <c r="G24" s="103">
        <f t="shared" si="2"/>
        <v>81.557271812662592</v>
      </c>
      <c r="H24" s="103">
        <f t="shared" si="6"/>
        <v>2.2163272476173188</v>
      </c>
      <c r="I24" s="103">
        <f t="shared" si="3"/>
        <v>1.8792238574583136</v>
      </c>
      <c r="J24" s="103">
        <f t="shared" si="4"/>
        <v>0.33710339015900531</v>
      </c>
      <c r="K24" s="103">
        <f t="shared" si="5"/>
        <v>79.678047955204278</v>
      </c>
      <c r="M24" s="47">
        <v>21</v>
      </c>
      <c r="N24" s="104">
        <f t="shared" si="1"/>
        <v>-2.2163272476173188</v>
      </c>
    </row>
    <row r="25" spans="2:14">
      <c r="E25" s="101">
        <v>37653</v>
      </c>
      <c r="F25" s="102">
        <v>22</v>
      </c>
      <c r="G25" s="103">
        <f t="shared" si="2"/>
        <v>79.678047955204278</v>
      </c>
      <c r="H25" s="103">
        <f t="shared" si="6"/>
        <v>2.2163272476173188</v>
      </c>
      <c r="I25" s="103">
        <f t="shared" si="3"/>
        <v>1.8869913160691412</v>
      </c>
      <c r="J25" s="103">
        <f t="shared" si="4"/>
        <v>0.3293359315481777</v>
      </c>
      <c r="K25" s="103">
        <f t="shared" si="5"/>
        <v>77.791056639135135</v>
      </c>
      <c r="M25" s="47">
        <v>22</v>
      </c>
      <c r="N25" s="104">
        <f t="shared" si="1"/>
        <v>-2.2163272476173188</v>
      </c>
    </row>
    <row r="26" spans="2:14">
      <c r="E26" s="101">
        <v>37681</v>
      </c>
      <c r="F26" s="102">
        <v>23</v>
      </c>
      <c r="G26" s="103">
        <f t="shared" si="2"/>
        <v>77.791056639135135</v>
      </c>
      <c r="H26" s="103">
        <f t="shared" si="6"/>
        <v>2.2163272476173188</v>
      </c>
      <c r="I26" s="103">
        <f t="shared" si="3"/>
        <v>1.8947908801755602</v>
      </c>
      <c r="J26" s="103">
        <f t="shared" si="4"/>
        <v>0.32153636744175856</v>
      </c>
      <c r="K26" s="103">
        <f t="shared" si="5"/>
        <v>75.896265758959572</v>
      </c>
      <c r="M26" s="47">
        <v>23</v>
      </c>
      <c r="N26" s="104">
        <f t="shared" si="1"/>
        <v>-2.2163272476173188</v>
      </c>
    </row>
    <row r="27" spans="2:14">
      <c r="E27" s="101">
        <v>37712</v>
      </c>
      <c r="F27" s="102">
        <v>24</v>
      </c>
      <c r="G27" s="103">
        <f t="shared" si="2"/>
        <v>75.896265758959572</v>
      </c>
      <c r="H27" s="103">
        <f t="shared" si="6"/>
        <v>2.2163272476173188</v>
      </c>
      <c r="I27" s="103">
        <f t="shared" si="3"/>
        <v>1.9026226824802859</v>
      </c>
      <c r="J27" s="103">
        <f t="shared" si="4"/>
        <v>0.31370456513703288</v>
      </c>
      <c r="K27" s="125">
        <f>G27-I27-$C$5</f>
        <v>71.993643076479287</v>
      </c>
      <c r="M27" s="47">
        <v>24</v>
      </c>
      <c r="N27" s="126">
        <f>-H27+$C$5</f>
        <v>-0.21632724761731881</v>
      </c>
    </row>
    <row r="28" spans="2:14">
      <c r="E28" s="101">
        <v>37742</v>
      </c>
      <c r="F28" s="102">
        <v>25</v>
      </c>
      <c r="G28" s="103">
        <f t="shared" si="2"/>
        <v>71.993643076479287</v>
      </c>
      <c r="H28" s="103">
        <f>$C$14</f>
        <v>2.1564213650180104</v>
      </c>
      <c r="I28" s="103">
        <f t="shared" si="3"/>
        <v>1.8588476403018961</v>
      </c>
      <c r="J28" s="103">
        <f t="shared" si="4"/>
        <v>0.29757372471611437</v>
      </c>
      <c r="K28" s="103">
        <f t="shared" si="5"/>
        <v>70.134795436177384</v>
      </c>
      <c r="M28" s="47">
        <v>25</v>
      </c>
      <c r="N28" s="104">
        <f t="shared" si="1"/>
        <v>-2.1564213650180104</v>
      </c>
    </row>
    <row r="29" spans="2:14">
      <c r="E29" s="101">
        <v>37773</v>
      </c>
      <c r="F29" s="102">
        <v>26</v>
      </c>
      <c r="G29" s="103">
        <f t="shared" si="2"/>
        <v>70.134795436177384</v>
      </c>
      <c r="H29" s="103">
        <f t="shared" ref="H29:H39" si="7">$C$14</f>
        <v>2.1564213650180104</v>
      </c>
      <c r="I29" s="103">
        <f t="shared" si="3"/>
        <v>1.8665308772151439</v>
      </c>
      <c r="J29" s="103">
        <f t="shared" si="4"/>
        <v>0.28989048780286653</v>
      </c>
      <c r="K29" s="103">
        <f t="shared" si="5"/>
        <v>68.268264558962244</v>
      </c>
      <c r="M29" s="47">
        <v>26</v>
      </c>
      <c r="N29" s="104">
        <f t="shared" si="1"/>
        <v>-2.1564213650180104</v>
      </c>
    </row>
    <row r="30" spans="2:14">
      <c r="E30" s="101">
        <v>37803</v>
      </c>
      <c r="F30" s="102">
        <v>27</v>
      </c>
      <c r="G30" s="103">
        <f t="shared" si="2"/>
        <v>68.268264558962244</v>
      </c>
      <c r="H30" s="103">
        <f t="shared" si="7"/>
        <v>2.1564213650180104</v>
      </c>
      <c r="I30" s="103">
        <f t="shared" si="3"/>
        <v>1.8742458715076331</v>
      </c>
      <c r="J30" s="103">
        <f t="shared" si="4"/>
        <v>0.28217549351037724</v>
      </c>
      <c r="K30" s="103">
        <f t="shared" si="5"/>
        <v>66.394018687454604</v>
      </c>
      <c r="M30" s="47">
        <v>27</v>
      </c>
      <c r="N30" s="104">
        <f t="shared" si="1"/>
        <v>-2.1564213650180104</v>
      </c>
    </row>
    <row r="31" spans="2:14">
      <c r="E31" s="101">
        <v>37834</v>
      </c>
      <c r="F31" s="102">
        <v>28</v>
      </c>
      <c r="G31" s="103">
        <f t="shared" si="2"/>
        <v>66.394018687454604</v>
      </c>
      <c r="H31" s="103">
        <f t="shared" si="7"/>
        <v>2.1564213650180104</v>
      </c>
      <c r="I31" s="103">
        <f t="shared" si="3"/>
        <v>1.881992754443198</v>
      </c>
      <c r="J31" s="103">
        <f t="shared" si="4"/>
        <v>0.27442861057481233</v>
      </c>
      <c r="K31" s="103">
        <f t="shared" si="5"/>
        <v>64.512025933011401</v>
      </c>
      <c r="M31" s="47">
        <v>28</v>
      </c>
      <c r="N31" s="104">
        <f t="shared" si="1"/>
        <v>-2.1564213650180104</v>
      </c>
    </row>
    <row r="32" spans="2:14">
      <c r="E32" s="101">
        <v>37865</v>
      </c>
      <c r="F32" s="102">
        <v>29</v>
      </c>
      <c r="G32" s="103">
        <f t="shared" si="2"/>
        <v>64.512025933011401</v>
      </c>
      <c r="H32" s="103">
        <f t="shared" si="7"/>
        <v>2.1564213650180104</v>
      </c>
      <c r="I32" s="103">
        <f t="shared" si="3"/>
        <v>1.88977165782823</v>
      </c>
      <c r="J32" s="103">
        <f t="shared" si="4"/>
        <v>0.26664970718978048</v>
      </c>
      <c r="K32" s="103">
        <f t="shared" si="5"/>
        <v>62.622254275183174</v>
      </c>
      <c r="M32" s="47">
        <v>29</v>
      </c>
      <c r="N32" s="104">
        <f t="shared" si="1"/>
        <v>-2.1564213650180104</v>
      </c>
    </row>
    <row r="33" spans="5:14">
      <c r="E33" s="101">
        <v>37895</v>
      </c>
      <c r="F33" s="102">
        <v>30</v>
      </c>
      <c r="G33" s="103">
        <f t="shared" si="2"/>
        <v>62.622254275183174</v>
      </c>
      <c r="H33" s="103">
        <f t="shared" si="7"/>
        <v>2.1564213650180104</v>
      </c>
      <c r="I33" s="103">
        <f t="shared" si="3"/>
        <v>1.8975827140139199</v>
      </c>
      <c r="J33" s="103">
        <f t="shared" si="4"/>
        <v>0.25883865100409043</v>
      </c>
      <c r="K33" s="103">
        <f t="shared" si="5"/>
        <v>60.724671561169252</v>
      </c>
      <c r="M33" s="47">
        <v>30</v>
      </c>
      <c r="N33" s="104">
        <f t="shared" si="1"/>
        <v>-2.1564213650180104</v>
      </c>
    </row>
    <row r="34" spans="5:14">
      <c r="E34" s="101">
        <v>37926</v>
      </c>
      <c r="F34" s="102">
        <v>31</v>
      </c>
      <c r="G34" s="103">
        <f t="shared" si="2"/>
        <v>60.724671561169252</v>
      </c>
      <c r="H34" s="103">
        <f t="shared" si="7"/>
        <v>2.1564213650180104</v>
      </c>
      <c r="I34" s="103">
        <f t="shared" si="3"/>
        <v>1.9054260558985108</v>
      </c>
      <c r="J34" s="103">
        <f t="shared" si="4"/>
        <v>0.25099530911949958</v>
      </c>
      <c r="K34" s="103">
        <f t="shared" si="5"/>
        <v>58.819245505270743</v>
      </c>
      <c r="M34" s="47">
        <v>31</v>
      </c>
      <c r="N34" s="104">
        <f t="shared" si="1"/>
        <v>-2.1564213650180104</v>
      </c>
    </row>
    <row r="35" spans="5:14">
      <c r="E35" s="101">
        <v>37956</v>
      </c>
      <c r="F35" s="102">
        <v>32</v>
      </c>
      <c r="G35" s="103">
        <f t="shared" si="2"/>
        <v>58.819245505270743</v>
      </c>
      <c r="H35" s="103">
        <f t="shared" si="7"/>
        <v>2.1564213650180104</v>
      </c>
      <c r="I35" s="103">
        <f t="shared" si="3"/>
        <v>1.9133018169295579</v>
      </c>
      <c r="J35" s="103">
        <f t="shared" si="4"/>
        <v>0.2431195480884524</v>
      </c>
      <c r="K35" s="103">
        <f t="shared" si="5"/>
        <v>56.905943688341182</v>
      </c>
      <c r="M35" s="47">
        <v>32</v>
      </c>
      <c r="N35" s="104">
        <f t="shared" si="1"/>
        <v>-2.1564213650180104</v>
      </c>
    </row>
    <row r="36" spans="5:14">
      <c r="E36" s="101">
        <v>37987</v>
      </c>
      <c r="F36" s="102">
        <v>33</v>
      </c>
      <c r="G36" s="103">
        <f t="shared" si="2"/>
        <v>56.905943688341182</v>
      </c>
      <c r="H36" s="103">
        <f t="shared" si="7"/>
        <v>2.1564213650180104</v>
      </c>
      <c r="I36" s="103">
        <f t="shared" si="3"/>
        <v>1.9212101311062002</v>
      </c>
      <c r="J36" s="103">
        <f t="shared" si="4"/>
        <v>0.2352112339118102</v>
      </c>
      <c r="K36" s="103">
        <f t="shared" si="5"/>
        <v>54.984733557234982</v>
      </c>
      <c r="M36" s="47">
        <v>33</v>
      </c>
      <c r="N36" s="104">
        <f t="shared" si="1"/>
        <v>-2.1564213650180104</v>
      </c>
    </row>
    <row r="37" spans="5:14">
      <c r="E37" s="101">
        <v>38018</v>
      </c>
      <c r="F37" s="102">
        <v>34</v>
      </c>
      <c r="G37" s="103">
        <f t="shared" si="2"/>
        <v>54.984733557234982</v>
      </c>
      <c r="H37" s="103">
        <f t="shared" si="7"/>
        <v>2.1564213650180104</v>
      </c>
      <c r="I37" s="103">
        <f t="shared" si="3"/>
        <v>1.9291511329814393</v>
      </c>
      <c r="J37" s="103">
        <f t="shared" si="4"/>
        <v>0.22727023203657126</v>
      </c>
      <c r="K37" s="103">
        <f t="shared" si="5"/>
        <v>53.055582424253544</v>
      </c>
      <c r="M37" s="47">
        <v>34</v>
      </c>
      <c r="N37" s="104">
        <f t="shared" si="1"/>
        <v>-2.1564213650180104</v>
      </c>
    </row>
    <row r="38" spans="5:14">
      <c r="E38" s="101">
        <v>38047</v>
      </c>
      <c r="F38" s="102">
        <v>35</v>
      </c>
      <c r="G38" s="103">
        <f t="shared" si="2"/>
        <v>53.055582424253544</v>
      </c>
      <c r="H38" s="103">
        <f t="shared" si="7"/>
        <v>2.1564213650180104</v>
      </c>
      <c r="I38" s="103">
        <f t="shared" si="3"/>
        <v>1.9371249576644292</v>
      </c>
      <c r="J38" s="103">
        <f t="shared" si="4"/>
        <v>0.21929640735358133</v>
      </c>
      <c r="K38" s="103">
        <f t="shared" si="5"/>
        <v>51.118457466589113</v>
      </c>
      <c r="M38" s="47">
        <v>35</v>
      </c>
      <c r="N38" s="104">
        <f t="shared" si="1"/>
        <v>-2.1564213650180104</v>
      </c>
    </row>
    <row r="39" spans="5:14">
      <c r="E39" s="101">
        <v>38078</v>
      </c>
      <c r="F39" s="102">
        <v>36</v>
      </c>
      <c r="G39" s="103">
        <f t="shared" si="2"/>
        <v>51.118457466589113</v>
      </c>
      <c r="H39" s="103">
        <f t="shared" si="7"/>
        <v>2.1564213650180104</v>
      </c>
      <c r="I39" s="103">
        <f t="shared" si="3"/>
        <v>1.9451317408227755</v>
      </c>
      <c r="J39" s="103">
        <f t="shared" si="4"/>
        <v>0.211289624195235</v>
      </c>
      <c r="K39" s="125">
        <f>G39-I39-$C$5</f>
        <v>47.17332572576634</v>
      </c>
      <c r="M39" s="47">
        <v>36</v>
      </c>
      <c r="N39" s="126">
        <f>-H39+$C$5</f>
        <v>-0.15642136501801041</v>
      </c>
    </row>
    <row r="40" spans="5:14">
      <c r="E40" s="101">
        <v>38108</v>
      </c>
      <c r="F40" s="102">
        <v>37</v>
      </c>
      <c r="G40" s="103">
        <f t="shared" si="2"/>
        <v>47.17332572576634</v>
      </c>
      <c r="H40" s="103">
        <f>$C$15</f>
        <v>2.0687144087285732</v>
      </c>
      <c r="I40" s="103">
        <f t="shared" si="3"/>
        <v>1.8737313290620723</v>
      </c>
      <c r="J40" s="103">
        <f t="shared" si="4"/>
        <v>0.19498307966650086</v>
      </c>
      <c r="K40" s="103">
        <f t="shared" si="5"/>
        <v>45.299594396704265</v>
      </c>
      <c r="M40" s="47">
        <v>37</v>
      </c>
      <c r="N40" s="104">
        <f t="shared" si="1"/>
        <v>-2.0687144087285732</v>
      </c>
    </row>
    <row r="41" spans="5:14">
      <c r="E41" s="101">
        <v>38139</v>
      </c>
      <c r="F41" s="102">
        <v>38</v>
      </c>
      <c r="G41" s="103">
        <f t="shared" si="2"/>
        <v>45.299594396704265</v>
      </c>
      <c r="H41" s="103">
        <f t="shared" ref="H41:H51" si="8">$C$15</f>
        <v>2.0687144087285732</v>
      </c>
      <c r="I41" s="103">
        <f t="shared" si="3"/>
        <v>1.8814760852221954</v>
      </c>
      <c r="J41" s="103">
        <f t="shared" si="4"/>
        <v>0.18723832350637762</v>
      </c>
      <c r="K41" s="103">
        <f t="shared" si="5"/>
        <v>43.418118311482068</v>
      </c>
      <c r="M41" s="47">
        <v>38</v>
      </c>
      <c r="N41" s="104">
        <f t="shared" si="1"/>
        <v>-2.0687144087285732</v>
      </c>
    </row>
    <row r="42" spans="5:14">
      <c r="E42" s="101">
        <v>38169</v>
      </c>
      <c r="F42" s="102">
        <v>39</v>
      </c>
      <c r="G42" s="103">
        <f t="shared" si="2"/>
        <v>43.418118311482068</v>
      </c>
      <c r="H42" s="103">
        <f t="shared" si="8"/>
        <v>2.0687144087285732</v>
      </c>
      <c r="I42" s="103">
        <f t="shared" si="3"/>
        <v>1.8892528530411139</v>
      </c>
      <c r="J42" s="103">
        <f t="shared" si="4"/>
        <v>0.17946155568745922</v>
      </c>
      <c r="K42" s="103">
        <f t="shared" si="5"/>
        <v>41.528865458440954</v>
      </c>
      <c r="M42" s="47">
        <v>39</v>
      </c>
      <c r="N42" s="104">
        <f t="shared" si="1"/>
        <v>-2.0687144087285732</v>
      </c>
    </row>
    <row r="43" spans="5:14">
      <c r="E43" s="101">
        <v>38200</v>
      </c>
      <c r="F43" s="102">
        <v>40</v>
      </c>
      <c r="G43" s="103">
        <f t="shared" si="2"/>
        <v>41.528865458440954</v>
      </c>
      <c r="H43" s="103">
        <f t="shared" si="8"/>
        <v>2.0687144087285732</v>
      </c>
      <c r="I43" s="103">
        <f t="shared" si="3"/>
        <v>1.8970617648336838</v>
      </c>
      <c r="J43" s="103">
        <f t="shared" si="4"/>
        <v>0.1716526438948893</v>
      </c>
      <c r="K43" s="103">
        <f t="shared" si="5"/>
        <v>39.631803693607267</v>
      </c>
      <c r="M43" s="47">
        <v>40</v>
      </c>
      <c r="N43" s="104">
        <f t="shared" si="1"/>
        <v>-2.0687144087285732</v>
      </c>
    </row>
    <row r="44" spans="5:14">
      <c r="E44" s="101">
        <v>38231</v>
      </c>
      <c r="F44" s="102">
        <v>41</v>
      </c>
      <c r="G44" s="103">
        <f t="shared" si="2"/>
        <v>39.631803693607267</v>
      </c>
      <c r="H44" s="103">
        <f t="shared" si="8"/>
        <v>2.0687144087285732</v>
      </c>
      <c r="I44" s="103">
        <f t="shared" si="3"/>
        <v>1.9049029534616631</v>
      </c>
      <c r="J44" s="103">
        <f t="shared" si="4"/>
        <v>0.16381145526691002</v>
      </c>
      <c r="K44" s="103">
        <f t="shared" si="5"/>
        <v>37.726900740145602</v>
      </c>
      <c r="M44" s="47">
        <v>41</v>
      </c>
      <c r="N44" s="104">
        <f t="shared" si="1"/>
        <v>-2.0687144087285732</v>
      </c>
    </row>
    <row r="45" spans="5:14">
      <c r="E45" s="101">
        <v>38261</v>
      </c>
      <c r="F45" s="102">
        <v>42</v>
      </c>
      <c r="G45" s="103">
        <f t="shared" si="2"/>
        <v>37.726900740145602</v>
      </c>
      <c r="H45" s="103">
        <f t="shared" si="8"/>
        <v>2.0687144087285732</v>
      </c>
      <c r="I45" s="103">
        <f t="shared" si="3"/>
        <v>1.9127765523359712</v>
      </c>
      <c r="J45" s="103">
        <f t="shared" si="4"/>
        <v>0.15593785639260183</v>
      </c>
      <c r="K45" s="103">
        <f t="shared" si="5"/>
        <v>35.814124187809632</v>
      </c>
      <c r="M45" s="47">
        <v>42</v>
      </c>
      <c r="N45" s="104">
        <f t="shared" si="1"/>
        <v>-2.0687144087285732</v>
      </c>
    </row>
    <row r="46" spans="5:14">
      <c r="E46" s="101">
        <v>38292</v>
      </c>
      <c r="F46" s="102">
        <v>43</v>
      </c>
      <c r="G46" s="103">
        <f t="shared" si="2"/>
        <v>35.814124187809632</v>
      </c>
      <c r="H46" s="103">
        <f t="shared" si="8"/>
        <v>2.0687144087285732</v>
      </c>
      <c r="I46" s="103">
        <f t="shared" si="3"/>
        <v>1.92068269541896</v>
      </c>
      <c r="J46" s="103">
        <f t="shared" si="4"/>
        <v>0.14803171330961315</v>
      </c>
      <c r="K46" s="103">
        <f t="shared" si="5"/>
        <v>33.893441492390671</v>
      </c>
      <c r="M46" s="47">
        <v>43</v>
      </c>
      <c r="N46" s="104">
        <f t="shared" si="1"/>
        <v>-2.0687144087285732</v>
      </c>
    </row>
    <row r="47" spans="5:14">
      <c r="E47" s="101">
        <v>38322</v>
      </c>
      <c r="F47" s="102">
        <v>44</v>
      </c>
      <c r="G47" s="103">
        <f t="shared" si="2"/>
        <v>33.893441492390671</v>
      </c>
      <c r="H47" s="103">
        <f t="shared" si="8"/>
        <v>2.0687144087285732</v>
      </c>
      <c r="I47" s="103">
        <f t="shared" si="3"/>
        <v>1.9286215172266916</v>
      </c>
      <c r="J47" s="103">
        <f t="shared" si="4"/>
        <v>0.14009289150188145</v>
      </c>
      <c r="K47" s="103">
        <f t="shared" si="5"/>
        <v>31.96481997516398</v>
      </c>
      <c r="M47" s="47">
        <v>44</v>
      </c>
      <c r="N47" s="104">
        <f t="shared" si="1"/>
        <v>-2.0687144087285732</v>
      </c>
    </row>
    <row r="48" spans="5:14">
      <c r="E48" s="101">
        <v>38353</v>
      </c>
      <c r="F48" s="102">
        <v>45</v>
      </c>
      <c r="G48" s="103">
        <f t="shared" si="2"/>
        <v>31.96481997516398</v>
      </c>
      <c r="H48" s="103">
        <f t="shared" si="8"/>
        <v>2.0687144087285732</v>
      </c>
      <c r="I48" s="103">
        <f t="shared" si="3"/>
        <v>1.9365931528312288</v>
      </c>
      <c r="J48" s="103">
        <f t="shared" si="4"/>
        <v>0.13212125589734444</v>
      </c>
      <c r="K48" s="103">
        <f t="shared" si="5"/>
        <v>30.028226822332751</v>
      </c>
      <c r="M48" s="47">
        <v>45</v>
      </c>
      <c r="N48" s="104">
        <f t="shared" si="1"/>
        <v>-2.0687144087285732</v>
      </c>
    </row>
    <row r="49" spans="5:14">
      <c r="E49" s="101">
        <v>38384</v>
      </c>
      <c r="F49" s="102">
        <v>46</v>
      </c>
      <c r="G49" s="103">
        <f t="shared" si="2"/>
        <v>30.028226822332751</v>
      </c>
      <c r="H49" s="103">
        <f t="shared" si="8"/>
        <v>2.0687144087285732</v>
      </c>
      <c r="I49" s="103">
        <f t="shared" si="3"/>
        <v>1.9445977378629311</v>
      </c>
      <c r="J49" s="103">
        <f t="shared" si="4"/>
        <v>0.12411667086564204</v>
      </c>
      <c r="K49" s="103">
        <f t="shared" si="5"/>
        <v>28.08362908446982</v>
      </c>
      <c r="M49" s="47">
        <v>46</v>
      </c>
      <c r="N49" s="104">
        <f t="shared" si="1"/>
        <v>-2.0687144087285732</v>
      </c>
    </row>
    <row r="50" spans="5:14">
      <c r="E50" s="101">
        <v>38412</v>
      </c>
      <c r="F50" s="102">
        <v>47</v>
      </c>
      <c r="G50" s="103">
        <f t="shared" si="2"/>
        <v>28.08362908446982</v>
      </c>
      <c r="H50" s="103">
        <f t="shared" si="8"/>
        <v>2.0687144087285732</v>
      </c>
      <c r="I50" s="103">
        <f t="shared" si="3"/>
        <v>1.9526354085127646</v>
      </c>
      <c r="J50" s="103">
        <f t="shared" si="4"/>
        <v>0.11607900021580858</v>
      </c>
      <c r="K50" s="103">
        <f t="shared" si="5"/>
        <v>26.130993675957054</v>
      </c>
      <c r="M50" s="47">
        <v>47</v>
      </c>
      <c r="N50" s="104">
        <f t="shared" si="1"/>
        <v>-2.0687144087285732</v>
      </c>
    </row>
    <row r="51" spans="5:14">
      <c r="E51" s="101">
        <v>38443</v>
      </c>
      <c r="F51" s="102">
        <v>48</v>
      </c>
      <c r="G51" s="103">
        <f t="shared" si="2"/>
        <v>26.130993675957054</v>
      </c>
      <c r="H51" s="103">
        <f t="shared" si="8"/>
        <v>2.0687144087285732</v>
      </c>
      <c r="I51" s="103">
        <f t="shared" si="3"/>
        <v>1.9607063015346173</v>
      </c>
      <c r="J51" s="103">
        <f t="shared" si="4"/>
        <v>0.10800810719395582</v>
      </c>
      <c r="K51" s="125">
        <f>G51-I51-$C$5</f>
        <v>22.170287374422436</v>
      </c>
      <c r="M51" s="47">
        <v>48</v>
      </c>
      <c r="N51" s="126">
        <f>-H51+$C$5</f>
        <v>-6.8714408728573151E-2</v>
      </c>
    </row>
    <row r="52" spans="5:14">
      <c r="E52" s="101">
        <v>38473</v>
      </c>
      <c r="F52" s="102">
        <v>49</v>
      </c>
      <c r="G52" s="103">
        <f t="shared" si="2"/>
        <v>22.170287374422436</v>
      </c>
      <c r="H52" s="103">
        <f>$C$16</f>
        <v>1.8975361040040921</v>
      </c>
      <c r="I52" s="103">
        <f t="shared" si="3"/>
        <v>1.8058989161898127</v>
      </c>
      <c r="J52" s="103">
        <f t="shared" si="4"/>
        <v>9.1637187814279389E-2</v>
      </c>
      <c r="K52" s="103">
        <f t="shared" si="5"/>
        <v>20.364388458232625</v>
      </c>
      <c r="M52" s="47">
        <v>49</v>
      </c>
      <c r="N52" s="104">
        <f t="shared" si="1"/>
        <v>-1.8975361040040921</v>
      </c>
    </row>
    <row r="53" spans="5:14">
      <c r="E53" s="101">
        <v>38504</v>
      </c>
      <c r="F53" s="102">
        <v>50</v>
      </c>
      <c r="G53" s="103">
        <f t="shared" si="2"/>
        <v>20.364388458232625</v>
      </c>
      <c r="H53" s="103">
        <f t="shared" ref="H53:H63" si="9">$C$16</f>
        <v>1.8975361040040921</v>
      </c>
      <c r="I53" s="103">
        <f t="shared" si="3"/>
        <v>1.8133632983767307</v>
      </c>
      <c r="J53" s="103">
        <f t="shared" si="4"/>
        <v>8.4172805627361513E-2</v>
      </c>
      <c r="K53" s="103">
        <f t="shared" si="5"/>
        <v>18.551025159855893</v>
      </c>
      <c r="M53" s="47">
        <v>50</v>
      </c>
      <c r="N53" s="104">
        <f t="shared" si="1"/>
        <v>-1.8975361040040921</v>
      </c>
    </row>
    <row r="54" spans="5:14">
      <c r="E54" s="101">
        <v>38534</v>
      </c>
      <c r="F54" s="102">
        <v>51</v>
      </c>
      <c r="G54" s="103">
        <f t="shared" si="2"/>
        <v>18.551025159855893</v>
      </c>
      <c r="H54" s="103">
        <f t="shared" si="9"/>
        <v>1.8975361040040921</v>
      </c>
      <c r="I54" s="103">
        <f t="shared" si="3"/>
        <v>1.8208585333433545</v>
      </c>
      <c r="J54" s="103">
        <f t="shared" si="4"/>
        <v>7.6677570660737687E-2</v>
      </c>
      <c r="K54" s="103">
        <f t="shared" si="5"/>
        <v>16.730166626512538</v>
      </c>
      <c r="M54" s="47">
        <v>51</v>
      </c>
      <c r="N54" s="104">
        <f t="shared" si="1"/>
        <v>-1.8975361040040921</v>
      </c>
    </row>
    <row r="55" spans="5:14">
      <c r="E55" s="101">
        <v>38565</v>
      </c>
      <c r="F55" s="102">
        <v>52</v>
      </c>
      <c r="G55" s="103">
        <f t="shared" si="2"/>
        <v>16.730166626512538</v>
      </c>
      <c r="H55" s="103">
        <f t="shared" si="9"/>
        <v>1.8975361040040921</v>
      </c>
      <c r="I55" s="103">
        <f t="shared" si="3"/>
        <v>1.8283847486145071</v>
      </c>
      <c r="J55" s="103">
        <f t="shared" si="4"/>
        <v>6.9151355389585153E-2</v>
      </c>
      <c r="K55" s="103">
        <f t="shared" si="5"/>
        <v>14.901781877898031</v>
      </c>
      <c r="M55" s="47">
        <v>52</v>
      </c>
      <c r="N55" s="104">
        <f t="shared" si="1"/>
        <v>-1.8975361040040921</v>
      </c>
    </row>
    <row r="56" spans="5:14">
      <c r="E56" s="101">
        <v>38596</v>
      </c>
      <c r="F56" s="102">
        <v>53</v>
      </c>
      <c r="G56" s="103">
        <f t="shared" si="2"/>
        <v>14.901781877898031</v>
      </c>
      <c r="H56" s="103">
        <f t="shared" si="9"/>
        <v>1.8975361040040921</v>
      </c>
      <c r="I56" s="103">
        <f t="shared" si="3"/>
        <v>1.8359420722421136</v>
      </c>
      <c r="J56" s="103">
        <f t="shared" si="4"/>
        <v>6.1594031761978529E-2</v>
      </c>
      <c r="K56" s="103">
        <f t="shared" si="5"/>
        <v>13.065839805655918</v>
      </c>
      <c r="M56" s="47">
        <v>53</v>
      </c>
      <c r="N56" s="104">
        <f t="shared" si="1"/>
        <v>-1.8975361040040921</v>
      </c>
    </row>
    <row r="57" spans="5:14">
      <c r="E57" s="101">
        <v>38626</v>
      </c>
      <c r="F57" s="102">
        <v>54</v>
      </c>
      <c r="G57" s="103">
        <f t="shared" si="2"/>
        <v>13.065839805655918</v>
      </c>
      <c r="H57" s="103">
        <f t="shared" si="9"/>
        <v>1.8975361040040921</v>
      </c>
      <c r="I57" s="103">
        <f t="shared" si="3"/>
        <v>1.8435306328073811</v>
      </c>
      <c r="J57" s="103">
        <f t="shared" si="4"/>
        <v>5.4005471196711126E-2</v>
      </c>
      <c r="K57" s="103">
        <f t="shared" si="5"/>
        <v>11.222309172848536</v>
      </c>
      <c r="M57" s="47">
        <v>54</v>
      </c>
      <c r="N57" s="104">
        <f t="shared" si="1"/>
        <v>-1.8975361040040921</v>
      </c>
    </row>
    <row r="58" spans="5:14">
      <c r="E58" s="101">
        <v>38657</v>
      </c>
      <c r="F58" s="102">
        <v>55</v>
      </c>
      <c r="G58" s="103">
        <f t="shared" si="2"/>
        <v>11.222309172848536</v>
      </c>
      <c r="H58" s="103">
        <f t="shared" si="9"/>
        <v>1.8975361040040921</v>
      </c>
      <c r="I58" s="103">
        <f t="shared" si="3"/>
        <v>1.8511505594229849</v>
      </c>
      <c r="J58" s="103">
        <f t="shared" si="4"/>
        <v>4.6385544581107281E-2</v>
      </c>
      <c r="K58" s="103">
        <f t="shared" si="5"/>
        <v>9.3711586134255516</v>
      </c>
      <c r="M58" s="47">
        <v>55</v>
      </c>
      <c r="N58" s="104">
        <f t="shared" si="1"/>
        <v>-1.8975361040040921</v>
      </c>
    </row>
    <row r="59" spans="5:14">
      <c r="E59" s="101">
        <v>38687</v>
      </c>
      <c r="F59" s="102">
        <v>56</v>
      </c>
      <c r="G59" s="103">
        <f t="shared" si="2"/>
        <v>9.3711586134255516</v>
      </c>
      <c r="H59" s="103">
        <f t="shared" si="9"/>
        <v>1.8975361040040921</v>
      </c>
      <c r="I59" s="103">
        <f t="shared" si="3"/>
        <v>1.8588019817352666</v>
      </c>
      <c r="J59" s="103">
        <f t="shared" si="4"/>
        <v>3.873412226882561E-2</v>
      </c>
      <c r="K59" s="103">
        <f t="shared" si="5"/>
        <v>7.5123566316902846</v>
      </c>
      <c r="M59" s="47">
        <v>56</v>
      </c>
      <c r="N59" s="104">
        <f t="shared" si="1"/>
        <v>-1.8975361040040921</v>
      </c>
    </row>
    <row r="60" spans="5:14">
      <c r="E60" s="101">
        <v>38718</v>
      </c>
      <c r="F60" s="102">
        <v>57</v>
      </c>
      <c r="G60" s="103">
        <f t="shared" si="2"/>
        <v>7.5123566316902846</v>
      </c>
      <c r="H60" s="103">
        <f t="shared" si="9"/>
        <v>1.8975361040040921</v>
      </c>
      <c r="I60" s="103">
        <f t="shared" si="3"/>
        <v>1.8664850299264391</v>
      </c>
      <c r="J60" s="103">
        <f t="shared" si="4"/>
        <v>3.1051074077653174E-2</v>
      </c>
      <c r="K60" s="103">
        <f t="shared" si="5"/>
        <v>5.6458716017638455</v>
      </c>
      <c r="M60" s="47">
        <v>57</v>
      </c>
      <c r="N60" s="104">
        <f t="shared" si="1"/>
        <v>-1.8975361040040921</v>
      </c>
    </row>
    <row r="61" spans="5:14">
      <c r="E61" s="101">
        <v>38749</v>
      </c>
      <c r="F61" s="102">
        <v>58</v>
      </c>
      <c r="G61" s="103">
        <f t="shared" si="2"/>
        <v>5.6458716017638455</v>
      </c>
      <c r="H61" s="103">
        <f t="shared" si="9"/>
        <v>1.8975361040040921</v>
      </c>
      <c r="I61" s="103">
        <f t="shared" si="3"/>
        <v>1.8741998347168016</v>
      </c>
      <c r="J61" s="103">
        <f t="shared" si="4"/>
        <v>2.3336269287290559E-2</v>
      </c>
      <c r="K61" s="103">
        <f t="shared" si="5"/>
        <v>3.7716717670470441</v>
      </c>
      <c r="M61" s="47">
        <v>58</v>
      </c>
      <c r="N61" s="104">
        <f t="shared" si="1"/>
        <v>-1.8975361040040921</v>
      </c>
    </row>
    <row r="62" spans="5:14">
      <c r="E62" s="101">
        <v>38777</v>
      </c>
      <c r="F62" s="102">
        <v>59</v>
      </c>
      <c r="G62" s="103">
        <f t="shared" si="2"/>
        <v>3.7716717670470441</v>
      </c>
      <c r="H62" s="103">
        <f t="shared" si="9"/>
        <v>1.8975361040040921</v>
      </c>
      <c r="I62" s="103">
        <f t="shared" si="3"/>
        <v>1.8819465273669644</v>
      </c>
      <c r="J62" s="103">
        <f t="shared" si="4"/>
        <v>1.5589576637127782E-2</v>
      </c>
      <c r="K62" s="103">
        <f t="shared" si="5"/>
        <v>1.8897252396800797</v>
      </c>
      <c r="M62" s="47">
        <v>59</v>
      </c>
      <c r="N62" s="104">
        <f t="shared" si="1"/>
        <v>-1.8975361040040921</v>
      </c>
    </row>
    <row r="63" spans="5:14">
      <c r="E63" s="101">
        <v>38808</v>
      </c>
      <c r="F63" s="102">
        <v>60</v>
      </c>
      <c r="G63" s="103">
        <f t="shared" si="2"/>
        <v>1.8897252396800797</v>
      </c>
      <c r="H63" s="103">
        <f t="shared" si="9"/>
        <v>1.8975361040040921</v>
      </c>
      <c r="I63" s="103">
        <f t="shared" si="3"/>
        <v>1.8897252396800812</v>
      </c>
      <c r="J63" s="103">
        <f t="shared" si="4"/>
        <v>7.8108643240109958E-3</v>
      </c>
      <c r="K63" s="103">
        <f>G63-I63</f>
        <v>0</v>
      </c>
      <c r="M63" s="47">
        <v>60</v>
      </c>
      <c r="N63" s="126">
        <f>-H63+C17</f>
        <v>298.10246389599592</v>
      </c>
    </row>
  </sheetData>
  <phoneticPr fontId="2" type="noConversion"/>
  <pageMargins left="0.75" right="0.75" top="1" bottom="1" header="0.5" footer="0.5"/>
  <pageSetup paperSize="9"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47"/>
  <sheetViews>
    <sheetView workbookViewId="0">
      <selection activeCell="B31" sqref="B31"/>
    </sheetView>
  </sheetViews>
  <sheetFormatPr defaultColWidth="10" defaultRowHeight="15"/>
  <cols>
    <col min="1" max="1" width="3.375" style="114" customWidth="1"/>
    <col min="2" max="2" width="39.75" style="114" bestFit="1" customWidth="1"/>
    <col min="3" max="3" width="14.125" style="114" bestFit="1" customWidth="1"/>
    <col min="4" max="4" width="8.5" style="114" customWidth="1"/>
    <col min="5" max="5" width="3.5" style="114" customWidth="1"/>
    <col min="6" max="6" width="3.875" style="115" bestFit="1" customWidth="1"/>
    <col min="7" max="8" width="6.125" style="115" bestFit="1" customWidth="1"/>
    <col min="9" max="9" width="12.375" style="115" customWidth="1"/>
    <col min="10" max="10" width="2.625" style="114" customWidth="1"/>
    <col min="11" max="11" width="10.625" style="115" customWidth="1"/>
    <col min="12" max="12" width="10" style="115"/>
    <col min="13" max="16384" width="10" style="114"/>
  </cols>
  <sheetData>
    <row r="2" spans="2:13">
      <c r="B2" s="110" t="s">
        <v>91</v>
      </c>
      <c r="C2" s="110" t="s">
        <v>92</v>
      </c>
      <c r="D2" s="113">
        <v>0</v>
      </c>
      <c r="H2" s="114"/>
      <c r="I2" s="111" t="s">
        <v>93</v>
      </c>
      <c r="K2" s="110" t="s">
        <v>94</v>
      </c>
      <c r="L2" s="113">
        <f ca="1">I3</f>
        <v>48120</v>
      </c>
      <c r="M2" s="116">
        <f>SUM(M3:M47)</f>
        <v>40</v>
      </c>
    </row>
    <row r="3" spans="2:13">
      <c r="B3" s="117">
        <v>20</v>
      </c>
      <c r="C3" s="118">
        <v>0.05</v>
      </c>
      <c r="D3" s="119">
        <f>D2+C3</f>
        <v>0.05</v>
      </c>
      <c r="F3" s="114"/>
      <c r="G3" s="114"/>
      <c r="H3" s="114"/>
      <c r="I3" s="113">
        <f ca="1">SUM(I5:I34)</f>
        <v>48120</v>
      </c>
      <c r="K3" s="113">
        <v>1</v>
      </c>
      <c r="L3" s="120">
        <v>52980</v>
      </c>
      <c r="M3" s="121">
        <f>IF(L3&gt;45000,1,0)</f>
        <v>1</v>
      </c>
    </row>
    <row r="4" spans="2:13">
      <c r="B4" s="117">
        <v>30</v>
      </c>
      <c r="C4" s="118">
        <v>0.2</v>
      </c>
      <c r="D4" s="119">
        <f>D3+C4</f>
        <v>0.25</v>
      </c>
      <c r="F4" s="110" t="s">
        <v>95</v>
      </c>
      <c r="G4" s="110" t="s">
        <v>91</v>
      </c>
      <c r="H4" s="110" t="s">
        <v>96</v>
      </c>
      <c r="I4" s="110" t="s">
        <v>97</v>
      </c>
      <c r="K4" s="113">
        <v>2</v>
      </c>
      <c r="L4" s="120">
        <v>45980</v>
      </c>
      <c r="M4" s="121">
        <f t="shared" ref="M4:M47" si="0">IF(L4&gt;45000,1,0)</f>
        <v>1</v>
      </c>
    </row>
    <row r="5" spans="2:13">
      <c r="B5" s="117">
        <v>40</v>
      </c>
      <c r="C5" s="118">
        <v>0.5</v>
      </c>
      <c r="D5" s="119">
        <f>D4+C5</f>
        <v>0.75</v>
      </c>
      <c r="F5" s="113">
        <v>1</v>
      </c>
      <c r="G5" s="113">
        <f t="shared" ref="G5:G34" ca="1" si="1">INDEX($B$3:$B$7,MATCH(RAND(),$D$2:$D$7,1))</f>
        <v>40</v>
      </c>
      <c r="H5" s="113">
        <f t="shared" ref="H5:H34" ca="1" si="2">INT(NORMINV(RAND(),$C$9,$C$10)+0.5)</f>
        <v>26</v>
      </c>
      <c r="I5" s="113">
        <f ca="1">G5*H5</f>
        <v>1040</v>
      </c>
      <c r="K5" s="113">
        <v>3</v>
      </c>
      <c r="L5" s="120">
        <v>51330</v>
      </c>
      <c r="M5" s="121">
        <f t="shared" si="0"/>
        <v>1</v>
      </c>
    </row>
    <row r="6" spans="2:13">
      <c r="B6" s="117">
        <v>50</v>
      </c>
      <c r="C6" s="118">
        <v>0.2</v>
      </c>
      <c r="D6" s="119">
        <f>D5+C6</f>
        <v>0.95</v>
      </c>
      <c r="F6" s="113">
        <v>2</v>
      </c>
      <c r="G6" s="113">
        <f t="shared" ca="1" si="1"/>
        <v>40</v>
      </c>
      <c r="H6" s="113">
        <f t="shared" ca="1" si="2"/>
        <v>27</v>
      </c>
      <c r="I6" s="113">
        <f t="shared" ref="I6:I34" ca="1" si="3">G6*H6</f>
        <v>1080</v>
      </c>
      <c r="K6" s="113">
        <v>4</v>
      </c>
      <c r="L6" s="120">
        <v>48680</v>
      </c>
      <c r="M6" s="121">
        <f t="shared" si="0"/>
        <v>1</v>
      </c>
    </row>
    <row r="7" spans="2:13">
      <c r="B7" s="117">
        <v>60</v>
      </c>
      <c r="C7" s="118">
        <v>0.05</v>
      </c>
      <c r="D7" s="119">
        <f>D6+C7</f>
        <v>1</v>
      </c>
      <c r="F7" s="113">
        <v>3</v>
      </c>
      <c r="G7" s="113">
        <f t="shared" ca="1" si="1"/>
        <v>30</v>
      </c>
      <c r="H7" s="113">
        <f t="shared" ca="1" si="2"/>
        <v>48</v>
      </c>
      <c r="I7" s="113">
        <f t="shared" ca="1" si="3"/>
        <v>1440</v>
      </c>
      <c r="K7" s="113">
        <v>5</v>
      </c>
      <c r="L7" s="120">
        <v>44370</v>
      </c>
      <c r="M7" s="121">
        <f t="shared" si="0"/>
        <v>0</v>
      </c>
    </row>
    <row r="8" spans="2:13">
      <c r="F8" s="113">
        <v>4</v>
      </c>
      <c r="G8" s="113">
        <f t="shared" ca="1" si="1"/>
        <v>60</v>
      </c>
      <c r="H8" s="113">
        <f t="shared" ca="1" si="2"/>
        <v>39</v>
      </c>
      <c r="I8" s="113">
        <f t="shared" ca="1" si="3"/>
        <v>2340</v>
      </c>
      <c r="K8" s="113">
        <v>6</v>
      </c>
      <c r="L8" s="120">
        <v>49540</v>
      </c>
      <c r="M8" s="121">
        <f t="shared" si="0"/>
        <v>1</v>
      </c>
    </row>
    <row r="9" spans="2:13">
      <c r="B9" s="112" t="s">
        <v>98</v>
      </c>
      <c r="C9" s="117">
        <v>40</v>
      </c>
      <c r="F9" s="113">
        <v>5</v>
      </c>
      <c r="G9" s="113">
        <f t="shared" ca="1" si="1"/>
        <v>40</v>
      </c>
      <c r="H9" s="113">
        <f t="shared" ca="1" si="2"/>
        <v>36</v>
      </c>
      <c r="I9" s="113">
        <f t="shared" ca="1" si="3"/>
        <v>1440</v>
      </c>
      <c r="K9" s="113">
        <v>7</v>
      </c>
      <c r="L9" s="120">
        <v>48810</v>
      </c>
      <c r="M9" s="121">
        <f t="shared" si="0"/>
        <v>1</v>
      </c>
    </row>
    <row r="10" spans="2:13">
      <c r="B10" s="112" t="s">
        <v>99</v>
      </c>
      <c r="C10" s="117">
        <v>10</v>
      </c>
      <c r="F10" s="113">
        <v>6</v>
      </c>
      <c r="G10" s="113">
        <f t="shared" ca="1" si="1"/>
        <v>20</v>
      </c>
      <c r="H10" s="113">
        <f t="shared" ca="1" si="2"/>
        <v>32</v>
      </c>
      <c r="I10" s="113">
        <f t="shared" ca="1" si="3"/>
        <v>640</v>
      </c>
      <c r="K10" s="113">
        <v>8</v>
      </c>
      <c r="L10" s="120">
        <v>47440</v>
      </c>
      <c r="M10" s="121">
        <f t="shared" si="0"/>
        <v>1</v>
      </c>
    </row>
    <row r="11" spans="2:13">
      <c r="F11" s="113">
        <v>7</v>
      </c>
      <c r="G11" s="113">
        <f t="shared" ca="1" si="1"/>
        <v>40</v>
      </c>
      <c r="H11" s="113">
        <f t="shared" ca="1" si="2"/>
        <v>42</v>
      </c>
      <c r="I11" s="113">
        <f t="shared" ca="1" si="3"/>
        <v>1680</v>
      </c>
      <c r="K11" s="113">
        <v>9</v>
      </c>
      <c r="L11" s="120">
        <v>46500</v>
      </c>
      <c r="M11" s="121">
        <f t="shared" si="0"/>
        <v>1</v>
      </c>
    </row>
    <row r="12" spans="2:13">
      <c r="B12" s="112" t="s">
        <v>100</v>
      </c>
      <c r="C12" s="122">
        <f>MAX(L3:L47)</f>
        <v>53220</v>
      </c>
      <c r="F12" s="113">
        <v>8</v>
      </c>
      <c r="G12" s="113">
        <f t="shared" ca="1" si="1"/>
        <v>40</v>
      </c>
      <c r="H12" s="113">
        <f t="shared" ca="1" si="2"/>
        <v>40</v>
      </c>
      <c r="I12" s="113">
        <f t="shared" ca="1" si="3"/>
        <v>1600</v>
      </c>
      <c r="K12" s="113">
        <v>10</v>
      </c>
      <c r="L12" s="120">
        <v>49090</v>
      </c>
      <c r="M12" s="121">
        <f t="shared" si="0"/>
        <v>1</v>
      </c>
    </row>
    <row r="13" spans="2:13">
      <c r="B13" s="112" t="s">
        <v>101</v>
      </c>
      <c r="C13" s="122">
        <f>MIN(L3:L47)</f>
        <v>43200</v>
      </c>
      <c r="F13" s="113">
        <v>9</v>
      </c>
      <c r="G13" s="113">
        <f t="shared" ca="1" si="1"/>
        <v>60</v>
      </c>
      <c r="H13" s="113">
        <f t="shared" ca="1" si="2"/>
        <v>43</v>
      </c>
      <c r="I13" s="113">
        <f t="shared" ca="1" si="3"/>
        <v>2580</v>
      </c>
      <c r="K13" s="113">
        <v>11</v>
      </c>
      <c r="L13" s="120">
        <v>50620</v>
      </c>
      <c r="M13" s="121">
        <f t="shared" si="0"/>
        <v>1</v>
      </c>
    </row>
    <row r="14" spans="2:13">
      <c r="B14" s="112" t="s">
        <v>102</v>
      </c>
      <c r="C14" s="122">
        <f>STDEV(L3:L47)</f>
        <v>2661.8626614239188</v>
      </c>
      <c r="F14" s="113">
        <v>10</v>
      </c>
      <c r="G14" s="113">
        <f t="shared" ca="1" si="1"/>
        <v>60</v>
      </c>
      <c r="H14" s="113">
        <f t="shared" ca="1" si="2"/>
        <v>33</v>
      </c>
      <c r="I14" s="113">
        <f t="shared" ca="1" si="3"/>
        <v>1980</v>
      </c>
      <c r="K14" s="113">
        <v>12</v>
      </c>
      <c r="L14" s="120">
        <v>50780</v>
      </c>
      <c r="M14" s="121">
        <f t="shared" si="0"/>
        <v>1</v>
      </c>
    </row>
    <row r="15" spans="2:13">
      <c r="B15" s="112" t="s">
        <v>103</v>
      </c>
      <c r="C15" s="123">
        <f>M2/45</f>
        <v>0.88888888888888884</v>
      </c>
      <c r="F15" s="113">
        <v>11</v>
      </c>
      <c r="G15" s="113">
        <f t="shared" ca="1" si="1"/>
        <v>40</v>
      </c>
      <c r="H15" s="113">
        <f t="shared" ca="1" si="2"/>
        <v>39</v>
      </c>
      <c r="I15" s="113">
        <f t="shared" ca="1" si="3"/>
        <v>1560</v>
      </c>
      <c r="K15" s="113">
        <v>13</v>
      </c>
      <c r="L15" s="120">
        <v>46320</v>
      </c>
      <c r="M15" s="121">
        <f t="shared" si="0"/>
        <v>1</v>
      </c>
    </row>
    <row r="16" spans="2:13">
      <c r="F16" s="113">
        <v>12</v>
      </c>
      <c r="G16" s="113">
        <f t="shared" ca="1" si="1"/>
        <v>50</v>
      </c>
      <c r="H16" s="113">
        <f t="shared" ca="1" si="2"/>
        <v>35</v>
      </c>
      <c r="I16" s="113">
        <f t="shared" ca="1" si="3"/>
        <v>1750</v>
      </c>
      <c r="K16" s="113">
        <v>14</v>
      </c>
      <c r="L16" s="120">
        <v>47570</v>
      </c>
      <c r="M16" s="121">
        <f t="shared" si="0"/>
        <v>1</v>
      </c>
    </row>
    <row r="17" spans="6:13">
      <c r="F17" s="113">
        <v>13</v>
      </c>
      <c r="G17" s="113">
        <f t="shared" ca="1" si="1"/>
        <v>40</v>
      </c>
      <c r="H17" s="113">
        <f t="shared" ca="1" si="2"/>
        <v>37</v>
      </c>
      <c r="I17" s="113">
        <f t="shared" ca="1" si="3"/>
        <v>1480</v>
      </c>
      <c r="K17" s="113">
        <v>15</v>
      </c>
      <c r="L17" s="120">
        <v>44730</v>
      </c>
      <c r="M17" s="121">
        <f t="shared" si="0"/>
        <v>0</v>
      </c>
    </row>
    <row r="18" spans="6:13">
      <c r="F18" s="113">
        <v>14</v>
      </c>
      <c r="G18" s="113">
        <f t="shared" ca="1" si="1"/>
        <v>50</v>
      </c>
      <c r="H18" s="113">
        <f t="shared" ca="1" si="2"/>
        <v>41</v>
      </c>
      <c r="I18" s="113">
        <f t="shared" ca="1" si="3"/>
        <v>2050</v>
      </c>
      <c r="K18" s="113">
        <v>16</v>
      </c>
      <c r="L18" s="120">
        <v>52640</v>
      </c>
      <c r="M18" s="121">
        <f t="shared" si="0"/>
        <v>1</v>
      </c>
    </row>
    <row r="19" spans="6:13">
      <c r="F19" s="113">
        <v>15</v>
      </c>
      <c r="G19" s="113">
        <f t="shared" ca="1" si="1"/>
        <v>60</v>
      </c>
      <c r="H19" s="113">
        <f t="shared" ca="1" si="2"/>
        <v>43</v>
      </c>
      <c r="I19" s="113">
        <f t="shared" ca="1" si="3"/>
        <v>2580</v>
      </c>
      <c r="K19" s="113">
        <v>17</v>
      </c>
      <c r="L19" s="120">
        <v>49580</v>
      </c>
      <c r="M19" s="121">
        <f t="shared" si="0"/>
        <v>1</v>
      </c>
    </row>
    <row r="20" spans="6:13">
      <c r="F20" s="113">
        <v>16</v>
      </c>
      <c r="G20" s="113">
        <f t="shared" ca="1" si="1"/>
        <v>40</v>
      </c>
      <c r="H20" s="113">
        <f t="shared" ca="1" si="2"/>
        <v>57</v>
      </c>
      <c r="I20" s="113">
        <f t="shared" ca="1" si="3"/>
        <v>2280</v>
      </c>
      <c r="K20" s="113">
        <v>18</v>
      </c>
      <c r="L20" s="120">
        <v>51480</v>
      </c>
      <c r="M20" s="121">
        <f t="shared" si="0"/>
        <v>1</v>
      </c>
    </row>
    <row r="21" spans="6:13">
      <c r="F21" s="113">
        <v>17</v>
      </c>
      <c r="G21" s="113">
        <f t="shared" ca="1" si="1"/>
        <v>30</v>
      </c>
      <c r="H21" s="113">
        <f t="shared" ca="1" si="2"/>
        <v>55</v>
      </c>
      <c r="I21" s="113">
        <f t="shared" ca="1" si="3"/>
        <v>1650</v>
      </c>
      <c r="K21" s="113">
        <v>19</v>
      </c>
      <c r="L21" s="120">
        <v>48160</v>
      </c>
      <c r="M21" s="121">
        <f t="shared" si="0"/>
        <v>1</v>
      </c>
    </row>
    <row r="22" spans="6:13">
      <c r="F22" s="113">
        <v>18</v>
      </c>
      <c r="G22" s="113">
        <f t="shared" ca="1" si="1"/>
        <v>30</v>
      </c>
      <c r="H22" s="113">
        <f t="shared" ca="1" si="2"/>
        <v>38</v>
      </c>
      <c r="I22" s="113">
        <f t="shared" ca="1" si="3"/>
        <v>1140</v>
      </c>
      <c r="K22" s="113">
        <v>20</v>
      </c>
      <c r="L22" s="120">
        <v>49540</v>
      </c>
      <c r="M22" s="121">
        <f t="shared" si="0"/>
        <v>1</v>
      </c>
    </row>
    <row r="23" spans="6:13">
      <c r="F23" s="113">
        <v>19</v>
      </c>
      <c r="G23" s="113">
        <f t="shared" ca="1" si="1"/>
        <v>40</v>
      </c>
      <c r="H23" s="113">
        <f t="shared" ca="1" si="2"/>
        <v>53</v>
      </c>
      <c r="I23" s="113">
        <f t="shared" ca="1" si="3"/>
        <v>2120</v>
      </c>
      <c r="K23" s="113">
        <v>21</v>
      </c>
      <c r="L23" s="120">
        <v>44370</v>
      </c>
      <c r="M23" s="121">
        <f t="shared" si="0"/>
        <v>0</v>
      </c>
    </row>
    <row r="24" spans="6:13">
      <c r="F24" s="113">
        <v>20</v>
      </c>
      <c r="G24" s="113">
        <f t="shared" ca="1" si="1"/>
        <v>30</v>
      </c>
      <c r="H24" s="113">
        <f t="shared" ca="1" si="2"/>
        <v>31</v>
      </c>
      <c r="I24" s="113">
        <f t="shared" ca="1" si="3"/>
        <v>930</v>
      </c>
      <c r="K24" s="113">
        <v>22</v>
      </c>
      <c r="L24" s="120">
        <v>50640</v>
      </c>
      <c r="M24" s="121">
        <f t="shared" si="0"/>
        <v>1</v>
      </c>
    </row>
    <row r="25" spans="6:13">
      <c r="F25" s="113">
        <v>21</v>
      </c>
      <c r="G25" s="113">
        <f t="shared" ca="1" si="1"/>
        <v>30</v>
      </c>
      <c r="H25" s="113">
        <f t="shared" ca="1" si="2"/>
        <v>47</v>
      </c>
      <c r="I25" s="113">
        <f t="shared" ca="1" si="3"/>
        <v>1410</v>
      </c>
      <c r="K25" s="113">
        <v>23</v>
      </c>
      <c r="L25" s="120">
        <v>52450</v>
      </c>
      <c r="M25" s="121">
        <f t="shared" si="0"/>
        <v>1</v>
      </c>
    </row>
    <row r="26" spans="6:13">
      <c r="F26" s="113">
        <v>22</v>
      </c>
      <c r="G26" s="113">
        <f t="shared" ca="1" si="1"/>
        <v>20</v>
      </c>
      <c r="H26" s="113">
        <f t="shared" ca="1" si="2"/>
        <v>57</v>
      </c>
      <c r="I26" s="113">
        <f t="shared" ca="1" si="3"/>
        <v>1140</v>
      </c>
      <c r="K26" s="113">
        <v>24</v>
      </c>
      <c r="L26" s="120">
        <v>46860</v>
      </c>
      <c r="M26" s="121">
        <f t="shared" si="0"/>
        <v>1</v>
      </c>
    </row>
    <row r="27" spans="6:13">
      <c r="F27" s="113">
        <v>23</v>
      </c>
      <c r="G27" s="113">
        <f t="shared" ca="1" si="1"/>
        <v>40</v>
      </c>
      <c r="H27" s="113">
        <f t="shared" ca="1" si="2"/>
        <v>46</v>
      </c>
      <c r="I27" s="113">
        <f t="shared" ca="1" si="3"/>
        <v>1840</v>
      </c>
      <c r="K27" s="113">
        <v>25</v>
      </c>
      <c r="L27" s="120">
        <v>44160</v>
      </c>
      <c r="M27" s="121">
        <f t="shared" si="0"/>
        <v>0</v>
      </c>
    </row>
    <row r="28" spans="6:13">
      <c r="F28" s="113">
        <v>24</v>
      </c>
      <c r="G28" s="113">
        <f t="shared" ca="1" si="1"/>
        <v>40</v>
      </c>
      <c r="H28" s="113">
        <f t="shared" ca="1" si="2"/>
        <v>58</v>
      </c>
      <c r="I28" s="113">
        <f t="shared" ca="1" si="3"/>
        <v>2320</v>
      </c>
      <c r="K28" s="113">
        <v>26</v>
      </c>
      <c r="L28" s="120">
        <v>47050</v>
      </c>
      <c r="M28" s="121">
        <f t="shared" si="0"/>
        <v>1</v>
      </c>
    </row>
    <row r="29" spans="6:13">
      <c r="F29" s="113">
        <v>25</v>
      </c>
      <c r="G29" s="113">
        <f t="shared" ca="1" si="1"/>
        <v>40</v>
      </c>
      <c r="H29" s="113">
        <f t="shared" ca="1" si="2"/>
        <v>43</v>
      </c>
      <c r="I29" s="113">
        <f t="shared" ca="1" si="3"/>
        <v>1720</v>
      </c>
      <c r="K29" s="113">
        <v>27</v>
      </c>
      <c r="L29" s="120">
        <v>51900</v>
      </c>
      <c r="M29" s="121">
        <f t="shared" si="0"/>
        <v>1</v>
      </c>
    </row>
    <row r="30" spans="6:13">
      <c r="F30" s="113">
        <v>26</v>
      </c>
      <c r="G30" s="113">
        <f t="shared" ca="1" si="1"/>
        <v>40</v>
      </c>
      <c r="H30" s="113">
        <f t="shared" ca="1" si="2"/>
        <v>41</v>
      </c>
      <c r="I30" s="113">
        <f t="shared" ca="1" si="3"/>
        <v>1640</v>
      </c>
      <c r="K30" s="113">
        <v>28</v>
      </c>
      <c r="L30" s="120">
        <v>46020</v>
      </c>
      <c r="M30" s="121">
        <f t="shared" si="0"/>
        <v>1</v>
      </c>
    </row>
    <row r="31" spans="6:13">
      <c r="F31" s="113">
        <v>27</v>
      </c>
      <c r="G31" s="113">
        <f t="shared" ca="1" si="1"/>
        <v>20</v>
      </c>
      <c r="H31" s="113">
        <f t="shared" ca="1" si="2"/>
        <v>24</v>
      </c>
      <c r="I31" s="113">
        <f t="shared" ca="1" si="3"/>
        <v>480</v>
      </c>
      <c r="K31" s="113">
        <v>29</v>
      </c>
      <c r="L31" s="120">
        <v>53220</v>
      </c>
      <c r="M31" s="121">
        <f t="shared" si="0"/>
        <v>1</v>
      </c>
    </row>
    <row r="32" spans="6:13">
      <c r="F32" s="113">
        <v>28</v>
      </c>
      <c r="G32" s="113">
        <f t="shared" ca="1" si="1"/>
        <v>40</v>
      </c>
      <c r="H32" s="113">
        <f t="shared" ca="1" si="2"/>
        <v>34</v>
      </c>
      <c r="I32" s="113">
        <f t="shared" ca="1" si="3"/>
        <v>1360</v>
      </c>
      <c r="K32" s="113">
        <v>30</v>
      </c>
      <c r="L32" s="120">
        <v>50550</v>
      </c>
      <c r="M32" s="121">
        <f t="shared" si="0"/>
        <v>1</v>
      </c>
    </row>
    <row r="33" spans="6:13">
      <c r="F33" s="113">
        <v>29</v>
      </c>
      <c r="G33" s="113">
        <f t="shared" ca="1" si="1"/>
        <v>40</v>
      </c>
      <c r="H33" s="113">
        <f t="shared" ca="1" si="2"/>
        <v>42</v>
      </c>
      <c r="I33" s="113">
        <f t="shared" ca="1" si="3"/>
        <v>1680</v>
      </c>
      <c r="K33" s="113">
        <v>31</v>
      </c>
      <c r="L33" s="120">
        <v>47520</v>
      </c>
      <c r="M33" s="121">
        <f t="shared" si="0"/>
        <v>1</v>
      </c>
    </row>
    <row r="34" spans="6:13">
      <c r="F34" s="113">
        <v>30</v>
      </c>
      <c r="G34" s="113">
        <f t="shared" ca="1" si="1"/>
        <v>30</v>
      </c>
      <c r="H34" s="113">
        <f t="shared" ca="1" si="2"/>
        <v>39</v>
      </c>
      <c r="I34" s="113">
        <f t="shared" ca="1" si="3"/>
        <v>1170</v>
      </c>
      <c r="K34" s="113">
        <v>32</v>
      </c>
      <c r="L34" s="120">
        <v>50940</v>
      </c>
      <c r="M34" s="121">
        <f t="shared" si="0"/>
        <v>1</v>
      </c>
    </row>
    <row r="35" spans="6:13">
      <c r="K35" s="113">
        <v>33</v>
      </c>
      <c r="L35" s="120">
        <v>46430</v>
      </c>
      <c r="M35" s="121">
        <f t="shared" si="0"/>
        <v>1</v>
      </c>
    </row>
    <row r="36" spans="6:13">
      <c r="K36" s="113">
        <v>34</v>
      </c>
      <c r="L36" s="120">
        <v>46070</v>
      </c>
      <c r="M36" s="121">
        <f t="shared" si="0"/>
        <v>1</v>
      </c>
    </row>
    <row r="37" spans="6:13">
      <c r="K37" s="113">
        <v>35</v>
      </c>
      <c r="L37" s="120">
        <v>50990</v>
      </c>
      <c r="M37" s="121">
        <f t="shared" si="0"/>
        <v>1</v>
      </c>
    </row>
    <row r="38" spans="6:13">
      <c r="K38" s="113">
        <v>36</v>
      </c>
      <c r="L38" s="120">
        <v>49560</v>
      </c>
      <c r="M38" s="121">
        <f t="shared" si="0"/>
        <v>1</v>
      </c>
    </row>
    <row r="39" spans="6:13">
      <c r="K39" s="113">
        <v>37</v>
      </c>
      <c r="L39" s="120">
        <v>48360</v>
      </c>
      <c r="M39" s="121">
        <f t="shared" si="0"/>
        <v>1</v>
      </c>
    </row>
    <row r="40" spans="6:13">
      <c r="K40" s="113">
        <v>38</v>
      </c>
      <c r="L40" s="120">
        <v>51490</v>
      </c>
      <c r="M40" s="121">
        <f t="shared" si="0"/>
        <v>1</v>
      </c>
    </row>
    <row r="41" spans="6:13">
      <c r="K41" s="113">
        <v>39</v>
      </c>
      <c r="L41" s="120">
        <v>50710</v>
      </c>
      <c r="M41" s="121">
        <f t="shared" si="0"/>
        <v>1</v>
      </c>
    </row>
    <row r="42" spans="6:13">
      <c r="K42" s="113">
        <v>40</v>
      </c>
      <c r="L42" s="120">
        <v>47940</v>
      </c>
      <c r="M42" s="121">
        <f t="shared" si="0"/>
        <v>1</v>
      </c>
    </row>
    <row r="43" spans="6:13">
      <c r="K43" s="113">
        <v>41</v>
      </c>
      <c r="L43" s="120">
        <v>45280</v>
      </c>
      <c r="M43" s="121">
        <f t="shared" si="0"/>
        <v>1</v>
      </c>
    </row>
    <row r="44" spans="6:13">
      <c r="K44" s="113">
        <v>42</v>
      </c>
      <c r="L44" s="120">
        <v>45220</v>
      </c>
      <c r="M44" s="121">
        <f t="shared" si="0"/>
        <v>1</v>
      </c>
    </row>
    <row r="45" spans="6:13">
      <c r="K45" s="113">
        <v>43</v>
      </c>
      <c r="L45" s="120">
        <v>43200</v>
      </c>
      <c r="M45" s="121">
        <f t="shared" si="0"/>
        <v>0</v>
      </c>
    </row>
    <row r="46" spans="6:13">
      <c r="K46" s="113">
        <v>44</v>
      </c>
      <c r="L46" s="120">
        <v>47180</v>
      </c>
      <c r="M46" s="121">
        <f t="shared" si="0"/>
        <v>1</v>
      </c>
    </row>
    <row r="47" spans="6:13">
      <c r="K47" s="113">
        <v>45</v>
      </c>
      <c r="L47" s="120">
        <v>49560</v>
      </c>
      <c r="M47" s="121">
        <f t="shared" si="0"/>
        <v>1</v>
      </c>
    </row>
  </sheetData>
  <phoneticPr fontId="2"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第1题答案</vt:lpstr>
      <vt:lpstr>第2题答案</vt:lpstr>
      <vt:lpstr>第3题答案</vt:lpstr>
      <vt:lpstr>第4题答案</vt:lpstr>
      <vt:lpstr>第5题答案</vt:lpstr>
      <vt:lpstr>第6题答案</vt:lpstr>
      <vt:lpstr>第7题答案</vt:lpstr>
      <vt:lpstr>第8题答案</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1996-12-17T01:32:42Z</dcterms:created>
  <dcterms:modified xsi:type="dcterms:W3CDTF">2018-06-10T07:37:37Z</dcterms:modified>
</cp:coreProperties>
</file>