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drawings/drawing3.xml" ContentType="application/vnd.openxmlformats-officedocument.drawing+xml"/>
  <Override PartName="/xl/ctrlProps/ctrlProp2.xml" ContentType="application/vnd.ms-excel.controlproperties+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ctrlProps/ctrlProp3.xml" ContentType="application/vnd.ms-excel.controlproperties+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0" yWindow="690" windowWidth="17835" windowHeight="10860" tabRatio="425"/>
  </bookViews>
  <sheets>
    <sheet name="第1题" sheetId="1" r:id="rId1"/>
    <sheet name="第2题" sheetId="2" r:id="rId2"/>
    <sheet name="第3题" sheetId="3" r:id="rId3"/>
    <sheet name="第4题" sheetId="7" r:id="rId4"/>
    <sheet name="第5题" sheetId="8" r:id="rId5"/>
    <sheet name="第6题" sheetId="4" r:id="rId6"/>
    <sheet name="第7题" sheetId="5" r:id="rId7"/>
    <sheet name="第8题" sheetId="6" r:id="rId8"/>
  </sheets>
  <definedNames>
    <definedName name="solver_adj" localSheetId="3" hidden="1">第4题!$D$8:$F$8</definedName>
    <definedName name="solver_adj" localSheetId="4" hidden="1">第5题!$D$18:$E$19</definedName>
    <definedName name="solver_cvg" localSheetId="3" hidden="1">0.0001</definedName>
    <definedName name="solver_cvg" localSheetId="4" hidden="1">0.0001</definedName>
    <definedName name="solver_drv" localSheetId="3" hidden="1">1</definedName>
    <definedName name="solver_drv" localSheetId="4" hidden="1">1</definedName>
    <definedName name="solver_est" localSheetId="3" hidden="1">1</definedName>
    <definedName name="solver_est" localSheetId="4" hidden="1">1</definedName>
    <definedName name="solver_itr" localSheetId="3" hidden="1">100</definedName>
    <definedName name="solver_itr" localSheetId="4" hidden="1">100</definedName>
    <definedName name="solver_lhs1" localSheetId="3" hidden="1">第4题!$D$8:$F$8</definedName>
    <definedName name="solver_lhs1" localSheetId="4" hidden="1">第5题!$D$18:$E$19</definedName>
    <definedName name="solver_lhs2" localSheetId="3" hidden="1">第4题!$D$8:$F$8</definedName>
    <definedName name="solver_lhs2" localSheetId="4" hidden="1">第5题!$D$20:$E$20</definedName>
    <definedName name="solver_lhs3" localSheetId="3" hidden="1">第4题!$G$3:$G$7</definedName>
    <definedName name="solver_lhs3" localSheetId="4" hidden="1">第5题!$F$18:$F$19</definedName>
    <definedName name="solver_lin" localSheetId="3" hidden="1">2</definedName>
    <definedName name="solver_lin" localSheetId="4" hidden="1">2</definedName>
    <definedName name="solver_neg" localSheetId="3" hidden="1">2</definedName>
    <definedName name="solver_neg" localSheetId="4" hidden="1">2</definedName>
    <definedName name="solver_num" localSheetId="3" hidden="1">3</definedName>
    <definedName name="solver_num" localSheetId="4" hidden="1">3</definedName>
    <definedName name="solver_nwt" localSheetId="3" hidden="1">1</definedName>
    <definedName name="solver_nwt" localSheetId="4" hidden="1">1</definedName>
    <definedName name="solver_opt" localSheetId="3" hidden="1">第4题!$D$10</definedName>
    <definedName name="solver_opt" localSheetId="4" hidden="1">第5题!$H$19</definedName>
    <definedName name="solver_pre" localSheetId="3" hidden="1">0.000001</definedName>
    <definedName name="solver_pre" localSheetId="4" hidden="1">0.000001</definedName>
    <definedName name="solver_rel1" localSheetId="3" hidden="1">3</definedName>
    <definedName name="solver_rel1" localSheetId="4" hidden="1">3</definedName>
    <definedName name="solver_rel2" localSheetId="3" hidden="1">4</definedName>
    <definedName name="solver_rel2" localSheetId="4" hidden="1">2</definedName>
    <definedName name="solver_rel3" localSheetId="3" hidden="1">1</definedName>
    <definedName name="solver_rel3" localSheetId="4" hidden="1">1</definedName>
    <definedName name="solver_rhs1" localSheetId="3" hidden="1">0</definedName>
    <definedName name="solver_rhs1" localSheetId="4" hidden="1">0</definedName>
    <definedName name="solver_rhs2" localSheetId="3" hidden="1">整数</definedName>
    <definedName name="solver_rhs2" localSheetId="4" hidden="1">第5题!$D$21:$E$21</definedName>
    <definedName name="solver_rhs3" localSheetId="3" hidden="1">第4题!$H$3:$H$7</definedName>
    <definedName name="solver_rhs3" localSheetId="4" hidden="1">第5题!$G$18:$G$19</definedName>
    <definedName name="solver_scl" localSheetId="3" hidden="1">2</definedName>
    <definedName name="solver_scl" localSheetId="4" hidden="1">2</definedName>
    <definedName name="solver_sho" localSheetId="3" hidden="1">2</definedName>
    <definedName name="solver_sho" localSheetId="4" hidden="1">2</definedName>
    <definedName name="solver_tim" localSheetId="3" hidden="1">100</definedName>
    <definedName name="solver_tim" localSheetId="4" hidden="1">100</definedName>
    <definedName name="solver_tol" localSheetId="3" hidden="1">0.05</definedName>
    <definedName name="solver_tol" localSheetId="4" hidden="1">0.05</definedName>
    <definedName name="solver_typ" localSheetId="3" hidden="1">1</definedName>
    <definedName name="solver_typ" localSheetId="4" hidden="1">2</definedName>
    <definedName name="solver_val" localSheetId="3" hidden="1">0</definedName>
    <definedName name="solver_val" localSheetId="4" hidden="1">0</definedName>
  </definedNames>
  <calcPr calcId="145621"/>
</workbook>
</file>

<file path=xl/calcChain.xml><?xml version="1.0" encoding="utf-8"?>
<calcChain xmlns="http://schemas.openxmlformats.org/spreadsheetml/2006/main">
  <c r="D4" i="3" l="1"/>
  <c r="E3" i="2"/>
  <c r="A3" i="8"/>
  <c r="A4" i="8" a="1"/>
  <c r="A4" i="8"/>
  <c r="A7" i="8"/>
  <c r="F18" i="8"/>
  <c r="A6" i="8" a="1"/>
  <c r="A6" i="8"/>
  <c r="F19" i="8"/>
  <c r="H19" i="8" a="1"/>
  <c r="H19" i="8"/>
  <c r="A2" i="8"/>
  <c r="D20" i="8"/>
  <c r="A5" i="8" a="1"/>
  <c r="A5" i="8"/>
  <c r="E20" i="8"/>
  <c r="A3" i="7"/>
  <c r="G3" i="7" a="1"/>
  <c r="G3" i="7"/>
  <c r="A6" i="7" a="1"/>
  <c r="A6" i="7"/>
  <c r="A4" i="7" a="1"/>
  <c r="A4" i="7"/>
  <c r="G4" i="7" a="1"/>
  <c r="G4" i="7"/>
  <c r="A5" i="7" a="1"/>
  <c r="A5" i="7"/>
  <c r="G5" i="7" a="1"/>
  <c r="G5" i="7"/>
  <c r="G6" i="7" a="1"/>
  <c r="G6" i="7"/>
  <c r="A7" i="7"/>
  <c r="G7" i="7" a="1"/>
  <c r="G7" i="7"/>
  <c r="D10" i="7" a="1"/>
  <c r="D10" i="7"/>
  <c r="A2" i="7"/>
  <c r="G3" i="6"/>
  <c r="I3" i="6"/>
  <c r="J3" i="6"/>
  <c r="L3" i="6"/>
  <c r="O3" i="6"/>
  <c r="G4" i="6"/>
  <c r="I4" i="6"/>
  <c r="J4" i="6"/>
  <c r="L4" i="6"/>
  <c r="O4" i="6"/>
  <c r="G5" i="6"/>
  <c r="L5" i="6"/>
  <c r="I5" i="6"/>
  <c r="J5" i="6"/>
  <c r="O5" i="6"/>
  <c r="G6" i="6"/>
  <c r="I6" i="6"/>
  <c r="J6" i="6"/>
  <c r="L6" i="6"/>
  <c r="O6" i="6"/>
  <c r="G7" i="6"/>
  <c r="I7" i="6"/>
  <c r="J7" i="6"/>
  <c r="L7" i="6"/>
  <c r="O7" i="6"/>
  <c r="G8" i="6"/>
  <c r="L8" i="6"/>
  <c r="I8" i="6"/>
  <c r="J8" i="6"/>
  <c r="O8" i="6"/>
  <c r="G9" i="6"/>
  <c r="I9" i="6"/>
  <c r="J9" i="6"/>
  <c r="L9" i="6"/>
  <c r="O9" i="6"/>
  <c r="G10" i="6"/>
  <c r="L10" i="6"/>
  <c r="I10" i="6"/>
  <c r="J10" i="6"/>
  <c r="O10" i="6"/>
  <c r="D11" i="6"/>
  <c r="G11" i="6"/>
  <c r="L11" i="6"/>
  <c r="I11" i="6"/>
  <c r="J11" i="6"/>
  <c r="O11" i="6"/>
  <c r="D12" i="6"/>
  <c r="H3" i="6"/>
  <c r="G12" i="6"/>
  <c r="I12" i="6"/>
  <c r="J12" i="6"/>
  <c r="L12" i="6"/>
  <c r="D13" i="6"/>
  <c r="H12" i="6"/>
  <c r="G13" i="6"/>
  <c r="H13" i="6"/>
  <c r="I13" i="6"/>
  <c r="J13" i="6"/>
  <c r="L13" i="6"/>
  <c r="O13" i="6"/>
  <c r="D14" i="6"/>
  <c r="G14" i="6"/>
  <c r="H14" i="6"/>
  <c r="I14" i="6"/>
  <c r="J14" i="6"/>
  <c r="L14" i="6"/>
  <c r="O14" i="6"/>
  <c r="G15" i="6"/>
  <c r="L15" i="6"/>
  <c r="I15" i="6"/>
  <c r="J15" i="6"/>
  <c r="O15" i="6"/>
  <c r="G16" i="6"/>
  <c r="H16" i="6"/>
  <c r="I16" i="6"/>
  <c r="J16" i="6"/>
  <c r="L16" i="6"/>
  <c r="O16" i="6"/>
  <c r="G17" i="6"/>
  <c r="L17" i="6"/>
  <c r="I17" i="6"/>
  <c r="J17" i="6"/>
  <c r="O17" i="6"/>
  <c r="G18" i="6"/>
  <c r="H18" i="6"/>
  <c r="I18" i="6"/>
  <c r="J18" i="6"/>
  <c r="L18" i="6"/>
  <c r="O18" i="6"/>
  <c r="B19" i="6"/>
  <c r="G19" i="6"/>
  <c r="H19" i="6"/>
  <c r="I19" i="6"/>
  <c r="J19" i="6"/>
  <c r="K19" i="6" s="1"/>
  <c r="M19" i="6" s="1"/>
  <c r="N19" i="6" s="1"/>
  <c r="L19" i="6"/>
  <c r="O19" i="6"/>
  <c r="G20" i="6"/>
  <c r="L20" i="6"/>
  <c r="H20" i="6"/>
  <c r="I20" i="6"/>
  <c r="J20" i="6"/>
  <c r="O20" i="6"/>
  <c r="G21" i="6"/>
  <c r="H21" i="6"/>
  <c r="I21" i="6"/>
  <c r="J21" i="6"/>
  <c r="L21" i="6"/>
  <c r="O21" i="6"/>
  <c r="G22" i="6"/>
  <c r="L22" i="6"/>
  <c r="H22" i="6"/>
  <c r="I22" i="6"/>
  <c r="J22" i="6"/>
  <c r="O22" i="6"/>
  <c r="G23" i="6"/>
  <c r="H23" i="6"/>
  <c r="I23" i="6"/>
  <c r="J23" i="6"/>
  <c r="L23" i="6"/>
  <c r="O23" i="6"/>
  <c r="G24" i="6"/>
  <c r="L24" i="6"/>
  <c r="H24" i="6"/>
  <c r="I24" i="6"/>
  <c r="K24" i="6" s="1"/>
  <c r="M24" i="6" s="1"/>
  <c r="N24" i="6" s="1"/>
  <c r="J24" i="6"/>
  <c r="O24" i="6"/>
  <c r="G25" i="6"/>
  <c r="H25" i="6"/>
  <c r="I25" i="6"/>
  <c r="J25" i="6"/>
  <c r="L25" i="6"/>
  <c r="O25" i="6"/>
  <c r="G26" i="6"/>
  <c r="L26" i="6"/>
  <c r="H26" i="6"/>
  <c r="I26" i="6"/>
  <c r="J26" i="6"/>
  <c r="O26" i="6"/>
  <c r="G27" i="6"/>
  <c r="H27" i="6"/>
  <c r="I27" i="6"/>
  <c r="J27" i="6"/>
  <c r="K27" i="6" s="1"/>
  <c r="M27" i="6" s="1"/>
  <c r="N27" i="6" s="1"/>
  <c r="L27" i="6"/>
  <c r="O27" i="6"/>
  <c r="G28" i="6"/>
  <c r="L28" i="6"/>
  <c r="H28" i="6"/>
  <c r="I28" i="6"/>
  <c r="J28" i="6"/>
  <c r="O28" i="6"/>
  <c r="G29" i="6"/>
  <c r="H29" i="6"/>
  <c r="I29" i="6"/>
  <c r="J29" i="6"/>
  <c r="L29" i="6"/>
  <c r="O29" i="6"/>
  <c r="G30" i="6"/>
  <c r="L30" i="6"/>
  <c r="H30" i="6"/>
  <c r="I30" i="6"/>
  <c r="J30" i="6"/>
  <c r="O30" i="6"/>
  <c r="G31" i="6"/>
  <c r="H31" i="6"/>
  <c r="I31" i="6"/>
  <c r="J31" i="6"/>
  <c r="L31" i="6"/>
  <c r="O31" i="6"/>
  <c r="G32" i="6"/>
  <c r="L32" i="6"/>
  <c r="H32" i="6"/>
  <c r="I32" i="6"/>
  <c r="J32" i="6"/>
  <c r="O32" i="6"/>
  <c r="G33" i="6"/>
  <c r="H33" i="6"/>
  <c r="I33" i="6"/>
  <c r="J33" i="6"/>
  <c r="L33" i="6"/>
  <c r="O33" i="6"/>
  <c r="G34" i="6"/>
  <c r="L34" i="6"/>
  <c r="H34" i="6"/>
  <c r="I34" i="6"/>
  <c r="J34" i="6"/>
  <c r="O34" i="6"/>
  <c r="G35" i="6"/>
  <c r="H35" i="6"/>
  <c r="I35" i="6"/>
  <c r="J35" i="6"/>
  <c r="K35" i="6" s="1"/>
  <c r="M35" i="6" s="1"/>
  <c r="N35" i="6" s="1"/>
  <c r="L35" i="6"/>
  <c r="O35" i="6"/>
  <c r="G36" i="6"/>
  <c r="L36" i="6"/>
  <c r="H36" i="6"/>
  <c r="I36" i="6"/>
  <c r="J36" i="6"/>
  <c r="O36" i="6"/>
  <c r="G37" i="6"/>
  <c r="H37" i="6"/>
  <c r="I37" i="6"/>
  <c r="J37" i="6"/>
  <c r="K37" i="6" s="1"/>
  <c r="M37" i="6" s="1"/>
  <c r="N37" i="6" s="1"/>
  <c r="L37" i="6"/>
  <c r="O37" i="6"/>
  <c r="G38" i="6"/>
  <c r="L38" i="6"/>
  <c r="H38" i="6"/>
  <c r="I38" i="6"/>
  <c r="J38" i="6"/>
  <c r="O38" i="6"/>
  <c r="G39" i="6"/>
  <c r="H39" i="6"/>
  <c r="I39" i="6"/>
  <c r="J39" i="6"/>
  <c r="L39" i="6"/>
  <c r="O39" i="6"/>
  <c r="G40" i="6"/>
  <c r="L40" i="6"/>
  <c r="H40" i="6"/>
  <c r="I40" i="6"/>
  <c r="J40" i="6"/>
  <c r="O40" i="6"/>
  <c r="G41" i="6"/>
  <c r="H41" i="6"/>
  <c r="I41" i="6"/>
  <c r="J41" i="6"/>
  <c r="L41" i="6"/>
  <c r="O41" i="6"/>
  <c r="G42" i="6"/>
  <c r="L42" i="6"/>
  <c r="H42" i="6"/>
  <c r="I42" i="6"/>
  <c r="J42" i="6"/>
  <c r="O42" i="6"/>
  <c r="G43" i="6"/>
  <c r="H43" i="6"/>
  <c r="I43" i="6"/>
  <c r="J43" i="6"/>
  <c r="L43" i="6"/>
  <c r="O43" i="6"/>
  <c r="G44" i="6"/>
  <c r="L44" i="6"/>
  <c r="H44" i="6"/>
  <c r="I44" i="6"/>
  <c r="J44" i="6"/>
  <c r="O44" i="6"/>
  <c r="G45" i="6"/>
  <c r="H45" i="6"/>
  <c r="I45" i="6"/>
  <c r="J45" i="6"/>
  <c r="L45" i="6"/>
  <c r="O45" i="6"/>
  <c r="G46" i="6"/>
  <c r="L46" i="6"/>
  <c r="H46" i="6"/>
  <c r="I46" i="6"/>
  <c r="J46" i="6"/>
  <c r="O46" i="6"/>
  <c r="G47" i="6"/>
  <c r="H47" i="6"/>
  <c r="I47" i="6"/>
  <c r="J47" i="6"/>
  <c r="L47" i="6"/>
  <c r="O47" i="6"/>
  <c r="G48" i="6"/>
  <c r="L48" i="6"/>
  <c r="H48" i="6"/>
  <c r="I48" i="6"/>
  <c r="J48" i="6"/>
  <c r="O48" i="6"/>
  <c r="G49" i="6"/>
  <c r="H49" i="6"/>
  <c r="I49" i="6"/>
  <c r="J49" i="6"/>
  <c r="K49" i="6" s="1"/>
  <c r="M49" i="6" s="1"/>
  <c r="N49" i="6" s="1"/>
  <c r="L49" i="6"/>
  <c r="O49" i="6"/>
  <c r="G50" i="6"/>
  <c r="L50" i="6"/>
  <c r="H50" i="6"/>
  <c r="I50" i="6"/>
  <c r="J50" i="6"/>
  <c r="O50" i="6"/>
  <c r="G51" i="6"/>
  <c r="H51" i="6"/>
  <c r="I51" i="6"/>
  <c r="J51" i="6"/>
  <c r="L51" i="6"/>
  <c r="O51" i="6"/>
  <c r="G52" i="6"/>
  <c r="L52" i="6"/>
  <c r="H52" i="6"/>
  <c r="I52" i="6"/>
  <c r="J52" i="6"/>
  <c r="O52" i="6"/>
  <c r="G53" i="6"/>
  <c r="H53" i="6"/>
  <c r="I53" i="6"/>
  <c r="J53" i="6"/>
  <c r="K53" i="6" s="1"/>
  <c r="M53" i="6" s="1"/>
  <c r="N53" i="6" s="1"/>
  <c r="L53" i="6"/>
  <c r="O53" i="6"/>
  <c r="G54" i="6"/>
  <c r="L54" i="6"/>
  <c r="H54" i="6"/>
  <c r="I54" i="6"/>
  <c r="J54" i="6"/>
  <c r="O54" i="6"/>
  <c r="E10" i="5"/>
  <c r="E11" i="5"/>
  <c r="E12" i="5"/>
  <c r="E13" i="5"/>
  <c r="E14" i="5"/>
  <c r="C15" i="5"/>
  <c r="E15" i="5"/>
  <c r="H4" i="4"/>
  <c r="J4" i="4"/>
  <c r="M4" i="4"/>
  <c r="N4" i="4"/>
  <c r="M5" i="4"/>
  <c r="N5" i="4"/>
  <c r="D6" i="4"/>
  <c r="K4" i="4"/>
  <c r="I4" i="4"/>
  <c r="K6" i="4"/>
  <c r="M6" i="4"/>
  <c r="N6" i="4"/>
  <c r="M7" i="4"/>
  <c r="N7" i="4"/>
  <c r="K8" i="4"/>
  <c r="M8" i="4"/>
  <c r="N8" i="4"/>
  <c r="K9" i="4"/>
  <c r="M9" i="4"/>
  <c r="N9" i="4"/>
  <c r="K10" i="4"/>
  <c r="M10" i="4"/>
  <c r="N10" i="4"/>
  <c r="K11" i="4"/>
  <c r="M11" i="4"/>
  <c r="N11" i="4"/>
  <c r="K12" i="4"/>
  <c r="M12" i="4"/>
  <c r="N12" i="4"/>
  <c r="K13" i="4"/>
  <c r="M13" i="4"/>
  <c r="N13" i="4"/>
  <c r="K14" i="4"/>
  <c r="M14" i="4"/>
  <c r="N14" i="4"/>
  <c r="K15" i="4"/>
  <c r="M15" i="4"/>
  <c r="N15" i="4"/>
  <c r="N16" i="4"/>
  <c r="M16" i="4"/>
  <c r="M17" i="4"/>
  <c r="M18" i="4"/>
  <c r="D15" i="3"/>
  <c r="D10" i="3"/>
  <c r="D11" i="3"/>
  <c r="D13" i="3"/>
  <c r="H4" i="3"/>
  <c r="D12" i="3"/>
  <c r="K12" i="3"/>
  <c r="C22" i="3"/>
  <c r="J2" i="2"/>
  <c r="K2" i="2"/>
  <c r="J3" i="2"/>
  <c r="E4" i="2"/>
  <c r="I6" i="2"/>
  <c r="E11" i="2"/>
  <c r="I13" i="2"/>
  <c r="I14" i="2"/>
  <c r="I15" i="2"/>
  <c r="J6" i="2"/>
  <c r="K6" i="2"/>
  <c r="D9" i="2"/>
  <c r="E9" i="2"/>
  <c r="K3" i="2"/>
  <c r="L3" i="2"/>
  <c r="E12" i="2"/>
  <c r="J14" i="2"/>
  <c r="J13" i="2"/>
  <c r="C9" i="1"/>
  <c r="C10" i="1"/>
  <c r="C11" i="1"/>
  <c r="C12" i="1"/>
  <c r="C13" i="1"/>
  <c r="C15" i="1"/>
  <c r="C16" i="1"/>
  <c r="C19" i="1"/>
  <c r="C20" i="1"/>
  <c r="C21" i="1"/>
  <c r="H11" i="6"/>
  <c r="H10" i="6"/>
  <c r="H8" i="6"/>
  <c r="K8" i="6" s="1"/>
  <c r="M8" i="6" s="1"/>
  <c r="N8" i="6" s="1"/>
  <c r="H6" i="6"/>
  <c r="H4" i="6"/>
  <c r="H17" i="6"/>
  <c r="H15" i="6"/>
  <c r="H9" i="6"/>
  <c r="H7" i="6"/>
  <c r="H5" i="6"/>
  <c r="K3" i="3"/>
  <c r="J16" i="3"/>
  <c r="D17" i="3"/>
  <c r="D18" i="3"/>
  <c r="L4" i="4"/>
  <c r="H5" i="4"/>
  <c r="C7" i="5"/>
  <c r="H8" i="5"/>
  <c r="K5" i="4"/>
  <c r="C4" i="5" a="1"/>
  <c r="C4" i="5"/>
  <c r="E14" i="2"/>
  <c r="D16" i="3"/>
  <c r="K7" i="4"/>
  <c r="D19" i="3"/>
  <c r="L3" i="3"/>
  <c r="K16" i="3"/>
  <c r="K17" i="3"/>
  <c r="K15" i="3"/>
  <c r="J5" i="4"/>
  <c r="I5" i="4"/>
  <c r="L5" i="4"/>
  <c r="H6" i="4"/>
  <c r="J6" i="4"/>
  <c r="I6" i="4"/>
  <c r="L6" i="4"/>
  <c r="H7" i="4"/>
  <c r="J7" i="4"/>
  <c r="I7" i="4"/>
  <c r="L7" i="4"/>
  <c r="H8" i="4"/>
  <c r="J8" i="4"/>
  <c r="I8" i="4"/>
  <c r="L8" i="4"/>
  <c r="H9" i="4"/>
  <c r="J9" i="4"/>
  <c r="I9" i="4"/>
  <c r="L9" i="4"/>
  <c r="H10" i="4"/>
  <c r="J10" i="4"/>
  <c r="I10" i="4"/>
  <c r="L10" i="4"/>
  <c r="H11" i="4"/>
  <c r="J11" i="4"/>
  <c r="I11" i="4"/>
  <c r="L11" i="4"/>
  <c r="H12" i="4"/>
  <c r="J12" i="4"/>
  <c r="I12" i="4"/>
  <c r="L12" i="4"/>
  <c r="H13" i="4"/>
  <c r="J13" i="4"/>
  <c r="I13" i="4"/>
  <c r="L13" i="4"/>
  <c r="H14" i="4"/>
  <c r="J14" i="4"/>
  <c r="I14" i="4"/>
  <c r="L14" i="4"/>
  <c r="H15" i="4"/>
  <c r="J15" i="4"/>
  <c r="I15" i="4"/>
  <c r="J16" i="4"/>
  <c r="I16" i="4"/>
  <c r="L15" i="4"/>
  <c r="H16" i="4"/>
  <c r="D8" i="4"/>
  <c r="D9" i="4"/>
  <c r="K50" i="6"/>
  <c r="M50" i="6" s="1"/>
  <c r="N50" i="6" s="1"/>
  <c r="K17" i="6" l="1"/>
  <c r="M17" i="6" s="1"/>
  <c r="N17" i="6" s="1"/>
  <c r="K10" i="6"/>
  <c r="M10" i="6" s="1"/>
  <c r="N10" i="6" s="1"/>
  <c r="K45" i="6"/>
  <c r="M45" i="6" s="1"/>
  <c r="N45" i="6" s="1"/>
  <c r="K39" i="6"/>
  <c r="M39" i="6" s="1"/>
  <c r="N39" i="6" s="1"/>
  <c r="K13" i="6"/>
  <c r="M13" i="6" s="1"/>
  <c r="N13" i="6" s="1"/>
  <c r="K11" i="6"/>
  <c r="M11" i="6" s="1"/>
  <c r="N11" i="6" s="1"/>
  <c r="K4" i="6"/>
  <c r="M4" i="6" s="1"/>
  <c r="N4" i="6" s="1"/>
  <c r="K15" i="6"/>
  <c r="M15" i="6" s="1"/>
  <c r="N15" i="6" s="1"/>
  <c r="K54" i="6"/>
  <c r="M54" i="6" s="1"/>
  <c r="N54" i="6" s="1"/>
  <c r="K52" i="6"/>
  <c r="M52" i="6" s="1"/>
  <c r="N52" i="6" s="1"/>
  <c r="K42" i="6"/>
  <c r="M42" i="6" s="1"/>
  <c r="N42" i="6" s="1"/>
  <c r="K40" i="6"/>
  <c r="M40" i="6" s="1"/>
  <c r="N40" i="6" s="1"/>
  <c r="K38" i="6"/>
  <c r="M38" i="6" s="1"/>
  <c r="N38" i="6" s="1"/>
  <c r="K36" i="6"/>
  <c r="M36" i="6" s="1"/>
  <c r="N36" i="6" s="1"/>
  <c r="K20" i="6"/>
  <c r="M20" i="6" s="1"/>
  <c r="N20" i="6" s="1"/>
  <c r="K18" i="6"/>
  <c r="M18" i="6" s="1"/>
  <c r="N18" i="6" s="1"/>
  <c r="K14" i="6"/>
  <c r="M14" i="6" s="1"/>
  <c r="N14" i="6" s="1"/>
  <c r="K51" i="6"/>
  <c r="M51" i="6" s="1"/>
  <c r="N51" i="6" s="1"/>
  <c r="K48" i="6"/>
  <c r="M48" i="6" s="1"/>
  <c r="N48" i="6" s="1"/>
  <c r="K44" i="6"/>
  <c r="M44" i="6" s="1"/>
  <c r="N44" i="6" s="1"/>
  <c r="K34" i="6"/>
  <c r="M34" i="6" s="1"/>
  <c r="N34" i="6" s="1"/>
  <c r="K31" i="6"/>
  <c r="M31" i="6" s="1"/>
  <c r="N31" i="6" s="1"/>
  <c r="K26" i="6"/>
  <c r="M26" i="6" s="1"/>
  <c r="N26" i="6" s="1"/>
  <c r="K16" i="6"/>
  <c r="M16" i="6" s="1"/>
  <c r="N16" i="6" s="1"/>
  <c r="K12" i="6"/>
  <c r="M12" i="6" s="1"/>
  <c r="N12" i="6" s="1"/>
  <c r="O12" i="6" s="1"/>
  <c r="K7" i="6"/>
  <c r="M7" i="6" s="1"/>
  <c r="N7" i="6" s="1"/>
  <c r="K3" i="6"/>
  <c r="M3" i="6" s="1"/>
  <c r="N3" i="6" s="1"/>
  <c r="K9" i="6"/>
  <c r="M9" i="6" s="1"/>
  <c r="N9" i="6" s="1"/>
  <c r="K6" i="6"/>
  <c r="M6" i="6" s="1"/>
  <c r="N6" i="6" s="1"/>
  <c r="K47" i="6"/>
  <c r="M47" i="6" s="1"/>
  <c r="N47" i="6" s="1"/>
  <c r="K46" i="6"/>
  <c r="M46" i="6" s="1"/>
  <c r="N46" i="6" s="1"/>
  <c r="K43" i="6"/>
  <c r="M43" i="6" s="1"/>
  <c r="N43" i="6" s="1"/>
  <c r="K41" i="6"/>
  <c r="M41" i="6" s="1"/>
  <c r="N41" i="6" s="1"/>
  <c r="K33" i="6"/>
  <c r="M33" i="6" s="1"/>
  <c r="N33" i="6" s="1"/>
  <c r="K32" i="6"/>
  <c r="M32" i="6" s="1"/>
  <c r="N32" i="6" s="1"/>
  <c r="K30" i="6"/>
  <c r="M30" i="6" s="1"/>
  <c r="N30" i="6" s="1"/>
  <c r="K29" i="6"/>
  <c r="M29" i="6" s="1"/>
  <c r="N29" i="6" s="1"/>
  <c r="K28" i="6"/>
  <c r="M28" i="6" s="1"/>
  <c r="N28" i="6" s="1"/>
  <c r="K25" i="6"/>
  <c r="M25" i="6" s="1"/>
  <c r="N25" i="6" s="1"/>
  <c r="K23" i="6"/>
  <c r="M23" i="6" s="1"/>
  <c r="N23" i="6" s="1"/>
  <c r="K22" i="6"/>
  <c r="M22" i="6" s="1"/>
  <c r="N22" i="6" s="1"/>
  <c r="K21" i="6"/>
  <c r="M21" i="6" s="1"/>
  <c r="N21" i="6" s="1"/>
  <c r="K5" i="6"/>
  <c r="M5" i="6" s="1"/>
  <c r="N5" i="6" s="1"/>
</calcChain>
</file>

<file path=xl/sharedStrings.xml><?xml version="1.0" encoding="utf-8"?>
<sst xmlns="http://schemas.openxmlformats.org/spreadsheetml/2006/main" count="119" uniqueCount="114">
  <si>
    <r>
      <t>销量</t>
    </r>
    <r>
      <rPr>
        <b/>
        <sz val="11"/>
        <rFont val="Arial"/>
        <family val="2"/>
      </rPr>
      <t>(Q)</t>
    </r>
  </si>
  <si>
    <r>
      <t xml:space="preserve"> </t>
    </r>
    <r>
      <rPr>
        <b/>
        <sz val="11"/>
        <rFont val="宋体"/>
        <family val="3"/>
        <charset val="134"/>
      </rPr>
      <t>单位：元</t>
    </r>
  </si>
  <si>
    <r>
      <t>平均每双销售价格</t>
    </r>
    <r>
      <rPr>
        <b/>
        <sz val="11"/>
        <rFont val="Arial"/>
        <family val="2"/>
      </rPr>
      <t>(p)</t>
    </r>
  </si>
  <si>
    <r>
      <t>每双可变成本</t>
    </r>
    <r>
      <rPr>
        <b/>
        <sz val="11"/>
        <rFont val="Arial"/>
        <family val="2"/>
      </rPr>
      <t>(v)</t>
    </r>
    <r>
      <rPr>
        <b/>
        <sz val="11"/>
        <rFont val="宋体"/>
        <family val="3"/>
        <charset val="134"/>
      </rPr>
      <t>：</t>
    </r>
  </si>
  <si>
    <r>
      <t>固定成本</t>
    </r>
    <r>
      <rPr>
        <b/>
        <sz val="11"/>
        <rFont val="Arial"/>
        <family val="2"/>
      </rPr>
      <t>(F)</t>
    </r>
    <r>
      <rPr>
        <b/>
        <sz val="11"/>
        <rFont val="宋体"/>
        <family val="3"/>
        <charset val="134"/>
      </rPr>
      <t>：</t>
    </r>
  </si>
  <si>
    <t>单位边际贡献</t>
    <phoneticPr fontId="2" type="noConversion"/>
  </si>
  <si>
    <t>边际贡献率</t>
    <phoneticPr fontId="2" type="noConversion"/>
  </si>
  <si>
    <r>
      <t>销售收益</t>
    </r>
    <r>
      <rPr>
        <b/>
        <sz val="11"/>
        <rFont val="Arial"/>
        <family val="2"/>
      </rPr>
      <t>(R)</t>
    </r>
  </si>
  <si>
    <r>
      <t>总成本</t>
    </r>
    <r>
      <rPr>
        <b/>
        <sz val="11"/>
        <rFont val="Arial"/>
        <family val="2"/>
      </rPr>
      <t>(C)</t>
    </r>
  </si>
  <si>
    <r>
      <t>利润</t>
    </r>
    <r>
      <rPr>
        <b/>
        <sz val="11"/>
        <rFont val="Arial"/>
        <family val="2"/>
      </rPr>
      <t>(π)</t>
    </r>
  </si>
  <si>
    <r>
      <t>盈亏平衡销量</t>
    </r>
    <r>
      <rPr>
        <b/>
        <sz val="11"/>
        <rFont val="Arial"/>
        <family val="2"/>
      </rPr>
      <t>(Q</t>
    </r>
    <r>
      <rPr>
        <b/>
        <vertAlign val="subscript"/>
        <sz val="11"/>
        <rFont val="Arial"/>
        <family val="2"/>
      </rPr>
      <t>0</t>
    </r>
    <r>
      <rPr>
        <b/>
        <sz val="11"/>
        <rFont val="Arial"/>
        <family val="2"/>
      </rPr>
      <t>)</t>
    </r>
  </si>
  <si>
    <r>
      <t>盈亏平衡销售收益</t>
    </r>
    <r>
      <rPr>
        <b/>
        <sz val="11"/>
        <rFont val="Arial"/>
        <family val="2"/>
      </rPr>
      <t>(R</t>
    </r>
    <r>
      <rPr>
        <b/>
        <vertAlign val="subscript"/>
        <sz val="11"/>
        <rFont val="Arial"/>
        <family val="2"/>
      </rPr>
      <t>0</t>
    </r>
    <r>
      <rPr>
        <b/>
        <sz val="11"/>
        <rFont val="Arial"/>
        <family val="2"/>
      </rPr>
      <t>)</t>
    </r>
  </si>
  <si>
    <r>
      <t>目标利润</t>
    </r>
    <r>
      <rPr>
        <sz val="10"/>
        <rFont val="Times New Roman"/>
        <family val="1"/>
      </rPr>
      <t/>
    </r>
  </si>
  <si>
    <t>目标销量</t>
    <phoneticPr fontId="2" type="noConversion"/>
  </si>
  <si>
    <r>
      <t>安全边际</t>
    </r>
    <r>
      <rPr>
        <b/>
        <sz val="11"/>
        <rFont val="Arial"/>
        <family val="2"/>
      </rPr>
      <t>(S)</t>
    </r>
  </si>
  <si>
    <r>
      <t>安全边际率</t>
    </r>
    <r>
      <rPr>
        <b/>
        <sz val="11"/>
        <rFont val="Arial"/>
        <family val="2"/>
      </rPr>
      <t>(s)</t>
    </r>
  </si>
  <si>
    <t>需求数量</t>
    <phoneticPr fontId="12" type="noConversion"/>
  </si>
  <si>
    <t>外购单价</t>
    <phoneticPr fontId="12" type="noConversion"/>
  </si>
  <si>
    <t>增加的需求量</t>
    <phoneticPr fontId="12" type="noConversion"/>
  </si>
  <si>
    <t>外购</t>
    <phoneticPr fontId="12" type="noConversion"/>
  </si>
  <si>
    <t>自制</t>
    <phoneticPr fontId="12" type="noConversion"/>
  </si>
  <si>
    <t>固定成本</t>
  </si>
  <si>
    <t>单位可变成本</t>
  </si>
  <si>
    <t>总成本</t>
  </si>
  <si>
    <t>外购与自制的相对盈亏平衡点</t>
    <phoneticPr fontId="12" type="noConversion"/>
  </si>
  <si>
    <t>相对盈亏平衡点处的共同成本</t>
    <phoneticPr fontId="12" type="noConversion"/>
  </si>
  <si>
    <t>决策结论</t>
    <phoneticPr fontId="12" type="noConversion"/>
  </si>
  <si>
    <t>年需求量</t>
    <phoneticPr fontId="12" type="noConversion"/>
  </si>
  <si>
    <t>参考点X</t>
    <phoneticPr fontId="12" type="noConversion"/>
  </si>
  <si>
    <t>参考点Y</t>
    <phoneticPr fontId="12" type="noConversion"/>
  </si>
  <si>
    <t>年需求量</t>
    <phoneticPr fontId="12" type="noConversion"/>
  </si>
  <si>
    <t>每次订货成本</t>
    <phoneticPr fontId="12" type="noConversion"/>
  </si>
  <si>
    <t>全年单位储存成本</t>
    <phoneticPr fontId="12" type="noConversion"/>
  </si>
  <si>
    <t>每次采购成本</t>
    <phoneticPr fontId="12" type="noConversion"/>
  </si>
  <si>
    <t>订货量</t>
    <phoneticPr fontId="12" type="noConversion"/>
  </si>
  <si>
    <t>年订货成本</t>
    <phoneticPr fontId="12" type="noConversion"/>
  </si>
  <si>
    <t>年储存成本</t>
    <phoneticPr fontId="12" type="noConversion"/>
  </si>
  <si>
    <t>列表框选择项</t>
    <phoneticPr fontId="12" type="noConversion"/>
  </si>
  <si>
    <t>年采购成本</t>
    <phoneticPr fontId="12" type="noConversion"/>
  </si>
  <si>
    <t>年总成本</t>
    <phoneticPr fontId="12" type="noConversion"/>
  </si>
  <si>
    <t>水平参考线</t>
    <phoneticPr fontId="12" type="noConversion"/>
  </si>
  <si>
    <t>经济订货量</t>
    <phoneticPr fontId="12" type="noConversion"/>
  </si>
  <si>
    <t>经济订货量时的年订货成本</t>
    <phoneticPr fontId="12" type="noConversion"/>
  </si>
  <si>
    <t>经济订货量时的储存成本</t>
    <phoneticPr fontId="12" type="noConversion"/>
  </si>
  <si>
    <t>经济订货量时的采购成本</t>
    <phoneticPr fontId="12" type="noConversion"/>
  </si>
  <si>
    <t>经济订货量时的总成本</t>
    <phoneticPr fontId="12" type="noConversion"/>
  </si>
  <si>
    <t>结论文字</t>
    <phoneticPr fontId="12" type="noConversion"/>
  </si>
  <si>
    <t>每月等额还款额不变时还有多少年可还清</t>
    <phoneticPr fontId="12" type="noConversion"/>
  </si>
  <si>
    <t>第13月初提前冲贷后的贷款余额</t>
    <phoneticPr fontId="12" type="noConversion"/>
  </si>
  <si>
    <t>第13月提前冲贷额</t>
    <phoneticPr fontId="12" type="noConversion"/>
  </si>
  <si>
    <t>每月等额还款额</t>
    <phoneticPr fontId="12" type="noConversion"/>
  </si>
  <si>
    <t>贷款额</t>
    <phoneticPr fontId="12" type="noConversion"/>
  </si>
  <si>
    <t>年贷款率</t>
    <phoneticPr fontId="12" type="noConversion"/>
  </si>
  <si>
    <t>IPMT</t>
    <phoneticPr fontId="12" type="noConversion"/>
  </si>
  <si>
    <t>PPMT</t>
    <phoneticPr fontId="12" type="noConversion"/>
  </si>
  <si>
    <t>月末</t>
    <phoneticPr fontId="12" type="noConversion"/>
  </si>
  <si>
    <t>还款额</t>
    <phoneticPr fontId="12" type="noConversion"/>
  </si>
  <si>
    <t>利息</t>
    <phoneticPr fontId="12" type="noConversion"/>
  </si>
  <si>
    <t>本金</t>
    <phoneticPr fontId="12" type="noConversion"/>
  </si>
  <si>
    <t>月初</t>
    <phoneticPr fontId="12" type="noConversion"/>
  </si>
  <si>
    <t>期数</t>
    <phoneticPr fontId="12" type="noConversion"/>
  </si>
  <si>
    <t>年限</t>
    <phoneticPr fontId="12" type="noConversion"/>
  </si>
  <si>
    <t>方法二</t>
    <phoneticPr fontId="12" type="noConversion"/>
  </si>
  <si>
    <t>方法一</t>
    <phoneticPr fontId="12" type="noConversion"/>
  </si>
  <si>
    <t>当前贴现率</t>
    <phoneticPr fontId="3" type="noConversion"/>
  </si>
  <si>
    <t>当前日期</t>
    <phoneticPr fontId="3" type="noConversion"/>
  </si>
  <si>
    <t>当前价值</t>
    <phoneticPr fontId="3" type="noConversion"/>
  </si>
  <si>
    <t>预测的降息日期</t>
    <phoneticPr fontId="3" type="noConversion"/>
  </si>
  <si>
    <t>降息后的贴现率</t>
    <phoneticPr fontId="3" type="noConversion"/>
  </si>
  <si>
    <t>降息后的当前价值</t>
    <phoneticPr fontId="3" type="noConversion"/>
  </si>
  <si>
    <t>序号</t>
    <phoneticPr fontId="3" type="noConversion"/>
  </si>
  <si>
    <t>日期</t>
    <phoneticPr fontId="3" type="noConversion"/>
  </si>
  <si>
    <t>现金流</t>
    <phoneticPr fontId="3" type="noConversion"/>
  </si>
  <si>
    <t>现值</t>
    <phoneticPr fontId="3" type="noConversion"/>
  </si>
  <si>
    <t>当前周次微调项</t>
    <phoneticPr fontId="3" type="noConversion"/>
  </si>
  <si>
    <t>频率</t>
    <phoneticPr fontId="3" type="noConversion"/>
  </si>
  <si>
    <t>周五需求量</t>
    <phoneticPr fontId="3" type="noConversion"/>
  </si>
  <si>
    <t>每周订购量</t>
    <phoneticPr fontId="3" type="noConversion"/>
  </si>
  <si>
    <t>销售价格</t>
    <phoneticPr fontId="3" type="noConversion"/>
  </si>
  <si>
    <t>采购价格</t>
    <phoneticPr fontId="3" type="noConversion"/>
  </si>
  <si>
    <t>周日需求量标准差</t>
    <phoneticPr fontId="3" type="noConversion"/>
  </si>
  <si>
    <t>周日需求量均值</t>
    <phoneticPr fontId="3" type="noConversion"/>
  </si>
  <si>
    <t>周六需求量上限</t>
    <phoneticPr fontId="3" type="noConversion"/>
  </si>
  <si>
    <t>活动柱形</t>
    <phoneticPr fontId="3" type="noConversion"/>
  </si>
  <si>
    <t>利润</t>
    <phoneticPr fontId="3" type="noConversion"/>
  </si>
  <si>
    <t>销售收入</t>
    <phoneticPr fontId="3" type="noConversion"/>
  </si>
  <si>
    <t>采购成本</t>
    <phoneticPr fontId="3" type="noConversion"/>
  </si>
  <si>
    <t>总需求量</t>
    <phoneticPr fontId="3" type="noConversion"/>
  </si>
  <si>
    <t>周日需求量</t>
    <phoneticPr fontId="3" type="noConversion"/>
  </si>
  <si>
    <t>周六需求量</t>
    <phoneticPr fontId="3" type="noConversion"/>
  </si>
  <si>
    <t>周五需求量</t>
    <phoneticPr fontId="3" type="noConversion"/>
  </si>
  <si>
    <t>订购量</t>
    <phoneticPr fontId="3" type="noConversion"/>
  </si>
  <si>
    <t>周次</t>
    <phoneticPr fontId="3" type="noConversion"/>
  </si>
  <si>
    <t>周六需求量下限</t>
    <phoneticPr fontId="3" type="noConversion"/>
  </si>
  <si>
    <t xml:space="preserve"> </t>
    <phoneticPr fontId="21" type="noConversion"/>
  </si>
  <si>
    <t>总利润</t>
    <phoneticPr fontId="21" type="noConversion"/>
  </si>
  <si>
    <t>单位利润</t>
    <phoneticPr fontId="21" type="noConversion"/>
  </si>
  <si>
    <t>生产量</t>
    <phoneticPr fontId="21" type="noConversion"/>
  </si>
  <si>
    <t>部件E</t>
    <phoneticPr fontId="21" type="noConversion"/>
  </si>
  <si>
    <t>部件D</t>
    <phoneticPr fontId="21" type="noConversion"/>
  </si>
  <si>
    <t>部件C</t>
    <phoneticPr fontId="21" type="noConversion"/>
  </si>
  <si>
    <t>部件B</t>
    <phoneticPr fontId="21" type="noConversion"/>
  </si>
  <si>
    <t>部件A</t>
    <phoneticPr fontId="21" type="noConversion"/>
  </si>
  <si>
    <t>可供量</t>
    <phoneticPr fontId="21" type="noConversion"/>
  </si>
  <si>
    <t>需要量</t>
    <phoneticPr fontId="21" type="noConversion"/>
  </si>
  <si>
    <t>产品丙</t>
    <phoneticPr fontId="21" type="noConversion"/>
  </si>
  <si>
    <t>产品乙</t>
    <phoneticPr fontId="21" type="noConversion"/>
  </si>
  <si>
    <t>产品甲</t>
    <phoneticPr fontId="21" type="noConversion"/>
  </si>
  <si>
    <t>可调出量</t>
    <phoneticPr fontId="21" type="noConversion"/>
  </si>
  <si>
    <t>B</t>
    <phoneticPr fontId="21" type="noConversion"/>
  </si>
  <si>
    <t>A</t>
    <phoneticPr fontId="21" type="noConversion"/>
  </si>
  <si>
    <t>需求量</t>
    <phoneticPr fontId="21" type="noConversion"/>
  </si>
  <si>
    <t>乙</t>
    <phoneticPr fontId="21" type="noConversion"/>
  </si>
  <si>
    <t>甲</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</si>
</sst>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8" formatCode="&quot;¥&quot;#,##0.00;[Red]&quot;¥&quot;\-#,##0.00"/>
    <numFmt numFmtId="176" formatCode="0.0"/>
    <numFmt numFmtId="177" formatCode="0.0_ "/>
    <numFmt numFmtId="178" formatCode="0.00_ "/>
    <numFmt numFmtId="179" formatCode="_(* #,##0.00_);_(* \(#,##0.00\);_(* &quot;-&quot;??_);_(@_)"/>
    <numFmt numFmtId="180" formatCode="#,##0.00_ ;[Red]\-#,##0.00\ "/>
  </numFmts>
  <fonts count="43">
    <font>
      <sz val="12"/>
      <name val="宋体"/>
      <charset val="134"/>
    </font>
    <font>
      <sz val="11"/>
      <color indexed="8"/>
      <name val="宋体"/>
      <charset val="134"/>
    </font>
    <font>
      <sz val="11"/>
      <color indexed="8"/>
      <name val="宋体"/>
      <family val="3"/>
      <charset val="134"/>
    </font>
    <font>
      <sz val="9"/>
      <name val="宋体"/>
      <family val="3"/>
      <charset val="134"/>
    </font>
    <font>
      <sz val="12"/>
      <name val="宋体"/>
      <family val="3"/>
      <charset val="134"/>
    </font>
    <font>
      <b/>
      <sz val="11"/>
      <name val="宋体"/>
      <family val="3"/>
      <charset val="134"/>
    </font>
    <font>
      <b/>
      <sz val="11"/>
      <name val="Arial"/>
      <family val="2"/>
    </font>
    <font>
      <b/>
      <sz val="11"/>
      <color indexed="10"/>
      <name val="Arial"/>
      <family val="2"/>
    </font>
    <font>
      <b/>
      <vertAlign val="subscript"/>
      <sz val="11"/>
      <name val="Arial"/>
      <family val="2"/>
    </font>
    <font>
      <sz val="10"/>
      <name val="Times New Roman"/>
      <family val="1"/>
    </font>
    <font>
      <sz val="10"/>
      <name val="Arial"/>
      <family val="2"/>
    </font>
    <font>
      <sz val="12"/>
      <name val="Arial"/>
      <family val="2"/>
    </font>
    <font>
      <sz val="9"/>
      <name val="宋体"/>
      <family val="3"/>
      <charset val="134"/>
    </font>
    <font>
      <sz val="12"/>
      <color indexed="19"/>
      <name val="Arial"/>
      <family val="2"/>
    </font>
    <font>
      <sz val="12"/>
      <color indexed="19"/>
      <name val="宋体"/>
      <family val="3"/>
      <charset val="134"/>
    </font>
    <font>
      <sz val="12"/>
      <color indexed="9"/>
      <name val="宋体"/>
      <family val="3"/>
      <charset val="134"/>
    </font>
    <font>
      <b/>
      <sz val="12"/>
      <name val="Arial"/>
      <family val="2"/>
    </font>
    <font>
      <sz val="12"/>
      <color indexed="51"/>
      <name val="Arial"/>
      <family val="2"/>
    </font>
    <font>
      <sz val="11"/>
      <name val="宋体"/>
      <family val="3"/>
      <charset val="134"/>
    </font>
    <font>
      <sz val="12"/>
      <name val="宋体"/>
      <family val="3"/>
      <charset val="134"/>
    </font>
    <font>
      <sz val="10"/>
      <name val="宋体"/>
      <family val="3"/>
      <charset val="134"/>
    </font>
    <font>
      <sz val="9"/>
      <name val="宋体"/>
      <family val="3"/>
      <charset val="134"/>
    </font>
    <font>
      <sz val="11"/>
      <name val="宋体"/>
      <family val="3"/>
      <charset val="134"/>
    </font>
    <font>
      <sz val="11"/>
      <name val="Arial"/>
      <family val="2"/>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sz val="8"/>
      <name val="Arial"/>
      <family val="2"/>
    </font>
    <font>
      <b/>
      <sz val="11"/>
      <color indexed="63"/>
      <name val="宋体"/>
      <family val="3"/>
      <charset val="134"/>
    </font>
    <font>
      <b/>
      <sz val="18"/>
      <color indexed="56"/>
      <name val="宋体"/>
      <family val="3"/>
      <charset val="134"/>
    </font>
    <font>
      <b/>
      <sz val="11"/>
      <color indexed="8"/>
      <name val="宋体"/>
      <family val="3"/>
      <charset val="134"/>
    </font>
    <font>
      <sz val="11"/>
      <color indexed="10"/>
      <name val="宋体"/>
      <family val="3"/>
      <charset val="134"/>
    </font>
    <font>
      <b/>
      <sz val="11"/>
      <color theme="1"/>
      <name val="宋体"/>
      <family val="3"/>
      <charset val="134"/>
      <scheme val="minor"/>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7"/>
        <bgColor indexed="64"/>
      </patternFill>
    </fill>
    <fill>
      <patternFill patternType="solid">
        <fgColor indexed="19"/>
        <bgColor indexed="64"/>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lightDown">
        <bgColor indexed="22"/>
      </patternFill>
    </fill>
    <fill>
      <patternFill patternType="solid">
        <fgColor indexed="42"/>
        <bgColor indexed="64"/>
      </patternFill>
    </fill>
    <fill>
      <patternFill patternType="solid">
        <fgColor indexed="43"/>
        <bgColor indexed="64"/>
      </patternFill>
    </fill>
    <fill>
      <patternFill patternType="solid">
        <fgColor indexed="15"/>
        <bgColor indexed="64"/>
      </patternFill>
    </fill>
    <fill>
      <patternFill patternType="solid">
        <fgColor indexed="45"/>
        <bgColor indexed="64"/>
      </patternFill>
    </fill>
    <fill>
      <patternFill patternType="solid">
        <fgColor indexed="41"/>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7">
    <xf numFmtId="0" fontId="0" fillId="0" borderId="0">
      <alignment vertical="center"/>
    </xf>
    <xf numFmtId="0" fontId="24" fillId="2"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5" borderId="0" applyNumberFormat="0" applyBorder="0" applyAlignment="0" applyProtection="0">
      <alignment vertical="center"/>
    </xf>
    <xf numFmtId="0" fontId="24" fillId="6" borderId="0" applyNumberFormat="0" applyBorder="0" applyAlignment="0" applyProtection="0">
      <alignment vertical="center"/>
    </xf>
    <xf numFmtId="0" fontId="24" fillId="7" borderId="0" applyNumberFormat="0" applyBorder="0" applyAlignment="0" applyProtection="0">
      <alignment vertical="center"/>
    </xf>
    <xf numFmtId="0" fontId="24" fillId="8"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5" borderId="0" applyNumberFormat="0" applyBorder="0" applyAlignment="0" applyProtection="0">
      <alignment vertical="center"/>
    </xf>
    <xf numFmtId="0" fontId="24" fillId="8"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19" borderId="0" applyNumberFormat="0" applyBorder="0" applyAlignment="0" applyProtection="0">
      <alignment vertical="center"/>
    </xf>
    <xf numFmtId="0" fontId="26" fillId="3" borderId="0" applyNumberFormat="0" applyBorder="0" applyAlignment="0" applyProtection="0">
      <alignment vertical="center"/>
    </xf>
    <xf numFmtId="0" fontId="27" fillId="20" borderId="1" applyNumberFormat="0" applyAlignment="0" applyProtection="0">
      <alignment vertical="center"/>
    </xf>
    <xf numFmtId="0" fontId="28" fillId="21" borderId="2" applyNumberFormat="0" applyAlignment="0" applyProtection="0">
      <alignment vertical="center"/>
    </xf>
    <xf numFmtId="179" fontId="10" fillId="0" borderId="0" applyFont="0" applyFill="0" applyBorder="0" applyAlignment="0" applyProtection="0"/>
    <xf numFmtId="0" fontId="29" fillId="0" borderId="0" applyNumberFormat="0" applyFill="0" applyBorder="0" applyAlignment="0" applyProtection="0">
      <alignment vertical="center"/>
    </xf>
    <xf numFmtId="0" fontId="30" fillId="4" borderId="0" applyNumberFormat="0" applyBorder="0" applyAlignment="0" applyProtection="0">
      <alignment vertical="center"/>
    </xf>
    <xf numFmtId="0" fontId="31" fillId="0" borderId="3" applyNumberFormat="0" applyFill="0" applyAlignment="0" applyProtection="0">
      <alignment vertical="center"/>
    </xf>
    <xf numFmtId="0" fontId="32" fillId="0" borderId="4" applyNumberFormat="0" applyFill="0" applyAlignment="0" applyProtection="0">
      <alignment vertical="center"/>
    </xf>
    <xf numFmtId="0" fontId="33" fillId="0" borderId="5" applyNumberFormat="0" applyFill="0" applyAlignment="0" applyProtection="0">
      <alignment vertical="center"/>
    </xf>
    <xf numFmtId="0" fontId="33" fillId="0" borderId="0" applyNumberFormat="0" applyFill="0" applyBorder="0" applyAlignment="0" applyProtection="0">
      <alignment vertical="center"/>
    </xf>
    <xf numFmtId="0" fontId="34" fillId="7" borderId="1" applyNumberFormat="0" applyAlignment="0" applyProtection="0">
      <alignment vertical="center"/>
    </xf>
    <xf numFmtId="0" fontId="35" fillId="0" borderId="6" applyNumberFormat="0" applyFill="0" applyAlignment="0" applyProtection="0">
      <alignment vertical="center"/>
    </xf>
    <xf numFmtId="0" fontId="36" fillId="22" borderId="0" applyNumberFormat="0" applyBorder="0" applyAlignment="0" applyProtection="0">
      <alignment vertical="center"/>
    </xf>
    <xf numFmtId="0" fontId="4" fillId="0" borderId="0"/>
    <xf numFmtId="0" fontId="37" fillId="0" borderId="0"/>
    <xf numFmtId="0" fontId="19" fillId="23" borderId="7" applyNumberFormat="0" applyFont="0" applyAlignment="0" applyProtection="0">
      <alignment vertical="center"/>
    </xf>
    <xf numFmtId="0" fontId="38" fillId="20" borderId="8" applyNumberFormat="0" applyAlignment="0" applyProtection="0">
      <alignment vertical="center"/>
    </xf>
    <xf numFmtId="0" fontId="39" fillId="0" borderId="0" applyNumberFormat="0" applyFill="0" applyBorder="0" applyAlignment="0" applyProtection="0">
      <alignment vertical="center"/>
    </xf>
    <xf numFmtId="0" fontId="40" fillId="0" borderId="9" applyNumberFormat="0" applyFill="0" applyAlignment="0" applyProtection="0">
      <alignment vertical="center"/>
    </xf>
    <xf numFmtId="0" fontId="41" fillId="0" borderId="0" applyNumberFormat="0" applyFill="0" applyBorder="0" applyAlignment="0" applyProtection="0">
      <alignment vertical="center"/>
    </xf>
    <xf numFmtId="9" fontId="4" fillId="0" borderId="0" applyFont="0" applyFill="0" applyBorder="0" applyAlignment="0" applyProtection="0"/>
    <xf numFmtId="9" fontId="1" fillId="0" borderId="0" applyFont="0" applyFill="0" applyBorder="0" applyAlignment="0" applyProtection="0">
      <alignment vertical="center"/>
    </xf>
    <xf numFmtId="0" fontId="4" fillId="0" borderId="0"/>
    <xf numFmtId="0" fontId="19" fillId="0" borderId="0">
      <alignment vertical="center"/>
    </xf>
    <xf numFmtId="0" fontId="19" fillId="0" borderId="0">
      <alignment vertical="center"/>
    </xf>
    <xf numFmtId="0" fontId="4" fillId="0" borderId="0">
      <alignment vertical="center"/>
    </xf>
    <xf numFmtId="0" fontId="2" fillId="0" borderId="0">
      <alignment vertical="center"/>
    </xf>
    <xf numFmtId="0" fontId="4" fillId="0" borderId="0"/>
    <xf numFmtId="0" fontId="4" fillId="0" borderId="0"/>
    <xf numFmtId="0" fontId="10" fillId="0" borderId="0"/>
    <xf numFmtId="0" fontId="4" fillId="0" borderId="0"/>
    <xf numFmtId="0" fontId="19" fillId="0" borderId="0"/>
  </cellStyleXfs>
  <cellXfs count="108">
    <xf numFmtId="0" fontId="0" fillId="0" borderId="0" xfId="0">
      <alignment vertical="center"/>
    </xf>
    <xf numFmtId="0" fontId="2" fillId="0" borderId="0" xfId="51">
      <alignment vertical="center"/>
    </xf>
    <xf numFmtId="0" fontId="5" fillId="0" borderId="10" xfId="55" applyFont="1" applyFill="1" applyBorder="1" applyAlignment="1">
      <alignment horizontal="left"/>
    </xf>
    <xf numFmtId="1" fontId="6" fillId="0" borderId="10" xfId="55" applyNumberFormat="1" applyFont="1" applyFill="1" applyBorder="1"/>
    <xf numFmtId="0" fontId="6" fillId="0" borderId="0" xfId="55" applyFont="1" applyFill="1"/>
    <xf numFmtId="0" fontId="6" fillId="0" borderId="11" xfId="55" applyFont="1" applyFill="1" applyBorder="1"/>
    <xf numFmtId="0" fontId="6" fillId="0" borderId="10" xfId="55" applyFont="1" applyFill="1" applyBorder="1" applyAlignment="1">
      <alignment horizontal="center"/>
    </xf>
    <xf numFmtId="0" fontId="5" fillId="0" borderId="12" xfId="55" applyFont="1" applyFill="1" applyBorder="1"/>
    <xf numFmtId="2" fontId="6" fillId="0" borderId="10" xfId="55" applyNumberFormat="1" applyFont="1" applyFill="1" applyBorder="1"/>
    <xf numFmtId="0" fontId="5" fillId="0" borderId="13" xfId="55" applyFont="1" applyFill="1" applyBorder="1"/>
    <xf numFmtId="2" fontId="6" fillId="0" borderId="13" xfId="55" applyNumberFormat="1" applyFont="1" applyFill="1" applyBorder="1"/>
    <xf numFmtId="2" fontId="6" fillId="24" borderId="10" xfId="55" applyNumberFormat="1" applyFont="1" applyFill="1" applyBorder="1"/>
    <xf numFmtId="0" fontId="5" fillId="0" borderId="10" xfId="55" applyFont="1" applyFill="1" applyBorder="1"/>
    <xf numFmtId="9" fontId="6" fillId="24" borderId="10" xfId="45" applyFont="1" applyFill="1" applyBorder="1"/>
    <xf numFmtId="2" fontId="7" fillId="24" borderId="10" xfId="55" applyNumberFormat="1" applyFont="1" applyFill="1" applyBorder="1"/>
    <xf numFmtId="1" fontId="6" fillId="24" borderId="10" xfId="55" applyNumberFormat="1" applyFont="1" applyFill="1" applyBorder="1"/>
    <xf numFmtId="0" fontId="6" fillId="0" borderId="10" xfId="55" applyFont="1" applyFill="1" applyBorder="1"/>
    <xf numFmtId="0" fontId="11" fillId="0" borderId="0" xfId="54" applyFont="1"/>
    <xf numFmtId="0" fontId="11" fillId="25" borderId="0" xfId="54" applyFont="1" applyFill="1"/>
    <xf numFmtId="0" fontId="11" fillId="0" borderId="10" xfId="54" applyFont="1" applyBorder="1"/>
    <xf numFmtId="0" fontId="4" fillId="26" borderId="14" xfId="54" applyFont="1" applyFill="1" applyBorder="1"/>
    <xf numFmtId="0" fontId="4" fillId="26" borderId="15" xfId="54" applyFont="1" applyFill="1" applyBorder="1"/>
    <xf numFmtId="0" fontId="11" fillId="27" borderId="10" xfId="54" applyFont="1" applyFill="1" applyBorder="1"/>
    <xf numFmtId="0" fontId="13" fillId="25" borderId="0" xfId="54" applyFont="1" applyFill="1"/>
    <xf numFmtId="176" fontId="11" fillId="0" borderId="10" xfId="54" applyNumberFormat="1" applyFont="1" applyBorder="1"/>
    <xf numFmtId="177" fontId="11" fillId="0" borderId="10" xfId="54" applyNumberFormat="1" applyFont="1" applyBorder="1"/>
    <xf numFmtId="0" fontId="11" fillId="28" borderId="10" xfId="54" applyFont="1" applyFill="1" applyBorder="1"/>
    <xf numFmtId="0" fontId="14" fillId="25" borderId="0" xfId="54" applyFont="1" applyFill="1" applyBorder="1"/>
    <xf numFmtId="0" fontId="15" fillId="25" borderId="0" xfId="54" applyFont="1" applyFill="1" applyBorder="1" applyAlignment="1">
      <alignment horizontal="center"/>
    </xf>
    <xf numFmtId="0" fontId="16" fillId="0" borderId="0" xfId="54" applyFont="1"/>
    <xf numFmtId="0" fontId="4" fillId="26" borderId="10" xfId="54" applyFont="1" applyFill="1" applyBorder="1"/>
    <xf numFmtId="0" fontId="11" fillId="29" borderId="10" xfId="54" applyFont="1" applyFill="1" applyBorder="1"/>
    <xf numFmtId="176" fontId="11" fillId="29" borderId="10" xfId="54" applyNumberFormat="1" applyFont="1" applyFill="1" applyBorder="1"/>
    <xf numFmtId="176" fontId="11" fillId="28" borderId="10" xfId="54" applyNumberFormat="1" applyFont="1" applyFill="1" applyBorder="1"/>
    <xf numFmtId="0" fontId="17" fillId="25" borderId="0" xfId="54" applyFont="1" applyFill="1"/>
    <xf numFmtId="0" fontId="11" fillId="30" borderId="10" xfId="54" applyFont="1" applyFill="1" applyBorder="1"/>
    <xf numFmtId="176" fontId="11" fillId="30" borderId="10" xfId="54" applyNumberFormat="1" applyFont="1" applyFill="1" applyBorder="1"/>
    <xf numFmtId="2" fontId="11" fillId="30" borderId="10" xfId="54" applyNumberFormat="1" applyFont="1" applyFill="1" applyBorder="1"/>
    <xf numFmtId="176" fontId="11" fillId="0" borderId="0" xfId="54" applyNumberFormat="1" applyFont="1"/>
    <xf numFmtId="0" fontId="18" fillId="0" borderId="0" xfId="53" applyFont="1"/>
    <xf numFmtId="0" fontId="18" fillId="26" borderId="10" xfId="53" applyFont="1" applyFill="1" applyBorder="1"/>
    <xf numFmtId="0" fontId="18" fillId="25" borderId="0" xfId="53" applyFont="1" applyFill="1"/>
    <xf numFmtId="178" fontId="18" fillId="0" borderId="0" xfId="53" applyNumberFormat="1" applyFont="1"/>
    <xf numFmtId="0" fontId="18" fillId="0" borderId="10" xfId="53" applyFont="1" applyBorder="1"/>
    <xf numFmtId="0" fontId="18" fillId="30" borderId="10" xfId="53" applyFont="1" applyFill="1" applyBorder="1"/>
    <xf numFmtId="0" fontId="18" fillId="26" borderId="10" xfId="52" applyFont="1" applyFill="1" applyBorder="1"/>
    <xf numFmtId="0" fontId="18" fillId="31" borderId="10" xfId="53" applyFont="1" applyFill="1" applyBorder="1"/>
    <xf numFmtId="178" fontId="18" fillId="0" borderId="10" xfId="53" applyNumberFormat="1" applyFont="1" applyBorder="1"/>
    <xf numFmtId="178" fontId="18" fillId="30" borderId="10" xfId="53" applyNumberFormat="1" applyFont="1" applyFill="1" applyBorder="1"/>
    <xf numFmtId="0" fontId="18" fillId="27" borderId="10" xfId="53" applyFont="1" applyFill="1" applyBorder="1"/>
    <xf numFmtId="178" fontId="18" fillId="25" borderId="0" xfId="53" applyNumberFormat="1" applyFont="1" applyFill="1"/>
    <xf numFmtId="0" fontId="18" fillId="0" borderId="0" xfId="0" applyFont="1">
      <alignment vertical="center"/>
    </xf>
    <xf numFmtId="8" fontId="18" fillId="32" borderId="0" xfId="0" applyNumberFormat="1" applyFont="1" applyFill="1">
      <alignment vertical="center"/>
    </xf>
    <xf numFmtId="8" fontId="18" fillId="30" borderId="0" xfId="0" applyNumberFormat="1" applyFont="1" applyFill="1">
      <alignment vertical="center"/>
    </xf>
    <xf numFmtId="8" fontId="18" fillId="33" borderId="0" xfId="0" applyNumberFormat="1" applyFont="1" applyFill="1">
      <alignment vertical="center"/>
    </xf>
    <xf numFmtId="8" fontId="18" fillId="0" borderId="0" xfId="0" applyNumberFormat="1" applyFont="1">
      <alignment vertical="center"/>
    </xf>
    <xf numFmtId="178" fontId="18" fillId="0" borderId="0" xfId="0" applyNumberFormat="1" applyFont="1">
      <alignment vertical="center"/>
    </xf>
    <xf numFmtId="0" fontId="18" fillId="25" borderId="0" xfId="50" applyFont="1" applyFill="1">
      <alignment vertical="center"/>
    </xf>
    <xf numFmtId="180" fontId="18" fillId="25" borderId="0" xfId="50" applyNumberFormat="1" applyFont="1" applyFill="1">
      <alignment vertical="center"/>
    </xf>
    <xf numFmtId="180" fontId="18" fillId="30" borderId="10" xfId="50" applyNumberFormat="1" applyFont="1" applyFill="1" applyBorder="1">
      <alignment vertical="center"/>
    </xf>
    <xf numFmtId="0" fontId="18" fillId="26" borderId="10" xfId="50" applyFont="1" applyFill="1" applyBorder="1">
      <alignment vertical="center"/>
    </xf>
    <xf numFmtId="8" fontId="18" fillId="25" borderId="0" xfId="50" applyNumberFormat="1" applyFont="1" applyFill="1">
      <alignment vertical="center"/>
    </xf>
    <xf numFmtId="0" fontId="6" fillId="28" borderId="10" xfId="55" applyFont="1" applyFill="1" applyBorder="1" applyAlignment="1">
      <alignment horizontal="right"/>
    </xf>
    <xf numFmtId="8" fontId="18" fillId="30" borderId="10" xfId="50" applyNumberFormat="1" applyFont="1" applyFill="1" applyBorder="1">
      <alignment vertical="center"/>
    </xf>
    <xf numFmtId="10" fontId="18" fillId="25" borderId="0" xfId="50" applyNumberFormat="1" applyFont="1" applyFill="1">
      <alignment vertical="center"/>
    </xf>
    <xf numFmtId="10" fontId="6" fillId="28" borderId="10" xfId="55" applyNumberFormat="1" applyFont="1" applyFill="1" applyBorder="1" applyAlignment="1">
      <alignment horizontal="right"/>
    </xf>
    <xf numFmtId="0" fontId="0" fillId="0" borderId="10" xfId="0" applyBorder="1">
      <alignment vertical="center"/>
    </xf>
    <xf numFmtId="9" fontId="0" fillId="35" borderId="10" xfId="0" applyNumberFormat="1" applyFill="1" applyBorder="1">
      <alignment vertical="center"/>
    </xf>
    <xf numFmtId="14" fontId="0" fillId="36" borderId="10" xfId="0" applyNumberFormat="1" applyFill="1" applyBorder="1">
      <alignment vertical="center"/>
    </xf>
    <xf numFmtId="0" fontId="0" fillId="37" borderId="10" xfId="0" applyFill="1" applyBorder="1">
      <alignment vertical="center"/>
    </xf>
    <xf numFmtId="9" fontId="0" fillId="38" borderId="10" xfId="0" applyNumberFormat="1" applyFill="1" applyBorder="1">
      <alignment vertical="center"/>
    </xf>
    <xf numFmtId="0" fontId="0" fillId="0" borderId="10" xfId="0" applyBorder="1" applyAlignment="1">
      <alignment horizontal="center" vertical="center"/>
    </xf>
    <xf numFmtId="0" fontId="42" fillId="0" borderId="10" xfId="0" applyFont="1" applyFill="1" applyBorder="1" applyAlignment="1">
      <alignment horizontal="center" vertical="center"/>
    </xf>
    <xf numFmtId="10" fontId="0" fillId="38" borderId="10" xfId="0" applyNumberFormat="1" applyFill="1" applyBorder="1">
      <alignment vertical="center"/>
    </xf>
    <xf numFmtId="14" fontId="0" fillId="36" borderId="10" xfId="0" applyNumberFormat="1" applyFill="1" applyBorder="1" applyAlignment="1">
      <alignment horizontal="center" vertical="center"/>
    </xf>
    <xf numFmtId="0" fontId="0" fillId="36" borderId="10" xfId="0" applyFill="1" applyBorder="1" applyAlignment="1">
      <alignment horizontal="center" vertical="center"/>
    </xf>
    <xf numFmtId="14" fontId="42" fillId="36" borderId="10" xfId="0" applyNumberFormat="1" applyFont="1" applyFill="1" applyBorder="1" applyAlignment="1">
      <alignment horizontal="center" vertical="center"/>
    </xf>
    <xf numFmtId="0" fontId="18" fillId="0" borderId="0" xfId="38" applyFont="1"/>
    <xf numFmtId="0" fontId="18" fillId="0" borderId="0" xfId="38" applyFont="1" applyAlignment="1">
      <alignment horizontal="center"/>
    </xf>
    <xf numFmtId="0" fontId="18" fillId="0" borderId="10" xfId="38" applyFont="1" applyBorder="1" applyAlignment="1">
      <alignment horizontal="center"/>
    </xf>
    <xf numFmtId="0" fontId="18" fillId="0" borderId="0" xfId="38" applyFont="1" applyFill="1"/>
    <xf numFmtId="0" fontId="18" fillId="26" borderId="10" xfId="38" applyFont="1" applyFill="1" applyBorder="1" applyAlignment="1">
      <alignment horizontal="center"/>
    </xf>
    <xf numFmtId="9" fontId="18" fillId="30" borderId="10" xfId="38" applyNumberFormat="1" applyFont="1" applyFill="1" applyBorder="1" applyAlignment="1">
      <alignment horizontal="center"/>
    </xf>
    <xf numFmtId="9" fontId="18" fillId="31" borderId="14" xfId="46" applyFont="1" applyFill="1" applyBorder="1" applyAlignment="1">
      <alignment horizontal="center"/>
    </xf>
    <xf numFmtId="0" fontId="18" fillId="31" borderId="10" xfId="38" applyFont="1" applyFill="1" applyBorder="1" applyAlignment="1">
      <alignment horizontal="center"/>
    </xf>
    <xf numFmtId="0" fontId="18" fillId="30" borderId="10" xfId="38" applyFont="1" applyFill="1" applyBorder="1" applyAlignment="1">
      <alignment horizontal="center"/>
    </xf>
    <xf numFmtId="0" fontId="18" fillId="26" borderId="10" xfId="38" applyFont="1" applyFill="1" applyBorder="1"/>
    <xf numFmtId="0" fontId="18" fillId="0" borderId="10" xfId="38" applyFont="1" applyBorder="1"/>
    <xf numFmtId="0" fontId="18" fillId="0" borderId="0" xfId="38" applyFont="1" applyFill="1" applyAlignment="1">
      <alignment horizontal="center"/>
    </xf>
    <xf numFmtId="0" fontId="5" fillId="0" borderId="0" xfId="38" applyFont="1" applyFill="1"/>
    <xf numFmtId="0" fontId="20" fillId="0" borderId="0" xfId="49" applyFont="1">
      <alignment vertical="center"/>
    </xf>
    <xf numFmtId="0" fontId="20" fillId="0" borderId="0" xfId="49" applyFont="1" applyAlignment="1">
      <alignment horizontal="center" vertical="center"/>
    </xf>
    <xf numFmtId="0" fontId="9" fillId="0" borderId="0" xfId="49" applyFont="1">
      <alignment vertical="center"/>
    </xf>
    <xf numFmtId="0" fontId="22" fillId="0" borderId="0" xfId="49" applyFont="1" applyAlignment="1">
      <alignment horizontal="center" vertical="center"/>
    </xf>
    <xf numFmtId="0" fontId="22" fillId="0" borderId="0" xfId="49" applyFont="1">
      <alignment vertical="center"/>
    </xf>
    <xf numFmtId="0" fontId="22" fillId="30" borderId="10" xfId="49" applyFont="1" applyFill="1" applyBorder="1" applyAlignment="1">
      <alignment horizontal="center" vertical="center"/>
    </xf>
    <xf numFmtId="0" fontId="22" fillId="26" borderId="10" xfId="49" applyFont="1" applyFill="1" applyBorder="1">
      <alignment vertical="center"/>
    </xf>
    <xf numFmtId="0" fontId="23" fillId="28" borderId="10" xfId="56" applyFont="1" applyFill="1" applyBorder="1" applyAlignment="1">
      <alignment horizontal="center"/>
    </xf>
    <xf numFmtId="0" fontId="22" fillId="26" borderId="10" xfId="49" applyFont="1" applyFill="1" applyBorder="1" applyAlignment="1">
      <alignment horizontal="center" vertical="center"/>
    </xf>
    <xf numFmtId="0" fontId="19" fillId="0" borderId="0" xfId="48">
      <alignment vertical="center"/>
    </xf>
    <xf numFmtId="0" fontId="19" fillId="0" borderId="0" xfId="48" applyAlignment="1">
      <alignment horizontal="center" vertical="center"/>
    </xf>
    <xf numFmtId="0" fontId="19" fillId="26" borderId="10" xfId="48" applyFill="1" applyBorder="1" applyAlignment="1">
      <alignment horizontal="center" vertical="center"/>
    </xf>
    <xf numFmtId="0" fontId="19" fillId="32" borderId="10" xfId="48" applyFill="1" applyBorder="1" applyAlignment="1">
      <alignment horizontal="center" vertical="center"/>
    </xf>
    <xf numFmtId="0" fontId="19" fillId="30" borderId="10" xfId="48" applyFill="1" applyBorder="1" applyAlignment="1">
      <alignment horizontal="center" vertical="center"/>
    </xf>
    <xf numFmtId="0" fontId="19" fillId="34" borderId="10" xfId="48" applyFill="1" applyBorder="1" applyAlignment="1">
      <alignment horizontal="center" vertical="center"/>
    </xf>
    <xf numFmtId="0" fontId="4" fillId="26" borderId="14" xfId="54" applyFont="1" applyFill="1" applyBorder="1" applyAlignment="1">
      <alignment horizontal="left"/>
    </xf>
    <xf numFmtId="0" fontId="4" fillId="26" borderId="15" xfId="54" applyFont="1" applyFill="1" applyBorder="1" applyAlignment="1">
      <alignment horizontal="left"/>
    </xf>
    <xf numFmtId="0" fontId="18" fillId="0" borderId="0" xfId="0" applyFont="1" applyAlignment="1">
      <alignment horizontal="center" vertical="center"/>
    </xf>
  </cellXfs>
  <cellStyles count="57">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Accent1" xfId="19"/>
    <cellStyle name="Accent2" xfId="20"/>
    <cellStyle name="Accent3" xfId="21"/>
    <cellStyle name="Accent4" xfId="22"/>
    <cellStyle name="Accent5" xfId="23"/>
    <cellStyle name="Accent6" xfId="24"/>
    <cellStyle name="Bad" xfId="25"/>
    <cellStyle name="Calculation" xfId="26"/>
    <cellStyle name="Check Cell" xfId="27"/>
    <cellStyle name="Comma_考试题-绘图1" xfId="28"/>
    <cellStyle name="Explanatory Text" xfId="29"/>
    <cellStyle name="Good" xfId="30"/>
    <cellStyle name="Heading 1" xfId="31"/>
    <cellStyle name="Heading 2" xfId="32"/>
    <cellStyle name="Heading 3" xfId="33"/>
    <cellStyle name="Heading 4" xfId="34"/>
    <cellStyle name="Input" xfId="35"/>
    <cellStyle name="Linked Cell" xfId="36"/>
    <cellStyle name="Neutral" xfId="37"/>
    <cellStyle name="Normal 2" xfId="38"/>
    <cellStyle name="Normal_Calculation (3)" xfId="39"/>
    <cellStyle name="Note" xfId="40"/>
    <cellStyle name="Output" xfId="41"/>
    <cellStyle name="Title" xfId="42"/>
    <cellStyle name="Total" xfId="43"/>
    <cellStyle name="Warning Text" xfId="44"/>
    <cellStyle name="百分比 2" xfId="45"/>
    <cellStyle name="百分比 3" xfId="46"/>
    <cellStyle name="常规" xfId="0" builtinId="0"/>
    <cellStyle name="常规 2" xfId="47"/>
    <cellStyle name="常规 3" xfId="48"/>
    <cellStyle name="常规_0 第4题-题目陈" xfId="49"/>
    <cellStyle name="常规_0 第6题(共五场)试题空白试题-赵" xfId="50"/>
    <cellStyle name="常规_Sheet1" xfId="51"/>
    <cellStyle name="常规_第1套第5题答案" xfId="52"/>
    <cellStyle name="常规_第1套第6题答案" xfId="53"/>
    <cellStyle name="常规_第2套第6题解答" xfId="54"/>
    <cellStyle name="常规_例6-02 安全边际与目标销量分析模型" xfId="55"/>
    <cellStyle name="常规_例6-02 安全边际与目标销量分析模型 2" xfId="5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828471116295847"/>
          <c:y val="8.3612040133779292E-2"/>
          <c:w val="0.7489547399593236"/>
          <c:h val="0.62207357859531798"/>
        </c:manualLayout>
      </c:layout>
      <c:scatterChart>
        <c:scatterStyle val="lineMarker"/>
        <c:varyColors val="0"/>
        <c:ser>
          <c:idx val="0"/>
          <c:order val="0"/>
          <c:tx>
            <c:strRef>
              <c:f>第2题!$J$2</c:f>
              <c:strCache>
                <c:ptCount val="1"/>
                <c:pt idx="0">
                  <c:v>外购</c:v>
                </c:pt>
              </c:strCache>
            </c:strRef>
          </c:tx>
          <c:spPr>
            <a:ln w="25400">
              <a:solidFill>
                <a:srgbClr val="0000FF"/>
              </a:solidFill>
              <a:prstDash val="solid"/>
            </a:ln>
          </c:spPr>
          <c:marker>
            <c:symbol val="none"/>
          </c:marker>
          <c:xVal>
            <c:numRef>
              <c:f>第2题!$I$4:$I$5</c:f>
              <c:numCache>
                <c:formatCode>General</c:formatCode>
                <c:ptCount val="2"/>
                <c:pt idx="0">
                  <c:v>1000</c:v>
                </c:pt>
                <c:pt idx="1">
                  <c:v>3000</c:v>
                </c:pt>
              </c:numCache>
            </c:numRef>
          </c:xVal>
          <c:yVal>
            <c:numRef>
              <c:f>第2题!$J$4:$J$5</c:f>
              <c:numCache>
                <c:formatCode>General</c:formatCode>
                <c:ptCount val="2"/>
                <c:pt idx="0">
                  <c:v>90000</c:v>
                </c:pt>
                <c:pt idx="1">
                  <c:v>270000</c:v>
                </c:pt>
              </c:numCache>
            </c:numRef>
          </c:yVal>
          <c:smooth val="0"/>
        </c:ser>
        <c:ser>
          <c:idx val="1"/>
          <c:order val="1"/>
          <c:tx>
            <c:strRef>
              <c:f>第2题!$K$2</c:f>
              <c:strCache>
                <c:ptCount val="1"/>
                <c:pt idx="0">
                  <c:v>自制</c:v>
                </c:pt>
              </c:strCache>
            </c:strRef>
          </c:tx>
          <c:spPr>
            <a:ln w="25400">
              <a:solidFill>
                <a:srgbClr val="FF00FF"/>
              </a:solidFill>
              <a:prstDash val="solid"/>
            </a:ln>
          </c:spPr>
          <c:marker>
            <c:symbol val="none"/>
          </c:marker>
          <c:xVal>
            <c:numRef>
              <c:f>第2题!$I$4:$I$5</c:f>
              <c:numCache>
                <c:formatCode>General</c:formatCode>
                <c:ptCount val="2"/>
                <c:pt idx="0">
                  <c:v>1000</c:v>
                </c:pt>
                <c:pt idx="1">
                  <c:v>3000</c:v>
                </c:pt>
              </c:numCache>
            </c:numRef>
          </c:xVal>
          <c:yVal>
            <c:numRef>
              <c:f>第2题!$K$4:$K$5</c:f>
              <c:numCache>
                <c:formatCode>General</c:formatCode>
                <c:ptCount val="2"/>
                <c:pt idx="0">
                  <c:v>145000</c:v>
                </c:pt>
                <c:pt idx="1">
                  <c:v>235000</c:v>
                </c:pt>
              </c:numCache>
            </c:numRef>
          </c:yVal>
          <c:smooth val="0"/>
        </c:ser>
        <c:ser>
          <c:idx val="2"/>
          <c:order val="2"/>
          <c:spPr>
            <a:ln w="25400">
              <a:solidFill>
                <a:srgbClr val="FF0000"/>
              </a:solidFill>
              <a:prstDash val="solid"/>
            </a:ln>
          </c:spPr>
          <c:marker>
            <c:symbol val="none"/>
          </c:marker>
          <c:dPt>
            <c:idx val="1"/>
            <c:marker>
              <c:symbol val="circle"/>
              <c:size val="7"/>
              <c:spPr>
                <a:solidFill>
                  <a:srgbClr val="FFFFFF"/>
                </a:solidFill>
                <a:ln>
                  <a:solidFill>
                    <a:srgbClr val="FF0000"/>
                  </a:solidFill>
                  <a:prstDash val="solid"/>
                </a:ln>
              </c:spPr>
            </c:marker>
            <c:bubble3D val="0"/>
          </c:dPt>
          <c:xVal>
            <c:numRef>
              <c:f>第2题!$I$13:$I$15</c:f>
              <c:numCache>
                <c:formatCode>0.0</c:formatCode>
                <c:ptCount val="3"/>
                <c:pt idx="0">
                  <c:v>2222.2222222222222</c:v>
                </c:pt>
                <c:pt idx="1">
                  <c:v>2222.2222222222222</c:v>
                </c:pt>
                <c:pt idx="2">
                  <c:v>2222.2222222222222</c:v>
                </c:pt>
              </c:numCache>
            </c:numRef>
          </c:xVal>
          <c:yVal>
            <c:numRef>
              <c:f>第2题!$J$13:$J$15</c:f>
              <c:numCache>
                <c:formatCode>General</c:formatCode>
                <c:ptCount val="3"/>
                <c:pt idx="0">
                  <c:v>300000</c:v>
                </c:pt>
                <c:pt idx="1">
                  <c:v>200000</c:v>
                </c:pt>
                <c:pt idx="2">
                  <c:v>50000</c:v>
                </c:pt>
              </c:numCache>
            </c:numRef>
          </c:yVal>
          <c:smooth val="0"/>
        </c:ser>
        <c:dLbls>
          <c:showLegendKey val="0"/>
          <c:showVal val="0"/>
          <c:showCatName val="0"/>
          <c:showSerName val="0"/>
          <c:showPercent val="0"/>
          <c:showBubbleSize val="0"/>
        </c:dLbls>
        <c:axId val="196415424"/>
        <c:axId val="196469312"/>
      </c:scatterChart>
      <c:valAx>
        <c:axId val="196415424"/>
        <c:scaling>
          <c:orientation val="minMax"/>
          <c:max val="3000"/>
          <c:min val="1000"/>
        </c:scaling>
        <c:delete val="0"/>
        <c:axPos val="b"/>
        <c:majorGridlines>
          <c:spPr>
            <a:ln w="3175">
              <a:solidFill>
                <a:srgbClr val="C0C0C0"/>
              </a:solidFill>
              <a:prstDash val="solid"/>
            </a:ln>
          </c:spPr>
        </c:majorGridlines>
        <c:title>
          <c:tx>
            <c:rich>
              <a:bodyPr/>
              <a:lstStyle/>
              <a:p>
                <a:pPr>
                  <a:defRPr sz="1000" b="0" i="0" u="none" strike="noStrike" baseline="0">
                    <a:solidFill>
                      <a:srgbClr val="000000"/>
                    </a:solidFill>
                    <a:latin typeface="宋体"/>
                    <a:ea typeface="宋体"/>
                    <a:cs typeface="宋体"/>
                  </a:defRPr>
                </a:pPr>
                <a:r>
                  <a:rPr lang="zh-CN" altLang="en-US"/>
                  <a:t>需求数量</a:t>
                </a:r>
              </a:p>
            </c:rich>
          </c:tx>
          <c:layout>
            <c:manualLayout>
              <c:xMode val="edge"/>
              <c:yMode val="edge"/>
              <c:x val="0.84937326348850739"/>
              <c:y val="0.79598662207357862"/>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宋体"/>
                <a:ea typeface="宋体"/>
                <a:cs typeface="宋体"/>
              </a:defRPr>
            </a:pPr>
            <a:endParaRPr lang="zh-CN"/>
          </a:p>
        </c:txPr>
        <c:crossAx val="196469312"/>
        <c:crossesAt val="0"/>
        <c:crossBetween val="midCat"/>
        <c:majorUnit val="500"/>
        <c:minorUnit val="100"/>
      </c:valAx>
      <c:valAx>
        <c:axId val="196469312"/>
        <c:scaling>
          <c:orientation val="minMax"/>
          <c:max val="300000"/>
          <c:min val="50000"/>
        </c:scaling>
        <c:delete val="0"/>
        <c:axPos val="l"/>
        <c:majorGridlines>
          <c:spPr>
            <a:ln w="3175">
              <a:solidFill>
                <a:srgbClr val="C0C0C0"/>
              </a:solidFill>
              <a:prstDash val="solid"/>
            </a:ln>
          </c:spPr>
        </c:majorGridlines>
        <c:title>
          <c:tx>
            <c:rich>
              <a:bodyPr rot="0" vert="wordArtVertRtl"/>
              <a:lstStyle/>
              <a:p>
                <a:pPr algn="ctr">
                  <a:defRPr sz="1000" b="0" i="0" u="none" strike="noStrike" baseline="0">
                    <a:solidFill>
                      <a:srgbClr val="000000"/>
                    </a:solidFill>
                    <a:latin typeface="宋体"/>
                    <a:ea typeface="宋体"/>
                    <a:cs typeface="宋体"/>
                  </a:defRPr>
                </a:pPr>
                <a:r>
                  <a:rPr lang="zh-CN" altLang="en-US"/>
                  <a:t>总成本</a:t>
                </a:r>
              </a:p>
            </c:rich>
          </c:tx>
          <c:layout>
            <c:manualLayout>
              <c:xMode val="edge"/>
              <c:yMode val="edge"/>
              <c:x val="2.0920502092050208E-2"/>
              <c:y val="1.6722408026755852E-2"/>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宋体"/>
                <a:ea typeface="宋体"/>
                <a:cs typeface="宋体"/>
              </a:defRPr>
            </a:pPr>
            <a:endParaRPr lang="zh-CN"/>
          </a:p>
        </c:txPr>
        <c:crossAx val="196415424"/>
        <c:crossesAt val="0"/>
        <c:crossBetween val="midCat"/>
        <c:majorUnit val="50000"/>
        <c:minorUnit val="10000"/>
      </c:valAx>
      <c:spPr>
        <a:noFill/>
        <a:ln w="12700">
          <a:solidFill>
            <a:srgbClr val="C0C0C0"/>
          </a:solidFill>
          <a:prstDash val="solid"/>
        </a:ln>
      </c:spPr>
    </c:plotArea>
    <c:legend>
      <c:legendPos val="b"/>
      <c:legendEntry>
        <c:idx val="2"/>
        <c:delete val="1"/>
      </c:legendEntry>
      <c:layout>
        <c:manualLayout>
          <c:xMode val="edge"/>
          <c:yMode val="edge"/>
          <c:wMode val="edge"/>
          <c:hMode val="edge"/>
          <c:x val="0.4330548325810738"/>
          <c:y val="0.90635451505016718"/>
          <c:w val="0.69037722795110867"/>
          <c:h val="0.97658862876254171"/>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宋体"/>
              <a:ea typeface="宋体"/>
              <a:cs typeface="宋体"/>
            </a:defRPr>
          </a:pPr>
          <a:endParaRPr lang="zh-CN"/>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宋体"/>
          <a:ea typeface="宋体"/>
          <a:cs typeface="宋体"/>
        </a:defRPr>
      </a:pPr>
      <a:endParaRPr lang="zh-CN"/>
    </a:p>
  </c:txPr>
  <c:printSettings>
    <c:headerFooter alignWithMargins="0"/>
    <c:pageMargins b="1" l="0.75000000000000022" r="0.75000000000000022"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173913043478273"/>
          <c:y val="0.14569536423841059"/>
          <c:w val="0.73565217391304361"/>
          <c:h val="0.65231788079470199"/>
        </c:manualLayout>
      </c:layout>
      <c:scatterChart>
        <c:scatterStyle val="smoothMarker"/>
        <c:varyColors val="0"/>
        <c:ser>
          <c:idx val="0"/>
          <c:order val="0"/>
          <c:spPr>
            <a:ln w="25400">
              <a:solidFill>
                <a:srgbClr val="000080"/>
              </a:solidFill>
              <a:prstDash val="solid"/>
            </a:ln>
          </c:spPr>
          <c:marker>
            <c:symbol val="none"/>
          </c:marker>
          <c:xVal>
            <c:numRef>
              <c:f>第3题!$G$5:$G$18</c:f>
              <c:numCache>
                <c:formatCode>General</c:formatCode>
                <c:ptCount val="14"/>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numCache>
            </c:numRef>
          </c:xVal>
          <c:yVal>
            <c:numRef>
              <c:f>第3题!$H$5:$H$18</c:f>
              <c:numCache>
                <c:formatCode>0.00_ </c:formatCode>
                <c:ptCount val="14"/>
                <c:pt idx="0">
                  <c:v>9100</c:v>
                </c:pt>
                <c:pt idx="1">
                  <c:v>4700</c:v>
                </c:pt>
                <c:pt idx="2">
                  <c:v>3300</c:v>
                </c:pt>
                <c:pt idx="3">
                  <c:v>2650</c:v>
                </c:pt>
                <c:pt idx="4">
                  <c:v>2300</c:v>
                </c:pt>
                <c:pt idx="5">
                  <c:v>2100</c:v>
                </c:pt>
                <c:pt idx="6" formatCode="General">
                  <c:v>1985.7142857142858</c:v>
                </c:pt>
                <c:pt idx="7" formatCode="General">
                  <c:v>1925</c:v>
                </c:pt>
                <c:pt idx="8" formatCode="General">
                  <c:v>1900</c:v>
                </c:pt>
                <c:pt idx="9" formatCode="General">
                  <c:v>1900</c:v>
                </c:pt>
                <c:pt idx="10" formatCode="General">
                  <c:v>1918.181818181818</c:v>
                </c:pt>
                <c:pt idx="11" formatCode="General">
                  <c:v>1950</c:v>
                </c:pt>
                <c:pt idx="12" formatCode="General">
                  <c:v>1992.3076923076924</c:v>
                </c:pt>
                <c:pt idx="13" formatCode="General">
                  <c:v>2042.8571428571431</c:v>
                </c:pt>
              </c:numCache>
            </c:numRef>
          </c:yVal>
          <c:smooth val="1"/>
        </c:ser>
        <c:ser>
          <c:idx val="1"/>
          <c:order val="1"/>
          <c:spPr>
            <a:ln w="28575">
              <a:noFill/>
            </a:ln>
          </c:spPr>
          <c:marker>
            <c:symbol val="square"/>
            <c:size val="7"/>
            <c:spPr>
              <a:solidFill>
                <a:srgbClr val="FFFFFF"/>
              </a:solidFill>
              <a:ln>
                <a:solidFill>
                  <a:srgbClr val="0000FF"/>
                </a:solidFill>
                <a:prstDash val="solid"/>
              </a:ln>
            </c:spPr>
          </c:marker>
          <c:xVal>
            <c:numRef>
              <c:f>第3题!$K$4:$K$8</c:f>
              <c:numCache>
                <c:formatCode>General</c:formatCode>
                <c:ptCount val="5"/>
                <c:pt idx="0">
                  <c:v>8215.8383625774914</c:v>
                </c:pt>
                <c:pt idx="1">
                  <c:v>9082.9510622924754</c:v>
                </c:pt>
                <c:pt idx="2">
                  <c:v>9486.832980505138</c:v>
                </c:pt>
                <c:pt idx="3">
                  <c:v>10000</c:v>
                </c:pt>
                <c:pt idx="4">
                  <c:v>10606.601717798212</c:v>
                </c:pt>
              </c:numCache>
            </c:numRef>
          </c:xVal>
          <c:yVal>
            <c:numRef>
              <c:f>第3题!$L$4:$L$8</c:f>
              <c:numCache>
                <c:formatCode>0.00_ </c:formatCode>
                <c:ptCount val="5"/>
                <c:pt idx="0">
                  <c:v>1643.1676725154985</c:v>
                </c:pt>
                <c:pt idx="1">
                  <c:v>1816.590212458495</c:v>
                </c:pt>
                <c:pt idx="2">
                  <c:v>1897.3665961010274</c:v>
                </c:pt>
                <c:pt idx="3">
                  <c:v>2000</c:v>
                </c:pt>
                <c:pt idx="4">
                  <c:v>2121.3203435596424</c:v>
                </c:pt>
              </c:numCache>
            </c:numRef>
          </c:yVal>
          <c:smooth val="1"/>
        </c:ser>
        <c:ser>
          <c:idx val="2"/>
          <c:order val="2"/>
          <c:spPr>
            <a:ln w="25400">
              <a:solidFill>
                <a:srgbClr val="FF0000"/>
              </a:solidFill>
              <a:prstDash val="solid"/>
            </a:ln>
          </c:spPr>
          <c:marker>
            <c:symbol val="none"/>
          </c:marker>
          <c:xVal>
            <c:numRef>
              <c:f>第3题!$J$15:$J$17</c:f>
              <c:numCache>
                <c:formatCode>General</c:formatCode>
                <c:ptCount val="3"/>
                <c:pt idx="0">
                  <c:v>1000</c:v>
                </c:pt>
                <c:pt idx="1">
                  <c:v>9486.832980505138</c:v>
                </c:pt>
                <c:pt idx="2">
                  <c:v>14000</c:v>
                </c:pt>
              </c:numCache>
            </c:numRef>
          </c:xVal>
          <c:yVal>
            <c:numRef>
              <c:f>第3题!$K$15:$K$17</c:f>
              <c:numCache>
                <c:formatCode>General</c:formatCode>
                <c:ptCount val="3"/>
                <c:pt idx="0">
                  <c:v>1897.3665961010274</c:v>
                </c:pt>
                <c:pt idx="1">
                  <c:v>1897.3665961010274</c:v>
                </c:pt>
                <c:pt idx="2">
                  <c:v>1897.3665961010274</c:v>
                </c:pt>
              </c:numCache>
            </c:numRef>
          </c:yVal>
          <c:smooth val="1"/>
        </c:ser>
        <c:ser>
          <c:idx val="3"/>
          <c:order val="3"/>
          <c:spPr>
            <a:ln w="12700">
              <a:solidFill>
                <a:srgbClr val="00FFFF"/>
              </a:solidFill>
              <a:prstDash val="solid"/>
            </a:ln>
          </c:spPr>
          <c:marker>
            <c:symbol val="square"/>
            <c:size val="7"/>
            <c:spPr>
              <a:solidFill>
                <a:srgbClr val="FF0000"/>
              </a:solidFill>
              <a:ln>
                <a:solidFill>
                  <a:srgbClr val="FF0000"/>
                </a:solidFill>
                <a:prstDash val="solid"/>
              </a:ln>
            </c:spPr>
          </c:marker>
          <c:xVal>
            <c:numRef>
              <c:f>第3题!$J$16</c:f>
              <c:numCache>
                <c:formatCode>General</c:formatCode>
                <c:ptCount val="1"/>
                <c:pt idx="0">
                  <c:v>9486.832980505138</c:v>
                </c:pt>
              </c:numCache>
            </c:numRef>
          </c:xVal>
          <c:yVal>
            <c:numRef>
              <c:f>第3题!$K$16</c:f>
              <c:numCache>
                <c:formatCode>General</c:formatCode>
                <c:ptCount val="1"/>
                <c:pt idx="0">
                  <c:v>1897.3665961010274</c:v>
                </c:pt>
              </c:numCache>
            </c:numRef>
          </c:yVal>
          <c:smooth val="1"/>
        </c:ser>
        <c:dLbls>
          <c:showLegendKey val="0"/>
          <c:showVal val="0"/>
          <c:showCatName val="0"/>
          <c:showSerName val="0"/>
          <c:showPercent val="0"/>
          <c:showBubbleSize val="0"/>
        </c:dLbls>
        <c:axId val="196473344"/>
        <c:axId val="196416000"/>
      </c:scatterChart>
      <c:valAx>
        <c:axId val="196473344"/>
        <c:scaling>
          <c:orientation val="minMax"/>
          <c:max val="14000"/>
          <c:min val="1000"/>
        </c:scaling>
        <c:delete val="0"/>
        <c:axPos val="b"/>
        <c:title>
          <c:tx>
            <c:rich>
              <a:bodyPr/>
              <a:lstStyle/>
              <a:p>
                <a:pPr>
                  <a:defRPr sz="1200" b="0" i="0" u="none" strike="noStrike" baseline="0">
                    <a:solidFill>
                      <a:srgbClr val="000000"/>
                    </a:solidFill>
                    <a:latin typeface="宋体"/>
                    <a:ea typeface="宋体"/>
                    <a:cs typeface="宋体"/>
                  </a:defRPr>
                </a:pPr>
                <a:r>
                  <a:rPr lang="zh-CN" altLang="en-US"/>
                  <a:t>订货量</a:t>
                </a:r>
              </a:p>
            </c:rich>
          </c:tx>
          <c:layout>
            <c:manualLayout>
              <c:xMode val="edge"/>
              <c:yMode val="edge"/>
              <c:x val="0.87161017916238737"/>
              <c:y val="0.91059602649006621"/>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宋体"/>
                <a:ea typeface="宋体"/>
                <a:cs typeface="宋体"/>
              </a:defRPr>
            </a:pPr>
            <a:endParaRPr lang="zh-CN"/>
          </a:p>
        </c:txPr>
        <c:crossAx val="196416000"/>
        <c:crosses val="autoZero"/>
        <c:crossBetween val="midCat"/>
        <c:majorUnit val="2000"/>
      </c:valAx>
      <c:valAx>
        <c:axId val="196416000"/>
        <c:scaling>
          <c:orientation val="minMax"/>
          <c:max val="3500"/>
          <c:min val="1500"/>
        </c:scaling>
        <c:delete val="0"/>
        <c:axPos val="l"/>
        <c:title>
          <c:tx>
            <c:rich>
              <a:bodyPr rot="0" vert="wordArtVertRtl"/>
              <a:lstStyle/>
              <a:p>
                <a:pPr algn="ctr">
                  <a:defRPr sz="1200" b="0" i="0" u="none" strike="noStrike" baseline="0">
                    <a:solidFill>
                      <a:srgbClr val="000000"/>
                    </a:solidFill>
                    <a:latin typeface="宋体"/>
                    <a:ea typeface="宋体"/>
                    <a:cs typeface="宋体"/>
                  </a:defRPr>
                </a:pPr>
                <a:r>
                  <a:rPr lang="zh-CN" altLang="en-US"/>
                  <a:t>年总成本</a:t>
                </a:r>
              </a:p>
            </c:rich>
          </c:tx>
          <c:layout>
            <c:manualLayout>
              <c:xMode val="edge"/>
              <c:yMode val="edge"/>
              <c:x val="9.0416524021453837E-3"/>
              <c:y val="0.36092715231788081"/>
            </c:manualLayout>
          </c:layout>
          <c:overlay val="0"/>
          <c:spPr>
            <a:noFill/>
            <a:ln w="25400">
              <a:noFill/>
            </a:ln>
          </c:spPr>
        </c:title>
        <c:numFmt formatCode="0.00_ "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宋体"/>
                <a:ea typeface="宋体"/>
                <a:cs typeface="宋体"/>
              </a:defRPr>
            </a:pPr>
            <a:endParaRPr lang="zh-CN"/>
          </a:p>
        </c:txPr>
        <c:crossAx val="196473344"/>
        <c:crosses val="autoZero"/>
        <c:crossBetween val="midCat"/>
        <c:majorUnit val="500"/>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宋体"/>
          <a:ea typeface="宋体"/>
          <a:cs typeface="宋体"/>
        </a:defRPr>
      </a:pPr>
      <a:endParaRPr lang="zh-CN"/>
    </a:p>
  </c:txPr>
  <c:printSettings>
    <c:headerFooter alignWithMargins="0"/>
    <c:pageMargins b="1" l="0.75000000000000022" r="0.750000000000000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zh-CN" altLang="en-US"/>
              <a:t>现金流的当前价值</a:t>
            </a:r>
          </a:p>
        </c:rich>
      </c:tx>
      <c:overlay val="0"/>
    </c:title>
    <c:autoTitleDeleted val="0"/>
    <c:plotArea>
      <c:layout/>
      <c:scatterChart>
        <c:scatterStyle val="smoothMarker"/>
        <c:varyColors val="0"/>
        <c:ser>
          <c:idx val="1"/>
          <c:order val="0"/>
          <c:marker>
            <c:symbol val="none"/>
          </c:marker>
          <c:xVal>
            <c:numRef>
              <c:f>第7题!$G$9:$G$19</c:f>
              <c:numCache>
                <c:formatCode>0.00%</c:formatCode>
                <c:ptCount val="11"/>
                <c:pt idx="0">
                  <c:v>0.05</c:v>
                </c:pt>
                <c:pt idx="1">
                  <c:v>5.5E-2</c:v>
                </c:pt>
                <c:pt idx="2">
                  <c:v>0.06</c:v>
                </c:pt>
                <c:pt idx="3">
                  <c:v>6.5000000000000002E-2</c:v>
                </c:pt>
                <c:pt idx="4">
                  <c:v>7.0000000000000007E-2</c:v>
                </c:pt>
                <c:pt idx="5">
                  <c:v>7.4999999999999997E-2</c:v>
                </c:pt>
                <c:pt idx="6">
                  <c:v>0.08</c:v>
                </c:pt>
                <c:pt idx="7">
                  <c:v>8.5000000000000006E-2</c:v>
                </c:pt>
                <c:pt idx="8">
                  <c:v>0.09</c:v>
                </c:pt>
                <c:pt idx="9">
                  <c:v>9.5000000000000001E-2</c:v>
                </c:pt>
                <c:pt idx="10">
                  <c:v>0.1</c:v>
                </c:pt>
              </c:numCache>
            </c:numRef>
          </c:xVal>
          <c:yVal>
            <c:numRef>
              <c:f>第7题!$H$9:$H$19</c:f>
              <c:numCache>
                <c:formatCode>General</c:formatCode>
                <c:ptCount val="11"/>
                <c:pt idx="0">
                  <c:v>3753.0005603888458</c:v>
                </c:pt>
                <c:pt idx="1">
                  <c:v>3749.7457830341718</c:v>
                </c:pt>
                <c:pt idx="2">
                  <c:v>3746.5108279375759</c:v>
                </c:pt>
                <c:pt idx="3">
                  <c:v>3743.2954816509373</c:v>
                </c:pt>
                <c:pt idx="4">
                  <c:v>3740.0995340133322</c:v>
                </c:pt>
                <c:pt idx="5">
                  <c:v>3736.9227780853253</c:v>
                </c:pt>
                <c:pt idx="6">
                  <c:v>3733.765010084875</c:v>
                </c:pt>
                <c:pt idx="7">
                  <c:v>3730.6260293248033</c:v>
                </c:pt>
                <c:pt idx="8">
                  <c:v>3727.5056381517834</c:v>
                </c:pt>
                <c:pt idx="9">
                  <c:v>3724.4036418868104</c:v>
                </c:pt>
                <c:pt idx="10">
                  <c:v>3721.3198487670948</c:v>
                </c:pt>
              </c:numCache>
            </c:numRef>
          </c:yVal>
          <c:smooth val="1"/>
        </c:ser>
        <c:dLbls>
          <c:showLegendKey val="0"/>
          <c:showVal val="0"/>
          <c:showCatName val="0"/>
          <c:showSerName val="0"/>
          <c:showPercent val="0"/>
          <c:showBubbleSize val="0"/>
        </c:dLbls>
        <c:axId val="74871872"/>
        <c:axId val="196418880"/>
      </c:scatterChart>
      <c:valAx>
        <c:axId val="74871872"/>
        <c:scaling>
          <c:orientation val="minMax"/>
          <c:max val="0.1"/>
          <c:min val="5.0000000000000024E-2"/>
        </c:scaling>
        <c:delete val="0"/>
        <c:axPos val="b"/>
        <c:majorGridlines>
          <c:spPr>
            <a:ln>
              <a:gradFill>
                <a:gsLst>
                  <a:gs pos="82915">
                    <a:srgbClr val="D7E0F3"/>
                  </a:gs>
                  <a:gs pos="78750">
                    <a:srgbClr val="D4DEF2"/>
                  </a:gs>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ajorGridlines>
        <c:title>
          <c:tx>
            <c:rich>
              <a:bodyPr/>
              <a:lstStyle/>
              <a:p>
                <a:pPr>
                  <a:defRPr/>
                </a:pPr>
                <a:r>
                  <a:rPr lang="zh-CN" altLang="en-US"/>
                  <a:t>降息后的贴现率</a:t>
                </a:r>
              </a:p>
            </c:rich>
          </c:tx>
          <c:overlay val="0"/>
        </c:title>
        <c:numFmt formatCode="0.00%" sourceLinked="1"/>
        <c:majorTickMark val="none"/>
        <c:minorTickMark val="none"/>
        <c:tickLblPos val="nextTo"/>
        <c:txPr>
          <a:bodyPr rot="0" vert="horz"/>
          <a:lstStyle/>
          <a:p>
            <a:pPr>
              <a:defRPr sz="1000" b="0" i="0" u="none" strike="noStrike" baseline="0">
                <a:solidFill>
                  <a:srgbClr val="000000"/>
                </a:solidFill>
                <a:latin typeface="宋体"/>
                <a:ea typeface="宋体"/>
                <a:cs typeface="宋体"/>
              </a:defRPr>
            </a:pPr>
            <a:endParaRPr lang="zh-CN"/>
          </a:p>
        </c:txPr>
        <c:crossAx val="196418880"/>
        <c:crosses val="autoZero"/>
        <c:crossBetween val="midCat"/>
        <c:majorUnit val="5.0000000000000036E-3"/>
      </c:valAx>
      <c:valAx>
        <c:axId val="196418880"/>
        <c:scaling>
          <c:orientation val="minMax"/>
          <c:max val="3770"/>
          <c:min val="3710"/>
        </c:scaling>
        <c:delete val="0"/>
        <c:axPos val="l"/>
        <c:majorGridlines>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majorGridlines>
        <c:title>
          <c:tx>
            <c:rich>
              <a:bodyPr/>
              <a:lstStyle/>
              <a:p>
                <a:pPr>
                  <a:defRPr/>
                </a:pPr>
                <a:r>
                  <a:rPr lang="zh-CN" altLang="en-US"/>
                  <a:t>价值（元）</a:t>
                </a:r>
              </a:p>
            </c:rich>
          </c:tx>
          <c:overlay val="0"/>
        </c:title>
        <c:numFmt formatCode="General" sourceLinked="1"/>
        <c:majorTickMark val="none"/>
        <c:minorTickMark val="none"/>
        <c:tickLblPos val="nextTo"/>
        <c:crossAx val="74871872"/>
        <c:crosses val="autoZero"/>
        <c:crossBetween val="midCat"/>
        <c:majorUnit val="10"/>
      </c:valAx>
    </c:plotArea>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宋体"/>
                <a:ea typeface="宋体"/>
                <a:cs typeface="宋体"/>
              </a:defRPr>
            </a:pPr>
            <a:r>
              <a:rPr lang="zh-CN" altLang="en-US"/>
              <a:t>利润随周次变化图表</a:t>
            </a:r>
          </a:p>
        </c:rich>
      </c:tx>
      <c:layout>
        <c:manualLayout>
          <c:xMode val="edge"/>
          <c:yMode val="edge"/>
          <c:x val="0.3904243461280047"/>
          <c:y val="3.5143769968051117E-2"/>
        </c:manualLayout>
      </c:layout>
      <c:overlay val="0"/>
      <c:spPr>
        <a:noFill/>
        <a:ln w="25400">
          <a:noFill/>
        </a:ln>
      </c:spPr>
    </c:title>
    <c:autoTitleDeleted val="0"/>
    <c:plotArea>
      <c:layout>
        <c:manualLayout>
          <c:layoutTarget val="inner"/>
          <c:xMode val="edge"/>
          <c:yMode val="edge"/>
          <c:x val="0.10681418841755226"/>
          <c:y val="0.1373804060072728"/>
          <c:w val="0.81952265251397882"/>
          <c:h val="0.74121521380668109"/>
        </c:manualLayout>
      </c:layout>
      <c:barChart>
        <c:barDir val="col"/>
        <c:grouping val="clustered"/>
        <c:varyColors val="0"/>
        <c:ser>
          <c:idx val="0"/>
          <c:order val="0"/>
          <c:tx>
            <c:strRef>
              <c:f>第8题!$N$2</c:f>
              <c:strCache>
                <c:ptCount val="1"/>
                <c:pt idx="0">
                  <c:v>利润</c:v>
                </c:pt>
              </c:strCache>
            </c:strRef>
          </c:tx>
          <c:spPr>
            <a:gradFill rotWithShape="0">
              <a:gsLst>
                <a:gs pos="0">
                  <a:srgbClr val="320000">
                    <a:gamma/>
                    <a:shade val="46275"/>
                    <a:invGamma/>
                  </a:srgbClr>
                </a:gs>
                <a:gs pos="50000">
                  <a:srgbClr val="320000"/>
                </a:gs>
                <a:gs pos="100000">
                  <a:srgbClr val="320000">
                    <a:gamma/>
                    <a:shade val="46275"/>
                    <a:invGamma/>
                  </a:srgbClr>
                </a:gs>
              </a:gsLst>
              <a:lin ang="0" scaled="1"/>
            </a:gradFill>
            <a:ln w="12700">
              <a:solidFill>
                <a:srgbClr val="000000"/>
              </a:solidFill>
              <a:prstDash val="solid"/>
            </a:ln>
          </c:spPr>
          <c:invertIfNegative val="0"/>
          <c:cat>
            <c:numRef>
              <c:f>第8题!$F$3:$F$22</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第8题!$N$3:$N$22</c:f>
              <c:numCache>
                <c:formatCode>General</c:formatCode>
                <c:ptCount val="20"/>
                <c:pt idx="0">
                  <c:v>760</c:v>
                </c:pt>
                <c:pt idx="1">
                  <c:v>1680</c:v>
                </c:pt>
                <c:pt idx="2">
                  <c:v>1840</c:v>
                </c:pt>
                <c:pt idx="3">
                  <c:v>760</c:v>
                </c:pt>
                <c:pt idx="4">
                  <c:v>1400</c:v>
                </c:pt>
                <c:pt idx="5">
                  <c:v>2040</c:v>
                </c:pt>
                <c:pt idx="6">
                  <c:v>760</c:v>
                </c:pt>
                <c:pt idx="7">
                  <c:v>1920</c:v>
                </c:pt>
                <c:pt idx="8">
                  <c:v>2000</c:v>
                </c:pt>
                <c:pt idx="9">
                  <c:v>1080</c:v>
                </c:pt>
                <c:pt idx="10">
                  <c:v>2880</c:v>
                </c:pt>
                <c:pt idx="11">
                  <c:v>1760</c:v>
                </c:pt>
                <c:pt idx="12">
                  <c:v>2040</c:v>
                </c:pt>
                <c:pt idx="13">
                  <c:v>1480</c:v>
                </c:pt>
                <c:pt idx="14">
                  <c:v>1560</c:v>
                </c:pt>
                <c:pt idx="15">
                  <c:v>1960</c:v>
                </c:pt>
                <c:pt idx="16">
                  <c:v>1800</c:v>
                </c:pt>
                <c:pt idx="17">
                  <c:v>1040</c:v>
                </c:pt>
                <c:pt idx="18">
                  <c:v>480</c:v>
                </c:pt>
                <c:pt idx="19">
                  <c:v>880</c:v>
                </c:pt>
              </c:numCache>
            </c:numRef>
          </c:val>
        </c:ser>
        <c:ser>
          <c:idx val="1"/>
          <c:order val="1"/>
          <c:spPr>
            <a:gradFill rotWithShape="0">
              <a:gsLst>
                <a:gs pos="0">
                  <a:srgbClr val="350000">
                    <a:gamma/>
                    <a:shade val="46275"/>
                    <a:invGamma/>
                  </a:srgbClr>
                </a:gs>
                <a:gs pos="50000">
                  <a:srgbClr val="350000"/>
                </a:gs>
                <a:gs pos="100000">
                  <a:srgbClr val="350000">
                    <a:gamma/>
                    <a:shade val="46275"/>
                    <a:invGamma/>
                  </a:srgbClr>
                </a:gs>
              </a:gsLst>
              <a:lin ang="0" scaled="1"/>
            </a:gradFill>
            <a:ln w="12700">
              <a:solidFill>
                <a:srgbClr val="000000"/>
              </a:solidFill>
              <a:prstDash val="solid"/>
            </a:ln>
          </c:spPr>
          <c:invertIfNegative val="0"/>
          <c:val>
            <c:numRef>
              <c:f>第8题!$O$3:$O$22</c:f>
              <c:numCache>
                <c:formatCode>General</c:formatCode>
                <c:ptCount val="20"/>
                <c:pt idx="0">
                  <c:v>0</c:v>
                </c:pt>
                <c:pt idx="1">
                  <c:v>0</c:v>
                </c:pt>
                <c:pt idx="2">
                  <c:v>0</c:v>
                </c:pt>
                <c:pt idx="3">
                  <c:v>0</c:v>
                </c:pt>
                <c:pt idx="4">
                  <c:v>0</c:v>
                </c:pt>
                <c:pt idx="5">
                  <c:v>0</c:v>
                </c:pt>
                <c:pt idx="6">
                  <c:v>0</c:v>
                </c:pt>
                <c:pt idx="7">
                  <c:v>0</c:v>
                </c:pt>
                <c:pt idx="8">
                  <c:v>0</c:v>
                </c:pt>
                <c:pt idx="9">
                  <c:v>1080</c:v>
                </c:pt>
                <c:pt idx="10">
                  <c:v>0</c:v>
                </c:pt>
                <c:pt idx="11">
                  <c:v>0</c:v>
                </c:pt>
                <c:pt idx="12">
                  <c:v>0</c:v>
                </c:pt>
                <c:pt idx="13">
                  <c:v>0</c:v>
                </c:pt>
                <c:pt idx="14">
                  <c:v>0</c:v>
                </c:pt>
                <c:pt idx="15">
                  <c:v>0</c:v>
                </c:pt>
                <c:pt idx="16">
                  <c:v>0</c:v>
                </c:pt>
                <c:pt idx="17">
                  <c:v>0</c:v>
                </c:pt>
                <c:pt idx="18">
                  <c:v>0</c:v>
                </c:pt>
                <c:pt idx="19">
                  <c:v>0</c:v>
                </c:pt>
              </c:numCache>
            </c:numRef>
          </c:val>
        </c:ser>
        <c:dLbls>
          <c:showLegendKey val="0"/>
          <c:showVal val="0"/>
          <c:showCatName val="0"/>
          <c:showSerName val="0"/>
          <c:showPercent val="0"/>
          <c:showBubbleSize val="0"/>
        </c:dLbls>
        <c:gapWidth val="40"/>
        <c:overlap val="100"/>
        <c:axId val="196398080"/>
        <c:axId val="196475648"/>
      </c:barChart>
      <c:catAx>
        <c:axId val="196398080"/>
        <c:scaling>
          <c:orientation val="minMax"/>
        </c:scaling>
        <c:delete val="0"/>
        <c:axPos val="b"/>
        <c:title>
          <c:tx>
            <c:rich>
              <a:bodyPr/>
              <a:lstStyle/>
              <a:p>
                <a:pPr>
                  <a:defRPr sz="1000" b="0" i="0" u="none" strike="noStrike" baseline="0">
                    <a:solidFill>
                      <a:srgbClr val="000000"/>
                    </a:solidFill>
                    <a:latin typeface="宋体"/>
                    <a:ea typeface="宋体"/>
                    <a:cs typeface="宋体"/>
                  </a:defRPr>
                </a:pPr>
                <a:r>
                  <a:rPr lang="zh-CN" altLang="en-US"/>
                  <a:t>周次</a:t>
                </a:r>
              </a:p>
            </c:rich>
          </c:tx>
          <c:layout>
            <c:manualLayout>
              <c:xMode val="edge"/>
              <c:yMode val="edge"/>
              <c:x val="0.93186177694638994"/>
              <c:y val="0.7795540573402765"/>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宋体"/>
                <a:ea typeface="宋体"/>
                <a:cs typeface="宋体"/>
              </a:defRPr>
            </a:pPr>
            <a:endParaRPr lang="zh-CN"/>
          </a:p>
        </c:txPr>
        <c:crossAx val="196475648"/>
        <c:crosses val="autoZero"/>
        <c:auto val="1"/>
        <c:lblAlgn val="ctr"/>
        <c:lblOffset val="100"/>
        <c:tickLblSkip val="1"/>
        <c:tickMarkSkip val="1"/>
        <c:noMultiLvlLbl val="0"/>
      </c:catAx>
      <c:valAx>
        <c:axId val="196475648"/>
        <c:scaling>
          <c:orientation val="minMax"/>
        </c:scaling>
        <c:delete val="0"/>
        <c:axPos val="l"/>
        <c:title>
          <c:tx>
            <c:rich>
              <a:bodyPr rot="0" vert="horz"/>
              <a:lstStyle/>
              <a:p>
                <a:pPr algn="ctr">
                  <a:defRPr sz="1000" b="0" i="0" u="none" strike="noStrike" baseline="0">
                    <a:solidFill>
                      <a:srgbClr val="000000"/>
                    </a:solidFill>
                    <a:latin typeface="宋体"/>
                    <a:ea typeface="宋体"/>
                    <a:cs typeface="宋体"/>
                  </a:defRPr>
                </a:pPr>
                <a:r>
                  <a:rPr lang="zh-CN" altLang="en-US"/>
                  <a:t>利润</a:t>
                </a:r>
              </a:p>
            </c:rich>
          </c:tx>
          <c:layout>
            <c:manualLayout>
              <c:xMode val="edge"/>
              <c:yMode val="edge"/>
              <c:x val="4.2357274401473299E-2"/>
              <c:y val="3.1948881789137379E-2"/>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宋体"/>
                <a:ea typeface="宋体"/>
                <a:cs typeface="宋体"/>
              </a:defRPr>
            </a:pPr>
            <a:endParaRPr lang="zh-CN"/>
          </a:p>
        </c:txPr>
        <c:crossAx val="196398080"/>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宋体"/>
          <a:ea typeface="宋体"/>
          <a:cs typeface="宋体"/>
        </a:defRPr>
      </a:pPr>
      <a:endParaRPr lang="zh-CN"/>
    </a:p>
  </c:txPr>
  <c:printSettings>
    <c:headerFooter alignWithMargins="0"/>
    <c:pageMargins b="1" l="0.75000000000000022" r="0.75000000000000022" t="1" header="0.5" footer="0.5"/>
    <c:pageSetup paperSize="9" orientation="landscape" horizontalDpi="1200" verticalDpi="1200"/>
  </c:printSettings>
</c:chartSpace>
</file>

<file path=xl/ctrlProps/ctrlProp1.xml><?xml version="1.0" encoding="utf-8"?>
<formControlPr xmlns="http://schemas.microsoft.com/office/spreadsheetml/2009/9/main" objectType="Spin" dx="16" fmlaLink="$E$5" inc="20" max="1000" page="10" val="0"/>
</file>

<file path=xl/ctrlProps/ctrlProp2.xml><?xml version="1.0" encoding="utf-8"?>
<formControlPr xmlns="http://schemas.microsoft.com/office/spreadsheetml/2009/9/main" objectType="List" dx="16" fmlaLink="$J$12" fmlaRange="$J$4:$J$8" sel="3" val="0"/>
</file>

<file path=xl/ctrlProps/ctrlProp3.xml><?xml version="1.0" encoding="utf-8"?>
<formControlPr xmlns="http://schemas.microsoft.com/office/spreadsheetml/2009/9/main" objectType="Spin" dx="16" fmlaLink="$B$17" max="20" min="1" page="10" val="10"/>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chart" Target="../charts/chart4.xml"/><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3</xdr:col>
      <xdr:colOff>438150</xdr:colOff>
      <xdr:row>5</xdr:row>
      <xdr:rowOff>0</xdr:rowOff>
    </xdr:from>
    <xdr:to>
      <xdr:col>13</xdr:col>
      <xdr:colOff>400050</xdr:colOff>
      <xdr:row>13</xdr:row>
      <xdr:rowOff>114300</xdr:rowOff>
    </xdr:to>
    <xdr:sp macro="" textlink="">
      <xdr:nvSpPr>
        <xdr:cNvPr id="2" name="Text Box 1"/>
        <xdr:cNvSpPr txBox="1">
          <a:spLocks noChangeArrowheads="1"/>
        </xdr:cNvSpPr>
      </xdr:nvSpPr>
      <xdr:spPr bwMode="auto">
        <a:xfrm>
          <a:off x="3514725" y="942975"/>
          <a:ext cx="6819900" cy="1638300"/>
        </a:xfrm>
        <a:prstGeom prst="rect">
          <a:avLst/>
        </a:prstGeom>
        <a:solidFill>
          <a:srgbClr val="FFFFFF"/>
        </a:solidFill>
        <a:ln w="9525">
          <a:solidFill>
            <a:srgbClr val="000000"/>
          </a:solidFill>
          <a:miter lim="800000"/>
          <a:headEnd/>
          <a:tailEnd/>
        </a:ln>
      </xdr:spPr>
      <xdr:txBody>
        <a:bodyPr vertOverflow="clip" wrap="square" lIns="36576" tIns="18288" rIns="0" bIns="0" anchor="t" upright="1"/>
        <a:lstStyle/>
        <a:p>
          <a:pPr algn="l" rtl="0">
            <a:lnSpc>
              <a:spcPts val="14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1</a:t>
          </a:r>
          <a:r>
            <a:rPr lang="zh-CN" altLang="en-US" sz="1200" b="1" i="0" u="none" strike="noStrike" baseline="0">
              <a:solidFill>
                <a:srgbClr val="000000"/>
              </a:solidFill>
              <a:latin typeface="宋体"/>
              <a:ea typeface="宋体"/>
            </a:rPr>
            <a:t>题（</a:t>
          </a:r>
          <a:r>
            <a:rPr lang="en-US" altLang="zh-CN" sz="1200" b="1" i="0" u="none" strike="noStrike" baseline="0">
              <a:solidFill>
                <a:srgbClr val="000000"/>
              </a:solidFill>
              <a:latin typeface="宋体"/>
              <a:ea typeface="宋体"/>
            </a:rPr>
            <a:t>10</a:t>
          </a:r>
          <a:r>
            <a:rPr lang="zh-CN" altLang="en-US" sz="1200" b="1" i="0" u="none" strike="noStrike" baseline="0">
              <a:solidFill>
                <a:srgbClr val="000000"/>
              </a:solidFill>
              <a:latin typeface="宋体"/>
              <a:ea typeface="宋体"/>
            </a:rPr>
            <a:t>分）</a:t>
          </a:r>
          <a:r>
            <a:rPr lang="en-US" altLang="zh-CN" sz="1200" b="0" i="0" u="none" strike="noStrike" baseline="0">
              <a:solidFill>
                <a:srgbClr val="000000"/>
              </a:solidFill>
              <a:latin typeface="宋体"/>
              <a:ea typeface="宋体"/>
            </a:rPr>
            <a:t>A</a:t>
          </a:r>
          <a:r>
            <a:rPr lang="zh-CN" altLang="en-US" sz="1200" b="0" i="0" u="none" strike="noStrike" baseline="0">
              <a:solidFill>
                <a:srgbClr val="000000"/>
              </a:solidFill>
              <a:latin typeface="宋体"/>
              <a:ea typeface="宋体"/>
            </a:rPr>
            <a:t>公司拟制造一种高档水杯。固定成本为</a:t>
          </a:r>
          <a:r>
            <a:rPr lang="en-US" altLang="zh-CN" sz="1200" b="0" i="0" u="none" strike="noStrike" baseline="0">
              <a:solidFill>
                <a:srgbClr val="000000"/>
              </a:solidFill>
              <a:latin typeface="宋体"/>
              <a:ea typeface="宋体"/>
            </a:rPr>
            <a:t>10000</a:t>
          </a:r>
          <a:r>
            <a:rPr lang="zh-CN" altLang="en-US" sz="1200" b="0" i="0" u="none" strike="noStrike" baseline="0">
              <a:solidFill>
                <a:srgbClr val="000000"/>
              </a:solidFill>
              <a:latin typeface="宋体"/>
              <a:ea typeface="宋体"/>
            </a:rPr>
            <a:t>元，每个可变成本为</a:t>
          </a:r>
          <a:r>
            <a:rPr lang="en-US" altLang="zh-CN" sz="1200" b="0" i="0" u="none" strike="noStrike" baseline="0">
              <a:solidFill>
                <a:srgbClr val="000000"/>
              </a:solidFill>
              <a:latin typeface="宋体"/>
              <a:ea typeface="宋体"/>
            </a:rPr>
            <a:t>13</a:t>
          </a:r>
          <a:r>
            <a:rPr lang="zh-CN" altLang="en-US" sz="1200" b="0" i="0" u="none" strike="noStrike" baseline="0">
              <a:solidFill>
                <a:srgbClr val="000000"/>
              </a:solidFill>
              <a:latin typeface="宋体"/>
              <a:ea typeface="宋体"/>
            </a:rPr>
            <a:t>元，当前的销量为</a:t>
          </a:r>
          <a:r>
            <a:rPr lang="en-US" altLang="zh-CN" sz="1200" b="0" i="0" u="none" strike="noStrike" baseline="0">
              <a:solidFill>
                <a:srgbClr val="000000"/>
              </a:solidFill>
              <a:latin typeface="宋体"/>
              <a:ea typeface="宋体"/>
            </a:rPr>
            <a:t>15000</a:t>
          </a:r>
          <a:r>
            <a:rPr lang="zh-CN" altLang="en-US" sz="1200" b="0" i="0" u="none" strike="noStrike" baseline="0">
              <a:solidFill>
                <a:srgbClr val="000000"/>
              </a:solidFill>
              <a:latin typeface="宋体"/>
              <a:ea typeface="宋体"/>
            </a:rPr>
            <a:t>，平均销售价格为</a:t>
          </a:r>
          <a:r>
            <a:rPr lang="en-US" altLang="zh-CN" sz="1200" b="0" i="0" u="none" strike="noStrike" baseline="0">
              <a:solidFill>
                <a:srgbClr val="000000"/>
              </a:solidFill>
              <a:latin typeface="宋体"/>
              <a:ea typeface="宋体"/>
            </a:rPr>
            <a:t>30</a:t>
          </a:r>
          <a:r>
            <a:rPr lang="zh-CN" altLang="en-US" sz="1200" b="0" i="0" u="none" strike="noStrike" baseline="0">
              <a:solidFill>
                <a:srgbClr val="000000"/>
              </a:solidFill>
              <a:latin typeface="宋体"/>
              <a:ea typeface="宋体"/>
            </a:rPr>
            <a:t>元，公司管理层需要建立一个决策模型用于盈亏平衡分析，模型应包含以下功能：</a:t>
          </a:r>
        </a:p>
        <a:p>
          <a:pPr algn="l" rtl="0">
            <a:lnSpc>
              <a:spcPts val="1500"/>
            </a:lnSpc>
            <a:defRPr sz="1000"/>
          </a:pPr>
          <a:r>
            <a:rPr lang="en-US" altLang="zh-CN" sz="1200" b="0" i="0" u="none" strike="noStrike" baseline="0">
              <a:solidFill>
                <a:srgbClr val="000000"/>
              </a:solidFill>
              <a:latin typeface="宋体"/>
              <a:ea typeface="宋体"/>
            </a:rPr>
            <a:t>1</a:t>
          </a:r>
          <a:r>
            <a:rPr lang="zh-CN" altLang="en-US" sz="1200" b="0" i="0" u="none" strike="noStrike" baseline="0">
              <a:solidFill>
                <a:srgbClr val="000000"/>
              </a:solidFill>
              <a:latin typeface="宋体"/>
              <a:ea typeface="宋体"/>
            </a:rPr>
            <a:t>） 计算单位边际贡献及边际贡献率；</a:t>
          </a:r>
        </a:p>
        <a:p>
          <a:pPr algn="l" rtl="0">
            <a:lnSpc>
              <a:spcPts val="1400"/>
            </a:lnSpc>
            <a:defRPr sz="1000"/>
          </a:pPr>
          <a:r>
            <a:rPr lang="en-US" altLang="zh-CN" sz="1200" b="0" i="0" u="none" strike="noStrike" baseline="0">
              <a:solidFill>
                <a:srgbClr val="000000"/>
              </a:solidFill>
              <a:latin typeface="宋体"/>
              <a:ea typeface="宋体"/>
            </a:rPr>
            <a:t>2</a:t>
          </a:r>
          <a:r>
            <a:rPr lang="zh-CN" altLang="en-US" sz="1200" b="0" i="0" u="none" strike="noStrike" baseline="0">
              <a:solidFill>
                <a:srgbClr val="000000"/>
              </a:solidFill>
              <a:latin typeface="宋体"/>
              <a:ea typeface="宋体"/>
            </a:rPr>
            <a:t>） 计算销售收益、总成本及利润；</a:t>
          </a:r>
        </a:p>
        <a:p>
          <a:pPr algn="l" rtl="0">
            <a:lnSpc>
              <a:spcPts val="1500"/>
            </a:lnSpc>
            <a:defRPr sz="1000"/>
          </a:pPr>
          <a:r>
            <a:rPr lang="en-US" altLang="zh-CN" sz="1200" b="0" i="0" u="none" strike="noStrike" baseline="0">
              <a:solidFill>
                <a:srgbClr val="000000"/>
              </a:solidFill>
              <a:latin typeface="宋体"/>
              <a:ea typeface="宋体"/>
            </a:rPr>
            <a:t>3</a:t>
          </a:r>
          <a:r>
            <a:rPr lang="zh-CN" altLang="en-US" sz="1200" b="0" i="0" u="none" strike="noStrike" baseline="0">
              <a:solidFill>
                <a:srgbClr val="000000"/>
              </a:solidFill>
              <a:latin typeface="宋体"/>
              <a:ea typeface="宋体"/>
            </a:rPr>
            <a:t>） 计算盈亏平衡销量及盈亏平衡销售收益；</a:t>
          </a:r>
        </a:p>
        <a:p>
          <a:pPr algn="l" rtl="0">
            <a:lnSpc>
              <a:spcPts val="1400"/>
            </a:lnSpc>
            <a:defRPr sz="1000"/>
          </a:pPr>
          <a:r>
            <a:rPr lang="en-US" altLang="zh-CN" sz="1200" b="0" i="0" u="none" strike="noStrike" baseline="0">
              <a:solidFill>
                <a:srgbClr val="000000"/>
              </a:solidFill>
              <a:latin typeface="宋体"/>
              <a:ea typeface="宋体"/>
            </a:rPr>
            <a:t>4</a:t>
          </a:r>
          <a:r>
            <a:rPr lang="zh-CN" altLang="en-US" sz="1200" b="0" i="0" u="none" strike="noStrike" baseline="0">
              <a:solidFill>
                <a:srgbClr val="000000"/>
              </a:solidFill>
              <a:latin typeface="宋体"/>
              <a:ea typeface="宋体"/>
            </a:rPr>
            <a:t>） 假定公司希望获得</a:t>
          </a:r>
          <a:r>
            <a:rPr lang="en-US" altLang="zh-CN" sz="1200" b="0" i="0" u="none" strike="noStrike" baseline="0">
              <a:solidFill>
                <a:srgbClr val="000000"/>
              </a:solidFill>
              <a:latin typeface="宋体"/>
              <a:ea typeface="宋体"/>
            </a:rPr>
            <a:t>20000</a:t>
          </a:r>
          <a:r>
            <a:rPr lang="zh-CN" altLang="en-US" sz="1200" b="0" i="0" u="none" strike="noStrike" baseline="0">
              <a:solidFill>
                <a:srgbClr val="000000"/>
              </a:solidFill>
              <a:latin typeface="宋体"/>
              <a:ea typeface="宋体"/>
            </a:rPr>
            <a:t>元利润，计算为达到利润目标所需要的销量及销售收益；并计算此时的安全边际和安全边际率。</a:t>
          </a:r>
        </a:p>
        <a:p>
          <a:pPr algn="l" rtl="0">
            <a:lnSpc>
              <a:spcPts val="1500"/>
            </a:lnSpc>
            <a:defRPr sz="1000"/>
          </a:pPr>
          <a:endParaRPr lang="zh-CN" altLang="en-US" sz="1200" b="0" i="0" u="none" strike="noStrike" baseline="0">
            <a:solidFill>
              <a:srgbClr val="000000"/>
            </a:solidFill>
            <a:latin typeface="宋体"/>
            <a:ea typeface="宋体"/>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16</xdr:row>
      <xdr:rowOff>0</xdr:rowOff>
    </xdr:from>
    <xdr:to>
      <xdr:col>8</xdr:col>
      <xdr:colOff>581025</xdr:colOff>
      <xdr:row>30</xdr:row>
      <xdr:rowOff>180975</xdr:rowOff>
    </xdr:to>
    <xdr:graphicFrame macro="">
      <xdr:nvGraphicFramePr>
        <xdr:cNvPr id="2102" name="图表 1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85725</xdr:colOff>
      <xdr:row>12</xdr:row>
      <xdr:rowOff>66675</xdr:rowOff>
    </xdr:from>
    <xdr:to>
      <xdr:col>17</xdr:col>
      <xdr:colOff>457200</xdr:colOff>
      <xdr:row>41</xdr:row>
      <xdr:rowOff>47625</xdr:rowOff>
    </xdr:to>
    <xdr:grpSp>
      <xdr:nvGrpSpPr>
        <xdr:cNvPr id="2103" name="组合 2"/>
        <xdr:cNvGrpSpPr>
          <a:grpSpLocks/>
        </xdr:cNvGrpSpPr>
      </xdr:nvGrpSpPr>
      <xdr:grpSpPr bwMode="auto">
        <a:xfrm>
          <a:off x="5810250" y="2343150"/>
          <a:ext cx="4972050" cy="5505450"/>
          <a:chOff x="6134100" y="828675"/>
          <a:chExt cx="4972050" cy="5505450"/>
        </a:xfrm>
      </xdr:grpSpPr>
      <xdr:sp macro="" textlink="">
        <xdr:nvSpPr>
          <xdr:cNvPr id="4" name="Text Box 5"/>
          <xdr:cNvSpPr txBox="1">
            <a:spLocks noChangeArrowheads="1"/>
          </xdr:cNvSpPr>
        </xdr:nvSpPr>
        <xdr:spPr bwMode="auto">
          <a:xfrm>
            <a:off x="6134100" y="828675"/>
            <a:ext cx="4972050" cy="550545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2</a:t>
            </a:r>
            <a:r>
              <a:rPr lang="zh-CN" altLang="en-US" sz="1100" b="1" i="0" u="none" strike="noStrike" baseline="0">
                <a:solidFill>
                  <a:srgbClr val="000000"/>
                </a:solidFill>
                <a:latin typeface="宋体"/>
                <a:ea typeface="宋体"/>
                <a:cs typeface="Arial"/>
              </a:rPr>
              <a:t>题</a:t>
            </a:r>
            <a:r>
              <a:rPr lang="zh-CN" altLang="zh-CN" sz="1100" b="1" i="0" baseline="0">
                <a:effectLst/>
                <a:latin typeface="+mn-lt"/>
                <a:ea typeface="+mn-ea"/>
                <a:cs typeface="+mn-cs"/>
              </a:rPr>
              <a:t>（</a:t>
            </a:r>
            <a:r>
              <a:rPr lang="en-US" altLang="zh-CN" sz="1100" b="1" i="0" baseline="0">
                <a:effectLst/>
                <a:latin typeface="+mn-lt"/>
                <a:ea typeface="+mn-ea"/>
                <a:cs typeface="+mn-cs"/>
              </a:rPr>
              <a:t>10</a:t>
            </a:r>
            <a:r>
              <a:rPr lang="zh-CN" altLang="zh-CN" sz="1100" b="1" i="0" baseline="0">
                <a:effectLst/>
                <a:latin typeface="+mn-lt"/>
                <a:ea typeface="+mn-ea"/>
                <a:cs typeface="+mn-cs"/>
              </a:rPr>
              <a:t>分）</a:t>
            </a:r>
            <a:r>
              <a:rPr lang="zh-CN" altLang="en-US" sz="1100" b="1" i="0" u="none" strike="noStrike" baseline="0">
                <a:solidFill>
                  <a:srgbClr val="000000"/>
                </a:solidFill>
                <a:latin typeface="宋体"/>
                <a:ea typeface="宋体"/>
                <a:cs typeface="Arial"/>
              </a:rPr>
              <a:t>：</a:t>
            </a:r>
            <a:r>
              <a:rPr lang="zh-CN" altLang="en-US" sz="1100" b="0" i="0" u="none" strike="noStrike" baseline="0">
                <a:solidFill>
                  <a:srgbClr val="000000"/>
                </a:solidFill>
                <a:latin typeface="宋体"/>
                <a:ea typeface="宋体"/>
                <a:cs typeface="Arial"/>
              </a:rPr>
              <a:t>某公司在生产中需要使用一种零件</a:t>
            </a:r>
            <a:r>
              <a:rPr lang="zh-CN" altLang="en-US" sz="1100" b="0" i="0" u="none" strike="noStrike" baseline="0">
                <a:solidFill>
                  <a:srgbClr val="000000"/>
                </a:solidFill>
                <a:latin typeface="Arial"/>
                <a:ea typeface="宋体"/>
                <a:cs typeface="Arial"/>
              </a:rPr>
              <a:t>2000</a:t>
            </a:r>
            <a:r>
              <a:rPr lang="zh-CN" altLang="en-US" sz="1100" b="0" i="0" u="none" strike="noStrike" baseline="0">
                <a:solidFill>
                  <a:srgbClr val="000000"/>
                </a:solidFill>
                <a:latin typeface="宋体"/>
                <a:ea typeface="宋体"/>
                <a:cs typeface="Arial"/>
              </a:rPr>
              <a:t>个，该零件既可以外购，也可以自制。外购时采购单价为</a:t>
            </a:r>
            <a:r>
              <a:rPr lang="zh-CN" altLang="en-US" sz="1100" b="0" i="0" u="none" strike="noStrike" baseline="0">
                <a:solidFill>
                  <a:srgbClr val="000000"/>
                </a:solidFill>
                <a:latin typeface="Arial"/>
                <a:ea typeface="宋体"/>
                <a:cs typeface="Arial"/>
              </a:rPr>
              <a:t>90</a:t>
            </a:r>
            <a:r>
              <a:rPr lang="zh-CN" altLang="en-US" sz="1100" b="0" i="0" u="none" strike="noStrike" baseline="0">
                <a:solidFill>
                  <a:srgbClr val="000000"/>
                </a:solidFill>
                <a:latin typeface="宋体"/>
                <a:ea typeface="宋体"/>
                <a:cs typeface="Arial"/>
              </a:rPr>
              <a:t>元，而自制时的固定成本为</a:t>
            </a:r>
            <a:r>
              <a:rPr lang="zh-CN" altLang="en-US" sz="1100" b="0" i="0" u="none" strike="noStrike" baseline="0">
                <a:solidFill>
                  <a:srgbClr val="000000"/>
                </a:solidFill>
                <a:latin typeface="Arial"/>
                <a:ea typeface="宋体"/>
                <a:cs typeface="Arial"/>
              </a:rPr>
              <a:t>100000</a:t>
            </a:r>
            <a:r>
              <a:rPr lang="zh-CN" altLang="en-US" sz="1100" b="0" i="0" u="none" strike="noStrike" baseline="0">
                <a:solidFill>
                  <a:srgbClr val="000000"/>
                </a:solidFill>
                <a:latin typeface="宋体"/>
                <a:ea typeface="宋体"/>
                <a:cs typeface="Arial"/>
              </a:rPr>
              <a:t>元，单位可变成本等于</a:t>
            </a:r>
            <a:r>
              <a:rPr lang="zh-CN" altLang="en-US" sz="1100" b="0" i="0" u="none" strike="noStrike" baseline="0">
                <a:solidFill>
                  <a:srgbClr val="000000"/>
                </a:solidFill>
                <a:latin typeface="Arial"/>
                <a:ea typeface="宋体"/>
                <a:cs typeface="Arial"/>
              </a:rPr>
              <a:t>45</a:t>
            </a:r>
            <a:r>
              <a:rPr lang="zh-CN" altLang="en-US" sz="1100" b="0" i="0" u="none" strike="noStrike" baseline="0">
                <a:solidFill>
                  <a:srgbClr val="000000"/>
                </a:solidFill>
                <a:latin typeface="宋体"/>
                <a:ea typeface="宋体"/>
                <a:cs typeface="Arial"/>
              </a:rPr>
              <a:t>元。</a:t>
            </a:r>
          </a:p>
          <a:p>
            <a:pPr algn="l" rtl="0">
              <a:defRPr sz="1000"/>
            </a:pPr>
            <a:r>
              <a:rPr lang="zh-CN" altLang="en-US" sz="1100" b="0" i="0" u="none" strike="noStrike" baseline="0">
                <a:solidFill>
                  <a:srgbClr val="000000"/>
                </a:solidFill>
                <a:latin typeface="宋体"/>
                <a:ea typeface="宋体"/>
                <a:cs typeface="Arial"/>
              </a:rPr>
              <a:t>要求：</a:t>
            </a:r>
          </a:p>
          <a:p>
            <a:pPr algn="l" rtl="0">
              <a:defRPr sz="1000"/>
            </a:pPr>
            <a:r>
              <a:rPr lang="zh-CN" altLang="en-US" sz="1100" b="0" i="0" u="none" strike="noStrike" baseline="0">
                <a:solidFill>
                  <a:srgbClr val="000000"/>
                </a:solidFill>
                <a:latin typeface="宋体"/>
                <a:ea typeface="宋体"/>
                <a:cs typeface="Arial"/>
              </a:rPr>
              <a:t>1、计算两个方案的各自总成本。</a:t>
            </a:r>
          </a:p>
          <a:p>
            <a:pPr algn="l" rtl="0">
              <a:defRPr sz="1000"/>
            </a:pPr>
            <a:r>
              <a:rPr lang="zh-CN" altLang="en-US" sz="1100" b="0" i="0" u="none" strike="noStrike" baseline="0">
                <a:solidFill>
                  <a:srgbClr val="000000"/>
                </a:solidFill>
                <a:latin typeface="宋体"/>
                <a:ea typeface="宋体"/>
                <a:cs typeface="Arial"/>
              </a:rPr>
              <a:t>2、计算两种方案的相对盈亏平衡点以及相对盈亏平衡点处的共同成本。</a:t>
            </a:r>
          </a:p>
          <a:p>
            <a:pPr algn="l" rtl="0">
              <a:defRPr sz="1000"/>
            </a:pPr>
            <a:r>
              <a:rPr lang="zh-CN" altLang="en-US" sz="1100" b="0" i="0" u="none" strike="noStrike" baseline="0">
                <a:solidFill>
                  <a:srgbClr val="000000"/>
                </a:solidFill>
                <a:latin typeface="宋体"/>
                <a:ea typeface="宋体"/>
                <a:cs typeface="Arial"/>
              </a:rPr>
              <a:t>3、在E14单元格给出“外购”或“自制”的决策结论。</a:t>
            </a:r>
            <a:endParaRPr lang="zh-CN" altLang="en-US" sz="1100" b="0" i="0" u="none" strike="noStrike" baseline="0">
              <a:solidFill>
                <a:srgbClr val="000000"/>
              </a:solidFill>
              <a:latin typeface="Calibri"/>
              <a:ea typeface="宋体"/>
              <a:cs typeface="Calibri"/>
            </a:endParaRPr>
          </a:p>
          <a:p>
            <a:pPr algn="l" rtl="0">
              <a:lnSpc>
                <a:spcPts val="1400"/>
              </a:lnSpc>
              <a:defRPr sz="1000"/>
            </a:pPr>
            <a:r>
              <a:rPr lang="zh-CN" altLang="en-US" sz="12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、作出如样图所示的可调图形。</a:t>
            </a:r>
          </a:p>
          <a:p>
            <a:pPr algn="l" rtl="0">
              <a:defRPr sz="1000"/>
            </a:pPr>
            <a:r>
              <a:rPr lang="zh-CN" altLang="en-US" sz="1100" b="0" i="0" u="none" strike="noStrike" baseline="0">
                <a:solidFill>
                  <a:srgbClr val="000000"/>
                </a:solidFill>
                <a:latin typeface="宋体"/>
                <a:ea typeface="宋体"/>
              </a:rPr>
              <a:t>5、现假定需求量基数为</a:t>
            </a:r>
            <a:r>
              <a:rPr lang="zh-CN" altLang="en-US" sz="1100" b="0" i="0" u="none" strike="noStrike" baseline="0">
                <a:solidFill>
                  <a:srgbClr val="000000"/>
                </a:solidFill>
                <a:latin typeface="Arial"/>
                <a:ea typeface="宋体"/>
                <a:cs typeface="Arial"/>
              </a:rPr>
              <a:t>2000</a:t>
            </a:r>
            <a:r>
              <a:rPr lang="zh-CN" altLang="en-US" sz="1100" b="0" i="0" u="none" strike="noStrike" baseline="0">
                <a:solidFill>
                  <a:srgbClr val="000000"/>
                </a:solidFill>
                <a:latin typeface="宋体"/>
                <a:ea typeface="宋体"/>
                <a:cs typeface="Arial"/>
              </a:rPr>
              <a:t>时，外购单价为</a:t>
            </a:r>
            <a:r>
              <a:rPr lang="zh-CN" altLang="en-US" sz="1100" b="0" i="0" u="none" strike="noStrike" baseline="0">
                <a:solidFill>
                  <a:srgbClr val="000000"/>
                </a:solidFill>
                <a:latin typeface="Arial"/>
                <a:ea typeface="宋体"/>
                <a:cs typeface="Arial"/>
              </a:rPr>
              <a:t>90</a:t>
            </a:r>
            <a:r>
              <a:rPr lang="zh-CN" altLang="en-US" sz="1100" b="0" i="0" u="none" strike="noStrike" baseline="0">
                <a:solidFill>
                  <a:srgbClr val="000000"/>
                </a:solidFill>
                <a:latin typeface="宋体"/>
                <a:ea typeface="宋体"/>
                <a:cs typeface="Arial"/>
              </a:rPr>
              <a:t>元。增加的需求量小于等于</a:t>
            </a:r>
            <a:r>
              <a:rPr lang="zh-CN" altLang="en-US" sz="1100" b="0" i="0" u="none" strike="noStrike" baseline="0">
                <a:solidFill>
                  <a:srgbClr val="000000"/>
                </a:solidFill>
                <a:latin typeface="Arial"/>
                <a:ea typeface="宋体"/>
                <a:cs typeface="Arial"/>
              </a:rPr>
              <a:t>100</a:t>
            </a:r>
            <a:r>
              <a:rPr lang="zh-CN" altLang="en-US" sz="1100" b="0" i="0" u="none" strike="noStrike" baseline="0">
                <a:solidFill>
                  <a:srgbClr val="000000"/>
                </a:solidFill>
                <a:latin typeface="宋体"/>
                <a:ea typeface="宋体"/>
                <a:cs typeface="Arial"/>
              </a:rPr>
              <a:t>时，外购单价不变仍保持</a:t>
            </a:r>
            <a:r>
              <a:rPr lang="zh-CN" altLang="en-US" sz="1100" b="0" i="0" u="none" strike="noStrike" baseline="0">
                <a:solidFill>
                  <a:srgbClr val="000000"/>
                </a:solidFill>
                <a:latin typeface="Arial"/>
                <a:ea typeface="宋体"/>
                <a:cs typeface="Arial"/>
              </a:rPr>
              <a:t>90</a:t>
            </a:r>
            <a:r>
              <a:rPr lang="zh-CN" altLang="en-US" sz="1100" b="0" i="0" u="none" strike="noStrike" baseline="0">
                <a:solidFill>
                  <a:srgbClr val="000000"/>
                </a:solidFill>
                <a:latin typeface="宋体"/>
                <a:ea typeface="宋体"/>
                <a:cs typeface="Arial"/>
              </a:rPr>
              <a:t>元。增加的需求量小于等于</a:t>
            </a:r>
            <a:r>
              <a:rPr lang="zh-CN" altLang="en-US" sz="1100" b="0" i="0" u="none" strike="noStrike" baseline="0">
                <a:solidFill>
                  <a:srgbClr val="000000"/>
                </a:solidFill>
                <a:latin typeface="Arial"/>
                <a:ea typeface="宋体"/>
                <a:cs typeface="Arial"/>
              </a:rPr>
              <a:t>200</a:t>
            </a:r>
            <a:r>
              <a:rPr lang="zh-CN" altLang="en-US" sz="1100" b="0" i="0" u="none" strike="noStrike" baseline="0">
                <a:solidFill>
                  <a:srgbClr val="000000"/>
                </a:solidFill>
                <a:latin typeface="宋体"/>
                <a:ea typeface="宋体"/>
                <a:cs typeface="Arial"/>
              </a:rPr>
              <a:t>时，外购单价减少</a:t>
            </a:r>
            <a:r>
              <a:rPr lang="zh-CN" altLang="en-US" sz="1100" b="0" i="0" u="none" strike="noStrike" baseline="0">
                <a:solidFill>
                  <a:srgbClr val="000000"/>
                </a:solidFill>
                <a:latin typeface="Arial"/>
                <a:ea typeface="宋体"/>
                <a:cs typeface="Arial"/>
              </a:rPr>
              <a:t>1</a:t>
            </a:r>
            <a:r>
              <a:rPr lang="zh-CN" altLang="en-US" sz="1100" b="0" i="0" u="none" strike="noStrike" baseline="0">
                <a:solidFill>
                  <a:srgbClr val="000000"/>
                </a:solidFill>
                <a:latin typeface="宋体"/>
                <a:ea typeface="宋体"/>
                <a:cs typeface="Arial"/>
              </a:rPr>
              <a:t>元；增加的需求量小于等于</a:t>
            </a:r>
            <a:r>
              <a:rPr lang="zh-CN" altLang="en-US" sz="1100" b="0" i="0" u="none" strike="noStrike" baseline="0">
                <a:solidFill>
                  <a:srgbClr val="000000"/>
                </a:solidFill>
                <a:latin typeface="Arial"/>
                <a:ea typeface="宋体"/>
                <a:cs typeface="Arial"/>
              </a:rPr>
              <a:t>500</a:t>
            </a:r>
            <a:r>
              <a:rPr lang="zh-CN" altLang="en-US" sz="1100" b="0" i="0" u="none" strike="noStrike" baseline="0">
                <a:solidFill>
                  <a:srgbClr val="000000"/>
                </a:solidFill>
                <a:latin typeface="宋体"/>
                <a:ea typeface="宋体"/>
                <a:cs typeface="Arial"/>
              </a:rPr>
              <a:t>时，外购单价减少</a:t>
            </a:r>
            <a:r>
              <a:rPr lang="zh-CN" altLang="en-US" sz="1100" b="0" i="0" u="none" strike="noStrike" baseline="0">
                <a:solidFill>
                  <a:srgbClr val="000000"/>
                </a:solidFill>
                <a:latin typeface="Arial"/>
                <a:ea typeface="宋体"/>
                <a:cs typeface="Arial"/>
              </a:rPr>
              <a:t>4</a:t>
            </a:r>
            <a:r>
              <a:rPr lang="zh-CN" altLang="en-US" sz="1100" b="0" i="0" u="none" strike="noStrike" baseline="0">
                <a:solidFill>
                  <a:srgbClr val="000000"/>
                </a:solidFill>
                <a:latin typeface="宋体"/>
                <a:ea typeface="宋体"/>
                <a:cs typeface="Arial"/>
              </a:rPr>
              <a:t>元，增加的需求量小于等于</a:t>
            </a:r>
            <a:r>
              <a:rPr lang="zh-CN" altLang="en-US" sz="1100" b="0" i="0" u="none" strike="noStrike" baseline="0">
                <a:solidFill>
                  <a:srgbClr val="000000"/>
                </a:solidFill>
                <a:latin typeface="Arial"/>
                <a:ea typeface="宋体"/>
                <a:cs typeface="Arial"/>
              </a:rPr>
              <a:t>10000</a:t>
            </a:r>
            <a:r>
              <a:rPr lang="zh-CN" altLang="en-US" sz="1100" b="0" i="0" u="none" strike="noStrike" baseline="0">
                <a:solidFill>
                  <a:srgbClr val="000000"/>
                </a:solidFill>
                <a:latin typeface="宋体"/>
                <a:ea typeface="宋体"/>
                <a:cs typeface="Arial"/>
              </a:rPr>
              <a:t>时，外购单价减少</a:t>
            </a:r>
            <a:r>
              <a:rPr lang="zh-CN" altLang="en-US" sz="1100" b="0" i="0" u="none" strike="noStrike" baseline="0">
                <a:solidFill>
                  <a:srgbClr val="000000"/>
                </a:solidFill>
                <a:latin typeface="Arial"/>
                <a:ea typeface="宋体"/>
                <a:cs typeface="Arial"/>
              </a:rPr>
              <a:t>6</a:t>
            </a:r>
            <a:r>
              <a:rPr lang="zh-CN" altLang="en-US" sz="1100" b="0" i="0" u="none" strike="noStrike" baseline="0">
                <a:solidFill>
                  <a:srgbClr val="000000"/>
                </a:solidFill>
                <a:latin typeface="宋体"/>
                <a:ea typeface="宋体"/>
                <a:cs typeface="Arial"/>
              </a:rPr>
              <a:t>元。在E5单元格旁边添加一个微调项，当增加的需求量从</a:t>
            </a:r>
            <a:r>
              <a:rPr lang="zh-CN" altLang="en-US" sz="1100" b="0" i="0" u="none" strike="noStrike" baseline="0">
                <a:solidFill>
                  <a:srgbClr val="000000"/>
                </a:solidFill>
                <a:latin typeface="Arial"/>
                <a:ea typeface="宋体"/>
                <a:cs typeface="Arial"/>
              </a:rPr>
              <a:t>0</a:t>
            </a:r>
            <a:r>
              <a:rPr lang="zh-CN" altLang="en-US" sz="1100" b="0" i="0" u="none" strike="noStrike" baseline="0">
                <a:solidFill>
                  <a:srgbClr val="000000"/>
                </a:solidFill>
                <a:latin typeface="宋体"/>
                <a:ea typeface="宋体"/>
                <a:cs typeface="Arial"/>
              </a:rPr>
              <a:t>按步长</a:t>
            </a:r>
            <a:r>
              <a:rPr lang="zh-CN" altLang="en-US" sz="1100" b="0" i="0" u="none" strike="noStrike" baseline="0">
                <a:solidFill>
                  <a:srgbClr val="000000"/>
                </a:solidFill>
                <a:latin typeface="Arial"/>
                <a:ea typeface="宋体"/>
                <a:cs typeface="Arial"/>
              </a:rPr>
              <a:t>20</a:t>
            </a:r>
            <a:r>
              <a:rPr lang="zh-CN" altLang="en-US" sz="1100" b="0" i="0" u="none" strike="noStrike" baseline="0">
                <a:solidFill>
                  <a:srgbClr val="000000"/>
                </a:solidFill>
                <a:latin typeface="宋体"/>
                <a:ea typeface="宋体"/>
                <a:cs typeface="Arial"/>
              </a:rPr>
              <a:t>变化到</a:t>
            </a:r>
            <a:r>
              <a:rPr lang="zh-CN" altLang="en-US" sz="1100" b="0" i="0" u="none" strike="noStrike" baseline="0">
                <a:solidFill>
                  <a:srgbClr val="000000"/>
                </a:solidFill>
                <a:latin typeface="Arial"/>
                <a:ea typeface="宋体"/>
                <a:cs typeface="Arial"/>
              </a:rPr>
              <a:t>1000</a:t>
            </a:r>
            <a:r>
              <a:rPr lang="zh-CN" altLang="en-US" sz="1100" b="0" i="0" u="none" strike="noStrike" baseline="0">
                <a:solidFill>
                  <a:srgbClr val="000000"/>
                </a:solidFill>
                <a:latin typeface="宋体"/>
                <a:ea typeface="宋体"/>
                <a:cs typeface="Arial"/>
              </a:rPr>
              <a:t>时，模型能反映出两个方案各自总成本的变化。</a:t>
            </a:r>
          </a:p>
          <a:p>
            <a:pPr algn="l" rtl="0">
              <a:lnSpc>
                <a:spcPts val="1100"/>
              </a:lnSpc>
              <a:defRPr sz="1000"/>
            </a:pPr>
            <a:endParaRPr lang="zh-CN" altLang="en-US" sz="1100" b="0" i="0" u="none" strike="noStrike" baseline="0">
              <a:solidFill>
                <a:srgbClr val="000000"/>
              </a:solidFill>
              <a:latin typeface="宋体"/>
              <a:ea typeface="宋体"/>
              <a:cs typeface="Arial"/>
            </a:endParaRPr>
          </a:p>
          <a:p>
            <a:pPr algn="l" rtl="0">
              <a:lnSpc>
                <a:spcPts val="1000"/>
              </a:lnSpc>
              <a:defRPr sz="1000"/>
            </a:pPr>
            <a:endParaRPr lang="zh-CN" altLang="en-US"/>
          </a:p>
        </xdr:txBody>
      </xdr:sp>
      <xdr:pic>
        <xdr:nvPicPr>
          <xdr:cNvPr id="2105" name="图片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2225" y="3305175"/>
            <a:ext cx="4554107" cy="28592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mc:AlternateContent xmlns:mc="http://schemas.openxmlformats.org/markup-compatibility/2006">
    <mc:Choice xmlns:a14="http://schemas.microsoft.com/office/drawing/2010/main" Requires="a14">
      <xdr:twoCellAnchor>
        <xdr:from>
          <xdr:col>4</xdr:col>
          <xdr:colOff>9525</xdr:colOff>
          <xdr:row>3</xdr:row>
          <xdr:rowOff>171450</xdr:rowOff>
        </xdr:from>
        <xdr:to>
          <xdr:col>4</xdr:col>
          <xdr:colOff>180975</xdr:colOff>
          <xdr:row>5</xdr:row>
          <xdr:rowOff>0</xdr:rowOff>
        </xdr:to>
        <xdr:sp macro="" textlink="">
          <xdr:nvSpPr>
            <xdr:cNvPr id="2049" name="Spinner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9</xdr:col>
      <xdr:colOff>409575</xdr:colOff>
      <xdr:row>17</xdr:row>
      <xdr:rowOff>104775</xdr:rowOff>
    </xdr:from>
    <xdr:to>
      <xdr:col>16</xdr:col>
      <xdr:colOff>561975</xdr:colOff>
      <xdr:row>34</xdr:row>
      <xdr:rowOff>66675</xdr:rowOff>
    </xdr:to>
    <xdr:graphicFrame macro="">
      <xdr:nvGraphicFramePr>
        <xdr:cNvPr id="313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228600</xdr:colOff>
      <xdr:row>18</xdr:row>
      <xdr:rowOff>47625</xdr:rowOff>
    </xdr:from>
    <xdr:to>
      <xdr:col>16</xdr:col>
      <xdr:colOff>200025</xdr:colOff>
      <xdr:row>19</xdr:row>
      <xdr:rowOff>95250</xdr:rowOff>
    </xdr:to>
    <xdr:sp macro="" textlink="$C$22">
      <xdr:nvSpPr>
        <xdr:cNvPr id="3" name="Text Box 3"/>
        <xdr:cNvSpPr txBox="1">
          <a:spLocks noChangeArrowheads="1"/>
        </xdr:cNvSpPr>
      </xdr:nvSpPr>
      <xdr:spPr bwMode="auto">
        <a:xfrm>
          <a:off x="8429625" y="3133725"/>
          <a:ext cx="3590925" cy="219075"/>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fld id="{FA4139A5-C40F-43C7-9D70-F4213EF3F529}" type="TxLink">
            <a:rPr lang="zh-CN" altLang="en-US" sz="1100" b="0" i="0" u="none" strike="noStrike" baseline="0">
              <a:solidFill>
                <a:srgbClr val="000000"/>
              </a:solidFill>
              <a:latin typeface="宋体"/>
              <a:ea typeface="宋体"/>
            </a:rPr>
            <a:t>年需求量=36000时，年总成本的最小值=1897.37</a:t>
          </a:fld>
          <a:endParaRPr lang="en-US" altLang="zh-CN" sz="1100" b="0" i="0" u="none" strike="noStrike" baseline="0">
            <a:solidFill>
              <a:srgbClr val="000000"/>
            </a:solidFill>
            <a:latin typeface="宋体"/>
            <a:ea typeface="宋体"/>
          </a:endParaRPr>
        </a:p>
      </xdr:txBody>
    </xdr:sp>
    <xdr:clientData/>
  </xdr:twoCellAnchor>
  <xdr:twoCellAnchor>
    <xdr:from>
      <xdr:col>1</xdr:col>
      <xdr:colOff>28575</xdr:colOff>
      <xdr:row>24</xdr:row>
      <xdr:rowOff>47625</xdr:rowOff>
    </xdr:from>
    <xdr:to>
      <xdr:col>9</xdr:col>
      <xdr:colOff>333375</xdr:colOff>
      <xdr:row>58</xdr:row>
      <xdr:rowOff>19050</xdr:rowOff>
    </xdr:to>
    <xdr:grpSp>
      <xdr:nvGrpSpPr>
        <xdr:cNvPr id="3141" name="Group 13"/>
        <xdr:cNvGrpSpPr>
          <a:grpSpLocks/>
        </xdr:cNvGrpSpPr>
      </xdr:nvGrpSpPr>
      <xdr:grpSpPr bwMode="auto">
        <a:xfrm>
          <a:off x="266700" y="4162425"/>
          <a:ext cx="6562725" cy="5800725"/>
          <a:chOff x="28" y="434"/>
          <a:chExt cx="588" cy="609"/>
        </a:xfrm>
      </xdr:grpSpPr>
      <xdr:sp macro="" textlink="">
        <xdr:nvSpPr>
          <xdr:cNvPr id="5" name="Text Box 6"/>
          <xdr:cNvSpPr txBox="1">
            <a:spLocks noChangeArrowheads="1"/>
          </xdr:cNvSpPr>
        </xdr:nvSpPr>
        <xdr:spPr bwMode="auto">
          <a:xfrm>
            <a:off x="28" y="434"/>
            <a:ext cx="588" cy="609"/>
          </a:xfrm>
          <a:prstGeom prst="rect">
            <a:avLst/>
          </a:prstGeom>
          <a:solidFill>
            <a:srgbClr val="CCFFCC"/>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3</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宋体"/>
                <a:ea typeface="宋体"/>
              </a:rPr>
              <a:t>15</a:t>
            </a:r>
            <a:r>
              <a:rPr lang="zh-CN" altLang="en-US" sz="1100" b="1" i="0" u="none" strike="noStrike" baseline="0">
                <a:solidFill>
                  <a:srgbClr val="000000"/>
                </a:solidFill>
                <a:latin typeface="宋体"/>
                <a:ea typeface="宋体"/>
              </a:rPr>
              <a:t>分）</a:t>
            </a:r>
            <a:r>
              <a:rPr lang="en-US" altLang="zh-CN" sz="1100" b="0" i="0" u="none" strike="noStrike" baseline="0">
                <a:solidFill>
                  <a:srgbClr val="000000"/>
                </a:solidFill>
                <a:latin typeface="宋体"/>
                <a:ea typeface="宋体"/>
              </a:rPr>
              <a:t>BestBuy</a:t>
            </a:r>
            <a:r>
              <a:rPr lang="zh-CN" altLang="en-US" sz="1100" b="0" i="0" u="none" strike="noStrike" baseline="0">
                <a:solidFill>
                  <a:srgbClr val="000000"/>
                </a:solidFill>
                <a:latin typeface="宋体"/>
                <a:ea typeface="宋体"/>
              </a:rPr>
              <a:t>公司对</a:t>
            </a:r>
            <a:r>
              <a:rPr lang="en-US" altLang="zh-CN" sz="1100" b="0" i="0" u="none" strike="noStrike" baseline="0">
                <a:solidFill>
                  <a:srgbClr val="000000"/>
                </a:solidFill>
                <a:latin typeface="宋体"/>
                <a:ea typeface="宋体"/>
              </a:rPr>
              <a:t>IBM</a:t>
            </a:r>
            <a:r>
              <a:rPr lang="zh-CN" altLang="en-US" sz="1100" b="0" i="0" u="none" strike="noStrike" baseline="0">
                <a:solidFill>
                  <a:srgbClr val="000000"/>
                </a:solidFill>
                <a:latin typeface="宋体"/>
                <a:ea typeface="宋体"/>
              </a:rPr>
              <a:t>电脑的年需求量为</a:t>
            </a:r>
            <a:r>
              <a:rPr lang="en-US" altLang="zh-CN" sz="1100" b="0" i="0" u="none" strike="noStrike" baseline="0">
                <a:solidFill>
                  <a:srgbClr val="000000"/>
                </a:solidFill>
                <a:latin typeface="宋体"/>
                <a:ea typeface="宋体"/>
              </a:rPr>
              <a:t>36000</a:t>
            </a:r>
            <a:r>
              <a:rPr lang="zh-CN" altLang="en-US" sz="1100" b="0" i="0" u="none" strike="noStrike" baseline="0">
                <a:solidFill>
                  <a:srgbClr val="000000"/>
                </a:solidFill>
                <a:latin typeface="宋体"/>
                <a:ea typeface="宋体"/>
              </a:rPr>
              <a:t>台，每次订货的成本为</a:t>
            </a:r>
            <a:r>
              <a:rPr lang="en-US" altLang="zh-CN" sz="1100" b="0" i="0" u="none" strike="noStrike" baseline="0">
                <a:solidFill>
                  <a:srgbClr val="000000"/>
                </a:solidFill>
                <a:latin typeface="宋体"/>
                <a:ea typeface="宋体"/>
              </a:rPr>
              <a:t>50</a:t>
            </a:r>
            <a:r>
              <a:rPr lang="zh-CN" altLang="en-US" sz="1100" b="0" i="0" u="none" strike="noStrike" baseline="0">
                <a:solidFill>
                  <a:srgbClr val="000000"/>
                </a:solidFill>
                <a:latin typeface="宋体"/>
                <a:ea typeface="宋体"/>
              </a:rPr>
              <a:t>美元。每次采购成本为</a:t>
            </a:r>
            <a:r>
              <a:rPr lang="en-US" altLang="zh-CN" sz="1100" b="0" i="0" u="none" strike="noStrike" baseline="0">
                <a:solidFill>
                  <a:srgbClr val="000000"/>
                </a:solidFill>
                <a:latin typeface="宋体"/>
                <a:ea typeface="宋体"/>
              </a:rPr>
              <a:t>200</a:t>
            </a:r>
            <a:r>
              <a:rPr lang="zh-CN" altLang="en-US" sz="1100" b="0" i="0" u="none" strike="noStrike" baseline="0">
                <a:solidFill>
                  <a:srgbClr val="000000"/>
                </a:solidFill>
                <a:latin typeface="宋体"/>
                <a:ea typeface="宋体"/>
              </a:rPr>
              <a:t>美元，单位库存持有成本为</a:t>
            </a:r>
            <a:r>
              <a:rPr lang="en-US" altLang="zh-CN" sz="1100" b="0" i="0" u="none" strike="noStrike" baseline="0">
                <a:solidFill>
                  <a:srgbClr val="000000"/>
                </a:solidFill>
                <a:latin typeface="宋体"/>
                <a:ea typeface="宋体"/>
              </a:rPr>
              <a:t>0.2</a:t>
            </a:r>
            <a:r>
              <a:rPr lang="zh-CN" altLang="en-US" sz="1100" b="0" i="0" u="none" strike="noStrike" baseline="0">
                <a:solidFill>
                  <a:srgbClr val="000000"/>
                </a:solidFill>
                <a:latin typeface="宋体"/>
                <a:ea typeface="宋体"/>
              </a:rPr>
              <a:t>美元。利用</a:t>
            </a:r>
            <a:r>
              <a:rPr lang="en-US" altLang="zh-CN" sz="1100" b="0" i="0" u="none" strike="noStrike" baseline="0">
                <a:solidFill>
                  <a:srgbClr val="000000"/>
                </a:solidFill>
                <a:latin typeface="宋体"/>
                <a:ea typeface="宋体"/>
              </a:rPr>
              <a:t>Excel</a:t>
            </a:r>
            <a:r>
              <a:rPr lang="zh-CN" altLang="en-US" sz="1100" b="0" i="0" u="none" strike="noStrike" baseline="0">
                <a:solidFill>
                  <a:srgbClr val="000000"/>
                </a:solidFill>
                <a:latin typeface="宋体"/>
                <a:ea typeface="宋体"/>
              </a:rPr>
              <a:t>建立经济订货量模型，假定订货量为</a:t>
            </a:r>
            <a:r>
              <a:rPr lang="en-US" altLang="zh-CN" sz="1100" b="0" i="0" u="none" strike="noStrike" baseline="0">
                <a:solidFill>
                  <a:srgbClr val="000000"/>
                </a:solidFill>
                <a:latin typeface="宋体"/>
                <a:ea typeface="宋体"/>
              </a:rPr>
              <a:t>2000</a:t>
            </a:r>
            <a:r>
              <a:rPr lang="zh-CN" altLang="en-US" sz="1100" b="0" i="0" u="none" strike="noStrike" baseline="0">
                <a:solidFill>
                  <a:srgbClr val="000000"/>
                </a:solidFill>
                <a:latin typeface="宋体"/>
                <a:ea typeface="宋体"/>
              </a:rPr>
              <a:t>。</a:t>
            </a:r>
          </a:p>
          <a:p>
            <a:pPr algn="l" rtl="0">
              <a:lnSpc>
                <a:spcPts val="1300"/>
              </a:lnSpc>
              <a:defRPr sz="1000"/>
            </a:pPr>
            <a:r>
              <a:rPr lang="zh-CN" altLang="en-US" sz="1100" b="0" i="0" u="none" strike="noStrike" baseline="0">
                <a:solidFill>
                  <a:srgbClr val="000000"/>
                </a:solidFill>
                <a:latin typeface="宋体"/>
                <a:ea typeface="宋体"/>
              </a:rPr>
              <a:t>操作要求：</a:t>
            </a:r>
          </a:p>
          <a:p>
            <a:pPr algn="l" rtl="0">
              <a:lnSpc>
                <a:spcPts val="1300"/>
              </a:lnSpc>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、计算年订货成本、年储存成本、年采购成本和年总成本；</a:t>
            </a:r>
          </a:p>
          <a:p>
            <a:pPr algn="l" rtl="0">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、计算经济订货量、以及经济订货量下的年订货成本、年储存成本、年采购成本和年总成本；</a:t>
            </a:r>
          </a:p>
          <a:p>
            <a:pPr algn="l" rtl="0">
              <a:lnSpc>
                <a:spcPts val="1300"/>
              </a:lnSpc>
              <a:defRPr sz="1000"/>
            </a:pPr>
            <a:r>
              <a:rPr lang="en-US" altLang="zh-CN" sz="1100" b="0" i="0" u="none" strike="noStrike" baseline="0">
                <a:solidFill>
                  <a:srgbClr val="000000"/>
                </a:solidFill>
                <a:latin typeface="宋体"/>
                <a:ea typeface="宋体"/>
              </a:rPr>
              <a:t>3</a:t>
            </a:r>
            <a:r>
              <a:rPr lang="zh-CN" altLang="en-US" sz="1100" b="0" i="0" u="none" strike="noStrike" baseline="0">
                <a:solidFill>
                  <a:srgbClr val="000000"/>
                </a:solidFill>
                <a:latin typeface="宋体"/>
                <a:ea typeface="宋体"/>
              </a:rPr>
              <a:t>、绘制年需求量的列表框</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模型中的年需求量值取列表框中选择的值，其中年需求量的取值如</a:t>
            </a:r>
            <a:r>
              <a:rPr lang="en-US" altLang="zh-CN" sz="1100" b="0" i="0" u="none" strike="noStrike" baseline="0">
                <a:solidFill>
                  <a:srgbClr val="000000"/>
                </a:solidFill>
                <a:latin typeface="宋体"/>
                <a:ea typeface="宋体"/>
              </a:rPr>
              <a:t>J2:J8</a:t>
            </a:r>
            <a:r>
              <a:rPr lang="zh-CN" altLang="en-US" sz="1100" b="0" i="0" u="none" strike="noStrike" baseline="0">
                <a:solidFill>
                  <a:srgbClr val="000000"/>
                </a:solidFill>
                <a:latin typeface="宋体"/>
                <a:ea typeface="宋体"/>
              </a:rPr>
              <a:t>单元格所示；</a:t>
            </a:r>
          </a:p>
          <a:p>
            <a:pPr algn="l" rtl="0">
              <a:lnSpc>
                <a:spcPts val="1300"/>
              </a:lnSpc>
              <a:defRPr sz="1000"/>
            </a:pP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、在本工作表中生成订货量为自变量、以年总成本为函数的模拟运算表；并利用模拟运算表的数据绘制在当前年需求量下的年总成本随订货量变化的蓝色曲线（参见结果图）；</a:t>
            </a:r>
          </a:p>
          <a:p>
            <a:pPr algn="l" rtl="0">
              <a:defRPr sz="1000"/>
            </a:pPr>
            <a:r>
              <a:rPr lang="en-US" altLang="zh-CN" sz="1100" b="0" i="0" u="none" strike="noStrike" baseline="0">
                <a:solidFill>
                  <a:srgbClr val="000000"/>
                </a:solidFill>
                <a:latin typeface="宋体"/>
                <a:ea typeface="宋体"/>
              </a:rPr>
              <a:t>5</a:t>
            </a:r>
            <a:r>
              <a:rPr lang="zh-CN" altLang="en-US" sz="1100" b="0" i="0" u="none" strike="noStrike" baseline="0">
                <a:solidFill>
                  <a:srgbClr val="000000"/>
                </a:solidFill>
                <a:latin typeface="宋体"/>
                <a:ea typeface="宋体"/>
              </a:rPr>
              <a:t>、在图中标注标题显示当前年需求量对应的年总成本最小值。在图中，当选择列表框显示的当前年需求量，可显示该年需求量下的经济订货量的红色点以及水平参考线。</a:t>
            </a:r>
          </a:p>
          <a:p>
            <a:pPr algn="l" rtl="0">
              <a:lnSpc>
                <a:spcPts val="1300"/>
              </a:lnSpc>
              <a:defRPr sz="1000"/>
            </a:pPr>
            <a:r>
              <a:rPr lang="en-US" altLang="zh-CN" sz="1100" b="0" i="0" u="none" strike="noStrike" baseline="0">
                <a:solidFill>
                  <a:srgbClr val="000000"/>
                </a:solidFill>
                <a:latin typeface="宋体"/>
                <a:ea typeface="宋体"/>
              </a:rPr>
              <a:t>6</a:t>
            </a:r>
            <a:r>
              <a:rPr lang="zh-CN" altLang="en-US" sz="1100" b="0" i="0" u="none" strike="noStrike" baseline="0">
                <a:solidFill>
                  <a:srgbClr val="000000"/>
                </a:solidFill>
                <a:latin typeface="宋体"/>
                <a:ea typeface="宋体"/>
              </a:rPr>
              <a:t>、根据列表框中的年需求量值绘制对应的的经济订货量的蓝色参考点。</a:t>
            </a: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3143" name="Picture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 y="719"/>
            <a:ext cx="554" cy="3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mc:AlternateContent xmlns:mc="http://schemas.openxmlformats.org/markup-compatibility/2006">
    <mc:Choice xmlns:a14="http://schemas.microsoft.com/office/drawing/2010/main" Requires="a14">
      <xdr:twoCellAnchor>
        <xdr:from>
          <xdr:col>15</xdr:col>
          <xdr:colOff>314325</xdr:colOff>
          <xdr:row>20</xdr:row>
          <xdr:rowOff>9525</xdr:rowOff>
        </xdr:from>
        <xdr:to>
          <xdr:col>16</xdr:col>
          <xdr:colOff>209550</xdr:colOff>
          <xdr:row>24</xdr:row>
          <xdr:rowOff>47625</xdr:rowOff>
        </xdr:to>
        <xdr:sp macro="" textlink="">
          <xdr:nvSpPr>
            <xdr:cNvPr id="3073" name="List Box 1" hidden="1">
              <a:extLst>
                <a:ext uri="{63B3BB69-23CF-44E3-9099-C40C66FF867C}">
                  <a14:compatExt spid="_x0000_s3073"/>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8</xdr:col>
      <xdr:colOff>314325</xdr:colOff>
      <xdr:row>0</xdr:row>
      <xdr:rowOff>123825</xdr:rowOff>
    </xdr:from>
    <xdr:to>
      <xdr:col>15</xdr:col>
      <xdr:colOff>381000</xdr:colOff>
      <xdr:row>20</xdr:row>
      <xdr:rowOff>9525</xdr:rowOff>
    </xdr:to>
    <xdr:grpSp>
      <xdr:nvGrpSpPr>
        <xdr:cNvPr id="35856" name="Group 4"/>
        <xdr:cNvGrpSpPr>
          <a:grpSpLocks/>
        </xdr:cNvGrpSpPr>
      </xdr:nvGrpSpPr>
      <xdr:grpSpPr bwMode="auto">
        <a:xfrm>
          <a:off x="4657725" y="123825"/>
          <a:ext cx="4762500" cy="3200400"/>
          <a:chOff x="516" y="24"/>
          <a:chExt cx="500" cy="330"/>
        </a:xfrm>
      </xdr:grpSpPr>
      <xdr:sp macro="" textlink="">
        <xdr:nvSpPr>
          <xdr:cNvPr id="3" name="Text Box 2"/>
          <xdr:cNvSpPr txBox="1">
            <a:spLocks noChangeArrowheads="1"/>
          </xdr:cNvSpPr>
        </xdr:nvSpPr>
        <xdr:spPr bwMode="auto">
          <a:xfrm>
            <a:off x="516" y="24"/>
            <a:ext cx="500" cy="330"/>
          </a:xfrm>
          <a:prstGeom prst="rect">
            <a:avLst/>
          </a:prstGeom>
          <a:solidFill>
            <a:srgbClr val="CCFFFF"/>
          </a:solidFill>
          <a:ln w="9525">
            <a:solidFill>
              <a:srgbClr val="000000"/>
            </a:solidFill>
            <a:miter lim="800000"/>
            <a:headEnd/>
            <a:tailEnd/>
          </a:ln>
          <a:effectLst/>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Arial"/>
                <a:cs typeface="Arial"/>
              </a:rPr>
              <a:t>4</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Arial"/>
                <a:cs typeface="Arial"/>
              </a:rPr>
              <a:t>10</a:t>
            </a:r>
            <a:r>
              <a:rPr lang="zh-CN" altLang="en-US" sz="1100" b="1" i="0" u="none" strike="noStrike" baseline="0">
                <a:solidFill>
                  <a:srgbClr val="000000"/>
                </a:solidFill>
                <a:latin typeface="宋体"/>
                <a:ea typeface="宋体"/>
              </a:rPr>
              <a:t>分） </a:t>
            </a:r>
            <a:r>
              <a:rPr lang="zh-CN" altLang="en-US" sz="1100" b="0" i="0" u="none" strike="noStrike" baseline="0">
                <a:solidFill>
                  <a:srgbClr val="000000"/>
                </a:solidFill>
                <a:latin typeface="宋体"/>
                <a:ea typeface="宋体"/>
              </a:rPr>
              <a:t>某公司生产</a:t>
            </a:r>
            <a:r>
              <a:rPr lang="en-US" altLang="zh-CN"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rPr>
              <a:t>种产品（产品甲、产品乙和产品丙），由部件</a:t>
            </a:r>
            <a:r>
              <a:rPr lang="en-US" altLang="zh-CN" sz="1100" b="0" i="0" u="none" strike="noStrike" baseline="0">
                <a:solidFill>
                  <a:srgbClr val="000000"/>
                </a:solidFill>
                <a:latin typeface="Arial"/>
                <a:cs typeface="Arial"/>
              </a:rPr>
              <a:t>A</a:t>
            </a:r>
            <a:r>
              <a:rPr lang="zh-CN" altLang="en-US" sz="1100" b="0" i="0" u="none" strike="noStrike" baseline="0">
                <a:solidFill>
                  <a:srgbClr val="000000"/>
                </a:solidFill>
                <a:latin typeface="宋体"/>
                <a:ea typeface="宋体"/>
              </a:rPr>
              <a:t>、部件</a:t>
            </a:r>
            <a:r>
              <a:rPr lang="en-US" altLang="zh-CN" sz="1100" b="0" i="0" u="none" strike="noStrike" baseline="0">
                <a:solidFill>
                  <a:srgbClr val="000000"/>
                </a:solidFill>
                <a:latin typeface="Arial"/>
                <a:cs typeface="Arial"/>
              </a:rPr>
              <a:t>B</a:t>
            </a:r>
            <a:r>
              <a:rPr lang="zh-CN" altLang="en-US" sz="1100" b="0" i="0" u="none" strike="noStrike" baseline="0">
                <a:solidFill>
                  <a:srgbClr val="000000"/>
                </a:solidFill>
                <a:latin typeface="宋体"/>
                <a:ea typeface="宋体"/>
              </a:rPr>
              <a:t>、部件</a:t>
            </a:r>
            <a:r>
              <a:rPr lang="en-US" altLang="zh-CN" sz="1100" b="0" i="0" u="none" strike="noStrike" baseline="0">
                <a:solidFill>
                  <a:srgbClr val="000000"/>
                </a:solidFill>
                <a:latin typeface="Arial"/>
                <a:cs typeface="Arial"/>
              </a:rPr>
              <a:t>C</a:t>
            </a:r>
            <a:r>
              <a:rPr lang="zh-CN" altLang="en-US" sz="1100" b="0" i="0" u="none" strike="noStrike" baseline="0">
                <a:solidFill>
                  <a:srgbClr val="000000"/>
                </a:solidFill>
                <a:latin typeface="宋体"/>
                <a:ea typeface="宋体"/>
              </a:rPr>
              <a:t>、部件</a:t>
            </a:r>
            <a:r>
              <a:rPr lang="en-US" altLang="zh-CN" sz="1100" b="0" i="0" u="none" strike="noStrike" baseline="0">
                <a:solidFill>
                  <a:srgbClr val="000000"/>
                </a:solidFill>
                <a:latin typeface="Arial"/>
                <a:cs typeface="Arial"/>
              </a:rPr>
              <a:t>D</a:t>
            </a:r>
            <a:r>
              <a:rPr lang="zh-CN" altLang="en-US" sz="1100" b="0" i="0" u="none" strike="noStrike" baseline="0">
                <a:solidFill>
                  <a:srgbClr val="000000"/>
                </a:solidFill>
                <a:latin typeface="宋体"/>
                <a:ea typeface="宋体"/>
              </a:rPr>
              <a:t>和部件</a:t>
            </a:r>
            <a:r>
              <a:rPr lang="en-US" altLang="zh-CN" sz="1100" b="0" i="0" u="none" strike="noStrike" baseline="0">
                <a:solidFill>
                  <a:srgbClr val="000000"/>
                </a:solidFill>
                <a:latin typeface="Arial"/>
                <a:cs typeface="Arial"/>
              </a:rPr>
              <a:t>E</a:t>
            </a:r>
            <a:r>
              <a:rPr lang="zh-CN" altLang="en-US" sz="1100" b="0" i="0" u="none" strike="noStrike" baseline="0">
                <a:solidFill>
                  <a:srgbClr val="000000"/>
                </a:solidFill>
                <a:latin typeface="宋体"/>
                <a:ea typeface="宋体"/>
              </a:rPr>
              <a:t>组成，各产品需要的部件数如下表所示：</a:t>
            </a: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r>
              <a:rPr lang="zh-CN" altLang="en-US" sz="1100" b="0" i="0" u="none" strike="noStrike" baseline="0">
                <a:solidFill>
                  <a:srgbClr val="000000"/>
                </a:solidFill>
                <a:latin typeface="宋体"/>
                <a:ea typeface="宋体"/>
              </a:rPr>
              <a:t>各部件的可供量分别为</a:t>
            </a:r>
            <a:r>
              <a:rPr lang="en-US" altLang="zh-CN" sz="1100" b="0" i="0" u="none" strike="noStrike" baseline="0">
                <a:solidFill>
                  <a:srgbClr val="000000"/>
                </a:solidFill>
                <a:latin typeface="Arial"/>
                <a:cs typeface="Arial"/>
              </a:rPr>
              <a:t>450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250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800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450</a:t>
            </a:r>
            <a:r>
              <a:rPr lang="zh-CN" altLang="en-US" sz="1100" b="0" i="0" u="none" strike="noStrike" baseline="0">
                <a:solidFill>
                  <a:srgbClr val="000000"/>
                </a:solidFill>
                <a:latin typeface="宋体"/>
                <a:ea typeface="宋体"/>
              </a:rPr>
              <a:t>和</a:t>
            </a:r>
            <a:r>
              <a:rPr lang="en-US" altLang="zh-CN" sz="1100" b="0" i="0" u="none" strike="noStrike" baseline="0">
                <a:solidFill>
                  <a:srgbClr val="000000"/>
                </a:solidFill>
                <a:latin typeface="Arial"/>
                <a:cs typeface="Arial"/>
              </a:rPr>
              <a:t>600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rPr>
              <a:t>种产品的单位利润分别为</a:t>
            </a:r>
            <a:r>
              <a:rPr lang="en-US" altLang="zh-CN" sz="1100" b="0" i="0" u="none" strike="noStrike" baseline="0">
                <a:solidFill>
                  <a:srgbClr val="000000"/>
                </a:solidFill>
                <a:latin typeface="Arial"/>
                <a:cs typeface="Arial"/>
              </a:rPr>
              <a:t>60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50</a:t>
            </a:r>
            <a:r>
              <a:rPr lang="zh-CN" altLang="en-US" sz="1100" b="0" i="0" u="none" strike="noStrike" baseline="0">
                <a:solidFill>
                  <a:srgbClr val="000000"/>
                </a:solidFill>
                <a:latin typeface="宋体"/>
                <a:ea typeface="宋体"/>
              </a:rPr>
              <a:t>和</a:t>
            </a:r>
            <a:r>
              <a:rPr lang="en-US" altLang="zh-CN" sz="1100" b="0" i="0" u="none" strike="noStrike" baseline="0">
                <a:solidFill>
                  <a:srgbClr val="000000"/>
                </a:solidFill>
                <a:latin typeface="Arial"/>
                <a:cs typeface="Arial"/>
              </a:rPr>
              <a:t>40</a:t>
            </a:r>
            <a:r>
              <a:rPr lang="zh-CN" altLang="en-US" sz="1100" b="0" i="0" u="none" strike="noStrike" baseline="0">
                <a:solidFill>
                  <a:srgbClr val="000000"/>
                </a:solidFill>
                <a:latin typeface="宋体"/>
                <a:ea typeface="宋体"/>
              </a:rPr>
              <a:t>元。</a:t>
            </a:r>
          </a:p>
          <a:p>
            <a:pPr algn="l" rtl="0">
              <a:defRPr sz="1000"/>
            </a:pPr>
            <a:r>
              <a:rPr lang="en-US" altLang="zh-CN"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rPr>
              <a:t>）该公司怎样安排各产品的生产量，获得的总利润最大？</a:t>
            </a:r>
          </a:p>
          <a:p>
            <a:pPr algn="l" rtl="0">
              <a:defRPr sz="1000"/>
            </a:pPr>
            <a:r>
              <a:rPr lang="en-US" altLang="zh-CN"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rPr>
              <a:t>）将规划求解结果保存在</a:t>
            </a:r>
            <a:r>
              <a:rPr lang="en-US" altLang="zh-CN" sz="1100" b="0" i="0" u="none" strike="noStrike" baseline="0">
                <a:solidFill>
                  <a:srgbClr val="000000"/>
                </a:solidFill>
                <a:latin typeface="Arial"/>
                <a:cs typeface="Arial"/>
              </a:rPr>
              <a:t>A2</a:t>
            </a:r>
            <a:r>
              <a:rPr lang="zh-CN" altLang="en-US" sz="1100" b="0" i="0" u="none" strike="noStrike" baseline="0">
                <a:solidFill>
                  <a:srgbClr val="000000"/>
                </a:solidFill>
                <a:latin typeface="宋体"/>
                <a:ea typeface="宋体"/>
              </a:rPr>
              <a:t>开始的单元格处。</a:t>
            </a: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xdr:txBody>
      </xdr:sp>
      <xdr:pic>
        <xdr:nvPicPr>
          <xdr:cNvPr id="35858"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 y="74"/>
            <a:ext cx="232" cy="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257175</xdr:colOff>
      <xdr:row>1</xdr:row>
      <xdr:rowOff>133350</xdr:rowOff>
    </xdr:from>
    <xdr:to>
      <xdr:col>7</xdr:col>
      <xdr:colOff>485775</xdr:colOff>
      <xdr:row>8</xdr:row>
      <xdr:rowOff>28575</xdr:rowOff>
    </xdr:to>
    <xdr:sp macro="" textlink="">
      <xdr:nvSpPr>
        <xdr:cNvPr id="2" name="Text Box 1"/>
        <xdr:cNvSpPr txBox="1">
          <a:spLocks noChangeArrowheads="1"/>
        </xdr:cNvSpPr>
      </xdr:nvSpPr>
      <xdr:spPr bwMode="auto">
        <a:xfrm>
          <a:off x="942975" y="314325"/>
          <a:ext cx="4343400" cy="116205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lnSpc>
              <a:spcPts val="1400"/>
            </a:lnSpc>
            <a:defRPr sz="1000"/>
          </a:pPr>
          <a:r>
            <a:rPr lang="zh-CN" altLang="en-US" sz="1200" b="0" i="0" u="none" strike="noStrike" baseline="0">
              <a:solidFill>
                <a:srgbClr val="000000"/>
              </a:solidFill>
              <a:latin typeface="宋体"/>
              <a:ea typeface="宋体"/>
            </a:rPr>
            <a:t>甲、乙两个粮库要向</a:t>
          </a:r>
          <a:r>
            <a:rPr lang="en-US" altLang="zh-CN" sz="1200" b="0" i="0" u="none" strike="noStrike" baseline="0">
              <a:solidFill>
                <a:srgbClr val="000000"/>
              </a:solidFill>
              <a:latin typeface="宋体"/>
              <a:ea typeface="宋体"/>
            </a:rPr>
            <a:t>A,B</a:t>
          </a:r>
          <a:r>
            <a:rPr lang="zh-CN" altLang="en-US" sz="1200" b="0" i="0" u="none" strike="noStrike" baseline="0">
              <a:solidFill>
                <a:srgbClr val="000000"/>
              </a:solidFill>
              <a:latin typeface="宋体"/>
              <a:ea typeface="宋体"/>
            </a:rPr>
            <a:t>两镇运送大米</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已知甲库可调出</a:t>
          </a:r>
          <a:r>
            <a:rPr lang="en-US" altLang="zh-CN" sz="1200" b="0" i="0" u="none" strike="noStrike" baseline="0">
              <a:solidFill>
                <a:srgbClr val="000000"/>
              </a:solidFill>
              <a:latin typeface="宋体"/>
              <a:ea typeface="宋体"/>
            </a:rPr>
            <a:t>100</a:t>
          </a:r>
          <a:r>
            <a:rPr lang="zh-CN" altLang="en-US" sz="1200" b="0" i="0" u="none" strike="noStrike" baseline="0">
              <a:solidFill>
                <a:srgbClr val="000000"/>
              </a:solidFill>
              <a:latin typeface="宋体"/>
              <a:ea typeface="宋体"/>
            </a:rPr>
            <a:t>吨大米</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乙库可调出</a:t>
          </a:r>
          <a:r>
            <a:rPr lang="en-US" altLang="zh-CN" sz="1200" b="0" i="0" u="none" strike="noStrike" baseline="0">
              <a:solidFill>
                <a:srgbClr val="000000"/>
              </a:solidFill>
              <a:latin typeface="宋体"/>
              <a:ea typeface="宋体"/>
            </a:rPr>
            <a:t>80</a:t>
          </a:r>
          <a:r>
            <a:rPr lang="zh-CN" altLang="en-US" sz="1200" b="0" i="0" u="none" strike="noStrike" baseline="0">
              <a:solidFill>
                <a:srgbClr val="000000"/>
              </a:solidFill>
              <a:latin typeface="宋体"/>
              <a:ea typeface="宋体"/>
            </a:rPr>
            <a:t>吨大米</a:t>
          </a:r>
          <a:r>
            <a:rPr lang="en-US" altLang="zh-CN" sz="1200" b="0" i="0" u="none" strike="noStrike" baseline="0">
              <a:solidFill>
                <a:srgbClr val="000000"/>
              </a:solidFill>
              <a:latin typeface="宋体"/>
              <a:ea typeface="宋体"/>
            </a:rPr>
            <a:t>,A</a:t>
          </a:r>
          <a:r>
            <a:rPr lang="zh-CN" altLang="en-US" sz="1200" b="0" i="0" u="none" strike="noStrike" baseline="0">
              <a:solidFill>
                <a:srgbClr val="000000"/>
              </a:solidFill>
              <a:latin typeface="宋体"/>
              <a:ea typeface="宋体"/>
            </a:rPr>
            <a:t>镇需</a:t>
          </a:r>
          <a:r>
            <a:rPr lang="en-US" altLang="zh-CN" sz="1200" b="0" i="0" u="none" strike="noStrike" baseline="0">
              <a:solidFill>
                <a:srgbClr val="000000"/>
              </a:solidFill>
              <a:latin typeface="宋体"/>
              <a:ea typeface="宋体"/>
            </a:rPr>
            <a:t>70</a:t>
          </a:r>
          <a:r>
            <a:rPr lang="zh-CN" altLang="en-US" sz="1200" b="0" i="0" u="none" strike="noStrike" baseline="0">
              <a:solidFill>
                <a:srgbClr val="000000"/>
              </a:solidFill>
              <a:latin typeface="宋体"/>
              <a:ea typeface="宋体"/>
            </a:rPr>
            <a:t>吨大米</a:t>
          </a:r>
          <a:r>
            <a:rPr lang="en-US" altLang="zh-CN" sz="1200" b="0" i="0" u="none" strike="noStrike" baseline="0">
              <a:solidFill>
                <a:srgbClr val="000000"/>
              </a:solidFill>
              <a:latin typeface="宋体"/>
              <a:ea typeface="宋体"/>
            </a:rPr>
            <a:t>,B</a:t>
          </a:r>
          <a:r>
            <a:rPr lang="zh-CN" altLang="en-US" sz="1200" b="0" i="0" u="none" strike="noStrike" baseline="0">
              <a:solidFill>
                <a:srgbClr val="000000"/>
              </a:solidFill>
              <a:latin typeface="宋体"/>
              <a:ea typeface="宋体"/>
            </a:rPr>
            <a:t>镇需</a:t>
          </a:r>
          <a:r>
            <a:rPr lang="en-US" altLang="zh-CN" sz="1200" b="0" i="0" u="none" strike="noStrike" baseline="0">
              <a:solidFill>
                <a:srgbClr val="000000"/>
              </a:solidFill>
              <a:latin typeface="宋体"/>
              <a:ea typeface="宋体"/>
            </a:rPr>
            <a:t>110</a:t>
          </a:r>
          <a:r>
            <a:rPr lang="zh-CN" altLang="en-US" sz="1200" b="0" i="0" u="none" strike="noStrike" baseline="0">
              <a:solidFill>
                <a:srgbClr val="000000"/>
              </a:solidFill>
              <a:latin typeface="宋体"/>
              <a:ea typeface="宋体"/>
            </a:rPr>
            <a:t>吨大米</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两库到两镇运费</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甲库到</a:t>
          </a:r>
          <a:r>
            <a:rPr lang="en-US" altLang="zh-CN" sz="1200" b="0" i="0" u="none" strike="noStrike" baseline="0">
              <a:solidFill>
                <a:srgbClr val="000000"/>
              </a:solidFill>
              <a:latin typeface="宋体"/>
              <a:ea typeface="宋体"/>
            </a:rPr>
            <a:t>A,B</a:t>
          </a:r>
          <a:r>
            <a:rPr lang="zh-CN" altLang="en-US" sz="1200" b="0" i="0" u="none" strike="noStrike" baseline="0">
              <a:solidFill>
                <a:srgbClr val="000000"/>
              </a:solidFill>
              <a:latin typeface="宋体"/>
              <a:ea typeface="宋体"/>
            </a:rPr>
            <a:t>镇分别为</a:t>
          </a:r>
          <a:r>
            <a:rPr lang="en-US" altLang="zh-CN" sz="1200" b="0" i="0" u="none" strike="noStrike" baseline="0">
              <a:solidFill>
                <a:srgbClr val="000000"/>
              </a:solidFill>
              <a:latin typeface="宋体"/>
              <a:ea typeface="宋体"/>
            </a:rPr>
            <a:t>:240</a:t>
          </a:r>
          <a:r>
            <a:rPr lang="zh-CN" altLang="en-US" sz="1200" b="0" i="0" u="none" strike="noStrike" baseline="0">
              <a:solidFill>
                <a:srgbClr val="000000"/>
              </a:solidFill>
              <a:latin typeface="宋体"/>
              <a:ea typeface="宋体"/>
            </a:rPr>
            <a:t>元每吨和</a:t>
          </a:r>
          <a:r>
            <a:rPr lang="en-US" altLang="zh-CN" sz="1200" b="0" i="0" u="none" strike="noStrike" baseline="0">
              <a:solidFill>
                <a:srgbClr val="000000"/>
              </a:solidFill>
              <a:latin typeface="宋体"/>
              <a:ea typeface="宋体"/>
            </a:rPr>
            <a:t>250</a:t>
          </a:r>
          <a:r>
            <a:rPr lang="zh-CN" altLang="en-US" sz="1200" b="0" i="0" u="none" strike="noStrike" baseline="0">
              <a:solidFill>
                <a:srgbClr val="000000"/>
              </a:solidFill>
              <a:latin typeface="宋体"/>
              <a:ea typeface="宋体"/>
            </a:rPr>
            <a:t>元</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吨</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乙库到</a:t>
          </a:r>
          <a:r>
            <a:rPr lang="en-US" altLang="zh-CN" sz="1200" b="0" i="0" u="none" strike="noStrike" baseline="0">
              <a:solidFill>
                <a:srgbClr val="000000"/>
              </a:solidFill>
              <a:latin typeface="宋体"/>
              <a:ea typeface="宋体"/>
            </a:rPr>
            <a:t>A,B</a:t>
          </a:r>
          <a:r>
            <a:rPr lang="zh-CN" altLang="en-US" sz="1200" b="0" i="0" u="none" strike="noStrike" baseline="0">
              <a:solidFill>
                <a:srgbClr val="000000"/>
              </a:solidFill>
              <a:latin typeface="宋体"/>
              <a:ea typeface="宋体"/>
            </a:rPr>
            <a:t>镇分别为</a:t>
          </a:r>
          <a:r>
            <a:rPr lang="en-US" altLang="zh-CN" sz="1200" b="0" i="0" u="none" strike="noStrike" baseline="0">
              <a:solidFill>
                <a:srgbClr val="000000"/>
              </a:solidFill>
              <a:latin typeface="宋体"/>
              <a:ea typeface="宋体"/>
            </a:rPr>
            <a:t>:180</a:t>
          </a:r>
          <a:r>
            <a:rPr lang="zh-CN" altLang="en-US" sz="1200" b="0" i="0" u="none" strike="noStrike" baseline="0">
              <a:solidFill>
                <a:srgbClr val="000000"/>
              </a:solidFill>
              <a:latin typeface="宋体"/>
              <a:ea typeface="宋体"/>
            </a:rPr>
            <a:t>元每吨和</a:t>
          </a:r>
          <a:r>
            <a:rPr lang="en-US" altLang="zh-CN" sz="1200" b="0" i="0" u="none" strike="noStrike" baseline="0">
              <a:solidFill>
                <a:srgbClr val="000000"/>
              </a:solidFill>
              <a:latin typeface="宋体"/>
              <a:ea typeface="宋体"/>
            </a:rPr>
            <a:t>160</a:t>
          </a:r>
          <a:r>
            <a:rPr lang="zh-CN" altLang="en-US" sz="1200" b="0" i="0" u="none" strike="noStrike" baseline="0">
              <a:solidFill>
                <a:srgbClr val="000000"/>
              </a:solidFill>
              <a:latin typeface="宋体"/>
              <a:ea typeface="宋体"/>
            </a:rPr>
            <a:t>元</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吨</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这两个粮库各运往</a:t>
          </a:r>
          <a:r>
            <a:rPr lang="en-US" altLang="zh-CN" sz="1200" b="0" i="0" u="none" strike="noStrike" baseline="0">
              <a:solidFill>
                <a:srgbClr val="000000"/>
              </a:solidFill>
              <a:latin typeface="宋体"/>
              <a:ea typeface="宋体"/>
            </a:rPr>
            <a:t>A,B</a:t>
          </a:r>
          <a:r>
            <a:rPr lang="zh-CN" altLang="en-US" sz="1200" b="0" i="0" u="none" strike="noStrike" baseline="0">
              <a:solidFill>
                <a:srgbClr val="000000"/>
              </a:solidFill>
              <a:latin typeface="宋体"/>
              <a:ea typeface="宋体"/>
            </a:rPr>
            <a:t>两镇多少大米</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才能使总运费最省此时总运费是多少？将模型保存在以</a:t>
          </a:r>
          <a:r>
            <a:rPr lang="en-US" altLang="zh-CN" sz="1200" b="0" i="0" u="none" strike="noStrike" baseline="0">
              <a:solidFill>
                <a:srgbClr val="000000"/>
              </a:solidFill>
              <a:latin typeface="宋体"/>
              <a:ea typeface="宋体"/>
            </a:rPr>
            <a:t>A2</a:t>
          </a:r>
          <a:r>
            <a:rPr lang="zh-CN" altLang="en-US" sz="1200" b="0" i="0" u="none" strike="noStrike" baseline="0">
              <a:solidFill>
                <a:srgbClr val="000000"/>
              </a:solidFill>
              <a:latin typeface="宋体"/>
              <a:ea typeface="宋体"/>
            </a:rPr>
            <a:t>开始的单元格内。</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14</xdr:row>
      <xdr:rowOff>104775</xdr:rowOff>
    </xdr:from>
    <xdr:to>
      <xdr:col>6</xdr:col>
      <xdr:colOff>123825</xdr:colOff>
      <xdr:row>25</xdr:row>
      <xdr:rowOff>133350</xdr:rowOff>
    </xdr:to>
    <xdr:sp macro="" textlink="">
      <xdr:nvSpPr>
        <xdr:cNvPr id="2" name="Text Box 1"/>
        <xdr:cNvSpPr txBox="1">
          <a:spLocks noChangeArrowheads="1"/>
        </xdr:cNvSpPr>
      </xdr:nvSpPr>
      <xdr:spPr bwMode="auto">
        <a:xfrm>
          <a:off x="161925" y="2638425"/>
          <a:ext cx="4076700" cy="2019300"/>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6</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宋体"/>
              <a:ea typeface="宋体"/>
            </a:rPr>
            <a:t>(10</a:t>
          </a:r>
          <a:r>
            <a:rPr lang="zh-CN" altLang="en-US" sz="1100" b="1" i="0" u="none" strike="noStrike" baseline="0">
              <a:solidFill>
                <a:srgbClr val="000000"/>
              </a:solidFill>
              <a:latin typeface="宋体"/>
              <a:ea typeface="宋体"/>
            </a:rPr>
            <a:t>分</a:t>
          </a:r>
          <a:r>
            <a:rPr lang="en-US" altLang="zh-CN" sz="1100" b="1"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某人购置商品房，按</a:t>
          </a:r>
          <a:r>
            <a:rPr lang="en-US" altLang="zh-CN" sz="1100" b="0" i="0" u="none" strike="noStrike" baseline="0">
              <a:solidFill>
                <a:srgbClr val="000000"/>
              </a:solidFill>
              <a:latin typeface="宋体"/>
              <a:ea typeface="宋体"/>
            </a:rPr>
            <a:t>7.05%</a:t>
          </a:r>
          <a:r>
            <a:rPr lang="zh-CN" altLang="en-US" sz="1100" b="0" i="0" u="none" strike="noStrike" baseline="0">
              <a:solidFill>
                <a:srgbClr val="000000"/>
              </a:solidFill>
              <a:latin typeface="宋体"/>
              <a:ea typeface="宋体"/>
            </a:rPr>
            <a:t>年商业贷款利率向银行贷款了贷款期限为</a:t>
          </a:r>
          <a:r>
            <a:rPr lang="en-US" altLang="zh-CN" sz="1100" b="0" i="0" u="none" strike="noStrike" baseline="0">
              <a:solidFill>
                <a:srgbClr val="000000"/>
              </a:solidFill>
              <a:latin typeface="宋体"/>
              <a:ea typeface="宋体"/>
            </a:rPr>
            <a:t>20</a:t>
          </a:r>
          <a:r>
            <a:rPr lang="zh-CN" altLang="en-US" sz="1100" b="0" i="0" u="none" strike="noStrike" baseline="0">
              <a:solidFill>
                <a:srgbClr val="000000"/>
              </a:solidFill>
              <a:latin typeface="宋体"/>
              <a:ea typeface="宋体"/>
            </a:rPr>
            <a:t>年贷款额为</a:t>
          </a:r>
          <a:r>
            <a:rPr lang="en-US" altLang="zh-CN" sz="1100" b="0" i="0" u="none" strike="noStrike" baseline="0">
              <a:solidFill>
                <a:srgbClr val="000000"/>
              </a:solidFill>
              <a:latin typeface="宋体"/>
              <a:ea typeface="宋体"/>
            </a:rPr>
            <a:t>500000</a:t>
          </a:r>
          <a:r>
            <a:rPr lang="zh-CN" altLang="en-US" sz="1100" b="0" i="0" u="none" strike="noStrike" baseline="0">
              <a:solidFill>
                <a:srgbClr val="000000"/>
              </a:solidFill>
              <a:latin typeface="宋体"/>
              <a:ea typeface="宋体"/>
            </a:rPr>
            <a:t>元的房贷。</a:t>
          </a:r>
        </a:p>
        <a:p>
          <a:pPr algn="l" rtl="0">
            <a:defRPr sz="1000"/>
          </a:pPr>
          <a:r>
            <a:rPr lang="zh-CN" altLang="en-US" sz="1100" b="0" i="0" u="none" strike="noStrike" baseline="0">
              <a:solidFill>
                <a:srgbClr val="000000"/>
              </a:solidFill>
              <a:latin typeface="宋体"/>
              <a:ea typeface="宋体"/>
            </a:rPr>
            <a:t>问：（</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）每月的等额偿还额是多少？</a:t>
          </a:r>
        </a:p>
        <a:p>
          <a:pPr algn="l" rtl="0">
            <a:defRPr sz="1000"/>
          </a:pPr>
          <a:r>
            <a:rPr lang="zh-CN" altLang="en-US" sz="1100" b="0" i="0" u="none" strike="noStrike" baseline="0">
              <a:solidFill>
                <a:srgbClr val="000000"/>
              </a:solidFill>
              <a:latin typeface="宋体"/>
              <a:ea typeface="宋体"/>
            </a:rPr>
            <a:t>假若，按银行规定贷款</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年（</a:t>
          </a:r>
          <a:r>
            <a:rPr lang="en-US" altLang="zh-CN" sz="1100" b="0" i="0" u="none" strike="noStrike" baseline="0">
              <a:solidFill>
                <a:srgbClr val="000000"/>
              </a:solidFill>
              <a:latin typeface="宋体"/>
              <a:ea typeface="宋体"/>
            </a:rPr>
            <a:t>12</a:t>
          </a:r>
          <a:r>
            <a:rPr lang="zh-CN" altLang="en-US" sz="1100" b="0" i="0" u="none" strike="noStrike" baseline="0">
              <a:solidFill>
                <a:srgbClr val="000000"/>
              </a:solidFill>
              <a:latin typeface="宋体"/>
              <a:ea typeface="宋体"/>
            </a:rPr>
            <a:t>个月）后才能提前冲贷。购房成功后，此人单位给予他</a:t>
          </a:r>
          <a:r>
            <a:rPr lang="en-US" altLang="zh-CN" sz="1100" b="0" i="0" u="none" strike="noStrike" baseline="0">
              <a:solidFill>
                <a:srgbClr val="000000"/>
              </a:solidFill>
              <a:latin typeface="宋体"/>
              <a:ea typeface="宋体"/>
            </a:rPr>
            <a:t>150000</a:t>
          </a:r>
          <a:r>
            <a:rPr lang="zh-CN" altLang="en-US" sz="1100" b="0" i="0" u="none" strike="noStrike" baseline="0">
              <a:solidFill>
                <a:srgbClr val="000000"/>
              </a:solidFill>
              <a:latin typeface="宋体"/>
              <a:ea typeface="宋体"/>
            </a:rPr>
            <a:t>元的房贴</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他决定提前冲贷且银行同意在第</a:t>
          </a:r>
          <a:r>
            <a:rPr lang="en-US" altLang="zh-CN" sz="1100" b="0" i="0" u="none" strike="noStrike" baseline="0">
              <a:solidFill>
                <a:srgbClr val="000000"/>
              </a:solidFill>
              <a:latin typeface="宋体"/>
              <a:ea typeface="宋体"/>
            </a:rPr>
            <a:t>13</a:t>
          </a:r>
          <a:r>
            <a:rPr lang="zh-CN" altLang="en-US" sz="1100" b="0" i="0" u="none" strike="noStrike" baseline="0">
              <a:solidFill>
                <a:srgbClr val="000000"/>
              </a:solidFill>
              <a:latin typeface="宋体"/>
              <a:ea typeface="宋体"/>
            </a:rPr>
            <a:t>个月还款前进行冲款来减少贷款余额。他去银行办理了相关手续。</a:t>
          </a:r>
        </a:p>
        <a:p>
          <a:pPr algn="l" rtl="0">
            <a:defRPr sz="1000"/>
          </a:pPr>
          <a:r>
            <a:rPr lang="zh-CN" altLang="en-US" sz="1100" b="0" i="0" u="none" strike="noStrike" baseline="0">
              <a:solidFill>
                <a:srgbClr val="000000"/>
              </a:solidFill>
              <a:latin typeface="宋体"/>
              <a:ea typeface="宋体"/>
            </a:rPr>
            <a:t>问：（</a:t>
          </a: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）请计算第</a:t>
          </a:r>
          <a:r>
            <a:rPr lang="en-US" altLang="zh-CN" sz="1100" b="0" i="0" u="none" strike="noStrike" baseline="0">
              <a:solidFill>
                <a:srgbClr val="000000"/>
              </a:solidFill>
              <a:latin typeface="宋体"/>
              <a:ea typeface="宋体"/>
            </a:rPr>
            <a:t>13</a:t>
          </a:r>
          <a:r>
            <a:rPr lang="zh-CN" altLang="en-US" sz="1100" b="0" i="0" u="none" strike="noStrike" baseline="0">
              <a:solidFill>
                <a:srgbClr val="000000"/>
              </a:solidFill>
              <a:latin typeface="宋体"/>
              <a:ea typeface="宋体"/>
            </a:rPr>
            <a:t>个月提前冲贷后的贷款余额。</a:t>
          </a:r>
        </a:p>
        <a:p>
          <a:pPr algn="l" rtl="0">
            <a:defRPr sz="1000"/>
          </a:pP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3</a:t>
          </a:r>
          <a:r>
            <a:rPr lang="zh-CN" altLang="en-US" sz="1100" b="0" i="0" u="none" strike="noStrike" baseline="0">
              <a:solidFill>
                <a:srgbClr val="000000"/>
              </a:solidFill>
              <a:latin typeface="宋体"/>
              <a:ea typeface="宋体"/>
            </a:rPr>
            <a:t>）若贷款年利率不变且每月等额还款额不变时，他还有多少年能还清银行的贷款？</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438150</xdr:colOff>
      <xdr:row>19</xdr:row>
      <xdr:rowOff>142875</xdr:rowOff>
    </xdr:from>
    <xdr:to>
      <xdr:col>7</xdr:col>
      <xdr:colOff>9525</xdr:colOff>
      <xdr:row>34</xdr:row>
      <xdr:rowOff>171450</xdr:rowOff>
    </xdr:to>
    <xdr:graphicFrame macro="">
      <xdr:nvGraphicFramePr>
        <xdr:cNvPr id="8204" name="图表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19</xdr:row>
      <xdr:rowOff>142875</xdr:rowOff>
    </xdr:from>
    <xdr:to>
      <xdr:col>8</xdr:col>
      <xdr:colOff>723900</xdr:colOff>
      <xdr:row>37</xdr:row>
      <xdr:rowOff>38100</xdr:rowOff>
    </xdr:to>
    <xdr:grpSp>
      <xdr:nvGrpSpPr>
        <xdr:cNvPr id="19530" name="Group 1035"/>
        <xdr:cNvGrpSpPr>
          <a:grpSpLocks/>
        </xdr:cNvGrpSpPr>
      </xdr:nvGrpSpPr>
      <xdr:grpSpPr bwMode="auto">
        <a:xfrm>
          <a:off x="228600" y="3429000"/>
          <a:ext cx="5172075" cy="2981325"/>
          <a:chOff x="24" y="360"/>
          <a:chExt cx="543" cy="313"/>
        </a:xfrm>
      </xdr:grpSpPr>
      <xdr:graphicFrame macro="">
        <xdr:nvGraphicFramePr>
          <xdr:cNvPr id="19536" name="图表 1026"/>
          <xdr:cNvGraphicFramePr>
            <a:graphicFrameLocks/>
          </xdr:cNvGraphicFramePr>
        </xdr:nvGraphicFramePr>
        <xdr:xfrm>
          <a:off x="24" y="360"/>
          <a:ext cx="543" cy="313"/>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19537" name="Group 1027"/>
          <xdr:cNvGrpSpPr>
            <a:grpSpLocks/>
          </xdr:cNvGrpSpPr>
        </xdr:nvGrpSpPr>
        <xdr:grpSpPr bwMode="auto">
          <a:xfrm>
            <a:off x="106" y="408"/>
            <a:ext cx="91" cy="28"/>
            <a:chOff x="409" y="211"/>
            <a:chExt cx="91" cy="28"/>
          </a:xfrm>
        </xdr:grpSpPr>
        <xdr:sp macro="" textlink="$B$19">
          <xdr:nvSpPr>
            <xdr:cNvPr id="5" name="Text Box 1029"/>
            <xdr:cNvSpPr txBox="1">
              <a:spLocks noChangeArrowheads="1" noTextEdit="1"/>
            </xdr:cNvSpPr>
          </xdr:nvSpPr>
          <xdr:spPr bwMode="auto">
            <a:xfrm>
              <a:off x="432" y="211"/>
              <a:ext cx="68" cy="28"/>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defRPr sz="1000"/>
              </a:pPr>
              <a:fld id="{164140C0-7EC2-453D-A1B4-EABA10138FA3}" type="TxLink">
                <a:rPr lang="zh-CN" altLang="en-US" sz="1100" b="0" i="0" u="none" strike="noStrike" baseline="0">
                  <a:solidFill>
                    <a:srgbClr val="000000"/>
                  </a:solidFill>
                  <a:latin typeface="宋体"/>
                  <a:ea typeface="宋体"/>
                </a:rPr>
                <a:t>第10周</a:t>
              </a:fld>
              <a:endParaRPr lang="zh-CN" altLang="en-US"/>
            </a:p>
          </xdr:txBody>
        </xdr:sp>
      </xdr:grpSp>
    </xdr:grpSp>
    <xdr:clientData/>
  </xdr:twoCellAnchor>
  <xdr:twoCellAnchor>
    <xdr:from>
      <xdr:col>15</xdr:col>
      <xdr:colOff>228600</xdr:colOff>
      <xdr:row>1</xdr:row>
      <xdr:rowOff>19050</xdr:rowOff>
    </xdr:from>
    <xdr:to>
      <xdr:col>24</xdr:col>
      <xdr:colOff>495300</xdr:colOff>
      <xdr:row>35</xdr:row>
      <xdr:rowOff>19050</xdr:rowOff>
    </xdr:to>
    <xdr:grpSp>
      <xdr:nvGrpSpPr>
        <xdr:cNvPr id="19531" name="Group 1036"/>
        <xdr:cNvGrpSpPr>
          <a:grpSpLocks/>
        </xdr:cNvGrpSpPr>
      </xdr:nvGrpSpPr>
      <xdr:grpSpPr bwMode="auto">
        <a:xfrm>
          <a:off x="9744075" y="219075"/>
          <a:ext cx="5991225" cy="5829300"/>
          <a:chOff x="402" y="93"/>
          <a:chExt cx="629" cy="612"/>
        </a:xfrm>
      </xdr:grpSpPr>
      <xdr:sp macro="" textlink="">
        <xdr:nvSpPr>
          <xdr:cNvPr id="7" name="Text Box 5"/>
          <xdr:cNvSpPr txBox="1">
            <a:spLocks noChangeArrowheads="1"/>
          </xdr:cNvSpPr>
        </xdr:nvSpPr>
        <xdr:spPr bwMode="auto">
          <a:xfrm>
            <a:off x="402" y="93"/>
            <a:ext cx="629" cy="612"/>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Times New Roman"/>
                <a:ea typeface="宋体"/>
                <a:cs typeface="Times New Roman"/>
              </a:rPr>
              <a:t>8</a:t>
            </a:r>
            <a:r>
              <a:rPr lang="zh-CN" altLang="en-US" sz="1100" b="1" i="0" u="none" strike="noStrike" baseline="0">
                <a:solidFill>
                  <a:srgbClr val="000000"/>
                </a:solidFill>
                <a:latin typeface="宋体"/>
                <a:ea typeface="宋体"/>
                <a:cs typeface="Times New Roman"/>
              </a:rPr>
              <a:t>题（15分）</a:t>
            </a:r>
            <a:r>
              <a:rPr lang="zh-CN" altLang="en-US" sz="1100" b="1" i="0" u="none" strike="noStrike" baseline="0">
                <a:solidFill>
                  <a:srgbClr val="000000"/>
                </a:solidFill>
                <a:latin typeface="Times New Roman"/>
                <a:ea typeface="宋体"/>
                <a:cs typeface="Times New Roman"/>
              </a:rPr>
              <a:t> </a:t>
            </a:r>
            <a:r>
              <a:rPr lang="zh-CN" altLang="en-US" sz="1100" b="0" i="0" u="none" strike="noStrike" baseline="0">
                <a:solidFill>
                  <a:srgbClr val="000000"/>
                </a:solidFill>
                <a:latin typeface="宋体"/>
                <a:ea typeface="宋体"/>
                <a:cs typeface="Times New Roman"/>
              </a:rPr>
              <a:t>某商店只在周五、周六和周日营业，所卖商品每周订购一次，订购量为200，周五早上到货并开始销售。每天的需求量是随机数，周五的需求量是离散分布的随机数（见下表），周六的需求量是40</a:t>
            </a:r>
            <a:r>
              <a:rPr lang="zh-CN" altLang="en-US" sz="1100" b="0" i="0" u="none" strike="noStrike" baseline="0">
                <a:solidFill>
                  <a:srgbClr val="000000"/>
                </a:solidFill>
                <a:latin typeface="Arial"/>
                <a:ea typeface="宋体"/>
                <a:cs typeface="Arial"/>
              </a:rPr>
              <a:t>~</a:t>
            </a:r>
            <a:r>
              <a:rPr lang="zh-CN" altLang="en-US" sz="1100" b="0" i="0" u="none" strike="noStrike" baseline="0">
                <a:solidFill>
                  <a:srgbClr val="000000"/>
                </a:solidFill>
                <a:latin typeface="宋体"/>
                <a:ea typeface="宋体"/>
                <a:cs typeface="Arial"/>
              </a:rPr>
              <a:t>60之间均匀分布的随机数,周日的需求量是均值为50、标准差为10的正态分布的随机数。商品的销售价格为40元,采购价格为25元，在周末剩余的商品全部免费处理掉。</a:t>
            </a: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r>
              <a:rPr lang="zh-CN" altLang="en-US" sz="1100" b="0" i="0" u="none" strike="noStrike" baseline="0">
                <a:solidFill>
                  <a:srgbClr val="000000"/>
                </a:solidFill>
                <a:latin typeface="宋体"/>
                <a:ea typeface="宋体"/>
                <a:cs typeface="Arial"/>
              </a:rPr>
              <a:t>假设一年有52周，试在本工作表中建立模拟模型完成如下操作：</a:t>
            </a:r>
          </a:p>
          <a:p>
            <a:pPr algn="l" rtl="0">
              <a:defRPr sz="1000"/>
            </a:pPr>
            <a:r>
              <a:rPr lang="zh-CN" altLang="en-US" sz="1100" b="0" i="0" u="none" strike="noStrike" baseline="0">
                <a:solidFill>
                  <a:srgbClr val="000000"/>
                </a:solidFill>
                <a:latin typeface="宋体"/>
                <a:ea typeface="宋体"/>
                <a:cs typeface="Arial"/>
              </a:rPr>
              <a:t>1.计算每周的如下数据：</a:t>
            </a: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sz="1100" b="0" i="0" u="none" strike="noStrike" baseline="0">
              <a:solidFill>
                <a:srgbClr val="000000"/>
              </a:solidFill>
              <a:latin typeface="宋体"/>
              <a:ea typeface="宋体"/>
              <a:cs typeface="Arial"/>
            </a:endParaRPr>
          </a:p>
          <a:p>
            <a:pPr algn="l" rtl="0">
              <a:defRPr sz="1000"/>
            </a:pPr>
            <a:r>
              <a:rPr lang="zh-CN" altLang="en-US" sz="1100" b="0" i="0" u="none" strike="noStrike" baseline="0">
                <a:solidFill>
                  <a:srgbClr val="000000"/>
                </a:solidFill>
                <a:latin typeface="宋体"/>
                <a:ea typeface="宋体"/>
                <a:cs typeface="Arial"/>
              </a:rPr>
              <a:t>2.绘制前20周利润变化柱形图（绿色），其中有一微调项可以调节当前的周次，以便用橙色柱形显示当前周次的周利润。</a:t>
            </a:r>
          </a:p>
          <a:p>
            <a:pPr algn="l" rtl="0">
              <a:defRPr sz="1000"/>
            </a:pPr>
            <a:endParaRPr lang="zh-CN" altLang="en-US" sz="1100" b="0" i="0" u="none" strike="noStrike" baseline="0">
              <a:solidFill>
                <a:srgbClr val="000000"/>
              </a:solidFill>
              <a:latin typeface="宋体"/>
              <a:ea typeface="宋体"/>
              <a:cs typeface="Arial"/>
            </a:endParaRPr>
          </a:p>
          <a:p>
            <a:pPr algn="l" rtl="0">
              <a:defRPr sz="1000"/>
            </a:pPr>
            <a:endParaRPr lang="zh-CN" altLang="en-US"/>
          </a:p>
        </xdr:txBody>
      </xdr:sp>
      <xdr:pic>
        <xdr:nvPicPr>
          <xdr:cNvPr id="19533" name="Picture 103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31" y="321"/>
            <a:ext cx="582"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9534" name="Picture 103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3" y="177"/>
            <a:ext cx="190" cy="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9535" name="Picture 104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48" y="391"/>
            <a:ext cx="544" cy="3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mc:AlternateContent xmlns:mc="http://schemas.openxmlformats.org/markup-compatibility/2006">
    <mc:Choice xmlns:a14="http://schemas.microsoft.com/office/drawing/2010/main" Requires="a14">
      <xdr:twoCellAnchor>
        <xdr:from>
          <xdr:col>1</xdr:col>
          <xdr:colOff>800100</xdr:colOff>
          <xdr:row>22</xdr:row>
          <xdr:rowOff>85725</xdr:rowOff>
        </xdr:from>
        <xdr:to>
          <xdr:col>1</xdr:col>
          <xdr:colOff>1019175</xdr:colOff>
          <xdr:row>24</xdr:row>
          <xdr:rowOff>9525</xdr:rowOff>
        </xdr:to>
        <xdr:sp macro="" textlink="">
          <xdr:nvSpPr>
            <xdr:cNvPr id="19457" name="Spinner 1" hidden="1">
              <a:extLst>
                <a:ext uri="{63B3BB69-23CF-44E3-9099-C40C66FF867C}">
                  <a14:compatExt spid="_x0000_s19457"/>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5.bin"/><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1"/>
  <sheetViews>
    <sheetView tabSelected="1" topLeftCell="A15" workbookViewId="0">
      <selection activeCell="D27" sqref="D27"/>
    </sheetView>
  </sheetViews>
  <sheetFormatPr defaultRowHeight="14.25"/>
  <cols>
    <col min="1" max="1" width="3.625" customWidth="1"/>
    <col min="2" max="2" width="20.625" customWidth="1"/>
    <col min="3" max="3" width="16.125" customWidth="1"/>
  </cols>
  <sheetData>
    <row r="1" spans="2:3">
      <c r="B1" s="1"/>
      <c r="C1" s="1"/>
    </row>
    <row r="2" spans="2:3" ht="15">
      <c r="B2" s="2" t="s">
        <v>0</v>
      </c>
      <c r="C2" s="3">
        <v>15000</v>
      </c>
    </row>
    <row r="3" spans="2:3" ht="15">
      <c r="B3" s="4"/>
      <c r="C3" s="4"/>
    </row>
    <row r="4" spans="2:3" ht="15">
      <c r="B4" s="5"/>
      <c r="C4" s="6" t="s">
        <v>1</v>
      </c>
    </row>
    <row r="5" spans="2:3" ht="15">
      <c r="B5" s="7" t="s">
        <v>2</v>
      </c>
      <c r="C5" s="8">
        <v>30</v>
      </c>
    </row>
    <row r="6" spans="2:3" ht="15">
      <c r="B6" s="9" t="s">
        <v>3</v>
      </c>
      <c r="C6" s="10">
        <v>13</v>
      </c>
    </row>
    <row r="7" spans="2:3" ht="15">
      <c r="B7" s="2" t="s">
        <v>4</v>
      </c>
      <c r="C7" s="8">
        <v>10000</v>
      </c>
    </row>
    <row r="8" spans="2:3" ht="15">
      <c r="B8" s="4"/>
      <c r="C8" s="4"/>
    </row>
    <row r="9" spans="2:3" ht="15">
      <c r="B9" s="2" t="s">
        <v>5</v>
      </c>
      <c r="C9" s="11">
        <f>C5-C6</f>
        <v>17</v>
      </c>
    </row>
    <row r="10" spans="2:3" ht="15">
      <c r="B10" s="12" t="s">
        <v>6</v>
      </c>
      <c r="C10" s="13">
        <f>C9/C5</f>
        <v>0.56666666666666665</v>
      </c>
    </row>
    <row r="11" spans="2:3" ht="15">
      <c r="B11" s="2" t="s">
        <v>7</v>
      </c>
      <c r="C11" s="11">
        <f>C5*C2</f>
        <v>450000</v>
      </c>
    </row>
    <row r="12" spans="2:3" ht="15">
      <c r="B12" s="2" t="s">
        <v>8</v>
      </c>
      <c r="C12" s="11">
        <f>C7+C6*C2</f>
        <v>205000</v>
      </c>
    </row>
    <row r="13" spans="2:3" ht="15">
      <c r="B13" s="2" t="s">
        <v>9</v>
      </c>
      <c r="C13" s="14">
        <f>C11-C12</f>
        <v>245000</v>
      </c>
    </row>
    <row r="14" spans="2:3" ht="15">
      <c r="B14" s="4"/>
      <c r="C14" s="4"/>
    </row>
    <row r="15" spans="2:3" ht="16.5">
      <c r="B15" s="2" t="s">
        <v>10</v>
      </c>
      <c r="C15" s="15">
        <f>C7/C9</f>
        <v>588.23529411764707</v>
      </c>
    </row>
    <row r="16" spans="2:3" ht="16.5">
      <c r="B16" s="2" t="s">
        <v>11</v>
      </c>
      <c r="C16" s="15">
        <f>C5*C15</f>
        <v>17647.058823529413</v>
      </c>
    </row>
    <row r="17" spans="2:3" ht="15">
      <c r="B17" s="4"/>
      <c r="C17" s="4"/>
    </row>
    <row r="18" spans="2:3" ht="15">
      <c r="B18" s="2" t="s">
        <v>12</v>
      </c>
      <c r="C18" s="16">
        <v>20000</v>
      </c>
    </row>
    <row r="19" spans="2:3" ht="15">
      <c r="B19" s="2" t="s">
        <v>13</v>
      </c>
      <c r="C19" s="11">
        <f>(C18+C7)/C9</f>
        <v>1764.7058823529412</v>
      </c>
    </row>
    <row r="20" spans="2:3" ht="15">
      <c r="B20" s="2" t="s">
        <v>14</v>
      </c>
      <c r="C20" s="11">
        <f>C19-C15</f>
        <v>1176.4705882352941</v>
      </c>
    </row>
    <row r="21" spans="2:3" ht="15">
      <c r="B21" s="2" t="s">
        <v>15</v>
      </c>
      <c r="C21" s="11">
        <f>C20/C19</f>
        <v>0.66666666666666663</v>
      </c>
    </row>
  </sheetData>
  <phoneticPr fontId="3" type="noConversion"/>
  <pageMargins left="0.75" right="0.75" top="1" bottom="1" header="0.5" footer="0.5"/>
  <pageSetup paperSize="9"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L15"/>
  <sheetViews>
    <sheetView topLeftCell="A10" workbookViewId="0">
      <selection activeCell="D37" sqref="D37"/>
    </sheetView>
  </sheetViews>
  <sheetFormatPr defaultColWidth="8" defaultRowHeight="15"/>
  <cols>
    <col min="1" max="1" width="1.875" style="17" customWidth="1"/>
    <col min="2" max="2" width="2" style="17" customWidth="1"/>
    <col min="3" max="3" width="15.875" style="17" customWidth="1"/>
    <col min="4" max="4" width="11" style="17" customWidth="1"/>
    <col min="5" max="5" width="10.5" style="17" customWidth="1"/>
    <col min="6" max="7" width="2.5" style="17" customWidth="1"/>
    <col min="8" max="9" width="8" style="17" customWidth="1"/>
    <col min="10" max="10" width="12.875" style="17" customWidth="1"/>
    <col min="11" max="11" width="10.25" style="17" customWidth="1"/>
    <col min="12" max="12" width="10.125" style="17" bestFit="1" customWidth="1"/>
    <col min="13" max="16384" width="8" style="17"/>
  </cols>
  <sheetData>
    <row r="1" spans="2:12" ht="13.5" customHeight="1"/>
    <row r="2" spans="2:12">
      <c r="B2" s="18"/>
      <c r="C2" s="18"/>
      <c r="D2" s="18"/>
      <c r="E2" s="18"/>
      <c r="F2" s="18"/>
      <c r="I2" s="19"/>
      <c r="J2" s="19" t="str">
        <f>D6</f>
        <v>外购</v>
      </c>
      <c r="K2" s="19" t="str">
        <f>E6</f>
        <v>自制</v>
      </c>
      <c r="L2" s="19"/>
    </row>
    <row r="3" spans="2:12">
      <c r="B3" s="18"/>
      <c r="C3" s="20" t="s">
        <v>16</v>
      </c>
      <c r="D3" s="21"/>
      <c r="E3" s="22">
        <f>2000+E5</f>
        <v>2000</v>
      </c>
      <c r="F3" s="23">
        <v>2</v>
      </c>
      <c r="I3" s="19"/>
      <c r="J3" s="24">
        <f>D9</f>
        <v>180000</v>
      </c>
      <c r="K3" s="24">
        <f>E9</f>
        <v>190000</v>
      </c>
      <c r="L3" s="25">
        <f>J3-K3</f>
        <v>-10000</v>
      </c>
    </row>
    <row r="4" spans="2:12">
      <c r="B4" s="18"/>
      <c r="C4" s="20" t="s">
        <v>17</v>
      </c>
      <c r="D4" s="21"/>
      <c r="E4" s="26">
        <f>90-INDEX(J8:J11,MATCH(E5,I8:I11))</f>
        <v>90</v>
      </c>
      <c r="F4" s="18"/>
      <c r="I4" s="19">
        <v>1000</v>
      </c>
      <c r="J4" s="19">
        <f t="dataTable" ref="J4:L5" dt2D="0" dtr="0" r1="E3"/>
        <v>90000</v>
      </c>
      <c r="K4" s="19">
        <v>145000</v>
      </c>
      <c r="L4" s="19">
        <v>-55000</v>
      </c>
    </row>
    <row r="5" spans="2:12">
      <c r="B5" s="18"/>
      <c r="C5" s="20" t="s">
        <v>18</v>
      </c>
      <c r="D5" s="21"/>
      <c r="E5" s="26">
        <v>0</v>
      </c>
      <c r="F5" s="18"/>
      <c r="I5" s="19">
        <v>3000</v>
      </c>
      <c r="J5" s="19">
        <v>270000</v>
      </c>
      <c r="K5" s="19">
        <v>235000</v>
      </c>
      <c r="L5" s="19">
        <v>35000</v>
      </c>
    </row>
    <row r="6" spans="2:12" ht="15.75">
      <c r="B6" s="18"/>
      <c r="C6" s="27">
        <v>150</v>
      </c>
      <c r="D6" s="28" t="s">
        <v>19</v>
      </c>
      <c r="E6" s="28" t="s">
        <v>20</v>
      </c>
      <c r="F6" s="18"/>
      <c r="I6" s="29">
        <f>I4+(I5-I4)/($L$5-$L$4)*($L$6-$L$4)</f>
        <v>2222.2222222222222</v>
      </c>
      <c r="J6" s="29">
        <f>J4+(J5-J4)/($L$5-$L$4)*($L$6-$L$4)</f>
        <v>200000</v>
      </c>
      <c r="K6" s="29">
        <f>K4+(K5-K4)/($L$5-$L$4)*($L$6-$L$4)</f>
        <v>200000</v>
      </c>
      <c r="L6" s="29">
        <v>0</v>
      </c>
    </row>
    <row r="7" spans="2:12">
      <c r="B7" s="18"/>
      <c r="C7" s="30" t="s">
        <v>21</v>
      </c>
      <c r="D7" s="31"/>
      <c r="E7" s="26">
        <v>100000</v>
      </c>
      <c r="F7" s="18"/>
    </row>
    <row r="8" spans="2:12">
      <c r="B8" s="18"/>
      <c r="C8" s="30" t="s">
        <v>22</v>
      </c>
      <c r="D8" s="32"/>
      <c r="E8" s="33">
        <v>45</v>
      </c>
      <c r="F8" s="34"/>
      <c r="I8" s="19">
        <v>0</v>
      </c>
      <c r="J8" s="19">
        <v>0</v>
      </c>
    </row>
    <row r="9" spans="2:12">
      <c r="B9" s="18"/>
      <c r="C9" s="30" t="s">
        <v>23</v>
      </c>
      <c r="D9" s="35">
        <f>E4*E3</f>
        <v>180000</v>
      </c>
      <c r="E9" s="35">
        <f>E7+E8*E3</f>
        <v>190000</v>
      </c>
      <c r="F9" s="18"/>
      <c r="I9" s="19">
        <v>101</v>
      </c>
      <c r="J9" s="19">
        <v>1</v>
      </c>
    </row>
    <row r="10" spans="2:12">
      <c r="B10" s="18"/>
      <c r="C10" s="18"/>
      <c r="D10" s="18"/>
      <c r="E10" s="18"/>
      <c r="F10" s="18"/>
      <c r="I10" s="19">
        <v>201</v>
      </c>
      <c r="J10" s="19">
        <v>4</v>
      </c>
    </row>
    <row r="11" spans="2:12">
      <c r="B11" s="18"/>
      <c r="C11" s="105" t="s">
        <v>24</v>
      </c>
      <c r="D11" s="106"/>
      <c r="E11" s="36">
        <f>I6</f>
        <v>2222.2222222222222</v>
      </c>
      <c r="F11" s="18"/>
      <c r="I11" s="19">
        <v>501</v>
      </c>
      <c r="J11" s="19">
        <v>6</v>
      </c>
    </row>
    <row r="12" spans="2:12">
      <c r="B12" s="18"/>
      <c r="C12" s="105" t="s">
        <v>25</v>
      </c>
      <c r="D12" s="106"/>
      <c r="E12" s="37">
        <f>J6</f>
        <v>200000</v>
      </c>
      <c r="F12" s="18"/>
    </row>
    <row r="13" spans="2:12">
      <c r="B13" s="18"/>
      <c r="C13" s="18"/>
      <c r="D13" s="18"/>
      <c r="E13" s="18"/>
      <c r="F13" s="18"/>
      <c r="I13" s="38">
        <f>E11</f>
        <v>2222.2222222222222</v>
      </c>
      <c r="J13" s="17">
        <f>300000</f>
        <v>300000</v>
      </c>
    </row>
    <row r="14" spans="2:12">
      <c r="B14" s="18"/>
      <c r="C14" s="105" t="s">
        <v>26</v>
      </c>
      <c r="D14" s="106"/>
      <c r="E14" s="36" t="str">
        <f>IF(D9&lt;E9,D6,IF(D9&gt;E9,E6,"皆可"))</f>
        <v>外购</v>
      </c>
      <c r="F14" s="18"/>
      <c r="I14" s="38">
        <f>I13</f>
        <v>2222.2222222222222</v>
      </c>
      <c r="J14" s="17">
        <f>E12</f>
        <v>200000</v>
      </c>
    </row>
    <row r="15" spans="2:12">
      <c r="B15" s="18"/>
      <c r="C15" s="18"/>
      <c r="D15" s="18"/>
      <c r="E15" s="18"/>
      <c r="F15" s="18"/>
      <c r="I15" s="38">
        <f>I14</f>
        <v>2222.2222222222222</v>
      </c>
      <c r="J15" s="17">
        <v>50000</v>
      </c>
    </row>
  </sheetData>
  <mergeCells count="3">
    <mergeCell ref="C11:D11"/>
    <mergeCell ref="C12:D12"/>
    <mergeCell ref="C14:D14"/>
  </mergeCells>
  <phoneticPr fontId="12" type="noConversion"/>
  <printOptions headings="1"/>
  <pageMargins left="0.75" right="0.75" top="1" bottom="1" header="0.5" footer="0.5"/>
  <pageSetup paperSize="9" orientation="portrait" horizontalDpi="0"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Spinner 1">
              <controlPr defaultSize="0" autoPict="0">
                <anchor moveWithCells="1" sizeWithCells="1">
                  <from>
                    <xdr:col>4</xdr:col>
                    <xdr:colOff>9525</xdr:colOff>
                    <xdr:row>3</xdr:row>
                    <xdr:rowOff>171450</xdr:rowOff>
                  </from>
                  <to>
                    <xdr:col>4</xdr:col>
                    <xdr:colOff>180975</xdr:colOff>
                    <xdr:row>5</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L23"/>
  <sheetViews>
    <sheetView showGridLines="0" topLeftCell="A7" workbookViewId="0">
      <selection activeCell="L38" sqref="L38"/>
    </sheetView>
  </sheetViews>
  <sheetFormatPr defaultRowHeight="13.5"/>
  <cols>
    <col min="1" max="1" width="3.125" style="39" customWidth="1"/>
    <col min="2" max="2" width="2" style="39" customWidth="1"/>
    <col min="3" max="3" width="25.5" style="39" bestFit="1" customWidth="1"/>
    <col min="4" max="4" width="22.5" style="39" customWidth="1"/>
    <col min="5" max="5" width="2.125" style="39" customWidth="1"/>
    <col min="6" max="6" width="3.875" style="39" customWidth="1"/>
    <col min="7" max="7" width="7.125" style="39" customWidth="1"/>
    <col min="8" max="8" width="10.75" style="39" customWidth="1"/>
    <col min="9" max="9" width="8.25" style="39" customWidth="1"/>
    <col min="10" max="10" width="11.875" style="39" customWidth="1"/>
    <col min="11" max="11" width="10.5" style="39" bestFit="1" customWidth="1"/>
    <col min="12" max="12" width="9.5" style="39" bestFit="1" customWidth="1"/>
    <col min="13" max="13" width="9" style="39"/>
    <col min="14" max="14" width="10.5" style="39" bestFit="1" customWidth="1"/>
    <col min="15" max="15" width="9.5" style="39" bestFit="1" customWidth="1"/>
    <col min="16" max="16384" width="9" style="39"/>
  </cols>
  <sheetData>
    <row r="2" spans="2:12">
      <c r="J2" s="40" t="s">
        <v>27</v>
      </c>
      <c r="K2" s="40" t="s">
        <v>28</v>
      </c>
      <c r="L2" s="40" t="s">
        <v>29</v>
      </c>
    </row>
    <row r="3" spans="2:12">
      <c r="B3" s="41"/>
      <c r="C3" s="41"/>
      <c r="D3" s="41"/>
      <c r="E3" s="41"/>
      <c r="H3" s="42"/>
      <c r="J3" s="43"/>
      <c r="K3" s="44">
        <f>D15</f>
        <v>9486.832980505138</v>
      </c>
      <c r="L3" s="44">
        <f>D19</f>
        <v>1897.3665961010274</v>
      </c>
    </row>
    <row r="4" spans="2:12">
      <c r="B4" s="41"/>
      <c r="C4" s="45" t="s">
        <v>30</v>
      </c>
      <c r="D4" s="46">
        <f>K12</f>
        <v>36000</v>
      </c>
      <c r="E4" s="41"/>
      <c r="G4" s="43"/>
      <c r="H4" s="47">
        <f>D13</f>
        <v>4700</v>
      </c>
      <c r="I4" s="42"/>
      <c r="J4" s="46">
        <v>27000</v>
      </c>
      <c r="K4" s="44">
        <f t="dataTable" ref="K4:L8" dt2D="0" dtr="0" r1="D4"/>
        <v>8215.8383625774914</v>
      </c>
      <c r="L4" s="48">
        <v>1643.1676725154985</v>
      </c>
    </row>
    <row r="5" spans="2:12">
      <c r="B5" s="41"/>
      <c r="C5" s="45" t="s">
        <v>31</v>
      </c>
      <c r="D5" s="46">
        <v>50</v>
      </c>
      <c r="E5" s="41"/>
      <c r="G5" s="43">
        <v>1000</v>
      </c>
      <c r="H5" s="47">
        <f t="dataTable" ref="H5:H18" dt2D="0" dtr="0" r1="D9"/>
        <v>9100</v>
      </c>
      <c r="I5" s="42"/>
      <c r="J5" s="46">
        <v>33000</v>
      </c>
      <c r="K5" s="44">
        <v>9082.9510622924754</v>
      </c>
      <c r="L5" s="48">
        <v>1816.590212458495</v>
      </c>
    </row>
    <row r="6" spans="2:12">
      <c r="B6" s="41"/>
      <c r="C6" s="45" t="s">
        <v>32</v>
      </c>
      <c r="D6" s="46">
        <v>0.2</v>
      </c>
      <c r="E6" s="41"/>
      <c r="G6" s="43">
        <v>2000</v>
      </c>
      <c r="H6" s="47">
        <v>4700</v>
      </c>
      <c r="I6" s="42"/>
      <c r="J6" s="46">
        <v>36000</v>
      </c>
      <c r="K6" s="44">
        <v>9486.832980505138</v>
      </c>
      <c r="L6" s="48">
        <v>1897.3665961010274</v>
      </c>
    </row>
    <row r="7" spans="2:12">
      <c r="B7" s="41"/>
      <c r="C7" s="45" t="s">
        <v>33</v>
      </c>
      <c r="D7" s="46">
        <v>200</v>
      </c>
      <c r="E7" s="41"/>
      <c r="G7" s="43">
        <v>3000</v>
      </c>
      <c r="H7" s="47">
        <v>3300</v>
      </c>
      <c r="I7" s="42"/>
      <c r="J7" s="46">
        <v>40000</v>
      </c>
      <c r="K7" s="44">
        <v>10000</v>
      </c>
      <c r="L7" s="48">
        <v>2000</v>
      </c>
    </row>
    <row r="8" spans="2:12">
      <c r="B8" s="41"/>
      <c r="C8" s="41"/>
      <c r="D8" s="41"/>
      <c r="E8" s="41"/>
      <c r="G8" s="43">
        <v>4000</v>
      </c>
      <c r="H8" s="47">
        <v>2650</v>
      </c>
      <c r="I8" s="42"/>
      <c r="J8" s="46">
        <v>45000</v>
      </c>
      <c r="K8" s="44">
        <v>10606.601717798212</v>
      </c>
      <c r="L8" s="48">
        <v>2121.3203435596424</v>
      </c>
    </row>
    <row r="9" spans="2:12">
      <c r="B9" s="41"/>
      <c r="C9" s="45" t="s">
        <v>34</v>
      </c>
      <c r="D9" s="49">
        <v>2000</v>
      </c>
      <c r="E9" s="41"/>
      <c r="G9" s="43">
        <v>5000</v>
      </c>
      <c r="H9" s="47">
        <v>2300</v>
      </c>
      <c r="I9" s="42"/>
    </row>
    <row r="10" spans="2:12">
      <c r="B10" s="41"/>
      <c r="C10" s="45" t="s">
        <v>35</v>
      </c>
      <c r="D10" s="48">
        <f>D5*D4/D9</f>
        <v>900</v>
      </c>
      <c r="E10" s="41"/>
      <c r="G10" s="43">
        <v>6000</v>
      </c>
      <c r="H10" s="47">
        <v>2100</v>
      </c>
      <c r="I10" s="42"/>
    </row>
    <row r="11" spans="2:12">
      <c r="B11" s="41"/>
      <c r="C11" s="45" t="s">
        <v>36</v>
      </c>
      <c r="D11" s="48">
        <f>D6*D9/2</f>
        <v>200</v>
      </c>
      <c r="E11" s="41"/>
      <c r="G11" s="43">
        <v>7000</v>
      </c>
      <c r="H11" s="43">
        <v>1985.7142857142858</v>
      </c>
      <c r="J11" s="40" t="s">
        <v>37</v>
      </c>
      <c r="K11" s="40" t="s">
        <v>30</v>
      </c>
    </row>
    <row r="12" spans="2:12">
      <c r="B12" s="41"/>
      <c r="C12" s="45" t="s">
        <v>38</v>
      </c>
      <c r="D12" s="48">
        <f>D7*D4/D9</f>
        <v>3600</v>
      </c>
      <c r="E12" s="41"/>
      <c r="G12" s="43">
        <v>8000</v>
      </c>
      <c r="H12" s="43">
        <v>1925</v>
      </c>
      <c r="J12" s="44">
        <v>3</v>
      </c>
      <c r="K12" s="44">
        <f>INDEX(J4:J8,J12)</f>
        <v>36000</v>
      </c>
    </row>
    <row r="13" spans="2:12">
      <c r="B13" s="41"/>
      <c r="C13" s="45" t="s">
        <v>39</v>
      </c>
      <c r="D13" s="48">
        <f>SUM(D10:D12)</f>
        <v>4700</v>
      </c>
      <c r="E13" s="41"/>
      <c r="G13" s="43">
        <v>9000</v>
      </c>
      <c r="H13" s="43">
        <v>1900</v>
      </c>
    </row>
    <row r="14" spans="2:12">
      <c r="B14" s="41"/>
      <c r="C14" s="41"/>
      <c r="D14" s="41"/>
      <c r="E14" s="41"/>
      <c r="G14" s="43">
        <v>10000</v>
      </c>
      <c r="H14" s="43">
        <v>1900</v>
      </c>
      <c r="J14" s="40" t="s">
        <v>40</v>
      </c>
    </row>
    <row r="15" spans="2:12">
      <c r="B15" s="41"/>
      <c r="C15" s="45" t="s">
        <v>41</v>
      </c>
      <c r="D15" s="48">
        <f>SQRT(2*(D5+D7)*D4/D6)</f>
        <v>9486.832980505138</v>
      </c>
      <c r="E15" s="41"/>
      <c r="G15" s="43">
        <v>11000</v>
      </c>
      <c r="H15" s="43">
        <v>1918.181818181818</v>
      </c>
      <c r="J15" s="44">
        <v>1000</v>
      </c>
      <c r="K15" s="44">
        <f>K16</f>
        <v>1897.3665961010274</v>
      </c>
    </row>
    <row r="16" spans="2:12">
      <c r="B16" s="41"/>
      <c r="C16" s="45" t="s">
        <v>42</v>
      </c>
      <c r="D16" s="48">
        <f>D5*D4/D15</f>
        <v>189.73665961010275</v>
      </c>
      <c r="E16" s="41"/>
      <c r="G16" s="43">
        <v>12000</v>
      </c>
      <c r="H16" s="43">
        <v>1950</v>
      </c>
      <c r="J16" s="44">
        <f>K3</f>
        <v>9486.832980505138</v>
      </c>
      <c r="K16" s="44">
        <f>L3</f>
        <v>1897.3665961010274</v>
      </c>
    </row>
    <row r="17" spans="2:11">
      <c r="B17" s="41"/>
      <c r="C17" s="45" t="s">
        <v>43</v>
      </c>
      <c r="D17" s="48">
        <f>D6*D15/2</f>
        <v>948.68329805051383</v>
      </c>
      <c r="E17" s="41"/>
      <c r="G17" s="43">
        <v>13000</v>
      </c>
      <c r="H17" s="43">
        <v>1992.3076923076924</v>
      </c>
      <c r="J17" s="44">
        <v>14000</v>
      </c>
      <c r="K17" s="44">
        <f>K16</f>
        <v>1897.3665961010274</v>
      </c>
    </row>
    <row r="18" spans="2:11">
      <c r="B18" s="41"/>
      <c r="C18" s="45" t="s">
        <v>44</v>
      </c>
      <c r="D18" s="48">
        <f>D7*D4/D15</f>
        <v>758.94663844041099</v>
      </c>
      <c r="E18" s="50"/>
      <c r="G18" s="43">
        <v>14000</v>
      </c>
      <c r="H18" s="43">
        <v>2042.8571428571431</v>
      </c>
    </row>
    <row r="19" spans="2:11">
      <c r="B19" s="41"/>
      <c r="C19" s="45" t="s">
        <v>45</v>
      </c>
      <c r="D19" s="48">
        <f>SUM(D16:D18)</f>
        <v>1897.3665961010274</v>
      </c>
      <c r="E19" s="41"/>
    </row>
    <row r="20" spans="2:11">
      <c r="B20" s="41"/>
      <c r="C20" s="41"/>
      <c r="D20" s="41"/>
      <c r="E20" s="41"/>
    </row>
    <row r="21" spans="2:11">
      <c r="B21" s="41"/>
      <c r="C21" s="45" t="s">
        <v>46</v>
      </c>
      <c r="D21" s="41"/>
      <c r="E21" s="41"/>
    </row>
    <row r="22" spans="2:11">
      <c r="B22" s="41"/>
      <c r="C22" s="48" t="str">
        <f>C4&amp;"="&amp;K12&amp;"时，"&amp;C13&amp;"的最小值="&amp;ROUND(INDEX(L4:L8,J12),2)</f>
        <v>年需求量=36000时，年总成本的最小值=1897.37</v>
      </c>
      <c r="D22" s="48"/>
      <c r="E22" s="41"/>
    </row>
    <row r="23" spans="2:11">
      <c r="B23" s="41"/>
      <c r="C23" s="41"/>
      <c r="D23" s="41"/>
      <c r="E23" s="41"/>
    </row>
  </sheetData>
  <phoneticPr fontId="12" type="noConversion"/>
  <pageMargins left="0.75" right="0.75" top="1" bottom="1" header="0.5" footer="0.5"/>
  <pageSetup paperSize="9" orientation="portrait"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List Box 1">
              <controlPr defaultSize="0" autoLine="0" autoPict="0">
                <anchor moveWithCells="1" sizeWithCells="1">
                  <from>
                    <xdr:col>15</xdr:col>
                    <xdr:colOff>314325</xdr:colOff>
                    <xdr:row>20</xdr:row>
                    <xdr:rowOff>9525</xdr:rowOff>
                  </from>
                  <to>
                    <xdr:col>16</xdr:col>
                    <xdr:colOff>209550</xdr:colOff>
                    <xdr:row>24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selection activeCell="E16" sqref="E16"/>
    </sheetView>
  </sheetViews>
  <sheetFormatPr defaultRowHeight="12"/>
  <cols>
    <col min="1" max="1" width="6.5" style="90" customWidth="1"/>
    <col min="2" max="2" width="3.125" style="90" customWidth="1"/>
    <col min="3" max="3" width="8" style="90" customWidth="1"/>
    <col min="4" max="4" width="7.875" style="91" customWidth="1"/>
    <col min="5" max="5" width="7.625" style="91" bestFit="1" customWidth="1"/>
    <col min="6" max="6" width="6.75" style="91" bestFit="1" customWidth="1"/>
    <col min="7" max="7" width="9.5" style="91" bestFit="1" customWidth="1"/>
    <col min="8" max="8" width="7.625" style="91" bestFit="1" customWidth="1"/>
    <col min="9" max="9" width="7.625" style="90" bestFit="1" customWidth="1"/>
    <col min="10" max="16384" width="9" style="90"/>
  </cols>
  <sheetData>
    <row r="1" spans="1:8" ht="13.5">
      <c r="C1" s="94"/>
      <c r="D1" s="93"/>
      <c r="E1" s="93"/>
      <c r="F1" s="93"/>
      <c r="G1" s="93"/>
      <c r="H1" s="93"/>
    </row>
    <row r="2" spans="1:8" ht="13.5">
      <c r="A2" s="90">
        <f>MAX($D$10)</f>
        <v>26000</v>
      </c>
      <c r="C2" s="94"/>
      <c r="D2" s="98" t="s">
        <v>107</v>
      </c>
      <c r="E2" s="98" t="s">
        <v>106</v>
      </c>
      <c r="F2" s="98" t="s">
        <v>105</v>
      </c>
      <c r="G2" s="98" t="s">
        <v>104</v>
      </c>
      <c r="H2" s="98" t="s">
        <v>103</v>
      </c>
    </row>
    <row r="3" spans="1:8" ht="14.25">
      <c r="A3" s="90">
        <f>COUNT($D$8:$F$8)</f>
        <v>3</v>
      </c>
      <c r="C3" s="96" t="s">
        <v>102</v>
      </c>
      <c r="D3" s="97">
        <v>1</v>
      </c>
      <c r="E3" s="97">
        <v>1</v>
      </c>
      <c r="F3" s="97">
        <v>0</v>
      </c>
      <c r="G3" s="95">
        <f t="array" ref="G3">SUM(D3:F3*$D$8:$F$8)</f>
        <v>200</v>
      </c>
      <c r="H3" s="97">
        <v>450</v>
      </c>
    </row>
    <row r="4" spans="1:8" ht="14.25">
      <c r="A4" s="90" t="b">
        <f t="array" ref="A4">$D$8:$F$8&gt;=0</f>
        <v>1</v>
      </c>
      <c r="C4" s="96" t="s">
        <v>101</v>
      </c>
      <c r="D4" s="97">
        <v>1</v>
      </c>
      <c r="E4" s="97">
        <v>0</v>
      </c>
      <c r="F4" s="97">
        <v>0</v>
      </c>
      <c r="G4" s="95">
        <f t="array" ref="G4">SUM(D4:F4*$D$8:$F$8)</f>
        <v>0</v>
      </c>
      <c r="H4" s="97">
        <v>250</v>
      </c>
    </row>
    <row r="5" spans="1:8" ht="14.25">
      <c r="A5" s="90" t="b">
        <f t="array" ref="A5">$D$8:$F$8=INT($D$8:$F$8)</f>
        <v>1</v>
      </c>
      <c r="C5" s="96" t="s">
        <v>100</v>
      </c>
      <c r="D5" s="97">
        <v>2</v>
      </c>
      <c r="E5" s="97">
        <v>2</v>
      </c>
      <c r="F5" s="97">
        <v>1</v>
      </c>
      <c r="G5" s="95">
        <f t="array" ref="G5">SUM(D5:F5*$D$8:$F$8)</f>
        <v>800</v>
      </c>
      <c r="H5" s="97">
        <v>800</v>
      </c>
    </row>
    <row r="6" spans="1:8" ht="14.25">
      <c r="A6" s="90" t="b">
        <f t="array" ref="A6">$G$3:$G$7&lt;=第4题!$H$3:$H$7</f>
        <v>1</v>
      </c>
      <c r="C6" s="96" t="s">
        <v>99</v>
      </c>
      <c r="D6" s="97">
        <v>1</v>
      </c>
      <c r="E6" s="97">
        <v>1</v>
      </c>
      <c r="F6" s="97">
        <v>0</v>
      </c>
      <c r="G6" s="95">
        <f t="array" ref="G6">SUM(D6:F6*$D$8:$F$8)</f>
        <v>200</v>
      </c>
      <c r="H6" s="97">
        <v>450</v>
      </c>
    </row>
    <row r="7" spans="1:8" ht="14.25">
      <c r="A7" s="90">
        <f>{100,100,0.000001,0.05,FALSE,FALSE,FALSE,1,1,1,0.0001,FALSE}</f>
        <v>100</v>
      </c>
      <c r="C7" s="96" t="s">
        <v>98</v>
      </c>
      <c r="D7" s="97">
        <v>2</v>
      </c>
      <c r="E7" s="97">
        <v>1</v>
      </c>
      <c r="F7" s="97">
        <v>1</v>
      </c>
      <c r="G7" s="95">
        <f t="array" ref="G7">SUM(D7:F7*$D$8:$F$8)</f>
        <v>600</v>
      </c>
      <c r="H7" s="97">
        <v>600</v>
      </c>
    </row>
    <row r="8" spans="1:8" ht="13.5">
      <c r="C8" s="96" t="s">
        <v>97</v>
      </c>
      <c r="D8" s="95">
        <v>0</v>
      </c>
      <c r="E8" s="95">
        <v>200</v>
      </c>
      <c r="F8" s="95">
        <v>400</v>
      </c>
      <c r="G8" s="93"/>
      <c r="H8" s="93"/>
    </row>
    <row r="9" spans="1:8" ht="14.25">
      <c r="C9" s="96" t="s">
        <v>96</v>
      </c>
      <c r="D9" s="97">
        <v>60</v>
      </c>
      <c r="E9" s="97">
        <v>50</v>
      </c>
      <c r="F9" s="97">
        <v>40</v>
      </c>
      <c r="G9" s="93"/>
      <c r="H9" s="93"/>
    </row>
    <row r="10" spans="1:8" ht="13.5">
      <c r="C10" s="96" t="s">
        <v>95</v>
      </c>
      <c r="D10" s="95">
        <f t="array" ref="D10">SUM(D8:F8*D9:F9)</f>
        <v>26000</v>
      </c>
      <c r="E10" s="93"/>
      <c r="F10" s="93"/>
      <c r="G10" s="93"/>
      <c r="H10" s="93"/>
    </row>
    <row r="11" spans="1:8" ht="13.5">
      <c r="C11" s="94"/>
      <c r="D11" s="93"/>
      <c r="E11" s="93"/>
      <c r="F11" s="93"/>
      <c r="G11" s="93"/>
      <c r="H11" s="93"/>
    </row>
    <row r="35" spans="14:14" s="90" customFormat="1" ht="12.75">
      <c r="N35" s="92" t="s">
        <v>94</v>
      </c>
    </row>
  </sheetData>
  <phoneticPr fontId="21" type="noConversion"/>
  <pageMargins left="0.75" right="0.75" top="1" bottom="1" header="0.5" footer="0.5"/>
  <pageSetup paperSize="9"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1"/>
  <sheetViews>
    <sheetView workbookViewId="0">
      <selection activeCell="H36" sqref="H36"/>
    </sheetView>
  </sheetViews>
  <sheetFormatPr defaultRowHeight="14.25"/>
  <cols>
    <col min="1" max="16384" width="9" style="99"/>
  </cols>
  <sheetData>
    <row r="2" spans="1:8">
      <c r="A2" s="99">
        <f>MIN($H$19)</f>
        <v>37100.000239999994</v>
      </c>
    </row>
    <row r="3" spans="1:8">
      <c r="A3" s="99">
        <f>COUNT($D$18:$E$19)</f>
        <v>4</v>
      </c>
    </row>
    <row r="4" spans="1:8">
      <c r="A4" s="99" t="b">
        <f t="array" ref="A4">$D$18:$E$19&gt;=0</f>
        <v>1</v>
      </c>
    </row>
    <row r="5" spans="1:8">
      <c r="A5" s="99" t="b">
        <f t="array" ref="A5">$D$20:$E$20=第5题!$D$21:$E$21</f>
        <v>0</v>
      </c>
    </row>
    <row r="6" spans="1:8">
      <c r="A6" s="99" t="b">
        <f t="array" ref="A6">$F$18:$F$19&lt;=第5题!$G$18:$G$19</f>
        <v>0</v>
      </c>
    </row>
    <row r="7" spans="1:8">
      <c r="A7" s="99">
        <f>{100,100,0.000001,0.05,FALSE,FALSE,FALSE,1,1,1,0.0001,FALSE}</f>
        <v>100</v>
      </c>
    </row>
    <row r="12" spans="1:8">
      <c r="C12" s="100"/>
      <c r="D12" s="101" t="s">
        <v>113</v>
      </c>
      <c r="E12" s="101" t="s">
        <v>112</v>
      </c>
      <c r="F12" s="100"/>
      <c r="G12" s="100"/>
      <c r="H12" s="100"/>
    </row>
    <row r="13" spans="1:8">
      <c r="C13" s="101" t="s">
        <v>110</v>
      </c>
      <c r="D13" s="104">
        <v>240</v>
      </c>
      <c r="E13" s="104">
        <v>180</v>
      </c>
      <c r="F13" s="100"/>
      <c r="G13" s="100"/>
      <c r="H13" s="100"/>
    </row>
    <row r="14" spans="1:8">
      <c r="C14" s="101" t="s">
        <v>109</v>
      </c>
      <c r="D14" s="104">
        <v>250</v>
      </c>
      <c r="E14" s="104">
        <v>160</v>
      </c>
      <c r="F14" s="100"/>
      <c r="G14" s="100"/>
      <c r="H14" s="100"/>
    </row>
    <row r="15" spans="1:8">
      <c r="C15" s="100"/>
      <c r="D15" s="100"/>
      <c r="E15" s="100"/>
      <c r="F15" s="100"/>
      <c r="G15" s="100"/>
      <c r="H15" s="100"/>
    </row>
    <row r="16" spans="1:8">
      <c r="C16" s="100"/>
      <c r="D16" s="100"/>
      <c r="E16" s="100"/>
      <c r="F16" s="100"/>
      <c r="G16" s="100"/>
      <c r="H16" s="100"/>
    </row>
    <row r="17" spans="3:8">
      <c r="C17" s="100"/>
      <c r="D17" s="101" t="s">
        <v>113</v>
      </c>
      <c r="E17" s="101" t="s">
        <v>112</v>
      </c>
      <c r="F17" s="100"/>
      <c r="G17" s="101" t="s">
        <v>111</v>
      </c>
      <c r="H17" s="100"/>
    </row>
    <row r="18" spans="3:8">
      <c r="C18" s="101" t="s">
        <v>110</v>
      </c>
      <c r="D18" s="103">
        <v>70.000000999999983</v>
      </c>
      <c r="E18" s="103">
        <v>0</v>
      </c>
      <c r="F18" s="100">
        <f>SUM(D18:E18)</f>
        <v>70.000000999999983</v>
      </c>
      <c r="G18" s="100">
        <v>70</v>
      </c>
      <c r="H18" s="100"/>
    </row>
    <row r="19" spans="3:8">
      <c r="C19" s="101" t="s">
        <v>109</v>
      </c>
      <c r="D19" s="103">
        <v>30</v>
      </c>
      <c r="E19" s="103">
        <v>80</v>
      </c>
      <c r="F19" s="100">
        <f>SUM(D19:E19)</f>
        <v>110</v>
      </c>
      <c r="G19" s="100">
        <v>110</v>
      </c>
      <c r="H19" s="102">
        <f t="array" ref="H19">SUM(D13:E14*D18:E19)</f>
        <v>37100.000239999994</v>
      </c>
    </row>
    <row r="20" spans="3:8">
      <c r="C20" s="100"/>
      <c r="D20" s="100">
        <f>SUM(D18:D19)</f>
        <v>100.00000099999998</v>
      </c>
      <c r="E20" s="100">
        <f>SUM(E18:E19)</f>
        <v>80</v>
      </c>
      <c r="F20" s="100"/>
      <c r="G20" s="100"/>
      <c r="H20" s="100"/>
    </row>
    <row r="21" spans="3:8">
      <c r="C21" s="101" t="s">
        <v>108</v>
      </c>
      <c r="D21" s="100">
        <v>100</v>
      </c>
      <c r="E21" s="100">
        <v>80</v>
      </c>
      <c r="F21" s="100"/>
      <c r="G21" s="100"/>
      <c r="H21" s="100"/>
    </row>
  </sheetData>
  <phoneticPr fontId="21" type="noConversion"/>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18"/>
  <sheetViews>
    <sheetView showGridLines="0" workbookViewId="0">
      <selection activeCell="D37" sqref="D37"/>
    </sheetView>
  </sheetViews>
  <sheetFormatPr defaultRowHeight="13.5"/>
  <cols>
    <col min="1" max="2" width="2.875" style="51" customWidth="1"/>
    <col min="3" max="3" width="40.5" style="51" bestFit="1" customWidth="1"/>
    <col min="4" max="4" width="12.75" style="51" bestFit="1" customWidth="1"/>
    <col min="5" max="5" width="3" style="51" customWidth="1"/>
    <col min="6" max="6" width="9" style="51"/>
    <col min="7" max="7" width="5.625" style="51" bestFit="1" customWidth="1"/>
    <col min="8" max="9" width="14" style="51" bestFit="1" customWidth="1"/>
    <col min="10" max="10" width="12.875" style="51" bestFit="1" customWidth="1"/>
    <col min="11" max="11" width="11.75" style="51" bestFit="1" customWidth="1"/>
    <col min="12" max="13" width="14" style="51" bestFit="1" customWidth="1"/>
    <col min="14" max="14" width="12.625" style="51" bestFit="1" customWidth="1"/>
    <col min="15" max="16384" width="9" style="51"/>
  </cols>
  <sheetData>
    <row r="2" spans="2:14">
      <c r="B2" s="57"/>
      <c r="C2" s="57"/>
      <c r="D2" s="57"/>
      <c r="E2" s="57"/>
      <c r="I2" s="107" t="s">
        <v>63</v>
      </c>
      <c r="J2" s="107"/>
      <c r="M2" s="107" t="s">
        <v>62</v>
      </c>
      <c r="N2" s="107"/>
    </row>
    <row r="3" spans="2:14" ht="15">
      <c r="B3" s="57"/>
      <c r="C3" s="60" t="s">
        <v>61</v>
      </c>
      <c r="D3" s="62">
        <v>20</v>
      </c>
      <c r="E3" s="57"/>
      <c r="G3" s="51" t="s">
        <v>60</v>
      </c>
      <c r="H3" s="51" t="s">
        <v>59</v>
      </c>
      <c r="I3" s="51" t="s">
        <v>58</v>
      </c>
      <c r="J3" s="51" t="s">
        <v>57</v>
      </c>
      <c r="K3" s="51" t="s">
        <v>56</v>
      </c>
      <c r="L3" s="51" t="s">
        <v>55</v>
      </c>
      <c r="M3" s="51" t="s">
        <v>54</v>
      </c>
      <c r="N3" s="51" t="s">
        <v>53</v>
      </c>
    </row>
    <row r="4" spans="2:14" ht="15">
      <c r="B4" s="57"/>
      <c r="C4" s="60" t="s">
        <v>52</v>
      </c>
      <c r="D4" s="65">
        <v>7.0499999999999993E-2</v>
      </c>
      <c r="E4" s="64"/>
      <c r="G4" s="51">
        <v>1</v>
      </c>
      <c r="H4" s="51">
        <f>$D$5</f>
        <v>500000</v>
      </c>
      <c r="I4" s="55">
        <f t="shared" ref="I4:I15" si="0">K4-J4</f>
        <v>954.01518977152955</v>
      </c>
      <c r="J4" s="56">
        <f t="shared" ref="J4:J15" si="1">H4*$D$4/12</f>
        <v>2937.5</v>
      </c>
      <c r="K4" s="55">
        <f t="shared" ref="K4:K15" si="2">$D$6</f>
        <v>3891.5151897715295</v>
      </c>
      <c r="L4" s="55">
        <f t="shared" ref="L4:L15" si="3">H4-I4</f>
        <v>499045.98481022846</v>
      </c>
      <c r="M4" s="55">
        <f t="shared" ref="M4:M15" si="4">-PPMT($D$4/12,G4,$D$3*12,$D$5)</f>
        <v>954.01518977152944</v>
      </c>
      <c r="N4" s="55">
        <f t="shared" ref="N4:N15" si="5">-IPMT($D$4/12,G4,$D$3*12,$D$5)</f>
        <v>2937.5</v>
      </c>
    </row>
    <row r="5" spans="2:14" ht="15">
      <c r="B5" s="57"/>
      <c r="C5" s="60" t="s">
        <v>51</v>
      </c>
      <c r="D5" s="62">
        <v>500000</v>
      </c>
      <c r="E5" s="57"/>
      <c r="G5" s="51">
        <v>2</v>
      </c>
      <c r="H5" s="55">
        <f t="shared" ref="H5:H15" si="6">L4</f>
        <v>499045.98481022846</v>
      </c>
      <c r="I5" s="55">
        <f t="shared" si="0"/>
        <v>959.62002901143751</v>
      </c>
      <c r="J5" s="56">
        <f t="shared" si="1"/>
        <v>2931.895160760092</v>
      </c>
      <c r="K5" s="55">
        <f t="shared" si="2"/>
        <v>3891.5151897715295</v>
      </c>
      <c r="L5" s="55">
        <f t="shared" si="3"/>
        <v>498086.36478121701</v>
      </c>
      <c r="M5" s="55">
        <f t="shared" si="4"/>
        <v>959.6200290114374</v>
      </c>
      <c r="N5" s="55">
        <f t="shared" si="5"/>
        <v>2931.895160760092</v>
      </c>
    </row>
    <row r="6" spans="2:14">
      <c r="B6" s="57"/>
      <c r="C6" s="60" t="s">
        <v>50</v>
      </c>
      <c r="D6" s="63">
        <f>-PMT(D4/12,D3*12,D5)</f>
        <v>3891.5151897715295</v>
      </c>
      <c r="E6" s="61"/>
      <c r="G6" s="51">
        <v>3</v>
      </c>
      <c r="H6" s="55">
        <f t="shared" si="6"/>
        <v>498086.36478121701</v>
      </c>
      <c r="I6" s="55">
        <f t="shared" si="0"/>
        <v>965.25779668188034</v>
      </c>
      <c r="J6" s="56">
        <f t="shared" si="1"/>
        <v>2926.2573930896492</v>
      </c>
      <c r="K6" s="55">
        <f t="shared" si="2"/>
        <v>3891.5151897715295</v>
      </c>
      <c r="L6" s="55">
        <f t="shared" si="3"/>
        <v>497121.10698453512</v>
      </c>
      <c r="M6" s="55">
        <f t="shared" si="4"/>
        <v>965.25779668187931</v>
      </c>
      <c r="N6" s="55">
        <f t="shared" si="5"/>
        <v>2926.2573930896501</v>
      </c>
    </row>
    <row r="7" spans="2:14" ht="15">
      <c r="B7" s="57"/>
      <c r="C7" s="60" t="s">
        <v>49</v>
      </c>
      <c r="D7" s="62">
        <v>150000</v>
      </c>
      <c r="E7" s="57"/>
      <c r="G7" s="51">
        <v>4</v>
      </c>
      <c r="H7" s="55">
        <f t="shared" si="6"/>
        <v>497121.10698453512</v>
      </c>
      <c r="I7" s="55">
        <f t="shared" si="0"/>
        <v>970.92868623738605</v>
      </c>
      <c r="J7" s="56">
        <f t="shared" si="1"/>
        <v>2920.5865035341435</v>
      </c>
      <c r="K7" s="55">
        <f t="shared" si="2"/>
        <v>3891.5151897715295</v>
      </c>
      <c r="L7" s="55">
        <f t="shared" si="3"/>
        <v>496150.17829829775</v>
      </c>
      <c r="M7" s="55">
        <f t="shared" si="4"/>
        <v>970.92868623738548</v>
      </c>
      <c r="N7" s="55">
        <f t="shared" si="5"/>
        <v>2920.586503534144</v>
      </c>
    </row>
    <row r="8" spans="2:14">
      <c r="B8" s="61"/>
      <c r="C8" s="60" t="s">
        <v>48</v>
      </c>
      <c r="D8" s="59">
        <f>H16</f>
        <v>338174.55741185322</v>
      </c>
      <c r="E8" s="61"/>
      <c r="G8" s="51">
        <v>5</v>
      </c>
      <c r="H8" s="55">
        <f t="shared" si="6"/>
        <v>496150.17829829775</v>
      </c>
      <c r="I8" s="55">
        <f t="shared" si="0"/>
        <v>976.63289226903044</v>
      </c>
      <c r="J8" s="56">
        <f t="shared" si="1"/>
        <v>2914.8822975024991</v>
      </c>
      <c r="K8" s="55">
        <f t="shared" si="2"/>
        <v>3891.5151897715295</v>
      </c>
      <c r="L8" s="55">
        <f t="shared" si="3"/>
        <v>495173.54540602869</v>
      </c>
      <c r="M8" s="55">
        <f t="shared" si="4"/>
        <v>976.63289226903009</v>
      </c>
      <c r="N8" s="55">
        <f t="shared" si="5"/>
        <v>2914.8822975024991</v>
      </c>
    </row>
    <row r="9" spans="2:14">
      <c r="B9" s="57"/>
      <c r="C9" s="60" t="s">
        <v>47</v>
      </c>
      <c r="D9" s="59">
        <f>NPER($D$4/12,-$D$6,$H$16)/12</f>
        <v>10.163828478701074</v>
      </c>
      <c r="E9" s="58"/>
      <c r="G9" s="51">
        <v>6</v>
      </c>
      <c r="H9" s="55">
        <f t="shared" si="6"/>
        <v>495173.54540602869</v>
      </c>
      <c r="I9" s="55">
        <f t="shared" si="0"/>
        <v>982.37061051111095</v>
      </c>
      <c r="J9" s="56">
        <f t="shared" si="1"/>
        <v>2909.1445792604186</v>
      </c>
      <c r="K9" s="55">
        <f t="shared" si="2"/>
        <v>3891.5151897715295</v>
      </c>
      <c r="L9" s="55">
        <f t="shared" si="3"/>
        <v>494191.17479551758</v>
      </c>
      <c r="M9" s="55">
        <f t="shared" si="4"/>
        <v>982.37061051111084</v>
      </c>
      <c r="N9" s="55">
        <f t="shared" si="5"/>
        <v>2909.1445792604186</v>
      </c>
    </row>
    <row r="10" spans="2:14">
      <c r="B10" s="57"/>
      <c r="C10" s="57"/>
      <c r="D10" s="57"/>
      <c r="E10" s="57"/>
      <c r="G10" s="51">
        <v>7</v>
      </c>
      <c r="H10" s="55">
        <f t="shared" si="6"/>
        <v>494191.17479551758</v>
      </c>
      <c r="I10" s="55">
        <f t="shared" si="0"/>
        <v>988.14203784786378</v>
      </c>
      <c r="J10" s="56">
        <f t="shared" si="1"/>
        <v>2903.3731519236658</v>
      </c>
      <c r="K10" s="55">
        <f t="shared" si="2"/>
        <v>3891.5151897715295</v>
      </c>
      <c r="L10" s="55">
        <f t="shared" si="3"/>
        <v>493203.03275766975</v>
      </c>
      <c r="M10" s="55">
        <f t="shared" si="4"/>
        <v>988.14203784786343</v>
      </c>
      <c r="N10" s="55">
        <f t="shared" si="5"/>
        <v>2903.3731519236662</v>
      </c>
    </row>
    <row r="11" spans="2:14">
      <c r="G11" s="51">
        <v>8</v>
      </c>
      <c r="H11" s="55">
        <f t="shared" si="6"/>
        <v>493203.03275766975</v>
      </c>
      <c r="I11" s="55">
        <f t="shared" si="0"/>
        <v>993.94737232022044</v>
      </c>
      <c r="J11" s="56">
        <f t="shared" si="1"/>
        <v>2897.5678174513091</v>
      </c>
      <c r="K11" s="55">
        <f t="shared" si="2"/>
        <v>3891.5151897715295</v>
      </c>
      <c r="L11" s="55">
        <f t="shared" si="3"/>
        <v>492209.08538534952</v>
      </c>
      <c r="M11" s="55">
        <f t="shared" si="4"/>
        <v>993.94737232021953</v>
      </c>
      <c r="N11" s="55">
        <f t="shared" si="5"/>
        <v>2897.56781745131</v>
      </c>
    </row>
    <row r="12" spans="2:14">
      <c r="G12" s="51">
        <v>9</v>
      </c>
      <c r="H12" s="55">
        <f t="shared" si="6"/>
        <v>492209.08538534952</v>
      </c>
      <c r="I12" s="55">
        <f t="shared" si="0"/>
        <v>999.78681313260131</v>
      </c>
      <c r="J12" s="56">
        <f t="shared" si="1"/>
        <v>2891.7283766389282</v>
      </c>
      <c r="K12" s="55">
        <f t="shared" si="2"/>
        <v>3891.5151897715295</v>
      </c>
      <c r="L12" s="55">
        <f t="shared" si="3"/>
        <v>491209.29857221694</v>
      </c>
      <c r="M12" s="55">
        <f t="shared" si="4"/>
        <v>999.78681313260108</v>
      </c>
      <c r="N12" s="55">
        <f t="shared" si="5"/>
        <v>2891.7283766389282</v>
      </c>
    </row>
    <row r="13" spans="2:14">
      <c r="G13" s="51">
        <v>10</v>
      </c>
      <c r="H13" s="55">
        <f t="shared" si="6"/>
        <v>491209.29857221694</v>
      </c>
      <c r="I13" s="55">
        <f t="shared" si="0"/>
        <v>1005.6605606597554</v>
      </c>
      <c r="J13" s="56">
        <f t="shared" si="1"/>
        <v>2885.8546291117741</v>
      </c>
      <c r="K13" s="55">
        <f t="shared" si="2"/>
        <v>3891.5151897715295</v>
      </c>
      <c r="L13" s="55">
        <f t="shared" si="3"/>
        <v>490203.63801155717</v>
      </c>
      <c r="M13" s="55">
        <f t="shared" si="4"/>
        <v>1005.6605606597549</v>
      </c>
      <c r="N13" s="55">
        <f t="shared" si="5"/>
        <v>2885.8546291117746</v>
      </c>
    </row>
    <row r="14" spans="2:14">
      <c r="G14" s="51">
        <v>11</v>
      </c>
      <c r="H14" s="55">
        <f t="shared" si="6"/>
        <v>490203.63801155717</v>
      </c>
      <c r="I14" s="55">
        <f t="shared" si="0"/>
        <v>1011.5688164536314</v>
      </c>
      <c r="J14" s="56">
        <f t="shared" si="1"/>
        <v>2879.9463733178982</v>
      </c>
      <c r="K14" s="55">
        <f t="shared" si="2"/>
        <v>3891.5151897715295</v>
      </c>
      <c r="L14" s="55">
        <f t="shared" si="3"/>
        <v>489192.06919510354</v>
      </c>
      <c r="M14" s="55">
        <f t="shared" si="4"/>
        <v>1011.568816453631</v>
      </c>
      <c r="N14" s="55">
        <f t="shared" si="5"/>
        <v>2879.9463733178986</v>
      </c>
    </row>
    <row r="15" spans="2:14">
      <c r="G15" s="51">
        <v>12</v>
      </c>
      <c r="H15" s="55">
        <f t="shared" si="6"/>
        <v>489192.06919510354</v>
      </c>
      <c r="I15" s="55">
        <f t="shared" si="0"/>
        <v>1017.5117832502965</v>
      </c>
      <c r="J15" s="56">
        <f t="shared" si="1"/>
        <v>2874.003406521233</v>
      </c>
      <c r="K15" s="55">
        <f t="shared" si="2"/>
        <v>3891.5151897715295</v>
      </c>
      <c r="L15" s="54">
        <f t="shared" si="3"/>
        <v>488174.55741185322</v>
      </c>
      <c r="M15" s="55">
        <f t="shared" si="4"/>
        <v>1017.5117832502963</v>
      </c>
      <c r="N15" s="55">
        <f t="shared" si="5"/>
        <v>2874.003406521233</v>
      </c>
    </row>
    <row r="16" spans="2:14">
      <c r="G16" s="51">
        <v>13</v>
      </c>
      <c r="H16" s="54">
        <f>L15-$D$7</f>
        <v>338174.55741185322</v>
      </c>
      <c r="I16" s="53">
        <f>SUM(I4:I15)</f>
        <v>11825.442588146743</v>
      </c>
      <c r="J16" s="53">
        <f>SUM(J4:J15)</f>
        <v>34872.739689111608</v>
      </c>
      <c r="M16" s="52">
        <f>SUM(M4:M15)</f>
        <v>11825.44258814674</v>
      </c>
      <c r="N16" s="52">
        <f>SUM(N4:N15)</f>
        <v>34872.739689111615</v>
      </c>
    </row>
    <row r="17" spans="13:13">
      <c r="M17" s="52">
        <f>$D$5-M16</f>
        <v>488174.55741185328</v>
      </c>
    </row>
    <row r="18" spans="13:13">
      <c r="M18" s="52">
        <f>M17-D7</f>
        <v>338174.55741185328</v>
      </c>
    </row>
  </sheetData>
  <mergeCells count="2">
    <mergeCell ref="I2:J2"/>
    <mergeCell ref="M2:N2"/>
  </mergeCells>
  <phoneticPr fontId="12" type="noConversion"/>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9"/>
  <sheetViews>
    <sheetView workbookViewId="0">
      <selection activeCell="K30" sqref="K30"/>
    </sheetView>
  </sheetViews>
  <sheetFormatPr defaultRowHeight="14.25"/>
  <cols>
    <col min="2" max="2" width="20.375" bestFit="1" customWidth="1"/>
    <col min="3" max="3" width="12.75" bestFit="1" customWidth="1"/>
    <col min="4" max="4" width="10.625" bestFit="1" customWidth="1"/>
    <col min="5" max="5" width="9" customWidth="1"/>
  </cols>
  <sheetData>
    <row r="2" spans="2:8">
      <c r="B2" s="66" t="s">
        <v>64</v>
      </c>
      <c r="C2" s="67">
        <v>0.1</v>
      </c>
    </row>
    <row r="3" spans="2:8">
      <c r="B3" s="66" t="s">
        <v>65</v>
      </c>
      <c r="C3" s="68">
        <v>41078</v>
      </c>
    </row>
    <row r="4" spans="2:8">
      <c r="B4" s="66" t="s">
        <v>66</v>
      </c>
      <c r="C4" s="69">
        <f t="array" ref="C4">SUM((D10:D15)/(1+C2)^((C10:C15-C3)/365))</f>
        <v>3721.3198487670952</v>
      </c>
    </row>
    <row r="5" spans="2:8">
      <c r="B5" s="66" t="s">
        <v>67</v>
      </c>
      <c r="C5" s="68">
        <v>41315</v>
      </c>
    </row>
    <row r="6" spans="2:8">
      <c r="B6" s="66" t="s">
        <v>68</v>
      </c>
      <c r="C6" s="70">
        <v>0.05</v>
      </c>
    </row>
    <row r="7" spans="2:8">
      <c r="B7" s="66" t="s">
        <v>69</v>
      </c>
      <c r="C7" s="69">
        <f>SUM(E10:E15)</f>
        <v>3753.0005603888458</v>
      </c>
    </row>
    <row r="8" spans="2:8">
      <c r="H8" s="69">
        <f>C7</f>
        <v>3753.0005603888458</v>
      </c>
    </row>
    <row r="9" spans="2:8">
      <c r="B9" s="71" t="s">
        <v>70</v>
      </c>
      <c r="C9" s="71" t="s">
        <v>71</v>
      </c>
      <c r="D9" s="71" t="s">
        <v>72</v>
      </c>
      <c r="E9" s="72" t="s">
        <v>73</v>
      </c>
      <c r="G9" s="73">
        <v>0.05</v>
      </c>
      <c r="H9" s="66">
        <v>3753.0005603888458</v>
      </c>
    </row>
    <row r="10" spans="2:8">
      <c r="B10" s="71">
        <v>1</v>
      </c>
      <c r="C10" s="74">
        <v>41061</v>
      </c>
      <c r="D10" s="75">
        <v>200</v>
      </c>
      <c r="E10" s="66">
        <f>D10/(1+$C$2)^((C10-$C$3)/365)</f>
        <v>200.8897943367254</v>
      </c>
      <c r="G10" s="73">
        <v>5.5E-2</v>
      </c>
      <c r="H10" s="66">
        <v>3749.7457830341718</v>
      </c>
    </row>
    <row r="11" spans="2:8">
      <c r="B11" s="71">
        <v>2</v>
      </c>
      <c r="C11" s="74">
        <v>41183</v>
      </c>
      <c r="D11" s="75">
        <v>300</v>
      </c>
      <c r="E11" s="66">
        <f>D11/(1+$C$2)^((C11-$C$3)/365)</f>
        <v>291.88633936058301</v>
      </c>
      <c r="G11" s="73">
        <v>0.06</v>
      </c>
      <c r="H11" s="66">
        <v>3746.5108279375759</v>
      </c>
    </row>
    <row r="12" spans="2:8">
      <c r="B12" s="71">
        <v>3</v>
      </c>
      <c r="C12" s="74">
        <v>41275</v>
      </c>
      <c r="D12" s="75">
        <v>400</v>
      </c>
      <c r="E12" s="66">
        <f>D12/(1+$C$2)^((C12-$C$3)/365)</f>
        <v>379.94372984170855</v>
      </c>
      <c r="G12" s="73">
        <v>6.5000000000000002E-2</v>
      </c>
      <c r="H12" s="66">
        <v>3743.2954816509373</v>
      </c>
    </row>
    <row r="13" spans="2:8">
      <c r="B13" s="71">
        <v>4</v>
      </c>
      <c r="C13" s="76">
        <v>41315</v>
      </c>
      <c r="D13" s="75">
        <v>500</v>
      </c>
      <c r="E13" s="66">
        <f>D13/(1+$C$2)^((C13-$C$3)/365)</f>
        <v>469.99486188954893</v>
      </c>
      <c r="G13" s="73">
        <v>7.0000000000000007E-2</v>
      </c>
      <c r="H13" s="66">
        <v>3740.0995340133322</v>
      </c>
    </row>
    <row r="14" spans="2:8">
      <c r="B14" s="71">
        <v>5</v>
      </c>
      <c r="C14" s="74">
        <v>41395</v>
      </c>
      <c r="D14" s="75">
        <v>600</v>
      </c>
      <c r="E14" s="66">
        <f>D14/(1+$C$6)^((C14-$C$5)/365)/(1+$C$2)^(($C$5-$C$3)/365)</f>
        <v>557.99476726493208</v>
      </c>
      <c r="G14" s="73">
        <v>7.4999999999999997E-2</v>
      </c>
      <c r="H14" s="66">
        <v>3736.9227780853253</v>
      </c>
    </row>
    <row r="15" spans="2:8">
      <c r="B15" s="71">
        <v>6</v>
      </c>
      <c r="C15" s="74">
        <f>DATE(2013,6,1)</f>
        <v>41426</v>
      </c>
      <c r="D15" s="75">
        <v>2000</v>
      </c>
      <c r="E15" s="66">
        <f>D15/(1+$C$6)^((C15-$C$5)/365)/(1+$C$2)^(($C$5-$C$3)/365)</f>
        <v>1852.2910676953477</v>
      </c>
      <c r="G15" s="73">
        <v>0.08</v>
      </c>
      <c r="H15" s="66">
        <v>3733.765010084875</v>
      </c>
    </row>
    <row r="16" spans="2:8">
      <c r="G16" s="73">
        <v>8.5000000000000006E-2</v>
      </c>
      <c r="H16" s="66">
        <v>3730.6260293248033</v>
      </c>
    </row>
    <row r="17" spans="7:8">
      <c r="G17" s="73">
        <v>0.09</v>
      </c>
      <c r="H17" s="66">
        <v>3727.5056381517834</v>
      </c>
    </row>
    <row r="18" spans="7:8">
      <c r="G18" s="73">
        <v>9.5000000000000001E-2</v>
      </c>
      <c r="H18" s="66">
        <v>3724.4036418868104</v>
      </c>
    </row>
    <row r="19" spans="7:8">
      <c r="G19" s="73">
        <v>0.1</v>
      </c>
      <c r="H19" s="66">
        <v>3721.3198487670948</v>
      </c>
    </row>
  </sheetData>
  <phoneticPr fontId="1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54"/>
  <sheetViews>
    <sheetView showGridLines="0" workbookViewId="0">
      <selection activeCell="R39" sqref="R39"/>
    </sheetView>
  </sheetViews>
  <sheetFormatPr defaultRowHeight="13.5"/>
  <cols>
    <col min="1" max="1" width="2.75" style="77" customWidth="1"/>
    <col min="2" max="2" width="15.625" style="77" customWidth="1"/>
    <col min="3" max="3" width="8" style="77" customWidth="1"/>
    <col min="4" max="4" width="8.625" style="77" customWidth="1"/>
    <col min="5" max="5" width="3" style="77" customWidth="1"/>
    <col min="6" max="6" width="5.25" style="78" bestFit="1" customWidth="1"/>
    <col min="7" max="7" width="7.125" style="78" bestFit="1" customWidth="1"/>
    <col min="8" max="10" width="11" style="78" bestFit="1" customWidth="1"/>
    <col min="11" max="13" width="9" style="78"/>
    <col min="14" max="14" width="5.5" style="78" bestFit="1" customWidth="1"/>
    <col min="15" max="15" width="9" style="77"/>
    <col min="16" max="16" width="3.125" style="77" customWidth="1"/>
    <col min="17" max="16384" width="9" style="77"/>
  </cols>
  <sheetData>
    <row r="1" spans="2:15" ht="15.75" customHeight="1">
      <c r="B1" s="89"/>
      <c r="C1" s="88"/>
      <c r="E1" s="80"/>
    </row>
    <row r="2" spans="2:15">
      <c r="B2" s="86" t="s">
        <v>93</v>
      </c>
      <c r="C2" s="84">
        <v>40</v>
      </c>
      <c r="E2" s="80"/>
      <c r="F2" s="79" t="s">
        <v>92</v>
      </c>
      <c r="G2" s="79" t="s">
        <v>91</v>
      </c>
      <c r="H2" s="79" t="s">
        <v>90</v>
      </c>
      <c r="I2" s="79" t="s">
        <v>89</v>
      </c>
      <c r="J2" s="79" t="s">
        <v>88</v>
      </c>
      <c r="K2" s="79" t="s">
        <v>87</v>
      </c>
      <c r="L2" s="79" t="s">
        <v>86</v>
      </c>
      <c r="M2" s="79" t="s">
        <v>85</v>
      </c>
      <c r="N2" s="79" t="s">
        <v>84</v>
      </c>
      <c r="O2" s="87" t="s">
        <v>83</v>
      </c>
    </row>
    <row r="3" spans="2:15">
      <c r="B3" s="86" t="s">
        <v>82</v>
      </c>
      <c r="C3" s="84">
        <v>60</v>
      </c>
      <c r="E3" s="80"/>
      <c r="F3" s="79">
        <v>1</v>
      </c>
      <c r="G3" s="79">
        <f t="shared" ref="G3:G34" si="0">$C$8</f>
        <v>200</v>
      </c>
      <c r="H3" s="79">
        <f t="shared" ref="H3:H34" ca="1" si="1">INDEX($B$11:$B$14,MATCH(RAND(),$D$10:$D$14,1))</f>
        <v>60</v>
      </c>
      <c r="I3" s="79">
        <f t="shared" ref="I3:I34" ca="1" si="2">INT($C$2+($C$3-$C$2)*RAND()+0.5)</f>
        <v>49</v>
      </c>
      <c r="J3" s="79">
        <f t="shared" ref="J3:J34" ca="1" si="3">INT(NORMINV(RAND(),$C$4,$C$5)+0.5)</f>
        <v>35</v>
      </c>
      <c r="K3" s="79">
        <f t="shared" ref="K3:K34" ca="1" si="4">SUM(H3:J3)</f>
        <v>144</v>
      </c>
      <c r="L3" s="79">
        <f t="shared" ref="L3:L34" si="5">G3*$C$6</f>
        <v>5000</v>
      </c>
      <c r="M3" s="79">
        <f t="shared" ref="M3:M34" ca="1" si="6">MIN(G3,K3)*$C$7</f>
        <v>5760</v>
      </c>
      <c r="N3" s="79">
        <f t="shared" ref="N3:N34" ca="1" si="7">M3-L3</f>
        <v>760</v>
      </c>
      <c r="O3" s="79">
        <f t="shared" ref="O3:O34" si="8">IF(F3=$B$17,N3,0)</f>
        <v>0</v>
      </c>
    </row>
    <row r="4" spans="2:15">
      <c r="B4" s="86" t="s">
        <v>81</v>
      </c>
      <c r="C4" s="84">
        <v>50</v>
      </c>
      <c r="E4" s="80"/>
      <c r="F4" s="79">
        <v>2</v>
      </c>
      <c r="G4" s="79">
        <f t="shared" si="0"/>
        <v>200</v>
      </c>
      <c r="H4" s="79">
        <f t="shared" ca="1" si="1"/>
        <v>60</v>
      </c>
      <c r="I4" s="79">
        <f t="shared" ca="1" si="2"/>
        <v>42</v>
      </c>
      <c r="J4" s="79">
        <f t="shared" ca="1" si="3"/>
        <v>65</v>
      </c>
      <c r="K4" s="79">
        <f t="shared" ca="1" si="4"/>
        <v>167</v>
      </c>
      <c r="L4" s="79">
        <f t="shared" si="5"/>
        <v>5000</v>
      </c>
      <c r="M4" s="79">
        <f t="shared" ca="1" si="6"/>
        <v>6680</v>
      </c>
      <c r="N4" s="79">
        <f t="shared" ca="1" si="7"/>
        <v>1680</v>
      </c>
      <c r="O4" s="79">
        <f t="shared" si="8"/>
        <v>0</v>
      </c>
    </row>
    <row r="5" spans="2:15">
      <c r="B5" s="86" t="s">
        <v>80</v>
      </c>
      <c r="C5" s="84">
        <v>10</v>
      </c>
      <c r="E5" s="80"/>
      <c r="F5" s="79">
        <v>3</v>
      </c>
      <c r="G5" s="79">
        <f t="shared" si="0"/>
        <v>200</v>
      </c>
      <c r="H5" s="79">
        <f t="shared" ca="1" si="1"/>
        <v>70</v>
      </c>
      <c r="I5" s="79">
        <f t="shared" ca="1" si="2"/>
        <v>57</v>
      </c>
      <c r="J5" s="79">
        <f t="shared" ca="1" si="3"/>
        <v>44</v>
      </c>
      <c r="K5" s="79">
        <f t="shared" ca="1" si="4"/>
        <v>171</v>
      </c>
      <c r="L5" s="79">
        <f t="shared" si="5"/>
        <v>5000</v>
      </c>
      <c r="M5" s="79">
        <f t="shared" ca="1" si="6"/>
        <v>6840</v>
      </c>
      <c r="N5" s="79">
        <f t="shared" ca="1" si="7"/>
        <v>1840</v>
      </c>
      <c r="O5" s="79">
        <f t="shared" si="8"/>
        <v>0</v>
      </c>
    </row>
    <row r="6" spans="2:15">
      <c r="B6" s="86" t="s">
        <v>79</v>
      </c>
      <c r="C6" s="84">
        <v>25</v>
      </c>
      <c r="E6" s="80"/>
      <c r="F6" s="79">
        <v>4</v>
      </c>
      <c r="G6" s="79">
        <f t="shared" si="0"/>
        <v>200</v>
      </c>
      <c r="H6" s="79">
        <f t="shared" ca="1" si="1"/>
        <v>50</v>
      </c>
      <c r="I6" s="79">
        <f t="shared" ca="1" si="2"/>
        <v>47</v>
      </c>
      <c r="J6" s="79">
        <f t="shared" ca="1" si="3"/>
        <v>47</v>
      </c>
      <c r="K6" s="79">
        <f t="shared" ca="1" si="4"/>
        <v>144</v>
      </c>
      <c r="L6" s="79">
        <f t="shared" si="5"/>
        <v>5000</v>
      </c>
      <c r="M6" s="79">
        <f t="shared" ca="1" si="6"/>
        <v>5760</v>
      </c>
      <c r="N6" s="79">
        <f t="shared" ca="1" si="7"/>
        <v>760</v>
      </c>
      <c r="O6" s="79">
        <f t="shared" si="8"/>
        <v>0</v>
      </c>
    </row>
    <row r="7" spans="2:15">
      <c r="B7" s="86" t="s">
        <v>78</v>
      </c>
      <c r="C7" s="84">
        <v>40</v>
      </c>
      <c r="E7" s="80"/>
      <c r="F7" s="79">
        <v>5</v>
      </c>
      <c r="G7" s="79">
        <f t="shared" si="0"/>
        <v>200</v>
      </c>
      <c r="H7" s="79">
        <f t="shared" ca="1" si="1"/>
        <v>70</v>
      </c>
      <c r="I7" s="79">
        <f t="shared" ca="1" si="2"/>
        <v>53</v>
      </c>
      <c r="J7" s="79">
        <f t="shared" ca="1" si="3"/>
        <v>37</v>
      </c>
      <c r="K7" s="79">
        <f t="shared" ca="1" si="4"/>
        <v>160</v>
      </c>
      <c r="L7" s="79">
        <f t="shared" si="5"/>
        <v>5000</v>
      </c>
      <c r="M7" s="79">
        <f t="shared" ca="1" si="6"/>
        <v>6400</v>
      </c>
      <c r="N7" s="79">
        <f t="shared" ca="1" si="7"/>
        <v>1400</v>
      </c>
      <c r="O7" s="79">
        <f t="shared" si="8"/>
        <v>0</v>
      </c>
    </row>
    <row r="8" spans="2:15">
      <c r="B8" s="86" t="s">
        <v>77</v>
      </c>
      <c r="C8" s="84">
        <v>200</v>
      </c>
      <c r="E8" s="80"/>
      <c r="F8" s="79">
        <v>6</v>
      </c>
      <c r="G8" s="79">
        <f t="shared" si="0"/>
        <v>200</v>
      </c>
      <c r="H8" s="79">
        <f t="shared" ca="1" si="1"/>
        <v>80</v>
      </c>
      <c r="I8" s="79">
        <f t="shared" ca="1" si="2"/>
        <v>47</v>
      </c>
      <c r="J8" s="79">
        <f t="shared" ca="1" si="3"/>
        <v>49</v>
      </c>
      <c r="K8" s="79">
        <f t="shared" ca="1" si="4"/>
        <v>176</v>
      </c>
      <c r="L8" s="79">
        <f t="shared" si="5"/>
        <v>5000</v>
      </c>
      <c r="M8" s="79">
        <f t="shared" ca="1" si="6"/>
        <v>7040</v>
      </c>
      <c r="N8" s="79">
        <f t="shared" ca="1" si="7"/>
        <v>2040</v>
      </c>
      <c r="O8" s="79">
        <f t="shared" si="8"/>
        <v>0</v>
      </c>
    </row>
    <row r="9" spans="2:15">
      <c r="B9" s="80"/>
      <c r="C9" s="80"/>
      <c r="E9" s="80"/>
      <c r="F9" s="79">
        <v>7</v>
      </c>
      <c r="G9" s="79">
        <f t="shared" si="0"/>
        <v>200</v>
      </c>
      <c r="H9" s="79">
        <f t="shared" ca="1" si="1"/>
        <v>50</v>
      </c>
      <c r="I9" s="79">
        <f t="shared" ca="1" si="2"/>
        <v>47</v>
      </c>
      <c r="J9" s="79">
        <f t="shared" ca="1" si="3"/>
        <v>47</v>
      </c>
      <c r="K9" s="79">
        <f t="shared" ca="1" si="4"/>
        <v>144</v>
      </c>
      <c r="L9" s="79">
        <f t="shared" si="5"/>
        <v>5000</v>
      </c>
      <c r="M9" s="79">
        <f t="shared" ca="1" si="6"/>
        <v>5760</v>
      </c>
      <c r="N9" s="79">
        <f t="shared" ca="1" si="7"/>
        <v>760</v>
      </c>
      <c r="O9" s="79">
        <f t="shared" si="8"/>
        <v>0</v>
      </c>
    </row>
    <row r="10" spans="2:15">
      <c r="B10" s="81" t="s">
        <v>76</v>
      </c>
      <c r="C10" s="81" t="s">
        <v>75</v>
      </c>
      <c r="D10" s="85">
        <v>0</v>
      </c>
      <c r="E10" s="80"/>
      <c r="F10" s="79">
        <v>8</v>
      </c>
      <c r="G10" s="79">
        <f t="shared" si="0"/>
        <v>200</v>
      </c>
      <c r="H10" s="79">
        <f t="shared" ca="1" si="1"/>
        <v>70</v>
      </c>
      <c r="I10" s="79">
        <f t="shared" ca="1" si="2"/>
        <v>59</v>
      </c>
      <c r="J10" s="79">
        <f t="shared" ca="1" si="3"/>
        <v>44</v>
      </c>
      <c r="K10" s="79">
        <f t="shared" ca="1" si="4"/>
        <v>173</v>
      </c>
      <c r="L10" s="79">
        <f t="shared" si="5"/>
        <v>5000</v>
      </c>
      <c r="M10" s="79">
        <f t="shared" ca="1" si="6"/>
        <v>6920</v>
      </c>
      <c r="N10" s="79">
        <f t="shared" ca="1" si="7"/>
        <v>1920</v>
      </c>
      <c r="O10" s="79">
        <f t="shared" si="8"/>
        <v>0</v>
      </c>
    </row>
    <row r="11" spans="2:15">
      <c r="B11" s="84">
        <v>50</v>
      </c>
      <c r="C11" s="83">
        <v>0.2</v>
      </c>
      <c r="D11" s="82">
        <f>D10+C11</f>
        <v>0.2</v>
      </c>
      <c r="E11" s="80"/>
      <c r="F11" s="79">
        <v>9</v>
      </c>
      <c r="G11" s="79">
        <f t="shared" si="0"/>
        <v>200</v>
      </c>
      <c r="H11" s="79">
        <f t="shared" ca="1" si="1"/>
        <v>70</v>
      </c>
      <c r="I11" s="79">
        <f t="shared" ca="1" si="2"/>
        <v>50</v>
      </c>
      <c r="J11" s="79">
        <f t="shared" ca="1" si="3"/>
        <v>55</v>
      </c>
      <c r="K11" s="79">
        <f t="shared" ca="1" si="4"/>
        <v>175</v>
      </c>
      <c r="L11" s="79">
        <f t="shared" si="5"/>
        <v>5000</v>
      </c>
      <c r="M11" s="79">
        <f t="shared" ca="1" si="6"/>
        <v>7000</v>
      </c>
      <c r="N11" s="79">
        <f t="shared" ca="1" si="7"/>
        <v>2000</v>
      </c>
      <c r="O11" s="79">
        <f t="shared" si="8"/>
        <v>0</v>
      </c>
    </row>
    <row r="12" spans="2:15">
      <c r="B12" s="84">
        <v>60</v>
      </c>
      <c r="C12" s="83">
        <v>0.3</v>
      </c>
      <c r="D12" s="82">
        <f>D11+C12</f>
        <v>0.5</v>
      </c>
      <c r="E12" s="80"/>
      <c r="F12" s="79">
        <v>10</v>
      </c>
      <c r="G12" s="79">
        <f t="shared" si="0"/>
        <v>200</v>
      </c>
      <c r="H12" s="79">
        <f t="shared" ca="1" si="1"/>
        <v>60</v>
      </c>
      <c r="I12" s="79">
        <f t="shared" ca="1" si="2"/>
        <v>55</v>
      </c>
      <c r="J12" s="79">
        <f t="shared" ca="1" si="3"/>
        <v>37</v>
      </c>
      <c r="K12" s="79">
        <f t="shared" ca="1" si="4"/>
        <v>152</v>
      </c>
      <c r="L12" s="79">
        <f t="shared" si="5"/>
        <v>5000</v>
      </c>
      <c r="M12" s="79">
        <f t="shared" ca="1" si="6"/>
        <v>6080</v>
      </c>
      <c r="N12" s="79">
        <f t="shared" ca="1" si="7"/>
        <v>1080</v>
      </c>
      <c r="O12" s="79">
        <f t="shared" ca="1" si="8"/>
        <v>1080</v>
      </c>
    </row>
    <row r="13" spans="2:15">
      <c r="B13" s="84">
        <v>70</v>
      </c>
      <c r="C13" s="83">
        <v>0.4</v>
      </c>
      <c r="D13" s="82">
        <f>D12+C13</f>
        <v>0.9</v>
      </c>
      <c r="E13" s="80"/>
      <c r="F13" s="79">
        <v>11</v>
      </c>
      <c r="G13" s="79">
        <f t="shared" si="0"/>
        <v>200</v>
      </c>
      <c r="H13" s="79">
        <f t="shared" ca="1" si="1"/>
        <v>80</v>
      </c>
      <c r="I13" s="79">
        <f t="shared" ca="1" si="2"/>
        <v>60</v>
      </c>
      <c r="J13" s="79">
        <f t="shared" ca="1" si="3"/>
        <v>57</v>
      </c>
      <c r="K13" s="79">
        <f t="shared" ca="1" si="4"/>
        <v>197</v>
      </c>
      <c r="L13" s="79">
        <f t="shared" si="5"/>
        <v>5000</v>
      </c>
      <c r="M13" s="79">
        <f t="shared" ca="1" si="6"/>
        <v>7880</v>
      </c>
      <c r="N13" s="79">
        <f t="shared" ca="1" si="7"/>
        <v>2880</v>
      </c>
      <c r="O13" s="79">
        <f t="shared" si="8"/>
        <v>0</v>
      </c>
    </row>
    <row r="14" spans="2:15">
      <c r="B14" s="84">
        <v>80</v>
      </c>
      <c r="C14" s="83">
        <v>0.1</v>
      </c>
      <c r="D14" s="82">
        <f>D13+C14</f>
        <v>1</v>
      </c>
      <c r="E14" s="80"/>
      <c r="F14" s="79">
        <v>12</v>
      </c>
      <c r="G14" s="79">
        <f t="shared" si="0"/>
        <v>200</v>
      </c>
      <c r="H14" s="79">
        <f t="shared" ca="1" si="1"/>
        <v>70</v>
      </c>
      <c r="I14" s="79">
        <f t="shared" ca="1" si="2"/>
        <v>44</v>
      </c>
      <c r="J14" s="79">
        <f t="shared" ca="1" si="3"/>
        <v>55</v>
      </c>
      <c r="K14" s="79">
        <f t="shared" ca="1" si="4"/>
        <v>169</v>
      </c>
      <c r="L14" s="79">
        <f t="shared" si="5"/>
        <v>5000</v>
      </c>
      <c r="M14" s="79">
        <f t="shared" ca="1" si="6"/>
        <v>6760</v>
      </c>
      <c r="N14" s="79">
        <f t="shared" ca="1" si="7"/>
        <v>1760</v>
      </c>
      <c r="O14" s="79">
        <f t="shared" si="8"/>
        <v>0</v>
      </c>
    </row>
    <row r="15" spans="2:15">
      <c r="E15" s="80"/>
      <c r="F15" s="79">
        <v>13</v>
      </c>
      <c r="G15" s="79">
        <f t="shared" si="0"/>
        <v>200</v>
      </c>
      <c r="H15" s="79">
        <f t="shared" ca="1" si="1"/>
        <v>60</v>
      </c>
      <c r="I15" s="79">
        <f t="shared" ca="1" si="2"/>
        <v>53</v>
      </c>
      <c r="J15" s="79">
        <f t="shared" ca="1" si="3"/>
        <v>63</v>
      </c>
      <c r="K15" s="79">
        <f t="shared" ca="1" si="4"/>
        <v>176</v>
      </c>
      <c r="L15" s="79">
        <f t="shared" si="5"/>
        <v>5000</v>
      </c>
      <c r="M15" s="79">
        <f t="shared" ca="1" si="6"/>
        <v>7040</v>
      </c>
      <c r="N15" s="79">
        <f t="shared" ca="1" si="7"/>
        <v>2040</v>
      </c>
      <c r="O15" s="79">
        <f t="shared" si="8"/>
        <v>0</v>
      </c>
    </row>
    <row r="16" spans="2:15">
      <c r="B16" s="81" t="s">
        <v>74</v>
      </c>
      <c r="E16" s="80"/>
      <c r="F16" s="79">
        <v>14</v>
      </c>
      <c r="G16" s="79">
        <f t="shared" si="0"/>
        <v>200</v>
      </c>
      <c r="H16" s="79">
        <f t="shared" ca="1" si="1"/>
        <v>60</v>
      </c>
      <c r="I16" s="79">
        <f t="shared" ca="1" si="2"/>
        <v>45</v>
      </c>
      <c r="J16" s="79">
        <f t="shared" ca="1" si="3"/>
        <v>57</v>
      </c>
      <c r="K16" s="79">
        <f t="shared" ca="1" si="4"/>
        <v>162</v>
      </c>
      <c r="L16" s="79">
        <f t="shared" si="5"/>
        <v>5000</v>
      </c>
      <c r="M16" s="79">
        <f t="shared" ca="1" si="6"/>
        <v>6480</v>
      </c>
      <c r="N16" s="79">
        <f t="shared" ca="1" si="7"/>
        <v>1480</v>
      </c>
      <c r="O16" s="79">
        <f t="shared" si="8"/>
        <v>0</v>
      </c>
    </row>
    <row r="17" spans="2:15">
      <c r="B17" s="79">
        <v>10</v>
      </c>
      <c r="F17" s="79">
        <v>15</v>
      </c>
      <c r="G17" s="79">
        <f t="shared" si="0"/>
        <v>200</v>
      </c>
      <c r="H17" s="79">
        <f t="shared" ca="1" si="1"/>
        <v>60</v>
      </c>
      <c r="I17" s="79">
        <f t="shared" ca="1" si="2"/>
        <v>53</v>
      </c>
      <c r="J17" s="79">
        <f t="shared" ca="1" si="3"/>
        <v>51</v>
      </c>
      <c r="K17" s="79">
        <f t="shared" ca="1" si="4"/>
        <v>164</v>
      </c>
      <c r="L17" s="79">
        <f t="shared" si="5"/>
        <v>5000</v>
      </c>
      <c r="M17" s="79">
        <f t="shared" ca="1" si="6"/>
        <v>6560</v>
      </c>
      <c r="N17" s="79">
        <f t="shared" ca="1" si="7"/>
        <v>1560</v>
      </c>
      <c r="O17" s="79">
        <f t="shared" si="8"/>
        <v>0</v>
      </c>
    </row>
    <row r="18" spans="2:15">
      <c r="F18" s="79">
        <v>16</v>
      </c>
      <c r="G18" s="79">
        <f t="shared" si="0"/>
        <v>200</v>
      </c>
      <c r="H18" s="79">
        <f t="shared" ca="1" si="1"/>
        <v>70</v>
      </c>
      <c r="I18" s="79">
        <f t="shared" ca="1" si="2"/>
        <v>51</v>
      </c>
      <c r="J18" s="79">
        <f t="shared" ca="1" si="3"/>
        <v>53</v>
      </c>
      <c r="K18" s="79">
        <f t="shared" ca="1" si="4"/>
        <v>174</v>
      </c>
      <c r="L18" s="79">
        <f t="shared" si="5"/>
        <v>5000</v>
      </c>
      <c r="M18" s="79">
        <f t="shared" ca="1" si="6"/>
        <v>6960</v>
      </c>
      <c r="N18" s="79">
        <f t="shared" ca="1" si="7"/>
        <v>1960</v>
      </c>
      <c r="O18" s="79">
        <f t="shared" si="8"/>
        <v>0</v>
      </c>
    </row>
    <row r="19" spans="2:15">
      <c r="B19" s="79" t="str">
        <f>"第"&amp;B17&amp;"周"</f>
        <v>第10周</v>
      </c>
      <c r="F19" s="79">
        <v>17</v>
      </c>
      <c r="G19" s="79">
        <f t="shared" si="0"/>
        <v>200</v>
      </c>
      <c r="H19" s="79">
        <f t="shared" ca="1" si="1"/>
        <v>60</v>
      </c>
      <c r="I19" s="79">
        <f t="shared" ca="1" si="2"/>
        <v>60</v>
      </c>
      <c r="J19" s="79">
        <f t="shared" ca="1" si="3"/>
        <v>50</v>
      </c>
      <c r="K19" s="79">
        <f t="shared" ca="1" si="4"/>
        <v>170</v>
      </c>
      <c r="L19" s="79">
        <f t="shared" si="5"/>
        <v>5000</v>
      </c>
      <c r="M19" s="79">
        <f t="shared" ca="1" si="6"/>
        <v>6800</v>
      </c>
      <c r="N19" s="79">
        <f t="shared" ca="1" si="7"/>
        <v>1800</v>
      </c>
      <c r="O19" s="79">
        <f t="shared" si="8"/>
        <v>0</v>
      </c>
    </row>
    <row r="20" spans="2:15">
      <c r="F20" s="79">
        <v>18</v>
      </c>
      <c r="G20" s="79">
        <f t="shared" si="0"/>
        <v>200</v>
      </c>
      <c r="H20" s="79">
        <f t="shared" ca="1" si="1"/>
        <v>50</v>
      </c>
      <c r="I20" s="79">
        <f t="shared" ca="1" si="2"/>
        <v>53</v>
      </c>
      <c r="J20" s="79">
        <f t="shared" ca="1" si="3"/>
        <v>48</v>
      </c>
      <c r="K20" s="79">
        <f t="shared" ca="1" si="4"/>
        <v>151</v>
      </c>
      <c r="L20" s="79">
        <f t="shared" si="5"/>
        <v>5000</v>
      </c>
      <c r="M20" s="79">
        <f t="shared" ca="1" si="6"/>
        <v>6040</v>
      </c>
      <c r="N20" s="79">
        <f t="shared" ca="1" si="7"/>
        <v>1040</v>
      </c>
      <c r="O20" s="79">
        <f t="shared" si="8"/>
        <v>0</v>
      </c>
    </row>
    <row r="21" spans="2:15">
      <c r="F21" s="79">
        <v>19</v>
      </c>
      <c r="G21" s="79">
        <f t="shared" si="0"/>
        <v>200</v>
      </c>
      <c r="H21" s="79">
        <f t="shared" ca="1" si="1"/>
        <v>50</v>
      </c>
      <c r="I21" s="79">
        <f t="shared" ca="1" si="2"/>
        <v>51</v>
      </c>
      <c r="J21" s="79">
        <f t="shared" ca="1" si="3"/>
        <v>36</v>
      </c>
      <c r="K21" s="79">
        <f t="shared" ca="1" si="4"/>
        <v>137</v>
      </c>
      <c r="L21" s="79">
        <f t="shared" si="5"/>
        <v>5000</v>
      </c>
      <c r="M21" s="79">
        <f t="shared" ca="1" si="6"/>
        <v>5480</v>
      </c>
      <c r="N21" s="79">
        <f t="shared" ca="1" si="7"/>
        <v>480</v>
      </c>
      <c r="O21" s="79">
        <f t="shared" si="8"/>
        <v>0</v>
      </c>
    </row>
    <row r="22" spans="2:15">
      <c r="F22" s="79">
        <v>20</v>
      </c>
      <c r="G22" s="79">
        <f t="shared" si="0"/>
        <v>200</v>
      </c>
      <c r="H22" s="79">
        <f t="shared" ca="1" si="1"/>
        <v>50</v>
      </c>
      <c r="I22" s="79">
        <f t="shared" ca="1" si="2"/>
        <v>51</v>
      </c>
      <c r="J22" s="79">
        <f t="shared" ca="1" si="3"/>
        <v>46</v>
      </c>
      <c r="K22" s="79">
        <f t="shared" ca="1" si="4"/>
        <v>147</v>
      </c>
      <c r="L22" s="79">
        <f t="shared" si="5"/>
        <v>5000</v>
      </c>
      <c r="M22" s="79">
        <f t="shared" ca="1" si="6"/>
        <v>5880</v>
      </c>
      <c r="N22" s="79">
        <f t="shared" ca="1" si="7"/>
        <v>880</v>
      </c>
      <c r="O22" s="79">
        <f t="shared" si="8"/>
        <v>0</v>
      </c>
    </row>
    <row r="23" spans="2:15">
      <c r="F23" s="79">
        <v>21</v>
      </c>
      <c r="G23" s="79">
        <f t="shared" si="0"/>
        <v>200</v>
      </c>
      <c r="H23" s="79">
        <f t="shared" ca="1" si="1"/>
        <v>50</v>
      </c>
      <c r="I23" s="79">
        <f t="shared" ca="1" si="2"/>
        <v>40</v>
      </c>
      <c r="J23" s="79">
        <f t="shared" ca="1" si="3"/>
        <v>54</v>
      </c>
      <c r="K23" s="79">
        <f t="shared" ca="1" si="4"/>
        <v>144</v>
      </c>
      <c r="L23" s="79">
        <f t="shared" si="5"/>
        <v>5000</v>
      </c>
      <c r="M23" s="79">
        <f t="shared" ca="1" si="6"/>
        <v>5760</v>
      </c>
      <c r="N23" s="79">
        <f t="shared" ca="1" si="7"/>
        <v>760</v>
      </c>
      <c r="O23" s="79">
        <f t="shared" si="8"/>
        <v>0</v>
      </c>
    </row>
    <row r="24" spans="2:15">
      <c r="F24" s="79">
        <v>22</v>
      </c>
      <c r="G24" s="79">
        <f t="shared" si="0"/>
        <v>200</v>
      </c>
      <c r="H24" s="79">
        <f t="shared" ca="1" si="1"/>
        <v>70</v>
      </c>
      <c r="I24" s="79">
        <f t="shared" ca="1" si="2"/>
        <v>54</v>
      </c>
      <c r="J24" s="79">
        <f t="shared" ca="1" si="3"/>
        <v>57</v>
      </c>
      <c r="K24" s="79">
        <f t="shared" ca="1" si="4"/>
        <v>181</v>
      </c>
      <c r="L24" s="79">
        <f t="shared" si="5"/>
        <v>5000</v>
      </c>
      <c r="M24" s="79">
        <f t="shared" ca="1" si="6"/>
        <v>7240</v>
      </c>
      <c r="N24" s="79">
        <f t="shared" ca="1" si="7"/>
        <v>2240</v>
      </c>
      <c r="O24" s="79">
        <f t="shared" si="8"/>
        <v>0</v>
      </c>
    </row>
    <row r="25" spans="2:15">
      <c r="F25" s="79">
        <v>23</v>
      </c>
      <c r="G25" s="79">
        <f t="shared" si="0"/>
        <v>200</v>
      </c>
      <c r="H25" s="79">
        <f t="shared" ca="1" si="1"/>
        <v>60</v>
      </c>
      <c r="I25" s="79">
        <f t="shared" ca="1" si="2"/>
        <v>50</v>
      </c>
      <c r="J25" s="79">
        <f t="shared" ca="1" si="3"/>
        <v>48</v>
      </c>
      <c r="K25" s="79">
        <f t="shared" ca="1" si="4"/>
        <v>158</v>
      </c>
      <c r="L25" s="79">
        <f t="shared" si="5"/>
        <v>5000</v>
      </c>
      <c r="M25" s="79">
        <f t="shared" ca="1" si="6"/>
        <v>6320</v>
      </c>
      <c r="N25" s="79">
        <f t="shared" ca="1" si="7"/>
        <v>1320</v>
      </c>
      <c r="O25" s="79">
        <f t="shared" si="8"/>
        <v>0</v>
      </c>
    </row>
    <row r="26" spans="2:15">
      <c r="F26" s="79">
        <v>24</v>
      </c>
      <c r="G26" s="79">
        <f t="shared" si="0"/>
        <v>200</v>
      </c>
      <c r="H26" s="79">
        <f t="shared" ca="1" si="1"/>
        <v>80</v>
      </c>
      <c r="I26" s="79">
        <f t="shared" ca="1" si="2"/>
        <v>57</v>
      </c>
      <c r="J26" s="79">
        <f t="shared" ca="1" si="3"/>
        <v>41</v>
      </c>
      <c r="K26" s="79">
        <f t="shared" ca="1" si="4"/>
        <v>178</v>
      </c>
      <c r="L26" s="79">
        <f t="shared" si="5"/>
        <v>5000</v>
      </c>
      <c r="M26" s="79">
        <f t="shared" ca="1" si="6"/>
        <v>7120</v>
      </c>
      <c r="N26" s="79">
        <f t="shared" ca="1" si="7"/>
        <v>2120</v>
      </c>
      <c r="O26" s="79">
        <f t="shared" si="8"/>
        <v>0</v>
      </c>
    </row>
    <row r="27" spans="2:15">
      <c r="F27" s="79">
        <v>25</v>
      </c>
      <c r="G27" s="79">
        <f t="shared" si="0"/>
        <v>200</v>
      </c>
      <c r="H27" s="79">
        <f t="shared" ca="1" si="1"/>
        <v>70</v>
      </c>
      <c r="I27" s="79">
        <f t="shared" ca="1" si="2"/>
        <v>49</v>
      </c>
      <c r="J27" s="79">
        <f t="shared" ca="1" si="3"/>
        <v>58</v>
      </c>
      <c r="K27" s="79">
        <f t="shared" ca="1" si="4"/>
        <v>177</v>
      </c>
      <c r="L27" s="79">
        <f t="shared" si="5"/>
        <v>5000</v>
      </c>
      <c r="M27" s="79">
        <f t="shared" ca="1" si="6"/>
        <v>7080</v>
      </c>
      <c r="N27" s="79">
        <f t="shared" ca="1" si="7"/>
        <v>2080</v>
      </c>
      <c r="O27" s="79">
        <f t="shared" si="8"/>
        <v>0</v>
      </c>
    </row>
    <row r="28" spans="2:15">
      <c r="F28" s="79">
        <v>26</v>
      </c>
      <c r="G28" s="79">
        <f t="shared" si="0"/>
        <v>200</v>
      </c>
      <c r="H28" s="79">
        <f t="shared" ca="1" si="1"/>
        <v>60</v>
      </c>
      <c r="I28" s="79">
        <f t="shared" ca="1" si="2"/>
        <v>51</v>
      </c>
      <c r="J28" s="79">
        <f t="shared" ca="1" si="3"/>
        <v>49</v>
      </c>
      <c r="K28" s="79">
        <f t="shared" ca="1" si="4"/>
        <v>160</v>
      </c>
      <c r="L28" s="79">
        <f t="shared" si="5"/>
        <v>5000</v>
      </c>
      <c r="M28" s="79">
        <f t="shared" ca="1" si="6"/>
        <v>6400</v>
      </c>
      <c r="N28" s="79">
        <f t="shared" ca="1" si="7"/>
        <v>1400</v>
      </c>
      <c r="O28" s="79">
        <f t="shared" si="8"/>
        <v>0</v>
      </c>
    </row>
    <row r="29" spans="2:15">
      <c r="F29" s="79">
        <v>27</v>
      </c>
      <c r="G29" s="79">
        <f t="shared" si="0"/>
        <v>200</v>
      </c>
      <c r="H29" s="79">
        <f t="shared" ca="1" si="1"/>
        <v>50</v>
      </c>
      <c r="I29" s="79">
        <f t="shared" ca="1" si="2"/>
        <v>47</v>
      </c>
      <c r="J29" s="79">
        <f t="shared" ca="1" si="3"/>
        <v>53</v>
      </c>
      <c r="K29" s="79">
        <f t="shared" ca="1" si="4"/>
        <v>150</v>
      </c>
      <c r="L29" s="79">
        <f t="shared" si="5"/>
        <v>5000</v>
      </c>
      <c r="M29" s="79">
        <f t="shared" ca="1" si="6"/>
        <v>6000</v>
      </c>
      <c r="N29" s="79">
        <f t="shared" ca="1" si="7"/>
        <v>1000</v>
      </c>
      <c r="O29" s="79">
        <f t="shared" si="8"/>
        <v>0</v>
      </c>
    </row>
    <row r="30" spans="2:15">
      <c r="F30" s="79">
        <v>28</v>
      </c>
      <c r="G30" s="79">
        <f t="shared" si="0"/>
        <v>200</v>
      </c>
      <c r="H30" s="79">
        <f t="shared" ca="1" si="1"/>
        <v>60</v>
      </c>
      <c r="I30" s="79">
        <f t="shared" ca="1" si="2"/>
        <v>49</v>
      </c>
      <c r="J30" s="79">
        <f t="shared" ca="1" si="3"/>
        <v>47</v>
      </c>
      <c r="K30" s="79">
        <f t="shared" ca="1" si="4"/>
        <v>156</v>
      </c>
      <c r="L30" s="79">
        <f t="shared" si="5"/>
        <v>5000</v>
      </c>
      <c r="M30" s="79">
        <f t="shared" ca="1" si="6"/>
        <v>6240</v>
      </c>
      <c r="N30" s="79">
        <f t="shared" ca="1" si="7"/>
        <v>1240</v>
      </c>
      <c r="O30" s="79">
        <f t="shared" si="8"/>
        <v>0</v>
      </c>
    </row>
    <row r="31" spans="2:15">
      <c r="F31" s="79">
        <v>29</v>
      </c>
      <c r="G31" s="79">
        <f t="shared" si="0"/>
        <v>200</v>
      </c>
      <c r="H31" s="79">
        <f t="shared" ca="1" si="1"/>
        <v>60</v>
      </c>
      <c r="I31" s="79">
        <f t="shared" ca="1" si="2"/>
        <v>56</v>
      </c>
      <c r="J31" s="79">
        <f t="shared" ca="1" si="3"/>
        <v>56</v>
      </c>
      <c r="K31" s="79">
        <f t="shared" ca="1" si="4"/>
        <v>172</v>
      </c>
      <c r="L31" s="79">
        <f t="shared" si="5"/>
        <v>5000</v>
      </c>
      <c r="M31" s="79">
        <f t="shared" ca="1" si="6"/>
        <v>6880</v>
      </c>
      <c r="N31" s="79">
        <f t="shared" ca="1" si="7"/>
        <v>1880</v>
      </c>
      <c r="O31" s="79">
        <f t="shared" si="8"/>
        <v>0</v>
      </c>
    </row>
    <row r="32" spans="2:15">
      <c r="F32" s="79">
        <v>30</v>
      </c>
      <c r="G32" s="79">
        <f t="shared" si="0"/>
        <v>200</v>
      </c>
      <c r="H32" s="79">
        <f t="shared" ca="1" si="1"/>
        <v>70</v>
      </c>
      <c r="I32" s="79">
        <f t="shared" ca="1" si="2"/>
        <v>41</v>
      </c>
      <c r="J32" s="79">
        <f t="shared" ca="1" si="3"/>
        <v>49</v>
      </c>
      <c r="K32" s="79">
        <f t="shared" ca="1" si="4"/>
        <v>160</v>
      </c>
      <c r="L32" s="79">
        <f t="shared" si="5"/>
        <v>5000</v>
      </c>
      <c r="M32" s="79">
        <f t="shared" ca="1" si="6"/>
        <v>6400</v>
      </c>
      <c r="N32" s="79">
        <f t="shared" ca="1" si="7"/>
        <v>1400</v>
      </c>
      <c r="O32" s="79">
        <f t="shared" si="8"/>
        <v>0</v>
      </c>
    </row>
    <row r="33" spans="6:15">
      <c r="F33" s="79">
        <v>31</v>
      </c>
      <c r="G33" s="79">
        <f t="shared" si="0"/>
        <v>200</v>
      </c>
      <c r="H33" s="79">
        <f t="shared" ca="1" si="1"/>
        <v>60</v>
      </c>
      <c r="I33" s="79">
        <f t="shared" ca="1" si="2"/>
        <v>50</v>
      </c>
      <c r="J33" s="79">
        <f t="shared" ca="1" si="3"/>
        <v>43</v>
      </c>
      <c r="K33" s="79">
        <f t="shared" ca="1" si="4"/>
        <v>153</v>
      </c>
      <c r="L33" s="79">
        <f t="shared" si="5"/>
        <v>5000</v>
      </c>
      <c r="M33" s="79">
        <f t="shared" ca="1" si="6"/>
        <v>6120</v>
      </c>
      <c r="N33" s="79">
        <f t="shared" ca="1" si="7"/>
        <v>1120</v>
      </c>
      <c r="O33" s="79">
        <f t="shared" si="8"/>
        <v>0</v>
      </c>
    </row>
    <row r="34" spans="6:15">
      <c r="F34" s="79">
        <v>32</v>
      </c>
      <c r="G34" s="79">
        <f t="shared" si="0"/>
        <v>200</v>
      </c>
      <c r="H34" s="79">
        <f t="shared" ca="1" si="1"/>
        <v>70</v>
      </c>
      <c r="I34" s="79">
        <f t="shared" ca="1" si="2"/>
        <v>40</v>
      </c>
      <c r="J34" s="79">
        <f t="shared" ca="1" si="3"/>
        <v>40</v>
      </c>
      <c r="K34" s="79">
        <f t="shared" ca="1" si="4"/>
        <v>150</v>
      </c>
      <c r="L34" s="79">
        <f t="shared" si="5"/>
        <v>5000</v>
      </c>
      <c r="M34" s="79">
        <f t="shared" ca="1" si="6"/>
        <v>6000</v>
      </c>
      <c r="N34" s="79">
        <f t="shared" ca="1" si="7"/>
        <v>1000</v>
      </c>
      <c r="O34" s="79">
        <f t="shared" si="8"/>
        <v>0</v>
      </c>
    </row>
    <row r="35" spans="6:15">
      <c r="F35" s="79">
        <v>33</v>
      </c>
      <c r="G35" s="79">
        <f t="shared" ref="G35:G54" si="9">$C$8</f>
        <v>200</v>
      </c>
      <c r="H35" s="79">
        <f t="shared" ref="H35:H54" ca="1" si="10">INDEX($B$11:$B$14,MATCH(RAND(),$D$10:$D$14,1))</f>
        <v>50</v>
      </c>
      <c r="I35" s="79">
        <f t="shared" ref="I35:I54" ca="1" si="11">INT($C$2+($C$3-$C$2)*RAND()+0.5)</f>
        <v>46</v>
      </c>
      <c r="J35" s="79">
        <f t="shared" ref="J35:J54" ca="1" si="12">INT(NORMINV(RAND(),$C$4,$C$5)+0.5)</f>
        <v>52</v>
      </c>
      <c r="K35" s="79">
        <f t="shared" ref="K35:K54" ca="1" si="13">SUM(H35:J35)</f>
        <v>148</v>
      </c>
      <c r="L35" s="79">
        <f t="shared" ref="L35:L54" si="14">G35*$C$6</f>
        <v>5000</v>
      </c>
      <c r="M35" s="79">
        <f t="shared" ref="M35:M54" ca="1" si="15">MIN(G35,K35)*$C$7</f>
        <v>5920</v>
      </c>
      <c r="N35" s="79">
        <f t="shared" ref="N35:N54" ca="1" si="16">M35-L35</f>
        <v>920</v>
      </c>
      <c r="O35" s="79">
        <f t="shared" ref="O35:O54" si="17">IF(F35=$B$17,N35,0)</f>
        <v>0</v>
      </c>
    </row>
    <row r="36" spans="6:15">
      <c r="F36" s="79">
        <v>34</v>
      </c>
      <c r="G36" s="79">
        <f t="shared" si="9"/>
        <v>200</v>
      </c>
      <c r="H36" s="79">
        <f t="shared" ca="1" si="10"/>
        <v>80</v>
      </c>
      <c r="I36" s="79">
        <f t="shared" ca="1" si="11"/>
        <v>40</v>
      </c>
      <c r="J36" s="79">
        <f t="shared" ca="1" si="12"/>
        <v>56</v>
      </c>
      <c r="K36" s="79">
        <f t="shared" ca="1" si="13"/>
        <v>176</v>
      </c>
      <c r="L36" s="79">
        <f t="shared" si="14"/>
        <v>5000</v>
      </c>
      <c r="M36" s="79">
        <f t="shared" ca="1" si="15"/>
        <v>7040</v>
      </c>
      <c r="N36" s="79">
        <f t="shared" ca="1" si="16"/>
        <v>2040</v>
      </c>
      <c r="O36" s="79">
        <f t="shared" si="17"/>
        <v>0</v>
      </c>
    </row>
    <row r="37" spans="6:15">
      <c r="F37" s="79">
        <v>35</v>
      </c>
      <c r="G37" s="79">
        <f t="shared" si="9"/>
        <v>200</v>
      </c>
      <c r="H37" s="79">
        <f t="shared" ca="1" si="10"/>
        <v>50</v>
      </c>
      <c r="I37" s="79">
        <f t="shared" ca="1" si="11"/>
        <v>58</v>
      </c>
      <c r="J37" s="79">
        <f t="shared" ca="1" si="12"/>
        <v>53</v>
      </c>
      <c r="K37" s="79">
        <f t="shared" ca="1" si="13"/>
        <v>161</v>
      </c>
      <c r="L37" s="79">
        <f t="shared" si="14"/>
        <v>5000</v>
      </c>
      <c r="M37" s="79">
        <f t="shared" ca="1" si="15"/>
        <v>6440</v>
      </c>
      <c r="N37" s="79">
        <f t="shared" ca="1" si="16"/>
        <v>1440</v>
      </c>
      <c r="O37" s="79">
        <f t="shared" si="17"/>
        <v>0</v>
      </c>
    </row>
    <row r="38" spans="6:15">
      <c r="F38" s="79">
        <v>36</v>
      </c>
      <c r="G38" s="79">
        <f t="shared" si="9"/>
        <v>200</v>
      </c>
      <c r="H38" s="79">
        <f t="shared" ca="1" si="10"/>
        <v>50</v>
      </c>
      <c r="I38" s="79">
        <f t="shared" ca="1" si="11"/>
        <v>48</v>
      </c>
      <c r="J38" s="79">
        <f t="shared" ca="1" si="12"/>
        <v>51</v>
      </c>
      <c r="K38" s="79">
        <f t="shared" ca="1" si="13"/>
        <v>149</v>
      </c>
      <c r="L38" s="79">
        <f t="shared" si="14"/>
        <v>5000</v>
      </c>
      <c r="M38" s="79">
        <f t="shared" ca="1" si="15"/>
        <v>5960</v>
      </c>
      <c r="N38" s="79">
        <f t="shared" ca="1" si="16"/>
        <v>960</v>
      </c>
      <c r="O38" s="79">
        <f t="shared" si="17"/>
        <v>0</v>
      </c>
    </row>
    <row r="39" spans="6:15">
      <c r="F39" s="79">
        <v>37</v>
      </c>
      <c r="G39" s="79">
        <f t="shared" si="9"/>
        <v>200</v>
      </c>
      <c r="H39" s="79">
        <f t="shared" ca="1" si="10"/>
        <v>50</v>
      </c>
      <c r="I39" s="79">
        <f t="shared" ca="1" si="11"/>
        <v>47</v>
      </c>
      <c r="J39" s="79">
        <f t="shared" ca="1" si="12"/>
        <v>55</v>
      </c>
      <c r="K39" s="79">
        <f t="shared" ca="1" si="13"/>
        <v>152</v>
      </c>
      <c r="L39" s="79">
        <f t="shared" si="14"/>
        <v>5000</v>
      </c>
      <c r="M39" s="79">
        <f t="shared" ca="1" si="15"/>
        <v>6080</v>
      </c>
      <c r="N39" s="79">
        <f t="shared" ca="1" si="16"/>
        <v>1080</v>
      </c>
      <c r="O39" s="79">
        <f t="shared" si="17"/>
        <v>0</v>
      </c>
    </row>
    <row r="40" spans="6:15">
      <c r="F40" s="79">
        <v>38</v>
      </c>
      <c r="G40" s="79">
        <f t="shared" si="9"/>
        <v>200</v>
      </c>
      <c r="H40" s="79">
        <f t="shared" ca="1" si="10"/>
        <v>70</v>
      </c>
      <c r="I40" s="79">
        <f t="shared" ca="1" si="11"/>
        <v>49</v>
      </c>
      <c r="J40" s="79">
        <f t="shared" ca="1" si="12"/>
        <v>51</v>
      </c>
      <c r="K40" s="79">
        <f t="shared" ca="1" si="13"/>
        <v>170</v>
      </c>
      <c r="L40" s="79">
        <f t="shared" si="14"/>
        <v>5000</v>
      </c>
      <c r="M40" s="79">
        <f t="shared" ca="1" si="15"/>
        <v>6800</v>
      </c>
      <c r="N40" s="79">
        <f t="shared" ca="1" si="16"/>
        <v>1800</v>
      </c>
      <c r="O40" s="79">
        <f t="shared" si="17"/>
        <v>0</v>
      </c>
    </row>
    <row r="41" spans="6:15">
      <c r="F41" s="79">
        <v>39</v>
      </c>
      <c r="G41" s="79">
        <f t="shared" si="9"/>
        <v>200</v>
      </c>
      <c r="H41" s="79">
        <f t="shared" ca="1" si="10"/>
        <v>80</v>
      </c>
      <c r="I41" s="79">
        <f t="shared" ca="1" si="11"/>
        <v>46</v>
      </c>
      <c r="J41" s="79">
        <f t="shared" ca="1" si="12"/>
        <v>44</v>
      </c>
      <c r="K41" s="79">
        <f t="shared" ca="1" si="13"/>
        <v>170</v>
      </c>
      <c r="L41" s="79">
        <f t="shared" si="14"/>
        <v>5000</v>
      </c>
      <c r="M41" s="79">
        <f t="shared" ca="1" si="15"/>
        <v>6800</v>
      </c>
      <c r="N41" s="79">
        <f t="shared" ca="1" si="16"/>
        <v>1800</v>
      </c>
      <c r="O41" s="79">
        <f t="shared" si="17"/>
        <v>0</v>
      </c>
    </row>
    <row r="42" spans="6:15">
      <c r="F42" s="79">
        <v>40</v>
      </c>
      <c r="G42" s="79">
        <f t="shared" si="9"/>
        <v>200</v>
      </c>
      <c r="H42" s="79">
        <f t="shared" ca="1" si="10"/>
        <v>60</v>
      </c>
      <c r="I42" s="79">
        <f t="shared" ca="1" si="11"/>
        <v>57</v>
      </c>
      <c r="J42" s="79">
        <f t="shared" ca="1" si="12"/>
        <v>46</v>
      </c>
      <c r="K42" s="79">
        <f t="shared" ca="1" si="13"/>
        <v>163</v>
      </c>
      <c r="L42" s="79">
        <f t="shared" si="14"/>
        <v>5000</v>
      </c>
      <c r="M42" s="79">
        <f t="shared" ca="1" si="15"/>
        <v>6520</v>
      </c>
      <c r="N42" s="79">
        <f t="shared" ca="1" si="16"/>
        <v>1520</v>
      </c>
      <c r="O42" s="79">
        <f t="shared" si="17"/>
        <v>0</v>
      </c>
    </row>
    <row r="43" spans="6:15">
      <c r="F43" s="79">
        <v>41</v>
      </c>
      <c r="G43" s="79">
        <f t="shared" si="9"/>
        <v>200</v>
      </c>
      <c r="H43" s="79">
        <f t="shared" ca="1" si="10"/>
        <v>70</v>
      </c>
      <c r="I43" s="79">
        <f t="shared" ca="1" si="11"/>
        <v>55</v>
      </c>
      <c r="J43" s="79">
        <f t="shared" ca="1" si="12"/>
        <v>54</v>
      </c>
      <c r="K43" s="79">
        <f t="shared" ca="1" si="13"/>
        <v>179</v>
      </c>
      <c r="L43" s="79">
        <f t="shared" si="14"/>
        <v>5000</v>
      </c>
      <c r="M43" s="79">
        <f t="shared" ca="1" si="15"/>
        <v>7160</v>
      </c>
      <c r="N43" s="79">
        <f t="shared" ca="1" si="16"/>
        <v>2160</v>
      </c>
      <c r="O43" s="79">
        <f t="shared" si="17"/>
        <v>0</v>
      </c>
    </row>
    <row r="44" spans="6:15">
      <c r="F44" s="79">
        <v>42</v>
      </c>
      <c r="G44" s="79">
        <f t="shared" si="9"/>
        <v>200</v>
      </c>
      <c r="H44" s="79">
        <f t="shared" ca="1" si="10"/>
        <v>70</v>
      </c>
      <c r="I44" s="79">
        <f t="shared" ca="1" si="11"/>
        <v>55</v>
      </c>
      <c r="J44" s="79">
        <f t="shared" ca="1" si="12"/>
        <v>56</v>
      </c>
      <c r="K44" s="79">
        <f t="shared" ca="1" si="13"/>
        <v>181</v>
      </c>
      <c r="L44" s="79">
        <f t="shared" si="14"/>
        <v>5000</v>
      </c>
      <c r="M44" s="79">
        <f t="shared" ca="1" si="15"/>
        <v>7240</v>
      </c>
      <c r="N44" s="79">
        <f t="shared" ca="1" si="16"/>
        <v>2240</v>
      </c>
      <c r="O44" s="79">
        <f t="shared" si="17"/>
        <v>0</v>
      </c>
    </row>
    <row r="45" spans="6:15">
      <c r="F45" s="79">
        <v>43</v>
      </c>
      <c r="G45" s="79">
        <f t="shared" si="9"/>
        <v>200</v>
      </c>
      <c r="H45" s="79">
        <f t="shared" ca="1" si="10"/>
        <v>60</v>
      </c>
      <c r="I45" s="79">
        <f t="shared" ca="1" si="11"/>
        <v>60</v>
      </c>
      <c r="J45" s="79">
        <f t="shared" ca="1" si="12"/>
        <v>52</v>
      </c>
      <c r="K45" s="79">
        <f t="shared" ca="1" si="13"/>
        <v>172</v>
      </c>
      <c r="L45" s="79">
        <f t="shared" si="14"/>
        <v>5000</v>
      </c>
      <c r="M45" s="79">
        <f t="shared" ca="1" si="15"/>
        <v>6880</v>
      </c>
      <c r="N45" s="79">
        <f t="shared" ca="1" si="16"/>
        <v>1880</v>
      </c>
      <c r="O45" s="79">
        <f t="shared" si="17"/>
        <v>0</v>
      </c>
    </row>
    <row r="46" spans="6:15">
      <c r="F46" s="79">
        <v>44</v>
      </c>
      <c r="G46" s="79">
        <f t="shared" si="9"/>
        <v>200</v>
      </c>
      <c r="H46" s="79">
        <f t="shared" ca="1" si="10"/>
        <v>70</v>
      </c>
      <c r="I46" s="79">
        <f t="shared" ca="1" si="11"/>
        <v>58</v>
      </c>
      <c r="J46" s="79">
        <f t="shared" ca="1" si="12"/>
        <v>55</v>
      </c>
      <c r="K46" s="79">
        <f t="shared" ca="1" si="13"/>
        <v>183</v>
      </c>
      <c r="L46" s="79">
        <f t="shared" si="14"/>
        <v>5000</v>
      </c>
      <c r="M46" s="79">
        <f t="shared" ca="1" si="15"/>
        <v>7320</v>
      </c>
      <c r="N46" s="79">
        <f t="shared" ca="1" si="16"/>
        <v>2320</v>
      </c>
      <c r="O46" s="79">
        <f t="shared" si="17"/>
        <v>0</v>
      </c>
    </row>
    <row r="47" spans="6:15">
      <c r="F47" s="79">
        <v>45</v>
      </c>
      <c r="G47" s="79">
        <f t="shared" si="9"/>
        <v>200</v>
      </c>
      <c r="H47" s="79">
        <f t="shared" ca="1" si="10"/>
        <v>70</v>
      </c>
      <c r="I47" s="79">
        <f t="shared" ca="1" si="11"/>
        <v>51</v>
      </c>
      <c r="J47" s="79">
        <f t="shared" ca="1" si="12"/>
        <v>48</v>
      </c>
      <c r="K47" s="79">
        <f t="shared" ca="1" si="13"/>
        <v>169</v>
      </c>
      <c r="L47" s="79">
        <f t="shared" si="14"/>
        <v>5000</v>
      </c>
      <c r="M47" s="79">
        <f t="shared" ca="1" si="15"/>
        <v>6760</v>
      </c>
      <c r="N47" s="79">
        <f t="shared" ca="1" si="16"/>
        <v>1760</v>
      </c>
      <c r="O47" s="79">
        <f t="shared" si="17"/>
        <v>0</v>
      </c>
    </row>
    <row r="48" spans="6:15">
      <c r="F48" s="79">
        <v>46</v>
      </c>
      <c r="G48" s="79">
        <f t="shared" si="9"/>
        <v>200</v>
      </c>
      <c r="H48" s="79">
        <f t="shared" ca="1" si="10"/>
        <v>50</v>
      </c>
      <c r="I48" s="79">
        <f t="shared" ca="1" si="11"/>
        <v>43</v>
      </c>
      <c r="J48" s="79">
        <f t="shared" ca="1" si="12"/>
        <v>54</v>
      </c>
      <c r="K48" s="79">
        <f t="shared" ca="1" si="13"/>
        <v>147</v>
      </c>
      <c r="L48" s="79">
        <f t="shared" si="14"/>
        <v>5000</v>
      </c>
      <c r="M48" s="79">
        <f t="shared" ca="1" si="15"/>
        <v>5880</v>
      </c>
      <c r="N48" s="79">
        <f t="shared" ca="1" si="16"/>
        <v>880</v>
      </c>
      <c r="O48" s="79">
        <f t="shared" si="17"/>
        <v>0</v>
      </c>
    </row>
    <row r="49" spans="6:15">
      <c r="F49" s="79">
        <v>47</v>
      </c>
      <c r="G49" s="79">
        <f t="shared" si="9"/>
        <v>200</v>
      </c>
      <c r="H49" s="79">
        <f t="shared" ca="1" si="10"/>
        <v>70</v>
      </c>
      <c r="I49" s="79">
        <f t="shared" ca="1" si="11"/>
        <v>60</v>
      </c>
      <c r="J49" s="79">
        <f t="shared" ca="1" si="12"/>
        <v>59</v>
      </c>
      <c r="K49" s="79">
        <f t="shared" ca="1" si="13"/>
        <v>189</v>
      </c>
      <c r="L49" s="79">
        <f t="shared" si="14"/>
        <v>5000</v>
      </c>
      <c r="M49" s="79">
        <f t="shared" ca="1" si="15"/>
        <v>7560</v>
      </c>
      <c r="N49" s="79">
        <f t="shared" ca="1" si="16"/>
        <v>2560</v>
      </c>
      <c r="O49" s="79">
        <f t="shared" si="17"/>
        <v>0</v>
      </c>
    </row>
    <row r="50" spans="6:15">
      <c r="F50" s="79">
        <v>48</v>
      </c>
      <c r="G50" s="79">
        <f t="shared" si="9"/>
        <v>200</v>
      </c>
      <c r="H50" s="79">
        <f t="shared" ca="1" si="10"/>
        <v>50</v>
      </c>
      <c r="I50" s="79">
        <f t="shared" ca="1" si="11"/>
        <v>46</v>
      </c>
      <c r="J50" s="79">
        <f t="shared" ca="1" si="12"/>
        <v>40</v>
      </c>
      <c r="K50" s="79">
        <f t="shared" ca="1" si="13"/>
        <v>136</v>
      </c>
      <c r="L50" s="79">
        <f t="shared" si="14"/>
        <v>5000</v>
      </c>
      <c r="M50" s="79">
        <f t="shared" ca="1" si="15"/>
        <v>5440</v>
      </c>
      <c r="N50" s="79">
        <f t="shared" ca="1" si="16"/>
        <v>440</v>
      </c>
      <c r="O50" s="79">
        <f t="shared" si="17"/>
        <v>0</v>
      </c>
    </row>
    <row r="51" spans="6:15">
      <c r="F51" s="79">
        <v>49</v>
      </c>
      <c r="G51" s="79">
        <f t="shared" si="9"/>
        <v>200</v>
      </c>
      <c r="H51" s="79">
        <f t="shared" ca="1" si="10"/>
        <v>60</v>
      </c>
      <c r="I51" s="79">
        <f t="shared" ca="1" si="11"/>
        <v>48</v>
      </c>
      <c r="J51" s="79">
        <f t="shared" ca="1" si="12"/>
        <v>55</v>
      </c>
      <c r="K51" s="79">
        <f t="shared" ca="1" si="13"/>
        <v>163</v>
      </c>
      <c r="L51" s="79">
        <f t="shared" si="14"/>
        <v>5000</v>
      </c>
      <c r="M51" s="79">
        <f t="shared" ca="1" si="15"/>
        <v>6520</v>
      </c>
      <c r="N51" s="79">
        <f t="shared" ca="1" si="16"/>
        <v>1520</v>
      </c>
      <c r="O51" s="79">
        <f t="shared" si="17"/>
        <v>0</v>
      </c>
    </row>
    <row r="52" spans="6:15">
      <c r="F52" s="79">
        <v>50</v>
      </c>
      <c r="G52" s="79">
        <f t="shared" si="9"/>
        <v>200</v>
      </c>
      <c r="H52" s="79">
        <f t="shared" ca="1" si="10"/>
        <v>60</v>
      </c>
      <c r="I52" s="79">
        <f t="shared" ca="1" si="11"/>
        <v>57</v>
      </c>
      <c r="J52" s="79">
        <f t="shared" ca="1" si="12"/>
        <v>63</v>
      </c>
      <c r="K52" s="79">
        <f t="shared" ca="1" si="13"/>
        <v>180</v>
      </c>
      <c r="L52" s="79">
        <f t="shared" si="14"/>
        <v>5000</v>
      </c>
      <c r="M52" s="79">
        <f t="shared" ca="1" si="15"/>
        <v>7200</v>
      </c>
      <c r="N52" s="79">
        <f t="shared" ca="1" si="16"/>
        <v>2200</v>
      </c>
      <c r="O52" s="79">
        <f t="shared" si="17"/>
        <v>0</v>
      </c>
    </row>
    <row r="53" spans="6:15">
      <c r="F53" s="79">
        <v>51</v>
      </c>
      <c r="G53" s="79">
        <f t="shared" si="9"/>
        <v>200</v>
      </c>
      <c r="H53" s="79">
        <f t="shared" ca="1" si="10"/>
        <v>80</v>
      </c>
      <c r="I53" s="79">
        <f t="shared" ca="1" si="11"/>
        <v>56</v>
      </c>
      <c r="J53" s="79">
        <f t="shared" ca="1" si="12"/>
        <v>43</v>
      </c>
      <c r="K53" s="79">
        <f t="shared" ca="1" si="13"/>
        <v>179</v>
      </c>
      <c r="L53" s="79">
        <f t="shared" si="14"/>
        <v>5000</v>
      </c>
      <c r="M53" s="79">
        <f t="shared" ca="1" si="15"/>
        <v>7160</v>
      </c>
      <c r="N53" s="79">
        <f t="shared" ca="1" si="16"/>
        <v>2160</v>
      </c>
      <c r="O53" s="79">
        <f t="shared" si="17"/>
        <v>0</v>
      </c>
    </row>
    <row r="54" spans="6:15">
      <c r="F54" s="79">
        <v>52</v>
      </c>
      <c r="G54" s="79">
        <f t="shared" si="9"/>
        <v>200</v>
      </c>
      <c r="H54" s="79">
        <f t="shared" ca="1" si="10"/>
        <v>70</v>
      </c>
      <c r="I54" s="79">
        <f t="shared" ca="1" si="11"/>
        <v>50</v>
      </c>
      <c r="J54" s="79">
        <f t="shared" ca="1" si="12"/>
        <v>41</v>
      </c>
      <c r="K54" s="79">
        <f t="shared" ca="1" si="13"/>
        <v>161</v>
      </c>
      <c r="L54" s="79">
        <f t="shared" si="14"/>
        <v>5000</v>
      </c>
      <c r="M54" s="79">
        <f t="shared" ca="1" si="15"/>
        <v>6440</v>
      </c>
      <c r="N54" s="79">
        <f t="shared" ca="1" si="16"/>
        <v>1440</v>
      </c>
      <c r="O54" s="79">
        <f t="shared" si="17"/>
        <v>0</v>
      </c>
    </row>
  </sheetData>
  <phoneticPr fontId="3" type="noConversion"/>
  <printOptions headings="1"/>
  <pageMargins left="0.75" right="0.75" top="1" bottom="1" header="0.5" footer="0.5"/>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9457" r:id="rId4" name="Spinner 1">
              <controlPr defaultSize="0" autoPict="0">
                <anchor moveWithCells="1" sizeWithCells="1">
                  <from>
                    <xdr:col>1</xdr:col>
                    <xdr:colOff>800100</xdr:colOff>
                    <xdr:row>22</xdr:row>
                    <xdr:rowOff>85725</xdr:rowOff>
                  </from>
                  <to>
                    <xdr:col>1</xdr:col>
                    <xdr:colOff>1019175</xdr:colOff>
                    <xdr:row>24</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第1题</vt:lpstr>
      <vt:lpstr>第2题</vt:lpstr>
      <vt:lpstr>第3题</vt:lpstr>
      <vt:lpstr>第4题</vt:lpstr>
      <vt:lpstr>第5题</vt:lpstr>
      <vt:lpstr>第6题</vt:lpstr>
      <vt:lpstr>第7题</vt:lpstr>
      <vt:lpstr>第8题</vt:lpstr>
    </vt:vector>
  </TitlesOfParts>
  <Company>上海财经大学</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EZhang</dc:creator>
  <cp:lastModifiedBy>C02</cp:lastModifiedBy>
  <dcterms:created xsi:type="dcterms:W3CDTF">2012-07-02T09:48:46Z</dcterms:created>
  <dcterms:modified xsi:type="dcterms:W3CDTF">2018-06-10T07:38:48Z</dcterms:modified>
</cp:coreProperties>
</file>